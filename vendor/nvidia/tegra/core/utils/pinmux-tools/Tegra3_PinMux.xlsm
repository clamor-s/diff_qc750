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5235" windowWidth="25215" windowHeight="7245" tabRatio="641" activeTab="1"/>
  </bookViews>
  <sheets>
    <sheet name="README" sheetId="8" r:id="rId1"/>
    <sheet name="MPIO_SFIO Table" sheetId="1" r:id="rId2"/>
    <sheet name="Signals" sheetId="4" r:id="rId3"/>
    <sheet name="Controllers" sheetId="7" r:id="rId4"/>
    <sheet name="MPIO Details" sheetId="9" r:id="rId5"/>
    <sheet name="T3 PINGROUPs" sheetId="14" r:id="rId6"/>
    <sheet name="C pinmux table" sheetId="11" state="hidden" r:id="rId7"/>
    <sheet name="C unused pins table" sheetId="12" state="hidden" r:id="rId8"/>
    <sheet name="C gpio table" sheetId="13" state="hidden" r:id="rId9"/>
  </sheets>
  <definedNames>
    <definedName name="BALL_NAME">'MPIO_SFIO Table'!$A$8</definedName>
    <definedName name="BEGIN_XLS_2_CODE_TABLE">#REF!</definedName>
    <definedName name="CODE_MUX_NAME">#REF!</definedName>
    <definedName name="CUSTOMER_PINMUX">'MPIO_SFIO Table'!$AA$8</definedName>
    <definedName name="CUSTOMER_USAGE">'MPIO_SFIO Table'!$AJ$8</definedName>
    <definedName name="DEDICATED_SFIO_LIST">'MPIO_SFIO Table'!$A$282</definedName>
    <definedName name="DESCRIPTION">'MPIO_SFIO Table'!$AQ$8</definedName>
    <definedName name="E_INPUT">'MPIO_SFIO Table'!$AE$8</definedName>
    <definedName name="END_XLS_2_CODE_TABLE">#REF!</definedName>
    <definedName name="FUNCTIONS_BY_BALLNAME" localSheetId="8">#REF!</definedName>
    <definedName name="FUNCTIONS_BY_BALLNAME" localSheetId="6">#REF!</definedName>
    <definedName name="FUNCTIONS_BY_BALLNAME" localSheetId="7">#REF!</definedName>
    <definedName name="FUNCTIONS_BY_BALLNAME">#REF!</definedName>
    <definedName name="GPIO_INIT_OUTPUT">'MPIO_SFIO Table'!$AI$8</definedName>
    <definedName name="GPIO_LIST">'MPIO_SFIO Table'!$G$8</definedName>
    <definedName name="GPIO_MODE">'MPIO_SFIO Table'!$AH$8</definedName>
    <definedName name="MPIO_TABLE_TOP">'MPIO_SFIO Table'!$A$10</definedName>
    <definedName name="NUMBER_OF_BALLS" localSheetId="8">#REF!</definedName>
    <definedName name="NUMBER_OF_BALLS" localSheetId="6">#REF!</definedName>
    <definedName name="NUMBER_OF_BALLS" localSheetId="7">#REF!</definedName>
    <definedName name="NUMBER_OF_BALLS">#REF!</definedName>
    <definedName name="NUMBER_OF_MPIO_MAPPINGS" localSheetId="8">#REF!</definedName>
    <definedName name="NUMBER_OF_MPIO_MAPPINGS" localSheetId="6">#REF!</definedName>
    <definedName name="NUMBER_OF_MPIO_MAPPINGS" localSheetId="7">#REF!</definedName>
    <definedName name="NUMBER_OF_MPIO_MAPPINGS">#REF!</definedName>
    <definedName name="OUTPUT_DISABLE">'MPIO_SFIO Table'!$AG$8</definedName>
    <definedName name="PINGROUP_BALL_NAME">'T3 PINGROUPs'!$A:$A</definedName>
    <definedName name="PINGROUP_FUNC_OFFSET">'T3 PINGROUPs'!$D:$D</definedName>
    <definedName name="PINGROUP_ROW_FIRST">'T3 PINGROUPs'!$4:$4</definedName>
    <definedName name="PINGROUP_ROW_LAST">'T3 PINGROUPs'!$252:$252</definedName>
    <definedName name="PINGROUP_SAFE_OFFSET">'T3 PINGROUPs'!$H$3</definedName>
    <definedName name="POR_PINMUX">'MPIO_SFIO Table'!$U$8</definedName>
    <definedName name="PU_PD">'MPIO_SFIO Table'!$AF$8</definedName>
    <definedName name="SFIO_COL_0">'MPIO_SFIO Table'!$H$8</definedName>
    <definedName name="START_PINMUX_TABLE">'C pinmux table'!$A$1</definedName>
    <definedName name="START_PINMUX_TABLE_GPIO_PINS">'C gpio table'!$A$1</definedName>
    <definedName name="START_PINMUX_TABLE_UNUSED">'C unused pins table'!$A$1</definedName>
    <definedName name="TRISTATE">'MPIO_SFIO Table'!$AD$8</definedName>
    <definedName name="WAKE_PIN">'MPIO_SFIO Table'!$AM$8</definedName>
    <definedName name="XLS_MUX_NAME">#REF!</definedName>
  </definedNames>
  <calcPr calcId="145621"/>
</workbook>
</file>

<file path=xl/calcChain.xml><?xml version="1.0" encoding="utf-8"?>
<calcChain xmlns="http://schemas.openxmlformats.org/spreadsheetml/2006/main">
  <c r="AF94" i="1" l="1"/>
  <c r="AF95" i="1"/>
  <c r="AG107" i="1"/>
  <c r="AG106" i="1"/>
  <c r="AD94" i="1"/>
  <c r="AD95" i="1"/>
  <c r="AE94" i="1"/>
  <c r="AE95" i="1"/>
  <c r="AA197" i="1" l="1"/>
  <c r="F281" i="1" l="1"/>
  <c r="AA281" i="1" s="1"/>
  <c r="AB281" i="1" s="1"/>
  <c r="F280" i="1"/>
  <c r="AA280" i="1"/>
  <c r="AB280" i="1" s="1"/>
  <c r="F279" i="1"/>
  <c r="AA279" i="1"/>
  <c r="AB279" i="1" s="1"/>
  <c r="F278" i="1"/>
  <c r="AA278" i="1"/>
  <c r="AB278" i="1" s="1"/>
  <c r="F277" i="1"/>
  <c r="AA277" i="1"/>
  <c r="AB277" i="1" s="1"/>
  <c r="F276" i="1"/>
  <c r="AA276" i="1"/>
  <c r="AB276" i="1" s="1"/>
  <c r="F275" i="1"/>
  <c r="AA275" i="1"/>
  <c r="AB275" i="1" s="1"/>
  <c r="F274" i="1"/>
  <c r="AA274" i="1"/>
  <c r="AB274" i="1" s="1"/>
  <c r="F273" i="1"/>
  <c r="AA273" i="1"/>
  <c r="AB273" i="1" s="1"/>
  <c r="F272" i="1"/>
  <c r="AA272" i="1"/>
  <c r="AB272" i="1" s="1"/>
  <c r="F271" i="1"/>
  <c r="AA271" i="1"/>
  <c r="AB271" i="1" s="1"/>
  <c r="F270" i="1"/>
  <c r="AA270" i="1"/>
  <c r="AB270" i="1" s="1"/>
  <c r="F269" i="1"/>
  <c r="AA269" i="1"/>
  <c r="AB269" i="1" s="1"/>
  <c r="F268" i="1"/>
  <c r="AA268" i="1"/>
  <c r="AB268" i="1" s="1"/>
  <c r="F267" i="1"/>
  <c r="AA267" i="1"/>
  <c r="AB267" i="1" s="1"/>
  <c r="F266" i="1"/>
  <c r="AA266" i="1"/>
  <c r="AB266" i="1" s="1"/>
  <c r="F264" i="1"/>
  <c r="AA264" i="1"/>
  <c r="AB264" i="1" s="1"/>
  <c r="F263" i="1"/>
  <c r="AA263" i="1"/>
  <c r="AB263" i="1" s="1"/>
  <c r="F262" i="1"/>
  <c r="AA262" i="1"/>
  <c r="AB262" i="1" s="1"/>
  <c r="F261" i="1"/>
  <c r="AA261" i="1"/>
  <c r="AB261" i="1" s="1"/>
  <c r="F260" i="1"/>
  <c r="AA260" i="1"/>
  <c r="AB260" i="1" s="1"/>
  <c r="F259" i="1"/>
  <c r="AA259" i="1"/>
  <c r="AB259" i="1" s="1"/>
  <c r="F258" i="1"/>
  <c r="AA258" i="1"/>
  <c r="AB258" i="1" s="1"/>
  <c r="F257" i="1"/>
  <c r="AA257" i="1"/>
  <c r="AB257" i="1" s="1"/>
  <c r="F256" i="1"/>
  <c r="AA256" i="1"/>
  <c r="AB256" i="1" s="1"/>
  <c r="AF256" i="1" s="1"/>
  <c r="F255" i="1"/>
  <c r="AA255" i="1"/>
  <c r="AB255" i="1" s="1"/>
  <c r="AH255" i="1" s="1"/>
  <c r="F254" i="1"/>
  <c r="AA254" i="1"/>
  <c r="AB254" i="1" s="1"/>
  <c r="AF254" i="1" s="1"/>
  <c r="F253" i="1"/>
  <c r="AA253" i="1"/>
  <c r="AB253" i="1" s="1"/>
  <c r="AF253" i="1" s="1"/>
  <c r="F252" i="1"/>
  <c r="AA252" i="1"/>
  <c r="AB252" i="1" s="1"/>
  <c r="AF252" i="1" s="1"/>
  <c r="F251" i="1"/>
  <c r="AA251" i="1"/>
  <c r="AB251" i="1" s="1"/>
  <c r="AF251" i="1" s="1"/>
  <c r="F250" i="1"/>
  <c r="AA250" i="1"/>
  <c r="AB250" i="1" s="1"/>
  <c r="AF250" i="1" s="1"/>
  <c r="F249" i="1"/>
  <c r="AA249" i="1"/>
  <c r="AB249" i="1" s="1"/>
  <c r="AH249" i="1" s="1"/>
  <c r="F248" i="1"/>
  <c r="AA248" i="1"/>
  <c r="AB248" i="1" s="1"/>
  <c r="F247" i="1"/>
  <c r="AA247" i="1"/>
  <c r="AB247" i="1" s="1"/>
  <c r="AH247" i="1" s="1"/>
  <c r="F246" i="1"/>
  <c r="AA246" i="1"/>
  <c r="AB246" i="1" s="1"/>
  <c r="F245" i="1"/>
  <c r="AA245" i="1"/>
  <c r="AB245" i="1" s="1"/>
  <c r="AH245" i="1" s="1"/>
  <c r="F244" i="1"/>
  <c r="AA244" i="1"/>
  <c r="AB244" i="1" s="1"/>
  <c r="F243" i="1"/>
  <c r="AA243" i="1"/>
  <c r="AB243" i="1" s="1"/>
  <c r="AH243" i="1" s="1"/>
  <c r="F242" i="1"/>
  <c r="AA242" i="1"/>
  <c r="AB242" i="1" s="1"/>
  <c r="F238" i="1"/>
  <c r="AA238" i="1"/>
  <c r="AB238" i="1" s="1"/>
  <c r="F237" i="1"/>
  <c r="AA237" i="1"/>
  <c r="AB237" i="1" s="1"/>
  <c r="F236" i="1"/>
  <c r="AA236" i="1"/>
  <c r="AB236" i="1" s="1"/>
  <c r="F235" i="1"/>
  <c r="AA235" i="1"/>
  <c r="AB235" i="1" s="1"/>
  <c r="AF235" i="1" s="1"/>
  <c r="F234" i="1"/>
  <c r="AA234" i="1"/>
  <c r="AB234" i="1" s="1"/>
  <c r="AF234" i="1" s="1"/>
  <c r="F233" i="1"/>
  <c r="AA233" i="1"/>
  <c r="AB233" i="1" s="1"/>
  <c r="F232" i="1"/>
  <c r="AA232" i="1"/>
  <c r="AB232" i="1" s="1"/>
  <c r="F231" i="1"/>
  <c r="AA231" i="1"/>
  <c r="AB231" i="1" s="1"/>
  <c r="F230" i="1"/>
  <c r="AA230" i="1"/>
  <c r="AB230" i="1" s="1"/>
  <c r="F229" i="1"/>
  <c r="AA229" i="1"/>
  <c r="AB229" i="1" s="1"/>
  <c r="F228" i="1"/>
  <c r="AA228" i="1"/>
  <c r="AB228" i="1" s="1"/>
  <c r="F227" i="1"/>
  <c r="AA227" i="1"/>
  <c r="AB227" i="1" s="1"/>
  <c r="F226" i="1"/>
  <c r="AA226" i="1"/>
  <c r="AB226" i="1" s="1"/>
  <c r="AF226" i="1" s="1"/>
  <c r="F225" i="1"/>
  <c r="AA225" i="1"/>
  <c r="AB225" i="1" s="1"/>
  <c r="F224" i="1"/>
  <c r="AA224" i="1"/>
  <c r="AB224" i="1" s="1"/>
  <c r="AF224" i="1" s="1"/>
  <c r="F223" i="1"/>
  <c r="AA223" i="1"/>
  <c r="AB223" i="1" s="1"/>
  <c r="AF223" i="1" s="1"/>
  <c r="F222" i="1"/>
  <c r="AA222" i="1"/>
  <c r="AB222" i="1" s="1"/>
  <c r="AF222" i="1" s="1"/>
  <c r="F221" i="1"/>
  <c r="AA221" i="1"/>
  <c r="AB221" i="1" s="1"/>
  <c r="F220" i="1"/>
  <c r="AA220" i="1"/>
  <c r="AB220" i="1" s="1"/>
  <c r="F219" i="1"/>
  <c r="AA219" i="1"/>
  <c r="AB219" i="1" s="1"/>
  <c r="AF219" i="1" s="1"/>
  <c r="F218" i="1"/>
  <c r="AA218" i="1"/>
  <c r="AB218" i="1" s="1"/>
  <c r="AF218" i="1" s="1"/>
  <c r="F217" i="1"/>
  <c r="AA217" i="1"/>
  <c r="AB217" i="1" s="1"/>
  <c r="F216" i="1"/>
  <c r="AA216" i="1"/>
  <c r="AB216" i="1" s="1"/>
  <c r="F215" i="1"/>
  <c r="AA215" i="1"/>
  <c r="AB215" i="1" s="1"/>
  <c r="F214" i="1"/>
  <c r="AA214" i="1"/>
  <c r="AB214" i="1" s="1"/>
  <c r="AH214" i="1" s="1"/>
  <c r="F213" i="1"/>
  <c r="AA213" i="1"/>
  <c r="AB213" i="1" s="1"/>
  <c r="AF213" i="1" s="1"/>
  <c r="F212" i="1"/>
  <c r="AA212" i="1"/>
  <c r="AB212" i="1" s="1"/>
  <c r="F211" i="1"/>
  <c r="AA211" i="1"/>
  <c r="AB211" i="1" s="1"/>
  <c r="AF211" i="1" s="1"/>
  <c r="F210" i="1"/>
  <c r="AA210" i="1"/>
  <c r="AB210" i="1" s="1"/>
  <c r="F204" i="1"/>
  <c r="AA204" i="1"/>
  <c r="AB204" i="1" s="1"/>
  <c r="AF204" i="1" s="1"/>
  <c r="F203" i="1"/>
  <c r="AA203" i="1"/>
  <c r="AB203" i="1" s="1"/>
  <c r="AF203" i="1" s="1"/>
  <c r="F199" i="1"/>
  <c r="AA199" i="1"/>
  <c r="AB199" i="1" s="1"/>
  <c r="F197" i="1"/>
  <c r="AB197" i="1"/>
  <c r="F196" i="1"/>
  <c r="AA196" i="1"/>
  <c r="AB196" i="1" s="1"/>
  <c r="F195" i="1"/>
  <c r="AA195" i="1"/>
  <c r="AB195" i="1" s="1"/>
  <c r="F194" i="1"/>
  <c r="AA194" i="1"/>
  <c r="AB194" i="1" s="1"/>
  <c r="F193" i="1"/>
  <c r="AA193" i="1"/>
  <c r="AB193" i="1" s="1"/>
  <c r="F192" i="1"/>
  <c r="AA192" i="1"/>
  <c r="AB192" i="1" s="1"/>
  <c r="F191" i="1"/>
  <c r="AA191" i="1"/>
  <c r="AB191" i="1" s="1"/>
  <c r="F190" i="1"/>
  <c r="AA190" i="1"/>
  <c r="AB190" i="1" s="1"/>
  <c r="F189" i="1"/>
  <c r="AA189" i="1"/>
  <c r="AB189" i="1" s="1"/>
  <c r="F188" i="1"/>
  <c r="AA188" i="1"/>
  <c r="AB188" i="1" s="1"/>
  <c r="F187" i="1"/>
  <c r="AA187" i="1"/>
  <c r="AB187" i="1" s="1"/>
  <c r="F183" i="1"/>
  <c r="AA183" i="1"/>
  <c r="AB183" i="1" s="1"/>
  <c r="F182" i="1"/>
  <c r="AA182" i="1"/>
  <c r="AB182" i="1" s="1"/>
  <c r="AH182" i="1" s="1"/>
  <c r="F181" i="1"/>
  <c r="AA181" i="1"/>
  <c r="AB181" i="1" s="1"/>
  <c r="F180" i="1"/>
  <c r="AA180" i="1"/>
  <c r="AB180" i="1" s="1"/>
  <c r="F179" i="1"/>
  <c r="AA179" i="1"/>
  <c r="AB179" i="1" s="1"/>
  <c r="F178" i="1"/>
  <c r="AA178" i="1"/>
  <c r="AB178" i="1" s="1"/>
  <c r="AH178" i="1" s="1"/>
  <c r="F177" i="1"/>
  <c r="AA177" i="1"/>
  <c r="AB177" i="1" s="1"/>
  <c r="F176" i="1"/>
  <c r="AA176" i="1"/>
  <c r="AB176" i="1"/>
  <c r="F175" i="1"/>
  <c r="AA175" i="1"/>
  <c r="AB175" i="1" s="1"/>
  <c r="F174" i="1"/>
  <c r="AA174" i="1"/>
  <c r="AB174" i="1" s="1"/>
  <c r="AH174" i="1" s="1"/>
  <c r="F170" i="1"/>
  <c r="AA170" i="1"/>
  <c r="AB170" i="1" s="1"/>
  <c r="F169" i="1"/>
  <c r="AA169" i="1"/>
  <c r="AB169" i="1"/>
  <c r="F168" i="1"/>
  <c r="AA168" i="1"/>
  <c r="AB168" i="1" s="1"/>
  <c r="F167" i="1"/>
  <c r="AA167" i="1"/>
  <c r="AB167" i="1" s="1"/>
  <c r="AH167" i="1" s="1"/>
  <c r="F166" i="1"/>
  <c r="AA166" i="1"/>
  <c r="AB166" i="1" s="1"/>
  <c r="F165" i="1"/>
  <c r="AA165" i="1"/>
  <c r="AB165" i="1"/>
  <c r="F164" i="1"/>
  <c r="AA164" i="1" s="1"/>
  <c r="AB164" i="1" s="1"/>
  <c r="AF164" i="1" s="1"/>
  <c r="F163" i="1"/>
  <c r="AA163" i="1" s="1"/>
  <c r="AB163" i="1" s="1"/>
  <c r="F162" i="1"/>
  <c r="AA162" i="1"/>
  <c r="AB162" i="1" s="1"/>
  <c r="AH162" i="1" s="1"/>
  <c r="F161" i="1"/>
  <c r="AA161" i="1"/>
  <c r="AB161" i="1" s="1"/>
  <c r="F159" i="1"/>
  <c r="AA159" i="1"/>
  <c r="AB159" i="1" s="1"/>
  <c r="F158" i="1"/>
  <c r="AA158" i="1"/>
  <c r="AB158" i="1" s="1"/>
  <c r="AF158" i="1" s="1"/>
  <c r="F157" i="1"/>
  <c r="AA157" i="1"/>
  <c r="AB157" i="1" s="1"/>
  <c r="AF157" i="1" s="1"/>
  <c r="F156" i="1"/>
  <c r="AA156" i="1"/>
  <c r="AB156" i="1" s="1"/>
  <c r="F155" i="1"/>
  <c r="AA155" i="1" s="1"/>
  <c r="AB155" i="1" s="1"/>
  <c r="F154" i="1"/>
  <c r="AA154" i="1" s="1"/>
  <c r="AB154" i="1" s="1"/>
  <c r="F153" i="1"/>
  <c r="AA153" i="1" s="1"/>
  <c r="AB153" i="1" s="1"/>
  <c r="F152" i="1"/>
  <c r="AA152" i="1" s="1"/>
  <c r="AB152" i="1" s="1"/>
  <c r="F151" i="1"/>
  <c r="AA151" i="1" s="1"/>
  <c r="AB151" i="1" s="1"/>
  <c r="F150" i="1"/>
  <c r="AA150" i="1" s="1"/>
  <c r="AB150" i="1" s="1"/>
  <c r="F148" i="1"/>
  <c r="AA148" i="1"/>
  <c r="AB148" i="1"/>
  <c r="AF148" i="1" s="1"/>
  <c r="F147" i="1"/>
  <c r="AA147" i="1"/>
  <c r="AB147" i="1" s="1"/>
  <c r="F146" i="1"/>
  <c r="AA146" i="1"/>
  <c r="AB146" i="1" s="1"/>
  <c r="AH146" i="1" s="1"/>
  <c r="F145" i="1"/>
  <c r="AA145" i="1"/>
  <c r="AB145" i="1" s="1"/>
  <c r="F144" i="1"/>
  <c r="AA144" i="1"/>
  <c r="AB144" i="1"/>
  <c r="F143" i="1"/>
  <c r="AA143" i="1"/>
  <c r="AB143" i="1" s="1"/>
  <c r="F142" i="1"/>
  <c r="AA142" i="1"/>
  <c r="AB142" i="1" s="1"/>
  <c r="AH142" i="1" s="1"/>
  <c r="F141" i="1"/>
  <c r="AA141" i="1"/>
  <c r="AB141" i="1" s="1"/>
  <c r="F140" i="1"/>
  <c r="AA140" i="1"/>
  <c r="AB140" i="1"/>
  <c r="F139" i="1"/>
  <c r="AA139" i="1"/>
  <c r="AB139" i="1" s="1"/>
  <c r="F138" i="1"/>
  <c r="AA138" i="1"/>
  <c r="AB138" i="1" s="1"/>
  <c r="AH138" i="1" s="1"/>
  <c r="F137" i="1"/>
  <c r="AA137" i="1"/>
  <c r="AB137" i="1" s="1"/>
  <c r="F136" i="1"/>
  <c r="AA136" i="1"/>
  <c r="AB136" i="1"/>
  <c r="F135" i="1"/>
  <c r="AA135" i="1"/>
  <c r="AB135" i="1" s="1"/>
  <c r="F134" i="1"/>
  <c r="AA134" i="1"/>
  <c r="AB134" i="1" s="1"/>
  <c r="AH134" i="1" s="1"/>
  <c r="F133" i="1"/>
  <c r="AA133" i="1"/>
  <c r="AB133" i="1" s="1"/>
  <c r="F132" i="1"/>
  <c r="AA132" i="1"/>
  <c r="AB132" i="1"/>
  <c r="F131" i="1"/>
  <c r="AA131" i="1"/>
  <c r="AB131" i="1" s="1"/>
  <c r="F130" i="1"/>
  <c r="AA130" i="1"/>
  <c r="AB130" i="1" s="1"/>
  <c r="AH130" i="1" s="1"/>
  <c r="F129" i="1"/>
  <c r="AA129" i="1"/>
  <c r="AB129" i="1" s="1"/>
  <c r="F128" i="1"/>
  <c r="AA128" i="1"/>
  <c r="AB128" i="1"/>
  <c r="F127" i="1"/>
  <c r="AA127" i="1"/>
  <c r="AB127" i="1" s="1"/>
  <c r="F126" i="1"/>
  <c r="AA126" i="1"/>
  <c r="AB126" i="1" s="1"/>
  <c r="AH126" i="1" s="1"/>
  <c r="F125" i="1"/>
  <c r="AA125" i="1"/>
  <c r="AB125" i="1" s="1"/>
  <c r="F124" i="1"/>
  <c r="AA124" i="1"/>
  <c r="AB124" i="1"/>
  <c r="F123" i="1"/>
  <c r="AA123" i="1"/>
  <c r="AB123" i="1" s="1"/>
  <c r="F122" i="1"/>
  <c r="AA122" i="1"/>
  <c r="AB122" i="1" s="1"/>
  <c r="AH122" i="1" s="1"/>
  <c r="F121" i="1"/>
  <c r="AA121" i="1"/>
  <c r="AB121" i="1" s="1"/>
  <c r="F120" i="1"/>
  <c r="AA120" i="1"/>
  <c r="AB120" i="1"/>
  <c r="F119" i="1"/>
  <c r="AA119" i="1"/>
  <c r="AB119" i="1" s="1"/>
  <c r="F118" i="1"/>
  <c r="AA118" i="1"/>
  <c r="AB118" i="1" s="1"/>
  <c r="AH118" i="1" s="1"/>
  <c r="F117" i="1"/>
  <c r="AA117" i="1"/>
  <c r="AB117" i="1" s="1"/>
  <c r="F116" i="1"/>
  <c r="AA116" i="1"/>
  <c r="AB116" i="1"/>
  <c r="F115" i="1"/>
  <c r="AA115" i="1"/>
  <c r="AB115" i="1" s="1"/>
  <c r="F114" i="1"/>
  <c r="AA114" i="1"/>
  <c r="AB114" i="1" s="1"/>
  <c r="AH114" i="1" s="1"/>
  <c r="F113" i="1"/>
  <c r="AA113" i="1"/>
  <c r="AB113" i="1" s="1"/>
  <c r="F112" i="1"/>
  <c r="AA112" i="1"/>
  <c r="AB112" i="1"/>
  <c r="F111" i="1"/>
  <c r="AA111" i="1"/>
  <c r="AB111" i="1" s="1"/>
  <c r="F110" i="1"/>
  <c r="AA110" i="1"/>
  <c r="AB110" i="1" s="1"/>
  <c r="AH110" i="1" s="1"/>
  <c r="F109" i="1"/>
  <c r="AA109" i="1"/>
  <c r="AB109" i="1" s="1"/>
  <c r="F108" i="1"/>
  <c r="AA108" i="1" s="1"/>
  <c r="AB108" i="1" s="1"/>
  <c r="AF108" i="1" s="1"/>
  <c r="F107" i="1"/>
  <c r="AA107" i="1"/>
  <c r="AB107" i="1" s="1"/>
  <c r="F106" i="1"/>
  <c r="AA106" i="1"/>
  <c r="AB106" i="1" s="1"/>
  <c r="AH106" i="1" s="1"/>
  <c r="F105" i="1"/>
  <c r="AA105" i="1"/>
  <c r="AB105" i="1" s="1"/>
  <c r="F104" i="1"/>
  <c r="AA104" i="1"/>
  <c r="AB104" i="1" s="1"/>
  <c r="F102" i="1"/>
  <c r="AA102" i="1"/>
  <c r="AB102" i="1" s="1"/>
  <c r="AF102" i="1" s="1"/>
  <c r="F101" i="1"/>
  <c r="AA101" i="1"/>
  <c r="AB101" i="1" s="1"/>
  <c r="AF101" i="1" s="1"/>
  <c r="F100" i="1"/>
  <c r="AA100" i="1"/>
  <c r="AB100" i="1" s="1"/>
  <c r="AF100" i="1" s="1"/>
  <c r="F99" i="1"/>
  <c r="AA99" i="1"/>
  <c r="AB99" i="1" s="1"/>
  <c r="AF99" i="1" s="1"/>
  <c r="F98" i="1"/>
  <c r="AA98" i="1"/>
  <c r="AB98" i="1" s="1"/>
  <c r="F97" i="1"/>
  <c r="AA97" i="1"/>
  <c r="AB97" i="1" s="1"/>
  <c r="AF97" i="1" s="1"/>
  <c r="F96" i="1"/>
  <c r="AA96" i="1"/>
  <c r="AB96" i="1" s="1"/>
  <c r="AF96" i="1" s="1"/>
  <c r="F95" i="1"/>
  <c r="AA95" i="1"/>
  <c r="AB95" i="1" s="1"/>
  <c r="F94" i="1"/>
  <c r="AA94" i="1"/>
  <c r="AB94" i="1" s="1"/>
  <c r="F93" i="1"/>
  <c r="AA93" i="1"/>
  <c r="AB93" i="1" s="1"/>
  <c r="F92" i="1"/>
  <c r="AA92" i="1"/>
  <c r="AB92" i="1" s="1"/>
  <c r="AF92" i="1" s="1"/>
  <c r="F91" i="1"/>
  <c r="AA91" i="1"/>
  <c r="AB91" i="1" s="1"/>
  <c r="AF91" i="1" s="1"/>
  <c r="F90" i="1"/>
  <c r="AA90" i="1"/>
  <c r="AB90" i="1" s="1"/>
  <c r="F89" i="1"/>
  <c r="AA89" i="1"/>
  <c r="AB89" i="1" s="1"/>
  <c r="F88" i="1"/>
  <c r="AA88" i="1"/>
  <c r="AB88" i="1" s="1"/>
  <c r="AF88" i="1" s="1"/>
  <c r="F87" i="1"/>
  <c r="AA87" i="1"/>
  <c r="AB87" i="1" s="1"/>
  <c r="F86" i="1"/>
  <c r="AA86" i="1"/>
  <c r="AB86" i="1" s="1"/>
  <c r="AF86" i="1" s="1"/>
  <c r="F85" i="1"/>
  <c r="AA85" i="1"/>
  <c r="AB85" i="1" s="1"/>
  <c r="F84" i="1"/>
  <c r="AA84" i="1"/>
  <c r="AB84" i="1" s="1"/>
  <c r="AF84" i="1" s="1"/>
  <c r="F83" i="1"/>
  <c r="AA83" i="1"/>
  <c r="AB83" i="1" s="1"/>
  <c r="AF83" i="1" s="1"/>
  <c r="F82" i="1"/>
  <c r="AA82" i="1"/>
  <c r="AB82" i="1" s="1"/>
  <c r="AF82" i="1" s="1"/>
  <c r="F81" i="1"/>
  <c r="AA81" i="1"/>
  <c r="AB81" i="1" s="1"/>
  <c r="AF81" i="1" s="1"/>
  <c r="F80" i="1"/>
  <c r="AA80" i="1"/>
  <c r="AB80" i="1" s="1"/>
  <c r="F79" i="1"/>
  <c r="AA79" i="1"/>
  <c r="AB79" i="1" s="1"/>
  <c r="AF79" i="1" s="1"/>
  <c r="F78" i="1"/>
  <c r="AA78" i="1"/>
  <c r="AB78" i="1" s="1"/>
  <c r="AF78" i="1" s="1"/>
  <c r="F77" i="1"/>
  <c r="AA77" i="1"/>
  <c r="AB77" i="1" s="1"/>
  <c r="AF77" i="1" s="1"/>
  <c r="F76" i="1"/>
  <c r="AA76" i="1"/>
  <c r="AB76" i="1" s="1"/>
  <c r="F75" i="1"/>
  <c r="AA75" i="1"/>
  <c r="AB75" i="1" s="1"/>
  <c r="AF75" i="1" s="1"/>
  <c r="F74" i="1"/>
  <c r="AA74" i="1"/>
  <c r="AB74" i="1" s="1"/>
  <c r="F73" i="1"/>
  <c r="AA73" i="1"/>
  <c r="AB73" i="1" s="1"/>
  <c r="F72" i="1"/>
  <c r="AA72" i="1"/>
  <c r="AB72" i="1" s="1"/>
  <c r="F71" i="1"/>
  <c r="AA71" i="1"/>
  <c r="AB71" i="1" s="1"/>
  <c r="F70" i="1"/>
  <c r="AA70" i="1"/>
  <c r="AB70" i="1" s="1"/>
  <c r="F69" i="1"/>
  <c r="AA69" i="1"/>
  <c r="AB69" i="1" s="1"/>
  <c r="F68" i="1"/>
  <c r="AA68" i="1"/>
  <c r="AB68" i="1" s="1"/>
  <c r="F67" i="1"/>
  <c r="AA67" i="1"/>
  <c r="AB67" i="1" s="1"/>
  <c r="F66" i="1"/>
  <c r="AA66" i="1"/>
  <c r="AB66" i="1" s="1"/>
  <c r="F65" i="1"/>
  <c r="AA65" i="1"/>
  <c r="AB65" i="1" s="1"/>
  <c r="F63" i="1"/>
  <c r="AA63" i="1"/>
  <c r="AB63" i="1" s="1"/>
  <c r="F62" i="1"/>
  <c r="AA62" i="1"/>
  <c r="AB62" i="1" s="1"/>
  <c r="F61" i="1"/>
  <c r="AA61" i="1"/>
  <c r="AB61" i="1" s="1"/>
  <c r="AH61" i="1" s="1"/>
  <c r="F60" i="1"/>
  <c r="AA60" i="1"/>
  <c r="AB60" i="1" s="1"/>
  <c r="F59" i="1"/>
  <c r="AA59" i="1"/>
  <c r="AB59" i="1" s="1"/>
  <c r="F58" i="1"/>
  <c r="AA58" i="1"/>
  <c r="AB58" i="1" s="1"/>
  <c r="F57" i="1"/>
  <c r="AA57" i="1"/>
  <c r="AB57" i="1" s="1"/>
  <c r="F56" i="1"/>
  <c r="AA56" i="1"/>
  <c r="AB56" i="1" s="1"/>
  <c r="AD56" i="1" s="1"/>
  <c r="F55" i="1"/>
  <c r="AA55" i="1"/>
  <c r="AB55" i="1" s="1"/>
  <c r="AF55" i="1" s="1"/>
  <c r="F54" i="1"/>
  <c r="AA54" i="1"/>
  <c r="AB54" i="1" s="1"/>
  <c r="F53" i="1"/>
  <c r="AA53" i="1"/>
  <c r="AB53" i="1" s="1"/>
  <c r="AH53" i="1" s="1"/>
  <c r="F51" i="1"/>
  <c r="AA51" i="1"/>
  <c r="AB51" i="1" s="1"/>
  <c r="F50" i="1"/>
  <c r="AA50" i="1"/>
  <c r="AB50" i="1" s="1"/>
  <c r="F49" i="1"/>
  <c r="AA49" i="1"/>
  <c r="AB49" i="1" s="1"/>
  <c r="F48" i="1"/>
  <c r="AA48" i="1"/>
  <c r="AB48" i="1" s="1"/>
  <c r="AH48" i="1" s="1"/>
  <c r="F47" i="1"/>
  <c r="AA47" i="1"/>
  <c r="AB47" i="1" s="1"/>
  <c r="F46" i="1"/>
  <c r="AA46" i="1"/>
  <c r="AB46" i="1" s="1"/>
  <c r="F45" i="1"/>
  <c r="AA45" i="1"/>
  <c r="AB45" i="1" s="1"/>
  <c r="F44" i="1"/>
  <c r="AA44" i="1"/>
  <c r="AB44" i="1" s="1"/>
  <c r="AH44" i="1" s="1"/>
  <c r="F43" i="1"/>
  <c r="AA43" i="1"/>
  <c r="AB43" i="1" s="1"/>
  <c r="F42" i="1"/>
  <c r="AA42" i="1"/>
  <c r="AB42" i="1" s="1"/>
  <c r="F41" i="1"/>
  <c r="AA41" i="1"/>
  <c r="AB41" i="1" s="1"/>
  <c r="F40" i="1"/>
  <c r="AA40" i="1"/>
  <c r="AB40" i="1" s="1"/>
  <c r="F39" i="1"/>
  <c r="AA39" i="1"/>
  <c r="AB39" i="1" s="1"/>
  <c r="F38" i="1"/>
  <c r="AA38" i="1"/>
  <c r="AB38" i="1" s="1"/>
  <c r="F37" i="1"/>
  <c r="AA37" i="1"/>
  <c r="AB37" i="1" s="1"/>
  <c r="F36" i="1"/>
  <c r="AA36" i="1"/>
  <c r="AB36" i="1" s="1"/>
  <c r="AH36" i="1" s="1"/>
  <c r="F35" i="1"/>
  <c r="AA35" i="1"/>
  <c r="AB35" i="1" s="1"/>
  <c r="F34" i="1"/>
  <c r="AA34" i="1"/>
  <c r="AB34" i="1" s="1"/>
  <c r="F32" i="1"/>
  <c r="AA32" i="1"/>
  <c r="AB32" i="1" s="1"/>
  <c r="F31" i="1"/>
  <c r="AA31" i="1"/>
  <c r="AB31" i="1" s="1"/>
  <c r="F30" i="1"/>
  <c r="AA30" i="1"/>
  <c r="AB30" i="1" s="1"/>
  <c r="AH30" i="1" s="1"/>
  <c r="F29" i="1"/>
  <c r="AA29" i="1"/>
  <c r="AB29" i="1" s="1"/>
  <c r="F28" i="1"/>
  <c r="AA28" i="1"/>
  <c r="AB28" i="1" s="1"/>
  <c r="F27" i="1"/>
  <c r="AA27" i="1"/>
  <c r="AB27" i="1" s="1"/>
  <c r="F26" i="1"/>
  <c r="AA26" i="1"/>
  <c r="AB26" i="1" s="1"/>
  <c r="AH26" i="1" s="1"/>
  <c r="F25" i="1"/>
  <c r="AA25" i="1"/>
  <c r="AB25" i="1" s="1"/>
  <c r="F24" i="1"/>
  <c r="AA24" i="1"/>
  <c r="AB24" i="1" s="1"/>
  <c r="F23" i="1"/>
  <c r="AA23" i="1"/>
  <c r="AB23" i="1" s="1"/>
  <c r="F22" i="1"/>
  <c r="AA22" i="1"/>
  <c r="AB22" i="1" s="1"/>
  <c r="AH22" i="1" s="1"/>
  <c r="F21" i="1"/>
  <c r="AA21" i="1"/>
  <c r="AB21" i="1" s="1"/>
  <c r="F20" i="1"/>
  <c r="AA20" i="1"/>
  <c r="AB20" i="1" s="1"/>
  <c r="F19" i="1"/>
  <c r="AA19" i="1"/>
  <c r="AB19" i="1" s="1"/>
  <c r="F18" i="1"/>
  <c r="AA18" i="1"/>
  <c r="AB18" i="1" s="1"/>
  <c r="AH18" i="1" s="1"/>
  <c r="F17" i="1"/>
  <c r="AA17" i="1"/>
  <c r="AB17" i="1" s="1"/>
  <c r="F16" i="1"/>
  <c r="AA16" i="1"/>
  <c r="AB16" i="1" s="1"/>
  <c r="F15" i="1"/>
  <c r="AA15" i="1"/>
  <c r="AB15" i="1" s="1"/>
  <c r="F14" i="1"/>
  <c r="AA14" i="1"/>
  <c r="AB14" i="1" s="1"/>
  <c r="F13" i="1"/>
  <c r="AA13" i="1"/>
  <c r="AB13" i="1" s="1"/>
  <c r="F12" i="1"/>
  <c r="AA12" i="1"/>
  <c r="AB12" i="1" s="1"/>
  <c r="F11" i="1"/>
  <c r="AA11" i="1"/>
  <c r="AB11" i="1" s="1"/>
  <c r="AH281" i="1"/>
  <c r="AH280" i="1"/>
  <c r="AH279" i="1"/>
  <c r="AH278" i="1"/>
  <c r="AH277" i="1"/>
  <c r="AH276" i="1"/>
  <c r="AH275" i="1"/>
  <c r="AH274" i="1"/>
  <c r="AH273" i="1"/>
  <c r="AH272" i="1"/>
  <c r="AH271" i="1"/>
  <c r="AH270" i="1"/>
  <c r="AH269" i="1"/>
  <c r="AH268" i="1"/>
  <c r="AH267" i="1"/>
  <c r="AH266" i="1"/>
  <c r="AH264" i="1"/>
  <c r="AH263" i="1"/>
  <c r="AH262" i="1"/>
  <c r="AH261" i="1"/>
  <c r="AH260" i="1"/>
  <c r="AH259" i="1"/>
  <c r="AH258" i="1"/>
  <c r="AH257" i="1"/>
  <c r="AH256" i="1"/>
  <c r="AH254" i="1"/>
  <c r="AH252" i="1"/>
  <c r="AH250" i="1"/>
  <c r="AH248" i="1"/>
  <c r="AH246" i="1"/>
  <c r="AH244" i="1"/>
  <c r="AH242" i="1"/>
  <c r="AH238" i="1"/>
  <c r="AH237" i="1"/>
  <c r="AH236" i="1"/>
  <c r="AH233" i="1"/>
  <c r="AH232" i="1"/>
  <c r="AH231" i="1"/>
  <c r="AH230" i="1"/>
  <c r="AH229" i="1"/>
  <c r="AH228" i="1"/>
  <c r="AH227" i="1"/>
  <c r="AH226" i="1"/>
  <c r="AH225" i="1"/>
  <c r="AH224" i="1"/>
  <c r="AH223" i="1"/>
  <c r="AH222" i="1"/>
  <c r="AH221" i="1"/>
  <c r="AH220" i="1"/>
  <c r="AH219" i="1"/>
  <c r="AH218" i="1"/>
  <c r="AH217" i="1"/>
  <c r="AH216" i="1"/>
  <c r="AH215" i="1"/>
  <c r="AH213" i="1"/>
  <c r="AH211" i="1"/>
  <c r="AH204" i="1"/>
  <c r="AH199" i="1"/>
  <c r="AH196" i="1"/>
  <c r="AH195" i="1"/>
  <c r="AH194" i="1"/>
  <c r="AH193" i="1"/>
  <c r="AH192" i="1"/>
  <c r="AH191" i="1"/>
  <c r="AH190" i="1"/>
  <c r="AH189" i="1"/>
  <c r="AH188" i="1"/>
  <c r="AH187" i="1"/>
  <c r="AH183" i="1"/>
  <c r="AH181" i="1"/>
  <c r="AH176" i="1"/>
  <c r="AH169" i="1"/>
  <c r="AH165" i="1"/>
  <c r="AH148" i="1"/>
  <c r="AH144" i="1"/>
  <c r="AH140" i="1"/>
  <c r="AH136" i="1"/>
  <c r="AH132" i="1"/>
  <c r="AH128" i="1"/>
  <c r="AH124" i="1"/>
  <c r="AH120" i="1"/>
  <c r="AH116" i="1"/>
  <c r="AH112" i="1"/>
  <c r="AH105" i="1"/>
  <c r="AH102" i="1"/>
  <c r="AH100" i="1"/>
  <c r="AH98" i="1"/>
  <c r="AH96" i="1"/>
  <c r="AH94" i="1"/>
  <c r="AH92" i="1"/>
  <c r="AH90" i="1"/>
  <c r="AH88" i="1"/>
  <c r="AH86" i="1"/>
  <c r="AH84" i="1"/>
  <c r="AH82" i="1"/>
  <c r="AH80" i="1"/>
  <c r="AH76" i="1"/>
  <c r="AH74" i="1"/>
  <c r="AH72" i="1"/>
  <c r="AH70" i="1"/>
  <c r="AH68" i="1"/>
  <c r="AH66" i="1"/>
  <c r="AH63" i="1"/>
  <c r="AH57" i="1"/>
  <c r="AH40" i="1"/>
  <c r="AH32" i="1"/>
  <c r="AH28" i="1"/>
  <c r="AH24" i="1"/>
  <c r="AH20" i="1"/>
  <c r="AH16" i="1"/>
  <c r="AH14" i="1"/>
  <c r="AH12" i="1"/>
  <c r="AI281" i="1"/>
  <c r="AI280" i="1"/>
  <c r="AI279" i="1"/>
  <c r="AI278" i="1"/>
  <c r="AI277" i="1"/>
  <c r="AI276" i="1"/>
  <c r="AI275" i="1"/>
  <c r="AI274" i="1"/>
  <c r="AI273" i="1"/>
  <c r="AI272" i="1"/>
  <c r="AI271" i="1"/>
  <c r="AI270" i="1"/>
  <c r="AI269" i="1"/>
  <c r="AI268" i="1"/>
  <c r="AI267" i="1"/>
  <c r="AI266"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38" i="1"/>
  <c r="AI237" i="1"/>
  <c r="AI236"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4" i="1"/>
  <c r="AI203" i="1"/>
  <c r="AI199" i="1"/>
  <c r="AI197" i="1"/>
  <c r="AI196" i="1"/>
  <c r="AI195" i="1"/>
  <c r="AI194" i="1"/>
  <c r="AI193" i="1"/>
  <c r="AI192" i="1"/>
  <c r="AI191" i="1"/>
  <c r="AI190" i="1"/>
  <c r="AI189" i="1"/>
  <c r="AI188" i="1"/>
  <c r="AI187" i="1"/>
  <c r="AI183" i="1"/>
  <c r="AI182" i="1"/>
  <c r="AI181" i="1"/>
  <c r="AI180" i="1"/>
  <c r="AI179" i="1"/>
  <c r="AI178" i="1"/>
  <c r="AI177" i="1"/>
  <c r="AI176" i="1"/>
  <c r="AI175" i="1"/>
  <c r="AI174" i="1"/>
  <c r="AI170" i="1"/>
  <c r="AI169" i="1"/>
  <c r="AI168" i="1"/>
  <c r="AI167" i="1"/>
  <c r="AI166" i="1"/>
  <c r="AI165" i="1"/>
  <c r="AI164" i="1"/>
  <c r="AI163" i="1"/>
  <c r="AI162" i="1"/>
  <c r="AI161" i="1"/>
  <c r="AI159" i="1"/>
  <c r="AI158" i="1"/>
  <c r="AI157" i="1"/>
  <c r="AI156" i="1"/>
  <c r="AI155" i="1"/>
  <c r="AI154" i="1"/>
  <c r="AI153" i="1"/>
  <c r="AI152" i="1"/>
  <c r="AI151" i="1"/>
  <c r="AI150" i="1"/>
  <c r="AI148" i="1"/>
  <c r="AI147" i="1"/>
  <c r="AI146" i="1"/>
  <c r="AI145" i="1"/>
  <c r="AI144" i="1"/>
  <c r="AI143" i="1"/>
  <c r="AI142" i="1"/>
  <c r="AI141" i="1"/>
  <c r="AI140" i="1"/>
  <c r="AI139" i="1"/>
  <c r="AI138" i="1"/>
  <c r="AI137" i="1"/>
  <c r="AI136" i="1"/>
  <c r="AI135" i="1"/>
  <c r="AI134" i="1"/>
  <c r="AI133" i="1"/>
  <c r="AI132" i="1"/>
  <c r="AI131" i="1"/>
  <c r="AI130" i="1"/>
  <c r="AI129" i="1"/>
  <c r="AI128" i="1"/>
  <c r="AI127" i="1"/>
  <c r="AI126" i="1"/>
  <c r="AI125" i="1"/>
  <c r="AI124" i="1"/>
  <c r="AI123" i="1"/>
  <c r="AI122" i="1"/>
  <c r="AI121" i="1"/>
  <c r="AI120" i="1"/>
  <c r="AI119" i="1"/>
  <c r="AI118" i="1"/>
  <c r="AI117" i="1"/>
  <c r="AI116" i="1"/>
  <c r="AI115" i="1"/>
  <c r="AI114" i="1"/>
  <c r="AI113" i="1"/>
  <c r="AI112" i="1"/>
  <c r="AI111" i="1"/>
  <c r="AI110" i="1"/>
  <c r="AI109" i="1"/>
  <c r="AI108" i="1"/>
  <c r="AI107" i="1"/>
  <c r="AI106" i="1"/>
  <c r="AI105" i="1"/>
  <c r="AI104" i="1"/>
  <c r="AI102" i="1"/>
  <c r="AI101" i="1"/>
  <c r="AI100" i="1"/>
  <c r="AI99" i="1"/>
  <c r="AI98" i="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3" i="1"/>
  <c r="AI62" i="1"/>
  <c r="AI61" i="1"/>
  <c r="AI60" i="1"/>
  <c r="AI59" i="1"/>
  <c r="AI58" i="1"/>
  <c r="AI57" i="1"/>
  <c r="AI56" i="1"/>
  <c r="AI55" i="1"/>
  <c r="AI54" i="1"/>
  <c r="AI53" i="1"/>
  <c r="AI51" i="1"/>
  <c r="AI50" i="1"/>
  <c r="AI49" i="1"/>
  <c r="AI48" i="1"/>
  <c r="AI47" i="1"/>
  <c r="AI46" i="1"/>
  <c r="AI45" i="1"/>
  <c r="AI44" i="1"/>
  <c r="AI43" i="1"/>
  <c r="AI42" i="1"/>
  <c r="AI41" i="1"/>
  <c r="AI40" i="1"/>
  <c r="AI39" i="1"/>
  <c r="AI38" i="1"/>
  <c r="AI37" i="1"/>
  <c r="AI36" i="1"/>
  <c r="AI35" i="1"/>
  <c r="AI34" i="1"/>
  <c r="AI32" i="1"/>
  <c r="AI31" i="1"/>
  <c r="AI30" i="1"/>
  <c r="AI29" i="1"/>
  <c r="AI28" i="1"/>
  <c r="AI27" i="1"/>
  <c r="AI26" i="1"/>
  <c r="AI25" i="1"/>
  <c r="AI24" i="1"/>
  <c r="AI23" i="1"/>
  <c r="AI22" i="1"/>
  <c r="AI21" i="1"/>
  <c r="AI20" i="1"/>
  <c r="AI19" i="1"/>
  <c r="AI18" i="1"/>
  <c r="AI17" i="1"/>
  <c r="AI16" i="1"/>
  <c r="AI15" i="1"/>
  <c r="AI14" i="1"/>
  <c r="AI13" i="1"/>
  <c r="AI12" i="1"/>
  <c r="AI11" i="1"/>
  <c r="AG54" i="1"/>
  <c r="AG53" i="1"/>
  <c r="Y99" i="9"/>
  <c r="X262" i="9"/>
  <c r="X261" i="9"/>
  <c r="X260" i="9"/>
  <c r="X259" i="9"/>
  <c r="X258" i="9"/>
  <c r="X257" i="9"/>
  <c r="X256" i="9"/>
  <c r="X255" i="9"/>
  <c r="X254" i="9"/>
  <c r="X253" i="9"/>
  <c r="X252" i="9"/>
  <c r="X251" i="9"/>
  <c r="X250" i="9"/>
  <c r="X249" i="9"/>
  <c r="X248" i="9"/>
  <c r="X247" i="9"/>
  <c r="X245" i="9"/>
  <c r="X244" i="9"/>
  <c r="X243" i="9"/>
  <c r="X242" i="9"/>
  <c r="X241" i="9"/>
  <c r="X240" i="9"/>
  <c r="X239" i="9"/>
  <c r="X238" i="9"/>
  <c r="X237" i="9"/>
  <c r="X236" i="9"/>
  <c r="X235" i="9"/>
  <c r="X234" i="9"/>
  <c r="X233" i="9"/>
  <c r="X232" i="9"/>
  <c r="X231" i="9"/>
  <c r="X230" i="9"/>
  <c r="X229" i="9"/>
  <c r="X228" i="9"/>
  <c r="X227" i="9"/>
  <c r="X226" i="9"/>
  <c r="X225" i="9"/>
  <c r="X224" i="9"/>
  <c r="X223" i="9"/>
  <c r="X221" i="9"/>
  <c r="X220" i="9"/>
  <c r="X219" i="9"/>
  <c r="X218" i="9"/>
  <c r="X217" i="9"/>
  <c r="X216" i="9"/>
  <c r="X215" i="9"/>
  <c r="X214" i="9"/>
  <c r="X213" i="9"/>
  <c r="X212" i="9"/>
  <c r="X211" i="9"/>
  <c r="X210" i="9"/>
  <c r="X209" i="9"/>
  <c r="X208" i="9"/>
  <c r="X207" i="9"/>
  <c r="X206" i="9"/>
  <c r="X205" i="9"/>
  <c r="X204" i="9"/>
  <c r="X203" i="9"/>
  <c r="X202" i="9"/>
  <c r="X201" i="9"/>
  <c r="X200" i="9"/>
  <c r="X199" i="9"/>
  <c r="X198" i="9"/>
  <c r="X197" i="9"/>
  <c r="X196" i="9"/>
  <c r="X195" i="9"/>
  <c r="X194" i="9"/>
  <c r="X193" i="9"/>
  <c r="X192" i="9"/>
  <c r="X190" i="9"/>
  <c r="X189" i="9"/>
  <c r="X188" i="9"/>
  <c r="X187" i="9"/>
  <c r="X186" i="9"/>
  <c r="X185" i="9"/>
  <c r="X184" i="9"/>
  <c r="X183" i="9"/>
  <c r="X182" i="9"/>
  <c r="X181" i="9"/>
  <c r="X180" i="9"/>
  <c r="X178" i="9"/>
  <c r="X177" i="9"/>
  <c r="X176" i="9"/>
  <c r="X175" i="9"/>
  <c r="X174" i="9"/>
  <c r="X173" i="9"/>
  <c r="X172" i="9"/>
  <c r="X171" i="9"/>
  <c r="X170" i="9"/>
  <c r="X169" i="9"/>
  <c r="X167" i="9"/>
  <c r="X166" i="9"/>
  <c r="X165" i="9"/>
  <c r="X164" i="9"/>
  <c r="X163" i="9"/>
  <c r="X162" i="9"/>
  <c r="X161" i="9"/>
  <c r="X160" i="9"/>
  <c r="X159" i="9"/>
  <c r="X158" i="9"/>
  <c r="X156" i="9"/>
  <c r="X155" i="9"/>
  <c r="X154" i="9"/>
  <c r="X153" i="9"/>
  <c r="X152" i="9"/>
  <c r="X151" i="9"/>
  <c r="X150" i="9"/>
  <c r="X149" i="9"/>
  <c r="X148" i="9"/>
  <c r="X147" i="9"/>
  <c r="X145" i="9"/>
  <c r="X144" i="9"/>
  <c r="X143" i="9"/>
  <c r="X142" i="9"/>
  <c r="X141" i="9"/>
  <c r="X140" i="9"/>
  <c r="X139" i="9"/>
  <c r="X138" i="9"/>
  <c r="X137" i="9"/>
  <c r="X136" i="9"/>
  <c r="X135" i="9"/>
  <c r="X134" i="9"/>
  <c r="X133" i="9"/>
  <c r="X132" i="9"/>
  <c r="X131" i="9"/>
  <c r="X130" i="9"/>
  <c r="X129" i="9"/>
  <c r="X128" i="9"/>
  <c r="X127" i="9"/>
  <c r="X126" i="9"/>
  <c r="X125" i="9"/>
  <c r="X124" i="9"/>
  <c r="X123" i="9"/>
  <c r="X122" i="9"/>
  <c r="X121" i="9"/>
  <c r="X120" i="9"/>
  <c r="X119" i="9"/>
  <c r="X118" i="9"/>
  <c r="X117" i="9"/>
  <c r="X116" i="9"/>
  <c r="X115" i="9"/>
  <c r="X114" i="9"/>
  <c r="X113" i="9"/>
  <c r="X112" i="9"/>
  <c r="X111" i="9"/>
  <c r="X110" i="9"/>
  <c r="X109" i="9"/>
  <c r="X108" i="9"/>
  <c r="X107" i="9"/>
  <c r="X106" i="9"/>
  <c r="X105" i="9"/>
  <c r="X104" i="9"/>
  <c r="X103" i="9"/>
  <c r="X102" i="9"/>
  <c r="X101" i="9"/>
  <c r="X98" i="9"/>
  <c r="X97" i="9"/>
  <c r="X96" i="9"/>
  <c r="X94" i="9"/>
  <c r="X93" i="9"/>
  <c r="X92" i="9"/>
  <c r="X91" i="9"/>
  <c r="X90" i="9"/>
  <c r="X89" i="9"/>
  <c r="X88" i="9"/>
  <c r="X87" i="9"/>
  <c r="X86" i="9"/>
  <c r="X83" i="9"/>
  <c r="X82" i="9"/>
  <c r="X81" i="9"/>
  <c r="X80" i="9"/>
  <c r="X79" i="9"/>
  <c r="X78" i="9"/>
  <c r="X77" i="9"/>
  <c r="X76" i="9"/>
  <c r="X75" i="9"/>
  <c r="X74" i="9"/>
  <c r="X73" i="9"/>
  <c r="X72" i="9"/>
  <c r="X71" i="9"/>
  <c r="X70" i="9"/>
  <c r="X69" i="9"/>
  <c r="X68" i="9"/>
  <c r="X67" i="9"/>
  <c r="X66" i="9"/>
  <c r="X65" i="9"/>
  <c r="X64" i="9"/>
  <c r="X63" i="9"/>
  <c r="X62" i="9"/>
  <c r="X60" i="9"/>
  <c r="X59" i="9"/>
  <c r="X58" i="9"/>
  <c r="X57" i="9"/>
  <c r="X56" i="9"/>
  <c r="X55" i="9"/>
  <c r="X54" i="9"/>
  <c r="X53" i="9"/>
  <c r="X52" i="9"/>
  <c r="X51" i="9"/>
  <c r="X50" i="9"/>
  <c r="X48" i="9"/>
  <c r="X47" i="9"/>
  <c r="X46" i="9"/>
  <c r="X45" i="9"/>
  <c r="X44" i="9"/>
  <c r="X43" i="9"/>
  <c r="X42" i="9"/>
  <c r="X41" i="9"/>
  <c r="X40" i="9"/>
  <c r="X39" i="9"/>
  <c r="X38" i="9"/>
  <c r="X37" i="9"/>
  <c r="X36" i="9"/>
  <c r="X35" i="9"/>
  <c r="X34" i="9"/>
  <c r="X33" i="9"/>
  <c r="X32" i="9"/>
  <c r="X31" i="9"/>
  <c r="X29" i="9"/>
  <c r="X28" i="9"/>
  <c r="X27" i="9"/>
  <c r="X26" i="9"/>
  <c r="X25" i="9"/>
  <c r="X24" i="9"/>
  <c r="X23" i="9"/>
  <c r="X22" i="9"/>
  <c r="X21" i="9"/>
  <c r="X20" i="9"/>
  <c r="X19" i="9"/>
  <c r="X18" i="9"/>
  <c r="X17" i="9"/>
  <c r="X16" i="9"/>
  <c r="X15" i="9"/>
  <c r="X14" i="9"/>
  <c r="X13" i="9"/>
  <c r="X12" i="9"/>
  <c r="X11" i="9"/>
  <c r="X10" i="9"/>
  <c r="X9" i="9"/>
  <c r="X8" i="9"/>
  <c r="X5" i="9"/>
  <c r="AG249" i="1"/>
  <c r="AG248" i="1"/>
  <c r="AG237" i="1"/>
  <c r="AG236" i="1"/>
  <c r="AG203" i="1"/>
  <c r="AG66" i="1"/>
  <c r="AG65" i="1"/>
  <c r="AB474" i="1"/>
  <c r="F473" i="1"/>
  <c r="AB473" i="1" s="1"/>
  <c r="F471" i="1"/>
  <c r="AB471" i="1" s="1"/>
  <c r="F470" i="1"/>
  <c r="AB470" i="1" s="1"/>
  <c r="F469" i="1"/>
  <c r="AB469" i="1" s="1"/>
  <c r="F468" i="1"/>
  <c r="AB468" i="1" s="1"/>
  <c r="F467" i="1"/>
  <c r="AB467" i="1" s="1"/>
  <c r="AB465" i="1"/>
  <c r="F464" i="1"/>
  <c r="AB464" i="1"/>
  <c r="F463" i="1"/>
  <c r="AB463" i="1"/>
  <c r="F462" i="1"/>
  <c r="AB462" i="1"/>
  <c r="F461" i="1"/>
  <c r="AB461" i="1"/>
  <c r="F460" i="1"/>
  <c r="AB460" i="1"/>
  <c r="F459" i="1"/>
  <c r="AB459" i="1"/>
  <c r="F458" i="1"/>
  <c r="AB458" i="1"/>
  <c r="F457" i="1"/>
  <c r="AB457" i="1"/>
  <c r="AB456" i="1"/>
  <c r="F455" i="1"/>
  <c r="AB455" i="1" s="1"/>
  <c r="AB454" i="1"/>
  <c r="AB453" i="1"/>
  <c r="F451" i="1"/>
  <c r="AB451" i="1" s="1"/>
  <c r="F450" i="1"/>
  <c r="AB450" i="1" s="1"/>
  <c r="F448" i="1"/>
  <c r="AB448" i="1" s="1"/>
  <c r="F447" i="1"/>
  <c r="AB447" i="1" s="1"/>
  <c r="F446" i="1"/>
  <c r="AB446" i="1" s="1"/>
  <c r="F445" i="1"/>
  <c r="AB445" i="1" s="1"/>
  <c r="F444" i="1"/>
  <c r="AB444" i="1" s="1"/>
  <c r="F443" i="1"/>
  <c r="AB443" i="1" s="1"/>
  <c r="F442" i="1"/>
  <c r="AB442" i="1" s="1"/>
  <c r="F440" i="1"/>
  <c r="AB440" i="1" s="1"/>
  <c r="F439" i="1"/>
  <c r="AB439" i="1" s="1"/>
  <c r="F438" i="1"/>
  <c r="AB438" i="1" s="1"/>
  <c r="F437" i="1"/>
  <c r="AB437" i="1" s="1"/>
  <c r="F436" i="1"/>
  <c r="AB436" i="1" s="1"/>
  <c r="F435" i="1"/>
  <c r="AB435" i="1" s="1"/>
  <c r="F434" i="1"/>
  <c r="AB434" i="1" s="1"/>
  <c r="F433" i="1"/>
  <c r="AB433" i="1" s="1"/>
  <c r="F432" i="1"/>
  <c r="AB432" i="1" s="1"/>
  <c r="F431" i="1"/>
  <c r="AB431" i="1" s="1"/>
  <c r="F430" i="1"/>
  <c r="AB430" i="1" s="1"/>
  <c r="F429" i="1"/>
  <c r="AB429" i="1" s="1"/>
  <c r="F428" i="1"/>
  <c r="AB428" i="1" s="1"/>
  <c r="F427" i="1"/>
  <c r="AB427" i="1" s="1"/>
  <c r="F426" i="1"/>
  <c r="AB426" i="1" s="1"/>
  <c r="F425" i="1"/>
  <c r="AB425" i="1" s="1"/>
  <c r="F424" i="1"/>
  <c r="AB424" i="1" s="1"/>
  <c r="F423" i="1"/>
  <c r="AB423" i="1" s="1"/>
  <c r="F422" i="1"/>
  <c r="AB422" i="1" s="1"/>
  <c r="F421" i="1"/>
  <c r="AB421" i="1" s="1"/>
  <c r="F420" i="1"/>
  <c r="AB420" i="1" s="1"/>
  <c r="F419" i="1"/>
  <c r="AB419" i="1" s="1"/>
  <c r="F418" i="1"/>
  <c r="AB418" i="1" s="1"/>
  <c r="F417" i="1"/>
  <c r="AB417" i="1" s="1"/>
  <c r="F416" i="1"/>
  <c r="AB416" i="1" s="1"/>
  <c r="F415" i="1"/>
  <c r="AB415" i="1" s="1"/>
  <c r="F414" i="1"/>
  <c r="AB414" i="1" s="1"/>
  <c r="F413" i="1"/>
  <c r="AB413" i="1" s="1"/>
  <c r="F412" i="1"/>
  <c r="AB412" i="1" s="1"/>
  <c r="F411" i="1"/>
  <c r="AB411" i="1" s="1"/>
  <c r="F410" i="1"/>
  <c r="AB410" i="1" s="1"/>
  <c r="F409" i="1"/>
  <c r="AB409" i="1" s="1"/>
  <c r="F408" i="1"/>
  <c r="AB408" i="1" s="1"/>
  <c r="F407" i="1"/>
  <c r="AB407" i="1" s="1"/>
  <c r="F406" i="1"/>
  <c r="AB406" i="1" s="1"/>
  <c r="F404" i="1"/>
  <c r="AB404" i="1" s="1"/>
  <c r="F403" i="1"/>
  <c r="AB403" i="1" s="1"/>
  <c r="F402" i="1"/>
  <c r="AB402" i="1" s="1"/>
  <c r="F400" i="1"/>
  <c r="AB400" i="1" s="1"/>
  <c r="F399" i="1"/>
  <c r="AB399" i="1" s="1"/>
  <c r="F398" i="1"/>
  <c r="AB398" i="1" s="1"/>
  <c r="F396" i="1"/>
  <c r="AB396" i="1" s="1"/>
  <c r="F395" i="1"/>
  <c r="AB395" i="1" s="1"/>
  <c r="F394" i="1"/>
  <c r="AB394" i="1" s="1"/>
  <c r="F393" i="1"/>
  <c r="AB393" i="1" s="1"/>
  <c r="F392" i="1"/>
  <c r="AB392" i="1" s="1"/>
  <c r="F391" i="1"/>
  <c r="AB391" i="1" s="1"/>
  <c r="F390" i="1"/>
  <c r="AB390" i="1" s="1"/>
  <c r="F389" i="1"/>
  <c r="AB389" i="1" s="1"/>
  <c r="F388" i="1"/>
  <c r="AB388" i="1" s="1"/>
  <c r="F387" i="1"/>
  <c r="AB387" i="1" s="1"/>
  <c r="F385" i="1"/>
  <c r="AB385" i="1" s="1"/>
  <c r="F384" i="1"/>
  <c r="AB384" i="1" s="1"/>
  <c r="F383" i="1"/>
  <c r="AB383" i="1" s="1"/>
  <c r="F382" i="1"/>
  <c r="AB382" i="1" s="1"/>
  <c r="F381" i="1"/>
  <c r="AB381" i="1" s="1"/>
  <c r="F380" i="1"/>
  <c r="AB380" i="1" s="1"/>
  <c r="F379" i="1"/>
  <c r="AB379" i="1" s="1"/>
  <c r="F378" i="1"/>
  <c r="AB378" i="1" s="1"/>
  <c r="F377" i="1"/>
  <c r="AB377" i="1" s="1"/>
  <c r="F376" i="1"/>
  <c r="AB376" i="1" s="1"/>
  <c r="F375" i="1"/>
  <c r="AB375" i="1" s="1"/>
  <c r="F374" i="1"/>
  <c r="AB374" i="1" s="1"/>
  <c r="F373" i="1"/>
  <c r="AB373" i="1" s="1"/>
  <c r="F372" i="1"/>
  <c r="AB372" i="1" s="1"/>
  <c r="F371" i="1"/>
  <c r="AB371" i="1" s="1"/>
  <c r="F370" i="1"/>
  <c r="AB370" i="1" s="1"/>
  <c r="F369" i="1"/>
  <c r="AB369" i="1" s="1"/>
  <c r="F368" i="1"/>
  <c r="AB368" i="1" s="1"/>
  <c r="F367" i="1"/>
  <c r="AB367" i="1" s="1"/>
  <c r="F366" i="1"/>
  <c r="AB366" i="1" s="1"/>
  <c r="F365" i="1"/>
  <c r="AB365" i="1" s="1"/>
  <c r="AB363" i="1"/>
  <c r="AB362" i="1"/>
  <c r="F361" i="1"/>
  <c r="AB361" i="1" s="1"/>
  <c r="F360" i="1"/>
  <c r="AB360" i="1" s="1"/>
  <c r="F359" i="1"/>
  <c r="AB359" i="1" s="1"/>
  <c r="AB358" i="1"/>
  <c r="AB357" i="1"/>
  <c r="AB356" i="1"/>
  <c r="AB355" i="1"/>
  <c r="F354" i="1"/>
  <c r="AB354" i="1" s="1"/>
  <c r="F353" i="1"/>
  <c r="AB353" i="1" s="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F308" i="1"/>
  <c r="AB308" i="1" s="1"/>
  <c r="AB307" i="1"/>
  <c r="AB306" i="1"/>
  <c r="AB305" i="1"/>
  <c r="F304" i="1"/>
  <c r="AB304" i="1"/>
  <c r="AB303" i="1"/>
  <c r="F302" i="1"/>
  <c r="AB302" i="1" s="1"/>
  <c r="F301" i="1"/>
  <c r="AB301" i="1" s="1"/>
  <c r="F300" i="1"/>
  <c r="AB300" i="1" s="1"/>
  <c r="F299" i="1"/>
  <c r="AB299" i="1" s="1"/>
  <c r="AB298" i="1"/>
  <c r="AB297" i="1"/>
  <c r="AB296" i="1"/>
  <c r="AB295" i="1"/>
  <c r="AB294" i="1"/>
  <c r="AB293" i="1"/>
  <c r="AB292" i="1"/>
  <c r="AB291" i="1"/>
  <c r="F290" i="1"/>
  <c r="AB290" i="1" s="1"/>
  <c r="F289" i="1"/>
  <c r="AB289" i="1" s="1"/>
  <c r="F288" i="1"/>
  <c r="AB288" i="1" s="1"/>
  <c r="F287" i="1"/>
  <c r="AB287" i="1" s="1"/>
  <c r="F286" i="1"/>
  <c r="AB286" i="1" s="1"/>
  <c r="AB285" i="1"/>
  <c r="AB284" i="1"/>
  <c r="AC170" i="1"/>
  <c r="AF170" i="1" s="1"/>
  <c r="AC169" i="1"/>
  <c r="AF169" i="1" s="1"/>
  <c r="AC168" i="1"/>
  <c r="AF168" i="1" s="1"/>
  <c r="AC167" i="1"/>
  <c r="AC166" i="1"/>
  <c r="AF166" i="1" s="1"/>
  <c r="AC183" i="1"/>
  <c r="AF183" i="1" s="1"/>
  <c r="AC182" i="1"/>
  <c r="AF182" i="1" s="1"/>
  <c r="AC181" i="1"/>
  <c r="AC180" i="1"/>
  <c r="AF180" i="1" s="1"/>
  <c r="AC179" i="1"/>
  <c r="AF179" i="1" s="1"/>
  <c r="AC178" i="1"/>
  <c r="AC177" i="1"/>
  <c r="AF177" i="1" s="1"/>
  <c r="AC176" i="1"/>
  <c r="AF176" i="1" s="1"/>
  <c r="AC175" i="1"/>
  <c r="AF175" i="1" s="1"/>
  <c r="AC196" i="1"/>
  <c r="AF196" i="1" s="1"/>
  <c r="AC195" i="1"/>
  <c r="AF195" i="1" s="1"/>
  <c r="AC194" i="1"/>
  <c r="AF194" i="1" s="1"/>
  <c r="AC193" i="1"/>
  <c r="AF193" i="1" s="1"/>
  <c r="AC192" i="1"/>
  <c r="AF192" i="1" s="1"/>
  <c r="AC191" i="1"/>
  <c r="AF191" i="1" s="1"/>
  <c r="AC190" i="1"/>
  <c r="AF190" i="1" s="1"/>
  <c r="AC189" i="1"/>
  <c r="AF189" i="1" s="1"/>
  <c r="AC188" i="1"/>
  <c r="AF188" i="1" s="1"/>
  <c r="AC63" i="1"/>
  <c r="AC62" i="1"/>
  <c r="AF62" i="1" s="1"/>
  <c r="AC61" i="1"/>
  <c r="AC60" i="1"/>
  <c r="AF60" i="1" s="1"/>
  <c r="AC59" i="1"/>
  <c r="AF59" i="1" s="1"/>
  <c r="AC58" i="1"/>
  <c r="AF58" i="1" s="1"/>
  <c r="AC57" i="1"/>
  <c r="AF57" i="1" s="1"/>
  <c r="AC56" i="1"/>
  <c r="AF56" i="1" s="1"/>
  <c r="AC54" i="1"/>
  <c r="AC53" i="1"/>
  <c r="AC267" i="1"/>
  <c r="AC277" i="1"/>
  <c r="AC276" i="1"/>
  <c r="AC275" i="1"/>
  <c r="AC274" i="1"/>
  <c r="AC273" i="1"/>
  <c r="AC272" i="1"/>
  <c r="AC271" i="1"/>
  <c r="AC270" i="1"/>
  <c r="AC233" i="1"/>
  <c r="AC232" i="1"/>
  <c r="AC231" i="1"/>
  <c r="AC230" i="1"/>
  <c r="AC225" i="1"/>
  <c r="AC224" i="1"/>
  <c r="AC223" i="1"/>
  <c r="AC222" i="1"/>
  <c r="AC221" i="1"/>
  <c r="AC22" i="1"/>
  <c r="AC21" i="1"/>
  <c r="AC16" i="1"/>
  <c r="AF16" i="1" s="1"/>
  <c r="AC15" i="1"/>
  <c r="AF15" i="1" s="1"/>
  <c r="AC14" i="1"/>
  <c r="AF14" i="1" s="1"/>
  <c r="AC13" i="1"/>
  <c r="AF13" i="1" s="1"/>
  <c r="T4" i="9"/>
  <c r="P4" i="9"/>
  <c r="O262" i="9"/>
  <c r="O261" i="9"/>
  <c r="O260" i="9"/>
  <c r="O259" i="9"/>
  <c r="O258" i="9"/>
  <c r="O257" i="9"/>
  <c r="O256" i="9"/>
  <c r="O255" i="9"/>
  <c r="O254" i="9"/>
  <c r="O253" i="9"/>
  <c r="O252" i="9"/>
  <c r="O251" i="9"/>
  <c r="O250" i="9"/>
  <c r="O249" i="9"/>
  <c r="O248" i="9"/>
  <c r="O247" i="9"/>
  <c r="O245" i="9"/>
  <c r="O244" i="9"/>
  <c r="O243" i="9"/>
  <c r="O242" i="9"/>
  <c r="O241" i="9"/>
  <c r="O240" i="9"/>
  <c r="O239" i="9"/>
  <c r="O238" i="9"/>
  <c r="O237" i="9"/>
  <c r="O236" i="9"/>
  <c r="O235" i="9"/>
  <c r="O234" i="9"/>
  <c r="O233" i="9"/>
  <c r="O232" i="9"/>
  <c r="O231" i="9"/>
  <c r="O230" i="9"/>
  <c r="O229" i="9"/>
  <c r="O228" i="9"/>
  <c r="O227" i="9"/>
  <c r="O226" i="9"/>
  <c r="O225" i="9"/>
  <c r="O224" i="9"/>
  <c r="O223" i="9"/>
  <c r="O221" i="9"/>
  <c r="O220" i="9"/>
  <c r="O219" i="9"/>
  <c r="O218" i="9"/>
  <c r="O217" i="9"/>
  <c r="O216" i="9"/>
  <c r="O215" i="9"/>
  <c r="O214" i="9"/>
  <c r="O213" i="9"/>
  <c r="O212" i="9"/>
  <c r="O211" i="9"/>
  <c r="O210" i="9"/>
  <c r="O209" i="9"/>
  <c r="O208" i="9"/>
  <c r="O207" i="9"/>
  <c r="O206" i="9"/>
  <c r="O205" i="9"/>
  <c r="O204" i="9"/>
  <c r="O203" i="9"/>
  <c r="O202" i="9"/>
  <c r="O201" i="9"/>
  <c r="O200" i="9"/>
  <c r="O199" i="9"/>
  <c r="O198" i="9"/>
  <c r="O197" i="9"/>
  <c r="O196" i="9"/>
  <c r="O195" i="9"/>
  <c r="O194" i="9"/>
  <c r="O193" i="9"/>
  <c r="O192" i="9"/>
  <c r="O190" i="9"/>
  <c r="O189" i="9"/>
  <c r="O188" i="9"/>
  <c r="O187" i="9"/>
  <c r="O186" i="9"/>
  <c r="O185" i="9"/>
  <c r="O184" i="9"/>
  <c r="O183" i="9"/>
  <c r="O182" i="9"/>
  <c r="O181" i="9"/>
  <c r="O180" i="9"/>
  <c r="O178" i="9"/>
  <c r="O177" i="9"/>
  <c r="O176" i="9"/>
  <c r="O175" i="9"/>
  <c r="O174" i="9"/>
  <c r="O173" i="9"/>
  <c r="O172" i="9"/>
  <c r="O171" i="9"/>
  <c r="O170" i="9"/>
  <c r="O169" i="9"/>
  <c r="O167" i="9"/>
  <c r="O166" i="9"/>
  <c r="O165" i="9"/>
  <c r="O164" i="9"/>
  <c r="O163" i="9"/>
  <c r="O162" i="9"/>
  <c r="O161" i="9"/>
  <c r="O160" i="9"/>
  <c r="O159" i="9"/>
  <c r="O158" i="9"/>
  <c r="O156" i="9"/>
  <c r="O155" i="9"/>
  <c r="O154" i="9"/>
  <c r="O153" i="9"/>
  <c r="O152" i="9"/>
  <c r="O151" i="9"/>
  <c r="O150" i="9"/>
  <c r="O149" i="9"/>
  <c r="O148" i="9"/>
  <c r="O147" i="9"/>
  <c r="O145" i="9"/>
  <c r="O144" i="9"/>
  <c r="O143" i="9"/>
  <c r="O142" i="9"/>
  <c r="O141" i="9"/>
  <c r="O140" i="9"/>
  <c r="O139" i="9"/>
  <c r="O138" i="9"/>
  <c r="O137" i="9"/>
  <c r="O136" i="9"/>
  <c r="O135" i="9"/>
  <c r="O134" i="9"/>
  <c r="O133" i="9"/>
  <c r="O132" i="9"/>
  <c r="O131" i="9"/>
  <c r="O130" i="9"/>
  <c r="O129" i="9"/>
  <c r="O128" i="9"/>
  <c r="O127" i="9"/>
  <c r="O126" i="9"/>
  <c r="O125" i="9"/>
  <c r="O124" i="9"/>
  <c r="O123" i="9"/>
  <c r="O122" i="9"/>
  <c r="O121" i="9"/>
  <c r="O120" i="9"/>
  <c r="O119" i="9"/>
  <c r="O118" i="9"/>
  <c r="O117" i="9"/>
  <c r="O116" i="9"/>
  <c r="O115" i="9"/>
  <c r="O114" i="9"/>
  <c r="O113" i="9"/>
  <c r="O112" i="9"/>
  <c r="O111" i="9"/>
  <c r="O110" i="9"/>
  <c r="O109" i="9"/>
  <c r="O108" i="9"/>
  <c r="O107" i="9"/>
  <c r="O106" i="9"/>
  <c r="O105" i="9"/>
  <c r="O104" i="9"/>
  <c r="O103" i="9"/>
  <c r="O102" i="9"/>
  <c r="O101" i="9"/>
  <c r="O99" i="9"/>
  <c r="O98" i="9"/>
  <c r="O97" i="9"/>
  <c r="O96" i="9"/>
  <c r="O95" i="9"/>
  <c r="O94" i="9"/>
  <c r="O93" i="9"/>
  <c r="O92" i="9"/>
  <c r="O91" i="9"/>
  <c r="O90" i="9"/>
  <c r="O89" i="9"/>
  <c r="O88" i="9"/>
  <c r="O87" i="9"/>
  <c r="O86" i="9"/>
  <c r="O85" i="9"/>
  <c r="O84" i="9"/>
  <c r="O83" i="9"/>
  <c r="O82" i="9"/>
  <c r="O81" i="9"/>
  <c r="O80" i="9"/>
  <c r="O79" i="9"/>
  <c r="O78" i="9"/>
  <c r="O77" i="9"/>
  <c r="O76" i="9"/>
  <c r="O75" i="9"/>
  <c r="O74" i="9"/>
  <c r="O73" i="9"/>
  <c r="O72" i="9"/>
  <c r="O71" i="9"/>
  <c r="O70" i="9"/>
  <c r="O69" i="9"/>
  <c r="O68" i="9"/>
  <c r="O67" i="9"/>
  <c r="O66" i="9"/>
  <c r="O65" i="9"/>
  <c r="O64" i="9"/>
  <c r="O63" i="9"/>
  <c r="O62" i="9"/>
  <c r="O60" i="9"/>
  <c r="O59" i="9"/>
  <c r="O58" i="9"/>
  <c r="O57" i="9"/>
  <c r="O56" i="9"/>
  <c r="O55" i="9"/>
  <c r="O54" i="9"/>
  <c r="O53" i="9"/>
  <c r="O52" i="9"/>
  <c r="O51" i="9"/>
  <c r="O50" i="9"/>
  <c r="O48" i="9"/>
  <c r="O47" i="9"/>
  <c r="O46" i="9"/>
  <c r="O45" i="9"/>
  <c r="O44" i="9"/>
  <c r="O43" i="9"/>
  <c r="O42" i="9"/>
  <c r="O41" i="9"/>
  <c r="O40" i="9"/>
  <c r="O39" i="9"/>
  <c r="O38" i="9"/>
  <c r="O37" i="9"/>
  <c r="O36" i="9"/>
  <c r="O35" i="9"/>
  <c r="O34" i="9"/>
  <c r="O33" i="9"/>
  <c r="O32" i="9"/>
  <c r="O31" i="9"/>
  <c r="O8" i="9"/>
  <c r="J8" i="9"/>
  <c r="O29" i="9"/>
  <c r="O28" i="9"/>
  <c r="O27" i="9"/>
  <c r="O26" i="9"/>
  <c r="O25" i="9"/>
  <c r="O24" i="9"/>
  <c r="O23" i="9"/>
  <c r="O22" i="9"/>
  <c r="O21" i="9"/>
  <c r="O20" i="9"/>
  <c r="O19" i="9"/>
  <c r="O18" i="9"/>
  <c r="O17" i="9"/>
  <c r="O16" i="9"/>
  <c r="O15" i="9"/>
  <c r="O14" i="9"/>
  <c r="O13" i="9"/>
  <c r="O12" i="9"/>
  <c r="O11" i="9"/>
  <c r="O10" i="9"/>
  <c r="O9" i="9"/>
  <c r="M2" i="4"/>
  <c r="R2" i="4" s="1"/>
  <c r="W2" i="4" s="1"/>
  <c r="N2" i="4"/>
  <c r="S2" i="4" s="1"/>
  <c r="X2" i="4" s="1"/>
  <c r="O2" i="4"/>
  <c r="T2" i="4" s="1"/>
  <c r="Y2" i="4" s="1"/>
  <c r="P2" i="4"/>
  <c r="U2" i="4"/>
  <c r="Z2" i="4" s="1"/>
  <c r="Q2" i="4"/>
  <c r="V2" i="4"/>
  <c r="AA2" i="4" s="1"/>
  <c r="M3" i="4"/>
  <c r="R3" i="4" s="1"/>
  <c r="W3" i="4" s="1"/>
  <c r="N3" i="4"/>
  <c r="S3" i="4" s="1"/>
  <c r="X3" i="4" s="1"/>
  <c r="O3" i="4"/>
  <c r="T3" i="4"/>
  <c r="Y3" i="4" s="1"/>
  <c r="P3" i="4"/>
  <c r="U3" i="4"/>
  <c r="Z3" i="4" s="1"/>
  <c r="Q3" i="4"/>
  <c r="V3" i="4" s="1"/>
  <c r="AA3" i="4" s="1"/>
  <c r="M4" i="4"/>
  <c r="R4" i="4" s="1"/>
  <c r="W4" i="4" s="1"/>
  <c r="N4" i="4"/>
  <c r="S4" i="4"/>
  <c r="X4" i="4" s="1"/>
  <c r="O4" i="4"/>
  <c r="T4" i="4"/>
  <c r="Y4" i="4" s="1"/>
  <c r="P4" i="4"/>
  <c r="U4" i="4" s="1"/>
  <c r="Z4" i="4" s="1"/>
  <c r="Q4" i="4"/>
  <c r="V4" i="4" s="1"/>
  <c r="AA4" i="4" s="1"/>
  <c r="M5" i="4"/>
  <c r="R5" i="4" s="1"/>
  <c r="W5" i="4" s="1"/>
  <c r="N5" i="4"/>
  <c r="S5" i="4" s="1"/>
  <c r="X5" i="4" s="1"/>
  <c r="O5" i="4"/>
  <c r="T5" i="4"/>
  <c r="Y5" i="4" s="1"/>
  <c r="P5" i="4"/>
  <c r="U5" i="4"/>
  <c r="Z5" i="4" s="1"/>
  <c r="Q5" i="4"/>
  <c r="V5" i="4" s="1"/>
  <c r="AA5" i="4" s="1"/>
  <c r="M6" i="4"/>
  <c r="R6" i="4" s="1"/>
  <c r="W6" i="4" s="1"/>
  <c r="N6" i="4"/>
  <c r="S6" i="4" s="1"/>
  <c r="X6" i="4" s="1"/>
  <c r="O6" i="4"/>
  <c r="T6" i="4" s="1"/>
  <c r="Y6" i="4" s="1"/>
  <c r="P6" i="4"/>
  <c r="U6" i="4"/>
  <c r="Z6" i="4" s="1"/>
  <c r="Q6" i="4"/>
  <c r="V6" i="4"/>
  <c r="AA6" i="4" s="1"/>
  <c r="M7" i="4"/>
  <c r="R7" i="4" s="1"/>
  <c r="W7" i="4" s="1"/>
  <c r="N7" i="4"/>
  <c r="S7" i="4" s="1"/>
  <c r="X7" i="4" s="1"/>
  <c r="O7" i="4"/>
  <c r="T7" i="4"/>
  <c r="Y7" i="4" s="1"/>
  <c r="P7" i="4"/>
  <c r="U7" i="4"/>
  <c r="Z7" i="4" s="1"/>
  <c r="Q7" i="4"/>
  <c r="V7" i="4" s="1"/>
  <c r="AA7" i="4" s="1"/>
  <c r="M8" i="4"/>
  <c r="R8" i="4" s="1"/>
  <c r="W8" i="4" s="1"/>
  <c r="N8" i="4"/>
  <c r="S8" i="4"/>
  <c r="X8" i="4" s="1"/>
  <c r="O8" i="4"/>
  <c r="T8" i="4"/>
  <c r="Y8" i="4" s="1"/>
  <c r="P8" i="4"/>
  <c r="U8" i="4" s="1"/>
  <c r="Z8" i="4" s="1"/>
  <c r="Q8" i="4"/>
  <c r="V8" i="4" s="1"/>
  <c r="AA8" i="4" s="1"/>
  <c r="M9" i="4"/>
  <c r="R9" i="4"/>
  <c r="W9" i="4" s="1"/>
  <c r="N9" i="4"/>
  <c r="S9" i="4"/>
  <c r="X9" i="4" s="1"/>
  <c r="O9" i="4"/>
  <c r="T9" i="4" s="1"/>
  <c r="Y9" i="4" s="1"/>
  <c r="P9" i="4"/>
  <c r="U9" i="4" s="1"/>
  <c r="Z9" i="4" s="1"/>
  <c r="Q9" i="4"/>
  <c r="V9" i="4"/>
  <c r="AA9" i="4" s="1"/>
  <c r="M10" i="4"/>
  <c r="R10" i="4"/>
  <c r="W10" i="4" s="1"/>
  <c r="N10" i="4"/>
  <c r="S10" i="4" s="1"/>
  <c r="X10" i="4" s="1"/>
  <c r="O10" i="4"/>
  <c r="T10" i="4" s="1"/>
  <c r="Y10" i="4" s="1"/>
  <c r="P10" i="4"/>
  <c r="U10" i="4"/>
  <c r="Z10" i="4" s="1"/>
  <c r="Q10" i="4"/>
  <c r="V10" i="4"/>
  <c r="AA10" i="4" s="1"/>
  <c r="M11" i="4"/>
  <c r="R11" i="4" s="1"/>
  <c r="W11" i="4" s="1"/>
  <c r="N11" i="4"/>
  <c r="S11" i="4" s="1"/>
  <c r="X11" i="4" s="1"/>
  <c r="O11" i="4"/>
  <c r="T11" i="4"/>
  <c r="Y11" i="4" s="1"/>
  <c r="P11" i="4"/>
  <c r="U11" i="4"/>
  <c r="Z11" i="4" s="1"/>
  <c r="Q11" i="4"/>
  <c r="V11" i="4" s="1"/>
  <c r="AA11" i="4" s="1"/>
  <c r="M12" i="4"/>
  <c r="R12" i="4" s="1"/>
  <c r="W12" i="4" s="1"/>
  <c r="N12" i="4"/>
  <c r="S12" i="4"/>
  <c r="X12" i="4" s="1"/>
  <c r="O12" i="4"/>
  <c r="T12" i="4"/>
  <c r="Y12" i="4" s="1"/>
  <c r="P12" i="4"/>
  <c r="U12" i="4" s="1"/>
  <c r="Z12" i="4" s="1"/>
  <c r="Q12" i="4"/>
  <c r="V12" i="4" s="1"/>
  <c r="AA12" i="4" s="1"/>
  <c r="M13" i="4"/>
  <c r="R13" i="4"/>
  <c r="W13" i="4" s="1"/>
  <c r="N13" i="4"/>
  <c r="S13" i="4"/>
  <c r="X13" i="4" s="1"/>
  <c r="O13" i="4"/>
  <c r="T13" i="4" s="1"/>
  <c r="Y13" i="4" s="1"/>
  <c r="P13" i="4"/>
  <c r="U13" i="4" s="1"/>
  <c r="Z13" i="4" s="1"/>
  <c r="Q13" i="4"/>
  <c r="V13" i="4"/>
  <c r="AA13" i="4" s="1"/>
  <c r="M14" i="4"/>
  <c r="R14" i="4"/>
  <c r="W14" i="4" s="1"/>
  <c r="N14" i="4"/>
  <c r="S14" i="4" s="1"/>
  <c r="X14" i="4" s="1"/>
  <c r="O14" i="4"/>
  <c r="T14" i="4" s="1"/>
  <c r="Y14" i="4" s="1"/>
  <c r="P14" i="4"/>
  <c r="U14" i="4"/>
  <c r="Z14" i="4" s="1"/>
  <c r="Q14" i="4"/>
  <c r="V14" i="4"/>
  <c r="AA14" i="4" s="1"/>
  <c r="M15" i="4"/>
  <c r="R15" i="4" s="1"/>
  <c r="W15" i="4" s="1"/>
  <c r="N15" i="4"/>
  <c r="S15" i="4" s="1"/>
  <c r="X15" i="4" s="1"/>
  <c r="O15" i="4"/>
  <c r="T15" i="4"/>
  <c r="Y15" i="4" s="1"/>
  <c r="P15" i="4"/>
  <c r="U15" i="4"/>
  <c r="Z15" i="4" s="1"/>
  <c r="Q15" i="4"/>
  <c r="V15" i="4" s="1"/>
  <c r="AA15" i="4" s="1"/>
  <c r="M16" i="4"/>
  <c r="R16" i="4" s="1"/>
  <c r="W16" i="4" s="1"/>
  <c r="N16" i="4"/>
  <c r="S16" i="4"/>
  <c r="X16" i="4" s="1"/>
  <c r="O16" i="4"/>
  <c r="T16" i="4"/>
  <c r="Y16" i="4" s="1"/>
  <c r="P16" i="4"/>
  <c r="U16" i="4" s="1"/>
  <c r="Z16" i="4" s="1"/>
  <c r="Q16" i="4"/>
  <c r="V16" i="4" s="1"/>
  <c r="AA16" i="4" s="1"/>
  <c r="M17" i="4"/>
  <c r="R17" i="4"/>
  <c r="W17" i="4" s="1"/>
  <c r="N17" i="4"/>
  <c r="S17" i="4"/>
  <c r="X17" i="4" s="1"/>
  <c r="O17" i="4"/>
  <c r="T17" i="4" s="1"/>
  <c r="Y17" i="4" s="1"/>
  <c r="P17" i="4"/>
  <c r="U17" i="4" s="1"/>
  <c r="Z17" i="4" s="1"/>
  <c r="Q17" i="4"/>
  <c r="V17" i="4"/>
  <c r="AA17" i="4" s="1"/>
  <c r="M18" i="4"/>
  <c r="R18" i="4" s="1"/>
  <c r="W18" i="4" s="1"/>
  <c r="N18" i="4"/>
  <c r="S18" i="4"/>
  <c r="X18" i="4" s="1"/>
  <c r="O18" i="4"/>
  <c r="T18" i="4"/>
  <c r="Y18" i="4" s="1"/>
  <c r="P18" i="4"/>
  <c r="U18" i="4" s="1"/>
  <c r="Z18" i="4" s="1"/>
  <c r="Q18" i="4"/>
  <c r="V18" i="4" s="1"/>
  <c r="AA18" i="4" s="1"/>
  <c r="M19" i="4"/>
  <c r="R19" i="4"/>
  <c r="W19" i="4" s="1"/>
  <c r="N19" i="4"/>
  <c r="S19" i="4"/>
  <c r="X19" i="4" s="1"/>
  <c r="O19" i="4"/>
  <c r="T19" i="4" s="1"/>
  <c r="Y19" i="4" s="1"/>
  <c r="P19" i="4"/>
  <c r="U19" i="4" s="1"/>
  <c r="Z19" i="4" s="1"/>
  <c r="Q19" i="4"/>
  <c r="V19" i="4"/>
  <c r="AA19" i="4" s="1"/>
  <c r="M20" i="4"/>
  <c r="R20" i="4"/>
  <c r="W20" i="4" s="1"/>
  <c r="N20" i="4"/>
  <c r="S20" i="4" s="1"/>
  <c r="X20" i="4" s="1"/>
  <c r="O20" i="4"/>
  <c r="T20" i="4" s="1"/>
  <c r="Y20" i="4" s="1"/>
  <c r="P20" i="4"/>
  <c r="U20" i="4"/>
  <c r="Z20" i="4" s="1"/>
  <c r="Q20" i="4"/>
  <c r="V20" i="4"/>
  <c r="AA20" i="4" s="1"/>
  <c r="M21" i="4"/>
  <c r="R21" i="4" s="1"/>
  <c r="W21" i="4" s="1"/>
  <c r="N21" i="4"/>
  <c r="S21" i="4" s="1"/>
  <c r="X21" i="4" s="1"/>
  <c r="O21" i="4"/>
  <c r="T21" i="4"/>
  <c r="Y21" i="4" s="1"/>
  <c r="P21" i="4"/>
  <c r="U21" i="4"/>
  <c r="Z21" i="4" s="1"/>
  <c r="Q21" i="4"/>
  <c r="V21" i="4" s="1"/>
  <c r="AA21" i="4" s="1"/>
  <c r="M22" i="4"/>
  <c r="R22" i="4"/>
  <c r="W22" i="4" s="1"/>
  <c r="N22" i="4"/>
  <c r="S22" i="4" s="1"/>
  <c r="X22" i="4" s="1"/>
  <c r="O22" i="4"/>
  <c r="T22" i="4" s="1"/>
  <c r="Y22" i="4" s="1"/>
  <c r="P22" i="4"/>
  <c r="U22" i="4"/>
  <c r="Z22" i="4" s="1"/>
  <c r="Q22" i="4"/>
  <c r="V22" i="4"/>
  <c r="AA22" i="4" s="1"/>
  <c r="M23" i="4"/>
  <c r="R23" i="4" s="1"/>
  <c r="W23" i="4" s="1"/>
  <c r="N23" i="4"/>
  <c r="S23" i="4" s="1"/>
  <c r="X23" i="4" s="1"/>
  <c r="O23" i="4"/>
  <c r="T23" i="4"/>
  <c r="Y23" i="4" s="1"/>
  <c r="P23" i="4"/>
  <c r="U23" i="4"/>
  <c r="Z23" i="4" s="1"/>
  <c r="Q23" i="4"/>
  <c r="V23" i="4" s="1"/>
  <c r="AA23" i="4" s="1"/>
  <c r="M24" i="4"/>
  <c r="R24" i="4" s="1"/>
  <c r="W24" i="4" s="1"/>
  <c r="N24" i="4"/>
  <c r="S24" i="4"/>
  <c r="X24" i="4" s="1"/>
  <c r="O24" i="4"/>
  <c r="T24" i="4"/>
  <c r="Y24" i="4" s="1"/>
  <c r="P24" i="4"/>
  <c r="U24" i="4" s="1"/>
  <c r="Z24" i="4" s="1"/>
  <c r="Q24" i="4"/>
  <c r="V24" i="4" s="1"/>
  <c r="AA24" i="4" s="1"/>
  <c r="M25" i="4"/>
  <c r="R25" i="4"/>
  <c r="W25" i="4" s="1"/>
  <c r="N25" i="4"/>
  <c r="S25" i="4"/>
  <c r="X25" i="4" s="1"/>
  <c r="O25" i="4"/>
  <c r="T25" i="4" s="1"/>
  <c r="Y25" i="4" s="1"/>
  <c r="P25" i="4"/>
  <c r="U25" i="4" s="1"/>
  <c r="Z25" i="4" s="1"/>
  <c r="Q25" i="4"/>
  <c r="V25" i="4"/>
  <c r="AA25" i="4" s="1"/>
  <c r="M26" i="4"/>
  <c r="R26" i="4" s="1"/>
  <c r="W26" i="4" s="1"/>
  <c r="N26" i="4"/>
  <c r="S26" i="4"/>
  <c r="X26" i="4" s="1"/>
  <c r="O26" i="4"/>
  <c r="T26" i="4"/>
  <c r="Y26" i="4" s="1"/>
  <c r="P26" i="4"/>
  <c r="U26" i="4" s="1"/>
  <c r="Z26" i="4" s="1"/>
  <c r="Q26" i="4"/>
  <c r="V26" i="4" s="1"/>
  <c r="AA26" i="4" s="1"/>
  <c r="M27" i="4"/>
  <c r="R27" i="4"/>
  <c r="W27" i="4" s="1"/>
  <c r="N27" i="4"/>
  <c r="S27" i="4"/>
  <c r="X27" i="4" s="1"/>
  <c r="O27" i="4"/>
  <c r="T27" i="4" s="1"/>
  <c r="Y27" i="4" s="1"/>
  <c r="P27" i="4"/>
  <c r="U27" i="4" s="1"/>
  <c r="Z27" i="4" s="1"/>
  <c r="Q27" i="4"/>
  <c r="V27" i="4"/>
  <c r="AA27" i="4" s="1"/>
  <c r="M28" i="4"/>
  <c r="R28" i="4"/>
  <c r="W28" i="4" s="1"/>
  <c r="N28" i="4"/>
  <c r="S28" i="4" s="1"/>
  <c r="X28" i="4" s="1"/>
  <c r="O28" i="4"/>
  <c r="T28" i="4" s="1"/>
  <c r="Y28" i="4" s="1"/>
  <c r="P28" i="4"/>
  <c r="U28" i="4"/>
  <c r="Z28" i="4" s="1"/>
  <c r="Q28" i="4"/>
  <c r="V28" i="4"/>
  <c r="AA28" i="4" s="1"/>
  <c r="M29" i="4"/>
  <c r="R29" i="4" s="1"/>
  <c r="W29" i="4" s="1"/>
  <c r="N29" i="4"/>
  <c r="S29" i="4" s="1"/>
  <c r="X29" i="4" s="1"/>
  <c r="O29" i="4"/>
  <c r="T29" i="4"/>
  <c r="Y29" i="4" s="1"/>
  <c r="P29" i="4"/>
  <c r="U29" i="4"/>
  <c r="Z29" i="4" s="1"/>
  <c r="Q29" i="4"/>
  <c r="V29" i="4" s="1"/>
  <c r="AA29" i="4" s="1"/>
  <c r="M30" i="4"/>
  <c r="R30" i="4" s="1"/>
  <c r="W30" i="4" s="1"/>
  <c r="N30" i="4"/>
  <c r="S30" i="4"/>
  <c r="X30" i="4" s="1"/>
  <c r="O30" i="4"/>
  <c r="T30" i="4"/>
  <c r="Y30" i="4" s="1"/>
  <c r="P30" i="4"/>
  <c r="U30" i="4" s="1"/>
  <c r="Z30" i="4" s="1"/>
  <c r="Q30" i="4"/>
  <c r="V30" i="4" s="1"/>
  <c r="AA30" i="4" s="1"/>
  <c r="M31" i="4"/>
  <c r="R31" i="4"/>
  <c r="W31" i="4" s="1"/>
  <c r="N31" i="4"/>
  <c r="S31" i="4"/>
  <c r="X31" i="4" s="1"/>
  <c r="O31" i="4"/>
  <c r="T31" i="4" s="1"/>
  <c r="Y31" i="4" s="1"/>
  <c r="P31" i="4"/>
  <c r="U31" i="4" s="1"/>
  <c r="Z31" i="4" s="1"/>
  <c r="Q31" i="4"/>
  <c r="V31" i="4"/>
  <c r="AA31" i="4" s="1"/>
  <c r="M32" i="4"/>
  <c r="R32" i="4"/>
  <c r="W32" i="4" s="1"/>
  <c r="N32" i="4"/>
  <c r="S32" i="4" s="1"/>
  <c r="X32" i="4" s="1"/>
  <c r="O32" i="4"/>
  <c r="T32" i="4" s="1"/>
  <c r="Y32" i="4" s="1"/>
  <c r="P32" i="4"/>
  <c r="U32" i="4"/>
  <c r="Z32" i="4" s="1"/>
  <c r="Q32" i="4"/>
  <c r="V32" i="4"/>
  <c r="AA32" i="4" s="1"/>
  <c r="M33" i="4"/>
  <c r="R33" i="4" s="1"/>
  <c r="W33" i="4" s="1"/>
  <c r="N33" i="4"/>
  <c r="S33" i="4" s="1"/>
  <c r="X33" i="4" s="1"/>
  <c r="O33" i="4"/>
  <c r="T33" i="4"/>
  <c r="Y33" i="4" s="1"/>
  <c r="P33" i="4"/>
  <c r="U33" i="4"/>
  <c r="Z33" i="4" s="1"/>
  <c r="Q33" i="4"/>
  <c r="V33" i="4" s="1"/>
  <c r="AA33" i="4" s="1"/>
  <c r="M34" i="4"/>
  <c r="R34" i="4" s="1"/>
  <c r="W34" i="4" s="1"/>
  <c r="N34" i="4"/>
  <c r="S34" i="4"/>
  <c r="X34" i="4" s="1"/>
  <c r="O34" i="4"/>
  <c r="T34" i="4"/>
  <c r="Y34" i="4" s="1"/>
  <c r="P34" i="4"/>
  <c r="U34" i="4" s="1"/>
  <c r="Z34" i="4" s="1"/>
  <c r="Q34" i="4"/>
  <c r="V34" i="4" s="1"/>
  <c r="AA34" i="4" s="1"/>
  <c r="M35" i="4"/>
  <c r="R35" i="4"/>
  <c r="W35" i="4" s="1"/>
  <c r="N35" i="4"/>
  <c r="S35" i="4"/>
  <c r="X35" i="4" s="1"/>
  <c r="O35" i="4"/>
  <c r="T35" i="4" s="1"/>
  <c r="Y35" i="4" s="1"/>
  <c r="P35" i="4"/>
  <c r="U35" i="4" s="1"/>
  <c r="Z35" i="4" s="1"/>
  <c r="Q35" i="4"/>
  <c r="V35" i="4"/>
  <c r="AA35" i="4" s="1"/>
  <c r="M36" i="4"/>
  <c r="R36" i="4"/>
  <c r="W36" i="4" s="1"/>
  <c r="N36" i="4"/>
  <c r="S36" i="4" s="1"/>
  <c r="X36" i="4" s="1"/>
  <c r="O36" i="4"/>
  <c r="T36" i="4" s="1"/>
  <c r="Y36" i="4" s="1"/>
  <c r="P36" i="4"/>
  <c r="U36" i="4"/>
  <c r="Z36" i="4" s="1"/>
  <c r="Q36" i="4"/>
  <c r="V36" i="4"/>
  <c r="AA36" i="4" s="1"/>
  <c r="M37" i="4"/>
  <c r="R37" i="4" s="1"/>
  <c r="W37" i="4" s="1"/>
  <c r="N37" i="4"/>
  <c r="S37" i="4" s="1"/>
  <c r="X37" i="4" s="1"/>
  <c r="O37" i="4"/>
  <c r="T37" i="4"/>
  <c r="Y37" i="4" s="1"/>
  <c r="P37" i="4"/>
  <c r="U37" i="4"/>
  <c r="Z37" i="4" s="1"/>
  <c r="Q37" i="4"/>
  <c r="V37" i="4" s="1"/>
  <c r="AA37" i="4" s="1"/>
  <c r="M38" i="4"/>
  <c r="R38" i="4" s="1"/>
  <c r="W38" i="4" s="1"/>
  <c r="N38" i="4"/>
  <c r="S38" i="4"/>
  <c r="X38" i="4" s="1"/>
  <c r="O38" i="4"/>
  <c r="T38" i="4"/>
  <c r="Y38" i="4" s="1"/>
  <c r="P38" i="4"/>
  <c r="U38" i="4" s="1"/>
  <c r="Z38" i="4" s="1"/>
  <c r="Q38" i="4"/>
  <c r="V38" i="4" s="1"/>
  <c r="AA38" i="4" s="1"/>
  <c r="M39" i="4"/>
  <c r="R39" i="4"/>
  <c r="W39" i="4" s="1"/>
  <c r="N39" i="4"/>
  <c r="S39" i="4"/>
  <c r="X39" i="4" s="1"/>
  <c r="O39" i="4"/>
  <c r="T39" i="4" s="1"/>
  <c r="Y39" i="4" s="1"/>
  <c r="P39" i="4"/>
  <c r="U39" i="4" s="1"/>
  <c r="Z39" i="4" s="1"/>
  <c r="Q39" i="4"/>
  <c r="V39" i="4"/>
  <c r="AA39" i="4" s="1"/>
  <c r="M40" i="4"/>
  <c r="R40" i="4" s="1"/>
  <c r="W40" i="4" s="1"/>
  <c r="N40" i="4"/>
  <c r="S40" i="4"/>
  <c r="X40" i="4" s="1"/>
  <c r="O40" i="4"/>
  <c r="T40" i="4"/>
  <c r="Y40" i="4" s="1"/>
  <c r="P40" i="4"/>
  <c r="U40" i="4" s="1"/>
  <c r="Z40" i="4" s="1"/>
  <c r="Q40" i="4"/>
  <c r="V40" i="4" s="1"/>
  <c r="AA40" i="4" s="1"/>
  <c r="M41" i="4"/>
  <c r="R41" i="4"/>
  <c r="W41" i="4" s="1"/>
  <c r="N41" i="4"/>
  <c r="S41" i="4"/>
  <c r="X41" i="4" s="1"/>
  <c r="O41" i="4"/>
  <c r="T41" i="4" s="1"/>
  <c r="Y41" i="4" s="1"/>
  <c r="P41" i="4"/>
  <c r="U41" i="4" s="1"/>
  <c r="Z41" i="4" s="1"/>
  <c r="Q41" i="4"/>
  <c r="V41" i="4"/>
  <c r="AA41" i="4" s="1"/>
  <c r="M42" i="4"/>
  <c r="R42" i="4"/>
  <c r="W42" i="4" s="1"/>
  <c r="N42" i="4"/>
  <c r="S42" i="4" s="1"/>
  <c r="X42" i="4" s="1"/>
  <c r="O42" i="4"/>
  <c r="T42" i="4" s="1"/>
  <c r="Y42" i="4" s="1"/>
  <c r="P42" i="4"/>
  <c r="U42" i="4"/>
  <c r="Z42" i="4" s="1"/>
  <c r="Q42" i="4"/>
  <c r="V42" i="4"/>
  <c r="AA42" i="4" s="1"/>
  <c r="M43" i="4"/>
  <c r="R43" i="4" s="1"/>
  <c r="W43" i="4" s="1"/>
  <c r="N43" i="4"/>
  <c r="S43" i="4" s="1"/>
  <c r="X43" i="4" s="1"/>
  <c r="O43" i="4"/>
  <c r="T43" i="4"/>
  <c r="Y43" i="4" s="1"/>
  <c r="P43" i="4"/>
  <c r="U43" i="4"/>
  <c r="Z43" i="4" s="1"/>
  <c r="Q43" i="4"/>
  <c r="V43" i="4" s="1"/>
  <c r="AA43" i="4" s="1"/>
  <c r="M44" i="4"/>
  <c r="R44" i="4"/>
  <c r="W44" i="4" s="1"/>
  <c r="N44" i="4"/>
  <c r="S44" i="4" s="1"/>
  <c r="X44" i="4" s="1"/>
  <c r="O44" i="4"/>
  <c r="T44" i="4" s="1"/>
  <c r="Y44" i="4" s="1"/>
  <c r="P44" i="4"/>
  <c r="U44" i="4"/>
  <c r="Z44" i="4" s="1"/>
  <c r="Q44" i="4"/>
  <c r="V44" i="4"/>
  <c r="AA44" i="4" s="1"/>
  <c r="M45" i="4"/>
  <c r="R45" i="4" s="1"/>
  <c r="W45" i="4" s="1"/>
  <c r="N45" i="4"/>
  <c r="S45" i="4" s="1"/>
  <c r="X45" i="4" s="1"/>
  <c r="O45" i="4"/>
  <c r="T45" i="4"/>
  <c r="Y45" i="4" s="1"/>
  <c r="P45" i="4"/>
  <c r="U45" i="4"/>
  <c r="Z45" i="4" s="1"/>
  <c r="Q45" i="4"/>
  <c r="V45" i="4" s="1"/>
  <c r="AA45" i="4" s="1"/>
  <c r="M46" i="4"/>
  <c r="R46" i="4" s="1"/>
  <c r="W46" i="4" s="1"/>
  <c r="N46" i="4"/>
  <c r="S46" i="4"/>
  <c r="X46" i="4" s="1"/>
  <c r="O46" i="4"/>
  <c r="T46" i="4"/>
  <c r="Y46" i="4" s="1"/>
  <c r="P46" i="4"/>
  <c r="U46" i="4" s="1"/>
  <c r="Z46" i="4" s="1"/>
  <c r="Q46" i="4"/>
  <c r="V46" i="4" s="1"/>
  <c r="AA46" i="4" s="1"/>
  <c r="M47" i="4"/>
  <c r="R47" i="4"/>
  <c r="W47" i="4" s="1"/>
  <c r="N47" i="4"/>
  <c r="S47" i="4" s="1"/>
  <c r="X47" i="4" s="1"/>
  <c r="O47" i="4"/>
  <c r="T47" i="4" s="1"/>
  <c r="Y47" i="4" s="1"/>
  <c r="P47" i="4"/>
  <c r="U47" i="4"/>
  <c r="Z47" i="4" s="1"/>
  <c r="Q47" i="4"/>
  <c r="V47" i="4"/>
  <c r="AA47" i="4" s="1"/>
  <c r="M48" i="4"/>
  <c r="R48" i="4" s="1"/>
  <c r="W48" i="4" s="1"/>
  <c r="N48" i="4"/>
  <c r="S48" i="4" s="1"/>
  <c r="X48" i="4" s="1"/>
  <c r="O48" i="4"/>
  <c r="T48" i="4"/>
  <c r="Y48" i="4" s="1"/>
  <c r="P48" i="4"/>
  <c r="U48" i="4"/>
  <c r="Z48" i="4" s="1"/>
  <c r="Q48" i="4"/>
  <c r="V48" i="4" s="1"/>
  <c r="AA48" i="4" s="1"/>
  <c r="M49" i="4"/>
  <c r="R49" i="4" s="1"/>
  <c r="W49" i="4" s="1"/>
  <c r="N49" i="4"/>
  <c r="S49" i="4"/>
  <c r="X49" i="4" s="1"/>
  <c r="O49" i="4"/>
  <c r="T49" i="4"/>
  <c r="Y49" i="4" s="1"/>
  <c r="P49" i="4"/>
  <c r="U49" i="4" s="1"/>
  <c r="Z49" i="4" s="1"/>
  <c r="Q49" i="4"/>
  <c r="V49" i="4" s="1"/>
  <c r="AA49" i="4" s="1"/>
  <c r="M50" i="4"/>
  <c r="R50" i="4"/>
  <c r="W50" i="4" s="1"/>
  <c r="N50" i="4"/>
  <c r="S50" i="4"/>
  <c r="X50" i="4" s="1"/>
  <c r="O50" i="4"/>
  <c r="T50" i="4" s="1"/>
  <c r="Y50" i="4" s="1"/>
  <c r="P50" i="4"/>
  <c r="U50" i="4" s="1"/>
  <c r="Z50" i="4" s="1"/>
  <c r="Q50" i="4"/>
  <c r="V50" i="4"/>
  <c r="AA50" i="4" s="1"/>
  <c r="M51" i="4"/>
  <c r="R51" i="4"/>
  <c r="W51" i="4" s="1"/>
  <c r="N51" i="4"/>
  <c r="S51" i="4" s="1"/>
  <c r="X51" i="4" s="1"/>
  <c r="O51" i="4"/>
  <c r="T51" i="4" s="1"/>
  <c r="Y51" i="4" s="1"/>
  <c r="P51" i="4"/>
  <c r="U51" i="4"/>
  <c r="Z51" i="4" s="1"/>
  <c r="Q51" i="4"/>
  <c r="V51" i="4"/>
  <c r="AA51" i="4" s="1"/>
  <c r="M52" i="4"/>
  <c r="R52" i="4" s="1"/>
  <c r="W52" i="4" s="1"/>
  <c r="N52" i="4"/>
  <c r="S52" i="4" s="1"/>
  <c r="X52" i="4" s="1"/>
  <c r="O52" i="4"/>
  <c r="T52" i="4"/>
  <c r="Y52" i="4" s="1"/>
  <c r="P52" i="4"/>
  <c r="U52" i="4"/>
  <c r="Z52" i="4" s="1"/>
  <c r="Q52" i="4"/>
  <c r="V52" i="4" s="1"/>
  <c r="AA52" i="4" s="1"/>
  <c r="M53" i="4"/>
  <c r="R53" i="4" s="1"/>
  <c r="W53" i="4" s="1"/>
  <c r="N53" i="4"/>
  <c r="S53" i="4"/>
  <c r="X53" i="4" s="1"/>
  <c r="O53" i="4"/>
  <c r="T53" i="4"/>
  <c r="Y53" i="4" s="1"/>
  <c r="P53" i="4"/>
  <c r="U53" i="4" s="1"/>
  <c r="Z53" i="4" s="1"/>
  <c r="Q53" i="4"/>
  <c r="V53" i="4" s="1"/>
  <c r="AA53" i="4" s="1"/>
  <c r="M54" i="4"/>
  <c r="R54" i="4"/>
  <c r="W54" i="4" s="1"/>
  <c r="N54" i="4"/>
  <c r="S54" i="4"/>
  <c r="X54" i="4" s="1"/>
  <c r="O54" i="4"/>
  <c r="T54" i="4" s="1"/>
  <c r="Y54" i="4" s="1"/>
  <c r="P54" i="4"/>
  <c r="U54" i="4" s="1"/>
  <c r="Z54" i="4" s="1"/>
  <c r="Q54" i="4"/>
  <c r="V54" i="4"/>
  <c r="AA54" i="4" s="1"/>
  <c r="M55" i="4"/>
  <c r="R55" i="4"/>
  <c r="W55" i="4" s="1"/>
  <c r="N55" i="4"/>
  <c r="S55" i="4" s="1"/>
  <c r="X55" i="4" s="1"/>
  <c r="O55" i="4"/>
  <c r="T55" i="4" s="1"/>
  <c r="Y55" i="4" s="1"/>
  <c r="P55" i="4"/>
  <c r="U55" i="4"/>
  <c r="Z55" i="4" s="1"/>
  <c r="Q55" i="4"/>
  <c r="V55" i="4"/>
  <c r="AA55" i="4" s="1"/>
  <c r="M56" i="4"/>
  <c r="R56" i="4" s="1"/>
  <c r="W56" i="4" s="1"/>
  <c r="N56" i="4"/>
  <c r="S56" i="4" s="1"/>
  <c r="X56" i="4" s="1"/>
  <c r="O56" i="4"/>
  <c r="T56" i="4"/>
  <c r="Y56" i="4" s="1"/>
  <c r="P56" i="4"/>
  <c r="U56" i="4"/>
  <c r="Z56" i="4" s="1"/>
  <c r="Q56" i="4"/>
  <c r="V56" i="4" s="1"/>
  <c r="AA56" i="4" s="1"/>
  <c r="M57" i="4"/>
  <c r="R57" i="4" s="1"/>
  <c r="W57" i="4" s="1"/>
  <c r="N57" i="4"/>
  <c r="S57" i="4"/>
  <c r="X57" i="4" s="1"/>
  <c r="O57" i="4"/>
  <c r="T57" i="4"/>
  <c r="Y57" i="4" s="1"/>
  <c r="P57" i="4"/>
  <c r="U57" i="4" s="1"/>
  <c r="Z57" i="4" s="1"/>
  <c r="Q57" i="4"/>
  <c r="V57" i="4" s="1"/>
  <c r="AA57" i="4" s="1"/>
  <c r="M58" i="4"/>
  <c r="R58" i="4"/>
  <c r="W58" i="4" s="1"/>
  <c r="N58" i="4"/>
  <c r="S58" i="4"/>
  <c r="X58" i="4" s="1"/>
  <c r="O58" i="4"/>
  <c r="T58" i="4" s="1"/>
  <c r="Y58" i="4" s="1"/>
  <c r="P58" i="4"/>
  <c r="U58" i="4" s="1"/>
  <c r="Z58" i="4" s="1"/>
  <c r="Q58" i="4"/>
  <c r="V58" i="4"/>
  <c r="AA58" i="4" s="1"/>
  <c r="M59" i="4"/>
  <c r="R59" i="4"/>
  <c r="W59" i="4" s="1"/>
  <c r="N59" i="4"/>
  <c r="S59" i="4" s="1"/>
  <c r="X59" i="4" s="1"/>
  <c r="O59" i="4"/>
  <c r="T59" i="4" s="1"/>
  <c r="Y59" i="4" s="1"/>
  <c r="P59" i="4"/>
  <c r="U59" i="4"/>
  <c r="Z59" i="4" s="1"/>
  <c r="Q59" i="4"/>
  <c r="V59" i="4"/>
  <c r="AA59" i="4" s="1"/>
  <c r="M60" i="4"/>
  <c r="R60" i="4" s="1"/>
  <c r="W60" i="4" s="1"/>
  <c r="N60" i="4"/>
  <c r="S60" i="4" s="1"/>
  <c r="X60" i="4" s="1"/>
  <c r="O60" i="4"/>
  <c r="T60" i="4"/>
  <c r="Y60" i="4" s="1"/>
  <c r="P60" i="4"/>
  <c r="U60" i="4"/>
  <c r="Z60" i="4" s="1"/>
  <c r="Q60" i="4"/>
  <c r="V60" i="4" s="1"/>
  <c r="AA60" i="4" s="1"/>
  <c r="M61" i="4"/>
  <c r="R61" i="4" s="1"/>
  <c r="W61" i="4" s="1"/>
  <c r="N61" i="4"/>
  <c r="S61" i="4"/>
  <c r="X61" i="4" s="1"/>
  <c r="O61" i="4"/>
  <c r="T61" i="4"/>
  <c r="Y61" i="4" s="1"/>
  <c r="P61" i="4"/>
  <c r="U61" i="4" s="1"/>
  <c r="Z61" i="4" s="1"/>
  <c r="Q61" i="4"/>
  <c r="V61" i="4" s="1"/>
  <c r="AA61" i="4" s="1"/>
  <c r="M62" i="4"/>
  <c r="R62" i="4"/>
  <c r="W62" i="4" s="1"/>
  <c r="N62" i="4"/>
  <c r="S62" i="4"/>
  <c r="X62" i="4" s="1"/>
  <c r="O62" i="4"/>
  <c r="T62" i="4" s="1"/>
  <c r="Y62" i="4" s="1"/>
  <c r="P62" i="4"/>
  <c r="U62" i="4" s="1"/>
  <c r="Z62" i="4" s="1"/>
  <c r="Q62" i="4"/>
  <c r="V62" i="4"/>
  <c r="AA62" i="4" s="1"/>
  <c r="M63" i="4"/>
  <c r="R63" i="4"/>
  <c r="W63" i="4" s="1"/>
  <c r="N63" i="4"/>
  <c r="S63" i="4" s="1"/>
  <c r="X63" i="4" s="1"/>
  <c r="O63" i="4"/>
  <c r="T63" i="4" s="1"/>
  <c r="Y63" i="4" s="1"/>
  <c r="P63" i="4"/>
  <c r="U63" i="4"/>
  <c r="Z63" i="4" s="1"/>
  <c r="Q63" i="4"/>
  <c r="V63" i="4"/>
  <c r="AA63" i="4" s="1"/>
  <c r="M64" i="4"/>
  <c r="R64" i="4" s="1"/>
  <c r="W64" i="4" s="1"/>
  <c r="N64" i="4"/>
  <c r="S64" i="4" s="1"/>
  <c r="X64" i="4" s="1"/>
  <c r="O64" i="4"/>
  <c r="T64" i="4"/>
  <c r="Y64" i="4" s="1"/>
  <c r="P64" i="4"/>
  <c r="U64" i="4"/>
  <c r="Z64" i="4" s="1"/>
  <c r="Q64" i="4"/>
  <c r="V64" i="4" s="1"/>
  <c r="AA64" i="4" s="1"/>
  <c r="M65" i="4"/>
  <c r="R65" i="4" s="1"/>
  <c r="W65" i="4" s="1"/>
  <c r="N65" i="4"/>
  <c r="S65" i="4"/>
  <c r="X65" i="4" s="1"/>
  <c r="O65" i="4"/>
  <c r="T65" i="4"/>
  <c r="Y65" i="4" s="1"/>
  <c r="P65" i="4"/>
  <c r="U65" i="4" s="1"/>
  <c r="Z65" i="4" s="1"/>
  <c r="Q65" i="4"/>
  <c r="V65" i="4" s="1"/>
  <c r="AA65" i="4" s="1"/>
  <c r="M66" i="4"/>
  <c r="R66" i="4"/>
  <c r="W66" i="4" s="1"/>
  <c r="N66" i="4"/>
  <c r="S66" i="4"/>
  <c r="X66" i="4" s="1"/>
  <c r="O66" i="4"/>
  <c r="T66" i="4" s="1"/>
  <c r="Y66" i="4" s="1"/>
  <c r="P66" i="4"/>
  <c r="U66" i="4" s="1"/>
  <c r="Z66" i="4" s="1"/>
  <c r="Q66" i="4"/>
  <c r="V66" i="4"/>
  <c r="AA66" i="4" s="1"/>
  <c r="M67" i="4"/>
  <c r="R67" i="4"/>
  <c r="W67" i="4" s="1"/>
  <c r="N67" i="4"/>
  <c r="S67" i="4" s="1"/>
  <c r="X67" i="4" s="1"/>
  <c r="O67" i="4"/>
  <c r="T67" i="4" s="1"/>
  <c r="Y67" i="4" s="1"/>
  <c r="P67" i="4"/>
  <c r="U67" i="4"/>
  <c r="Z67" i="4" s="1"/>
  <c r="Q67" i="4"/>
  <c r="V67" i="4"/>
  <c r="AA67" i="4" s="1"/>
  <c r="M68" i="4"/>
  <c r="R68" i="4" s="1"/>
  <c r="W68" i="4" s="1"/>
  <c r="N68" i="4"/>
  <c r="S68" i="4" s="1"/>
  <c r="X68" i="4" s="1"/>
  <c r="O68" i="4"/>
  <c r="T68" i="4"/>
  <c r="Y68" i="4" s="1"/>
  <c r="P68" i="4"/>
  <c r="U68" i="4"/>
  <c r="Z68" i="4" s="1"/>
  <c r="Q68" i="4"/>
  <c r="V68" i="4" s="1"/>
  <c r="AA68" i="4" s="1"/>
  <c r="M69" i="4"/>
  <c r="R69" i="4" s="1"/>
  <c r="W69" i="4" s="1"/>
  <c r="N69" i="4"/>
  <c r="S69" i="4"/>
  <c r="X69" i="4" s="1"/>
  <c r="O69" i="4"/>
  <c r="T69" i="4"/>
  <c r="Y69" i="4" s="1"/>
  <c r="P69" i="4"/>
  <c r="U69" i="4" s="1"/>
  <c r="Z69" i="4" s="1"/>
  <c r="Q69" i="4"/>
  <c r="V69" i="4" s="1"/>
  <c r="AA69" i="4" s="1"/>
  <c r="M70" i="4"/>
  <c r="R70" i="4"/>
  <c r="W70" i="4" s="1"/>
  <c r="N70" i="4"/>
  <c r="S70" i="4"/>
  <c r="X70" i="4" s="1"/>
  <c r="O70" i="4"/>
  <c r="T70" i="4" s="1"/>
  <c r="Y70" i="4" s="1"/>
  <c r="P70" i="4"/>
  <c r="U70" i="4" s="1"/>
  <c r="Z70" i="4" s="1"/>
  <c r="Q70" i="4"/>
  <c r="V70" i="4"/>
  <c r="AA70" i="4" s="1"/>
  <c r="M71" i="4"/>
  <c r="R71" i="4"/>
  <c r="W71" i="4" s="1"/>
  <c r="N71" i="4"/>
  <c r="S71" i="4" s="1"/>
  <c r="X71" i="4" s="1"/>
  <c r="O71" i="4"/>
  <c r="T71" i="4" s="1"/>
  <c r="Y71" i="4" s="1"/>
  <c r="P71" i="4"/>
  <c r="U71" i="4"/>
  <c r="Z71" i="4" s="1"/>
  <c r="Q71" i="4"/>
  <c r="V71" i="4"/>
  <c r="AA71" i="4" s="1"/>
  <c r="M72" i="4"/>
  <c r="R72" i="4" s="1"/>
  <c r="W72" i="4" s="1"/>
  <c r="N72" i="4"/>
  <c r="S72" i="4" s="1"/>
  <c r="X72" i="4" s="1"/>
  <c r="O72" i="4"/>
  <c r="T72" i="4"/>
  <c r="Y72" i="4" s="1"/>
  <c r="P72" i="4"/>
  <c r="U72" i="4"/>
  <c r="Z72" i="4" s="1"/>
  <c r="Q72" i="4"/>
  <c r="V72" i="4" s="1"/>
  <c r="AA72" i="4" s="1"/>
  <c r="M73" i="4"/>
  <c r="R73" i="4" s="1"/>
  <c r="W73" i="4" s="1"/>
  <c r="N73" i="4"/>
  <c r="S73" i="4"/>
  <c r="X73" i="4" s="1"/>
  <c r="O73" i="4"/>
  <c r="T73" i="4"/>
  <c r="Y73" i="4" s="1"/>
  <c r="P73" i="4"/>
  <c r="U73" i="4" s="1"/>
  <c r="Z73" i="4" s="1"/>
  <c r="Q73" i="4"/>
  <c r="V73" i="4" s="1"/>
  <c r="AA73" i="4" s="1"/>
  <c r="M74" i="4"/>
  <c r="R74" i="4"/>
  <c r="W74" i="4" s="1"/>
  <c r="N74" i="4"/>
  <c r="S74" i="4"/>
  <c r="X74" i="4" s="1"/>
  <c r="O74" i="4"/>
  <c r="T74" i="4" s="1"/>
  <c r="Y74" i="4" s="1"/>
  <c r="P74" i="4"/>
  <c r="U74" i="4" s="1"/>
  <c r="Z74" i="4" s="1"/>
  <c r="Q74" i="4"/>
  <c r="V74" i="4"/>
  <c r="AA74" i="4" s="1"/>
  <c r="M75" i="4"/>
  <c r="R75" i="4"/>
  <c r="W75" i="4" s="1"/>
  <c r="N75" i="4"/>
  <c r="S75" i="4" s="1"/>
  <c r="X75" i="4" s="1"/>
  <c r="O75" i="4"/>
  <c r="T75" i="4" s="1"/>
  <c r="Y75" i="4" s="1"/>
  <c r="P75" i="4"/>
  <c r="U75" i="4"/>
  <c r="Z75" i="4" s="1"/>
  <c r="Q75" i="4"/>
  <c r="V75" i="4"/>
  <c r="AA75" i="4" s="1"/>
  <c r="M76" i="4"/>
  <c r="R76" i="4" s="1"/>
  <c r="W76" i="4" s="1"/>
  <c r="N76" i="4"/>
  <c r="S76" i="4" s="1"/>
  <c r="X76" i="4" s="1"/>
  <c r="O76" i="4"/>
  <c r="T76" i="4"/>
  <c r="Y76" i="4" s="1"/>
  <c r="P76" i="4"/>
  <c r="U76" i="4"/>
  <c r="Z76" i="4" s="1"/>
  <c r="Q76" i="4"/>
  <c r="V76" i="4" s="1"/>
  <c r="AA76" i="4" s="1"/>
  <c r="M77" i="4"/>
  <c r="R77" i="4" s="1"/>
  <c r="W77" i="4" s="1"/>
  <c r="N77" i="4"/>
  <c r="S77" i="4"/>
  <c r="X77" i="4" s="1"/>
  <c r="O77" i="4"/>
  <c r="T77" i="4"/>
  <c r="Y77" i="4" s="1"/>
  <c r="P77" i="4"/>
  <c r="U77" i="4" s="1"/>
  <c r="Z77" i="4" s="1"/>
  <c r="Q77" i="4"/>
  <c r="V77" i="4" s="1"/>
  <c r="AA77" i="4" s="1"/>
  <c r="M78" i="4"/>
  <c r="R78" i="4"/>
  <c r="W78" i="4" s="1"/>
  <c r="N78" i="4"/>
  <c r="S78" i="4"/>
  <c r="X78" i="4" s="1"/>
  <c r="O78" i="4"/>
  <c r="T78" i="4" s="1"/>
  <c r="Y78" i="4" s="1"/>
  <c r="P78" i="4"/>
  <c r="U78" i="4" s="1"/>
  <c r="Z78" i="4" s="1"/>
  <c r="Q78" i="4"/>
  <c r="V78" i="4"/>
  <c r="AA78" i="4" s="1"/>
  <c r="M79" i="4"/>
  <c r="R79" i="4"/>
  <c r="W79" i="4" s="1"/>
  <c r="N79" i="4"/>
  <c r="S79" i="4" s="1"/>
  <c r="X79" i="4" s="1"/>
  <c r="O79" i="4"/>
  <c r="T79" i="4" s="1"/>
  <c r="Y79" i="4" s="1"/>
  <c r="P79" i="4"/>
  <c r="U79" i="4"/>
  <c r="Z79" i="4" s="1"/>
  <c r="Q79" i="4"/>
  <c r="V79" i="4"/>
  <c r="AA79" i="4" s="1"/>
  <c r="M80" i="4"/>
  <c r="R80" i="4" s="1"/>
  <c r="W80" i="4" s="1"/>
  <c r="N80" i="4"/>
  <c r="S80" i="4" s="1"/>
  <c r="X80" i="4" s="1"/>
  <c r="O80" i="4"/>
  <c r="T80" i="4"/>
  <c r="Y80" i="4" s="1"/>
  <c r="P80" i="4"/>
  <c r="U80" i="4"/>
  <c r="Z80" i="4" s="1"/>
  <c r="Q80" i="4"/>
  <c r="V80" i="4" s="1"/>
  <c r="AA80" i="4" s="1"/>
  <c r="M81" i="4"/>
  <c r="R81" i="4" s="1"/>
  <c r="W81" i="4" s="1"/>
  <c r="N81" i="4"/>
  <c r="S81" i="4"/>
  <c r="X81" i="4" s="1"/>
  <c r="O81" i="4"/>
  <c r="T81" i="4"/>
  <c r="Y81" i="4" s="1"/>
  <c r="P81" i="4"/>
  <c r="U81" i="4" s="1"/>
  <c r="Z81" i="4" s="1"/>
  <c r="Q81" i="4"/>
  <c r="V81" i="4" s="1"/>
  <c r="AA81" i="4" s="1"/>
  <c r="M82" i="4"/>
  <c r="R82" i="4"/>
  <c r="W82" i="4" s="1"/>
  <c r="N82" i="4"/>
  <c r="S82" i="4"/>
  <c r="X82" i="4" s="1"/>
  <c r="O82" i="4"/>
  <c r="T82" i="4" s="1"/>
  <c r="Y82" i="4" s="1"/>
  <c r="P82" i="4"/>
  <c r="U82" i="4" s="1"/>
  <c r="Z82" i="4" s="1"/>
  <c r="Q82" i="4"/>
  <c r="V82" i="4"/>
  <c r="AA82" i="4" s="1"/>
  <c r="M83" i="4"/>
  <c r="R83" i="4" s="1"/>
  <c r="W83" i="4" s="1"/>
  <c r="N83" i="4"/>
  <c r="S83" i="4"/>
  <c r="X83" i="4" s="1"/>
  <c r="O83" i="4"/>
  <c r="T83" i="4"/>
  <c r="Y83" i="4" s="1"/>
  <c r="P83" i="4"/>
  <c r="U83" i="4" s="1"/>
  <c r="Z83" i="4" s="1"/>
  <c r="Q83" i="4"/>
  <c r="V83" i="4" s="1"/>
  <c r="AA83" i="4" s="1"/>
  <c r="M84" i="4"/>
  <c r="R84" i="4"/>
  <c r="W84" i="4" s="1"/>
  <c r="N84" i="4"/>
  <c r="S84" i="4"/>
  <c r="X84" i="4" s="1"/>
  <c r="O84" i="4"/>
  <c r="T84" i="4" s="1"/>
  <c r="Y84" i="4" s="1"/>
  <c r="P84" i="4"/>
  <c r="U84" i="4" s="1"/>
  <c r="Z84" i="4" s="1"/>
  <c r="Q84" i="4"/>
  <c r="V84" i="4"/>
  <c r="AA84" i="4" s="1"/>
  <c r="M85" i="4"/>
  <c r="R85" i="4"/>
  <c r="W85" i="4" s="1"/>
  <c r="N85" i="4"/>
  <c r="S85" i="4" s="1"/>
  <c r="X85" i="4" s="1"/>
  <c r="O85" i="4"/>
  <c r="T85" i="4" s="1"/>
  <c r="Y85" i="4" s="1"/>
  <c r="P85" i="4"/>
  <c r="U85" i="4"/>
  <c r="Z85" i="4" s="1"/>
  <c r="Q85" i="4"/>
  <c r="V85" i="4"/>
  <c r="AA85" i="4" s="1"/>
  <c r="M86" i="4"/>
  <c r="R86" i="4" s="1"/>
  <c r="W86" i="4" s="1"/>
  <c r="N86" i="4"/>
  <c r="S86" i="4" s="1"/>
  <c r="X86" i="4" s="1"/>
  <c r="O86" i="4"/>
  <c r="T86" i="4"/>
  <c r="Y86" i="4" s="1"/>
  <c r="P86" i="4"/>
  <c r="U86" i="4"/>
  <c r="Z86" i="4" s="1"/>
  <c r="Q86" i="4"/>
  <c r="V86" i="4" s="1"/>
  <c r="AA86" i="4" s="1"/>
  <c r="M87" i="4"/>
  <c r="R87" i="4"/>
  <c r="W87" i="4" s="1"/>
  <c r="N87" i="4"/>
  <c r="S87" i="4" s="1"/>
  <c r="X87" i="4" s="1"/>
  <c r="O87" i="4"/>
  <c r="T87" i="4" s="1"/>
  <c r="Y87" i="4" s="1"/>
  <c r="P87" i="4"/>
  <c r="U87" i="4"/>
  <c r="Z87" i="4" s="1"/>
  <c r="Q87" i="4"/>
  <c r="V87" i="4"/>
  <c r="AA87" i="4" s="1"/>
  <c r="M88" i="4"/>
  <c r="R88" i="4" s="1"/>
  <c r="W88" i="4" s="1"/>
  <c r="N88" i="4"/>
  <c r="S88" i="4" s="1"/>
  <c r="X88" i="4" s="1"/>
  <c r="O88" i="4"/>
  <c r="T88" i="4"/>
  <c r="Y88" i="4" s="1"/>
  <c r="P88" i="4"/>
  <c r="U88" i="4"/>
  <c r="Z88" i="4" s="1"/>
  <c r="Q88" i="4"/>
  <c r="V88" i="4" s="1"/>
  <c r="AA88" i="4" s="1"/>
  <c r="M89" i="4"/>
  <c r="R89" i="4" s="1"/>
  <c r="W89" i="4" s="1"/>
  <c r="N89" i="4"/>
  <c r="S89" i="4"/>
  <c r="X89" i="4" s="1"/>
  <c r="O89" i="4"/>
  <c r="T89" i="4"/>
  <c r="Y89" i="4" s="1"/>
  <c r="P89" i="4"/>
  <c r="U89" i="4" s="1"/>
  <c r="Z89" i="4" s="1"/>
  <c r="Q89" i="4"/>
  <c r="V89" i="4" s="1"/>
  <c r="AA89" i="4" s="1"/>
  <c r="M90" i="4"/>
  <c r="R90" i="4"/>
  <c r="W90" i="4" s="1"/>
  <c r="N90" i="4"/>
  <c r="S90" i="4"/>
  <c r="X90" i="4" s="1"/>
  <c r="O90" i="4"/>
  <c r="T90" i="4" s="1"/>
  <c r="Y90" i="4" s="1"/>
  <c r="P90" i="4"/>
  <c r="U90" i="4" s="1"/>
  <c r="Z90" i="4" s="1"/>
  <c r="Q90" i="4"/>
  <c r="V90" i="4"/>
  <c r="AA90" i="4" s="1"/>
  <c r="M91" i="4"/>
  <c r="R91" i="4" s="1"/>
  <c r="W91" i="4" s="1"/>
  <c r="N91" i="4"/>
  <c r="S91" i="4"/>
  <c r="X91" i="4" s="1"/>
  <c r="O91" i="4"/>
  <c r="T91" i="4"/>
  <c r="Y91" i="4" s="1"/>
  <c r="P91" i="4"/>
  <c r="U91" i="4" s="1"/>
  <c r="Z91" i="4" s="1"/>
  <c r="Q91" i="4"/>
  <c r="V91" i="4" s="1"/>
  <c r="AA91" i="4" s="1"/>
  <c r="M92" i="4"/>
  <c r="R92" i="4" s="1"/>
  <c r="W92" i="4" s="1"/>
  <c r="N92" i="4"/>
  <c r="S92" i="4"/>
  <c r="X92" i="4" s="1"/>
  <c r="O92" i="4"/>
  <c r="T92" i="4"/>
  <c r="Y92" i="4" s="1"/>
  <c r="P92" i="4"/>
  <c r="U92" i="4" s="1"/>
  <c r="Z92" i="4" s="1"/>
  <c r="Q92" i="4"/>
  <c r="V92" i="4" s="1"/>
  <c r="AA92" i="4" s="1"/>
  <c r="M93" i="4"/>
  <c r="R93" i="4"/>
  <c r="W93" i="4" s="1"/>
  <c r="N93" i="4"/>
  <c r="S93" i="4"/>
  <c r="X93" i="4" s="1"/>
  <c r="O93" i="4"/>
  <c r="T93" i="4" s="1"/>
  <c r="Y93" i="4" s="1"/>
  <c r="P93" i="4"/>
  <c r="U93" i="4" s="1"/>
  <c r="Z93" i="4" s="1"/>
  <c r="Q93" i="4"/>
  <c r="V93" i="4"/>
  <c r="AA93" i="4" s="1"/>
  <c r="M94" i="4"/>
  <c r="R94" i="4"/>
  <c r="W94" i="4" s="1"/>
  <c r="N94" i="4"/>
  <c r="S94" i="4" s="1"/>
  <c r="X94" i="4" s="1"/>
  <c r="O94" i="4"/>
  <c r="T94" i="4" s="1"/>
  <c r="Y94" i="4" s="1"/>
  <c r="P94" i="4"/>
  <c r="U94" i="4"/>
  <c r="Z94" i="4" s="1"/>
  <c r="Q94" i="4"/>
  <c r="V94" i="4"/>
  <c r="AA94" i="4" s="1"/>
  <c r="M95" i="4"/>
  <c r="R95" i="4" s="1"/>
  <c r="W95" i="4" s="1"/>
  <c r="N95" i="4"/>
  <c r="S95" i="4" s="1"/>
  <c r="X95" i="4" s="1"/>
  <c r="O95" i="4"/>
  <c r="T95" i="4"/>
  <c r="Y95" i="4" s="1"/>
  <c r="P95" i="4"/>
  <c r="U95" i="4"/>
  <c r="Z95" i="4" s="1"/>
  <c r="Q95" i="4"/>
  <c r="V95" i="4" s="1"/>
  <c r="AA95" i="4" s="1"/>
  <c r="M96" i="4"/>
  <c r="R96" i="4" s="1"/>
  <c r="W96" i="4" s="1"/>
  <c r="N96" i="4"/>
  <c r="S96" i="4"/>
  <c r="X96" i="4" s="1"/>
  <c r="O96" i="4"/>
  <c r="T96" i="4"/>
  <c r="Y96" i="4" s="1"/>
  <c r="P96" i="4"/>
  <c r="U96" i="4" s="1"/>
  <c r="Z96" i="4" s="1"/>
  <c r="Q96" i="4"/>
  <c r="V96" i="4" s="1"/>
  <c r="AA96" i="4" s="1"/>
  <c r="M97" i="4"/>
  <c r="R97" i="4"/>
  <c r="W97" i="4" s="1"/>
  <c r="N97" i="4"/>
  <c r="S97" i="4"/>
  <c r="X97" i="4" s="1"/>
  <c r="O97" i="4"/>
  <c r="T97" i="4" s="1"/>
  <c r="Y97" i="4" s="1"/>
  <c r="P97" i="4"/>
  <c r="U97" i="4" s="1"/>
  <c r="Z97" i="4" s="1"/>
  <c r="Q97" i="4"/>
  <c r="V97" i="4"/>
  <c r="AA97" i="4" s="1"/>
  <c r="M98" i="4"/>
  <c r="R98" i="4"/>
  <c r="W98" i="4" s="1"/>
  <c r="N98" i="4"/>
  <c r="S98" i="4" s="1"/>
  <c r="X98" i="4" s="1"/>
  <c r="O98" i="4"/>
  <c r="T98" i="4" s="1"/>
  <c r="Y98" i="4" s="1"/>
  <c r="P98" i="4"/>
  <c r="U98" i="4"/>
  <c r="Z98" i="4" s="1"/>
  <c r="Q98" i="4"/>
  <c r="V98" i="4"/>
  <c r="AA98" i="4" s="1"/>
  <c r="M99" i="4"/>
  <c r="R99" i="4" s="1"/>
  <c r="W99" i="4" s="1"/>
  <c r="N99" i="4"/>
  <c r="S99" i="4" s="1"/>
  <c r="X99" i="4" s="1"/>
  <c r="O99" i="4"/>
  <c r="T99" i="4"/>
  <c r="Y99" i="4" s="1"/>
  <c r="P99" i="4"/>
  <c r="U99" i="4"/>
  <c r="Z99" i="4" s="1"/>
  <c r="Q99" i="4"/>
  <c r="V99" i="4" s="1"/>
  <c r="AA99" i="4" s="1"/>
  <c r="M100" i="4"/>
  <c r="R100" i="4" s="1"/>
  <c r="W100" i="4" s="1"/>
  <c r="N100" i="4"/>
  <c r="S100" i="4"/>
  <c r="X100" i="4" s="1"/>
  <c r="O100" i="4"/>
  <c r="T100" i="4"/>
  <c r="Y100" i="4" s="1"/>
  <c r="P100" i="4"/>
  <c r="U100" i="4" s="1"/>
  <c r="Z100" i="4" s="1"/>
  <c r="Q100" i="4"/>
  <c r="V100" i="4" s="1"/>
  <c r="AA100" i="4" s="1"/>
  <c r="M101" i="4"/>
  <c r="R101" i="4"/>
  <c r="W101" i="4" s="1"/>
  <c r="N101" i="4"/>
  <c r="S101" i="4"/>
  <c r="X101" i="4" s="1"/>
  <c r="O101" i="4"/>
  <c r="T101" i="4" s="1"/>
  <c r="Y101" i="4" s="1"/>
  <c r="P101" i="4"/>
  <c r="U101" i="4" s="1"/>
  <c r="Z101" i="4" s="1"/>
  <c r="Q101" i="4"/>
  <c r="V101" i="4"/>
  <c r="AA101" i="4" s="1"/>
  <c r="M102" i="4"/>
  <c r="R102" i="4"/>
  <c r="W102" i="4" s="1"/>
  <c r="N102" i="4"/>
  <c r="S102" i="4" s="1"/>
  <c r="X102" i="4" s="1"/>
  <c r="O102" i="4"/>
  <c r="T102" i="4" s="1"/>
  <c r="Y102" i="4" s="1"/>
  <c r="P102" i="4"/>
  <c r="U102" i="4"/>
  <c r="Z102" i="4" s="1"/>
  <c r="Q102" i="4"/>
  <c r="V102" i="4"/>
  <c r="AA102" i="4" s="1"/>
  <c r="M103" i="4"/>
  <c r="R103" i="4" s="1"/>
  <c r="W103" i="4" s="1"/>
  <c r="N103" i="4"/>
  <c r="S103" i="4" s="1"/>
  <c r="X103" i="4" s="1"/>
  <c r="O103" i="4"/>
  <c r="T103" i="4"/>
  <c r="Y103" i="4" s="1"/>
  <c r="P103" i="4"/>
  <c r="U103" i="4"/>
  <c r="Z103" i="4" s="1"/>
  <c r="Q103" i="4"/>
  <c r="V103" i="4" s="1"/>
  <c r="AA103" i="4" s="1"/>
  <c r="M104" i="4"/>
  <c r="R104" i="4" s="1"/>
  <c r="W104" i="4" s="1"/>
  <c r="N104" i="4"/>
  <c r="S104" i="4"/>
  <c r="X104" i="4" s="1"/>
  <c r="O104" i="4"/>
  <c r="T104" i="4"/>
  <c r="Y104" i="4" s="1"/>
  <c r="P104" i="4"/>
  <c r="U104" i="4" s="1"/>
  <c r="Z104" i="4" s="1"/>
  <c r="Q104" i="4"/>
  <c r="V104" i="4" s="1"/>
  <c r="AA104" i="4" s="1"/>
  <c r="M105" i="4"/>
  <c r="R105" i="4"/>
  <c r="W105" i="4" s="1"/>
  <c r="N105" i="4"/>
  <c r="S105" i="4"/>
  <c r="X105" i="4" s="1"/>
  <c r="O105" i="4"/>
  <c r="T105" i="4" s="1"/>
  <c r="Y105" i="4" s="1"/>
  <c r="P105" i="4"/>
  <c r="U105" i="4" s="1"/>
  <c r="Z105" i="4" s="1"/>
  <c r="Q105" i="4"/>
  <c r="V105" i="4"/>
  <c r="AA105" i="4" s="1"/>
  <c r="M106" i="4"/>
  <c r="R106" i="4"/>
  <c r="W106" i="4" s="1"/>
  <c r="N106" i="4"/>
  <c r="S106" i="4" s="1"/>
  <c r="X106" i="4" s="1"/>
  <c r="O106" i="4"/>
  <c r="T106" i="4" s="1"/>
  <c r="Y106" i="4" s="1"/>
  <c r="P106" i="4"/>
  <c r="U106" i="4"/>
  <c r="Z106" i="4" s="1"/>
  <c r="Q106" i="4"/>
  <c r="V106" i="4"/>
  <c r="AA106" i="4" s="1"/>
  <c r="M107" i="4"/>
  <c r="R107" i="4" s="1"/>
  <c r="W107" i="4" s="1"/>
  <c r="N107" i="4"/>
  <c r="S107" i="4" s="1"/>
  <c r="X107" i="4" s="1"/>
  <c r="O107" i="4"/>
  <c r="T107" i="4"/>
  <c r="Y107" i="4" s="1"/>
  <c r="P107" i="4"/>
  <c r="U107" i="4"/>
  <c r="Z107" i="4" s="1"/>
  <c r="Q107" i="4"/>
  <c r="V107" i="4" s="1"/>
  <c r="AA107" i="4" s="1"/>
  <c r="M108" i="4"/>
  <c r="R108" i="4" s="1"/>
  <c r="W108" i="4" s="1"/>
  <c r="N108" i="4"/>
  <c r="S108" i="4"/>
  <c r="X108" i="4" s="1"/>
  <c r="O108" i="4"/>
  <c r="T108" i="4"/>
  <c r="Y108" i="4" s="1"/>
  <c r="P108" i="4"/>
  <c r="U108" i="4" s="1"/>
  <c r="Z108" i="4" s="1"/>
  <c r="Q108" i="4"/>
  <c r="V108" i="4" s="1"/>
  <c r="AA108" i="4" s="1"/>
  <c r="M109" i="4"/>
  <c r="R109" i="4"/>
  <c r="W109" i="4" s="1"/>
  <c r="N109" i="4"/>
  <c r="S109" i="4"/>
  <c r="X109" i="4" s="1"/>
  <c r="O109" i="4"/>
  <c r="T109" i="4" s="1"/>
  <c r="Y109" i="4" s="1"/>
  <c r="P109" i="4"/>
  <c r="U109" i="4" s="1"/>
  <c r="Z109" i="4" s="1"/>
  <c r="Q109" i="4"/>
  <c r="V109" i="4"/>
  <c r="AA109" i="4" s="1"/>
  <c r="M110" i="4"/>
  <c r="R110" i="4"/>
  <c r="W110" i="4" s="1"/>
  <c r="N110" i="4"/>
  <c r="S110" i="4" s="1"/>
  <c r="X110" i="4" s="1"/>
  <c r="O110" i="4"/>
  <c r="T110" i="4" s="1"/>
  <c r="Y110" i="4" s="1"/>
  <c r="P110" i="4"/>
  <c r="U110" i="4"/>
  <c r="Z110" i="4" s="1"/>
  <c r="Q110" i="4"/>
  <c r="V110" i="4"/>
  <c r="AA110" i="4" s="1"/>
  <c r="M111" i="4"/>
  <c r="R111" i="4" s="1"/>
  <c r="W111" i="4" s="1"/>
  <c r="N111" i="4"/>
  <c r="S111" i="4" s="1"/>
  <c r="X111" i="4" s="1"/>
  <c r="O111" i="4"/>
  <c r="T111" i="4"/>
  <c r="Y111" i="4" s="1"/>
  <c r="P111" i="4"/>
  <c r="U111" i="4"/>
  <c r="Z111" i="4" s="1"/>
  <c r="Q111" i="4"/>
  <c r="V111" i="4" s="1"/>
  <c r="AA111" i="4" s="1"/>
  <c r="M112" i="4"/>
  <c r="R112" i="4" s="1"/>
  <c r="W112" i="4" s="1"/>
  <c r="N112" i="4"/>
  <c r="S112" i="4"/>
  <c r="X112" i="4" s="1"/>
  <c r="O112" i="4"/>
  <c r="T112" i="4"/>
  <c r="Y112" i="4" s="1"/>
  <c r="P112" i="4"/>
  <c r="U112" i="4" s="1"/>
  <c r="Z112" i="4" s="1"/>
  <c r="Q112" i="4"/>
  <c r="V112" i="4" s="1"/>
  <c r="AA112" i="4" s="1"/>
  <c r="M113" i="4"/>
  <c r="R113" i="4"/>
  <c r="W113" i="4" s="1"/>
  <c r="N113" i="4"/>
  <c r="S113" i="4"/>
  <c r="X113" i="4" s="1"/>
  <c r="O113" i="4"/>
  <c r="T113" i="4" s="1"/>
  <c r="Y113" i="4" s="1"/>
  <c r="P113" i="4"/>
  <c r="U113" i="4" s="1"/>
  <c r="Z113" i="4" s="1"/>
  <c r="Q113" i="4"/>
  <c r="V113" i="4"/>
  <c r="AA113" i="4" s="1"/>
  <c r="M114" i="4"/>
  <c r="R114" i="4"/>
  <c r="W114" i="4" s="1"/>
  <c r="N114" i="4"/>
  <c r="S114" i="4" s="1"/>
  <c r="X114" i="4" s="1"/>
  <c r="O114" i="4"/>
  <c r="T114" i="4" s="1"/>
  <c r="Y114" i="4" s="1"/>
  <c r="P114" i="4"/>
  <c r="U114" i="4"/>
  <c r="Z114" i="4" s="1"/>
  <c r="Q114" i="4"/>
  <c r="V114" i="4"/>
  <c r="AA114" i="4" s="1"/>
  <c r="M115" i="4"/>
  <c r="R115" i="4" s="1"/>
  <c r="W115" i="4" s="1"/>
  <c r="N115" i="4"/>
  <c r="S115" i="4" s="1"/>
  <c r="X115" i="4" s="1"/>
  <c r="O115" i="4"/>
  <c r="T115" i="4"/>
  <c r="Y115" i="4" s="1"/>
  <c r="P115" i="4"/>
  <c r="U115" i="4"/>
  <c r="Z115" i="4" s="1"/>
  <c r="Q115" i="4"/>
  <c r="V115" i="4" s="1"/>
  <c r="AA115" i="4" s="1"/>
  <c r="M116" i="4"/>
  <c r="R116" i="4" s="1"/>
  <c r="W116" i="4" s="1"/>
  <c r="N116" i="4"/>
  <c r="S116" i="4"/>
  <c r="X116" i="4" s="1"/>
  <c r="O116" i="4"/>
  <c r="T116" i="4"/>
  <c r="Y116" i="4" s="1"/>
  <c r="P116" i="4"/>
  <c r="U116" i="4" s="1"/>
  <c r="Z116" i="4" s="1"/>
  <c r="Q116" i="4"/>
  <c r="V116" i="4" s="1"/>
  <c r="AA116" i="4" s="1"/>
  <c r="M117" i="4"/>
  <c r="R117" i="4"/>
  <c r="W117" i="4" s="1"/>
  <c r="N117" i="4"/>
  <c r="S117" i="4"/>
  <c r="X117" i="4" s="1"/>
  <c r="O117" i="4"/>
  <c r="T117" i="4" s="1"/>
  <c r="Y117" i="4" s="1"/>
  <c r="P117" i="4"/>
  <c r="U117" i="4" s="1"/>
  <c r="Z117" i="4" s="1"/>
  <c r="Q117" i="4"/>
  <c r="V117" i="4"/>
  <c r="AA117" i="4" s="1"/>
  <c r="M118" i="4"/>
  <c r="R118" i="4"/>
  <c r="W118" i="4" s="1"/>
  <c r="N118" i="4"/>
  <c r="S118" i="4" s="1"/>
  <c r="X118" i="4" s="1"/>
  <c r="O118" i="4"/>
  <c r="T118" i="4" s="1"/>
  <c r="Y118" i="4" s="1"/>
  <c r="P118" i="4"/>
  <c r="U118" i="4"/>
  <c r="Z118" i="4" s="1"/>
  <c r="Q118" i="4"/>
  <c r="V118" i="4"/>
  <c r="AA118" i="4" s="1"/>
  <c r="M119" i="4"/>
  <c r="R119" i="4" s="1"/>
  <c r="W119" i="4" s="1"/>
  <c r="N119" i="4"/>
  <c r="S119" i="4" s="1"/>
  <c r="X119" i="4" s="1"/>
  <c r="O119" i="4"/>
  <c r="T119" i="4"/>
  <c r="Y119" i="4" s="1"/>
  <c r="P119" i="4"/>
  <c r="U119" i="4"/>
  <c r="Z119" i="4" s="1"/>
  <c r="Q119" i="4"/>
  <c r="V119" i="4" s="1"/>
  <c r="AA119" i="4" s="1"/>
  <c r="M120" i="4"/>
  <c r="R120" i="4" s="1"/>
  <c r="W120" i="4" s="1"/>
  <c r="N120" i="4"/>
  <c r="S120" i="4"/>
  <c r="X120" i="4" s="1"/>
  <c r="O120" i="4"/>
  <c r="T120" i="4"/>
  <c r="Y120" i="4" s="1"/>
  <c r="P120" i="4"/>
  <c r="U120" i="4" s="1"/>
  <c r="Z120" i="4" s="1"/>
  <c r="Q120" i="4"/>
  <c r="V120" i="4" s="1"/>
  <c r="AA120" i="4" s="1"/>
  <c r="M121" i="4"/>
  <c r="R121" i="4"/>
  <c r="W121" i="4" s="1"/>
  <c r="N121" i="4"/>
  <c r="S121" i="4"/>
  <c r="X121" i="4" s="1"/>
  <c r="O121" i="4"/>
  <c r="T121" i="4" s="1"/>
  <c r="Y121" i="4" s="1"/>
  <c r="P121" i="4"/>
  <c r="U121" i="4" s="1"/>
  <c r="Z121" i="4" s="1"/>
  <c r="Q121" i="4"/>
  <c r="V121" i="4"/>
  <c r="AA121" i="4" s="1"/>
  <c r="M122" i="4"/>
  <c r="R122" i="4"/>
  <c r="W122" i="4" s="1"/>
  <c r="N122" i="4"/>
  <c r="S122" i="4" s="1"/>
  <c r="X122" i="4" s="1"/>
  <c r="O122" i="4"/>
  <c r="T122" i="4" s="1"/>
  <c r="Y122" i="4" s="1"/>
  <c r="P122" i="4"/>
  <c r="U122" i="4"/>
  <c r="Z122" i="4" s="1"/>
  <c r="Q122" i="4"/>
  <c r="V122" i="4"/>
  <c r="AA122" i="4" s="1"/>
  <c r="M123" i="4"/>
  <c r="R123" i="4" s="1"/>
  <c r="W123" i="4" s="1"/>
  <c r="N123" i="4"/>
  <c r="S123" i="4" s="1"/>
  <c r="X123" i="4" s="1"/>
  <c r="O123" i="4"/>
  <c r="T123" i="4"/>
  <c r="Y123" i="4" s="1"/>
  <c r="P123" i="4"/>
  <c r="U123" i="4"/>
  <c r="Z123" i="4" s="1"/>
  <c r="Q123" i="4"/>
  <c r="V123" i="4" s="1"/>
  <c r="AA123" i="4" s="1"/>
  <c r="M124" i="4"/>
  <c r="R124" i="4" s="1"/>
  <c r="W124" i="4" s="1"/>
  <c r="N124" i="4"/>
  <c r="S124" i="4"/>
  <c r="X124" i="4" s="1"/>
  <c r="O124" i="4"/>
  <c r="T124" i="4"/>
  <c r="Y124" i="4" s="1"/>
  <c r="P124" i="4"/>
  <c r="U124" i="4" s="1"/>
  <c r="Z124" i="4" s="1"/>
  <c r="Q124" i="4"/>
  <c r="V124" i="4" s="1"/>
  <c r="AA124" i="4" s="1"/>
  <c r="M125" i="4"/>
  <c r="R125" i="4"/>
  <c r="W125" i="4" s="1"/>
  <c r="N125" i="4"/>
  <c r="S125" i="4"/>
  <c r="X125" i="4" s="1"/>
  <c r="O125" i="4"/>
  <c r="T125" i="4" s="1"/>
  <c r="Y125" i="4" s="1"/>
  <c r="P125" i="4"/>
  <c r="U125" i="4" s="1"/>
  <c r="Z125" i="4" s="1"/>
  <c r="Q125" i="4"/>
  <c r="V125" i="4"/>
  <c r="AA125" i="4" s="1"/>
  <c r="M126" i="4"/>
  <c r="R126" i="4"/>
  <c r="W126" i="4" s="1"/>
  <c r="N126" i="4"/>
  <c r="S126" i="4" s="1"/>
  <c r="X126" i="4" s="1"/>
  <c r="O126" i="4"/>
  <c r="T126" i="4" s="1"/>
  <c r="Y126" i="4" s="1"/>
  <c r="P126" i="4"/>
  <c r="U126" i="4"/>
  <c r="Z126" i="4" s="1"/>
  <c r="Q126" i="4"/>
  <c r="V126" i="4"/>
  <c r="AA126" i="4" s="1"/>
  <c r="M127" i="4"/>
  <c r="R127" i="4" s="1"/>
  <c r="W127" i="4" s="1"/>
  <c r="N127" i="4"/>
  <c r="S127" i="4" s="1"/>
  <c r="X127" i="4" s="1"/>
  <c r="O127" i="4"/>
  <c r="T127" i="4"/>
  <c r="Y127" i="4" s="1"/>
  <c r="P127" i="4"/>
  <c r="U127" i="4"/>
  <c r="Z127" i="4" s="1"/>
  <c r="Q127" i="4"/>
  <c r="V127" i="4" s="1"/>
  <c r="AA127" i="4" s="1"/>
  <c r="M128" i="4"/>
  <c r="R128" i="4" s="1"/>
  <c r="W128" i="4" s="1"/>
  <c r="N128" i="4"/>
  <c r="S128" i="4"/>
  <c r="X128" i="4" s="1"/>
  <c r="O128" i="4"/>
  <c r="T128" i="4"/>
  <c r="Y128" i="4" s="1"/>
  <c r="P128" i="4"/>
  <c r="U128" i="4" s="1"/>
  <c r="Z128" i="4" s="1"/>
  <c r="Q128" i="4"/>
  <c r="V128" i="4" s="1"/>
  <c r="AA128" i="4" s="1"/>
  <c r="M129" i="4"/>
  <c r="R129" i="4"/>
  <c r="W129" i="4" s="1"/>
  <c r="N129" i="4"/>
  <c r="S129" i="4"/>
  <c r="X129" i="4" s="1"/>
  <c r="O129" i="4"/>
  <c r="T129" i="4" s="1"/>
  <c r="Y129" i="4" s="1"/>
  <c r="P129" i="4"/>
  <c r="U129" i="4" s="1"/>
  <c r="Z129" i="4" s="1"/>
  <c r="Q129" i="4"/>
  <c r="V129" i="4"/>
  <c r="AA129" i="4" s="1"/>
  <c r="M130" i="4"/>
  <c r="R130" i="4"/>
  <c r="W130" i="4" s="1"/>
  <c r="N130" i="4"/>
  <c r="S130" i="4" s="1"/>
  <c r="X130" i="4" s="1"/>
  <c r="O130" i="4"/>
  <c r="T130" i="4" s="1"/>
  <c r="Y130" i="4" s="1"/>
  <c r="P130" i="4"/>
  <c r="U130" i="4"/>
  <c r="Z130" i="4" s="1"/>
  <c r="Q130" i="4"/>
  <c r="V130" i="4"/>
  <c r="AA130" i="4" s="1"/>
  <c r="M131" i="4"/>
  <c r="R131" i="4" s="1"/>
  <c r="W131" i="4" s="1"/>
  <c r="N131" i="4"/>
  <c r="S131" i="4" s="1"/>
  <c r="X131" i="4" s="1"/>
  <c r="O131" i="4"/>
  <c r="T131" i="4"/>
  <c r="Y131" i="4" s="1"/>
  <c r="P131" i="4"/>
  <c r="U131" i="4"/>
  <c r="Z131" i="4" s="1"/>
  <c r="Q131" i="4"/>
  <c r="V131" i="4" s="1"/>
  <c r="AA131" i="4" s="1"/>
  <c r="M132" i="4"/>
  <c r="R132" i="4" s="1"/>
  <c r="W132" i="4" s="1"/>
  <c r="N132" i="4"/>
  <c r="S132" i="4"/>
  <c r="X132" i="4" s="1"/>
  <c r="O132" i="4"/>
  <c r="T132" i="4"/>
  <c r="Y132" i="4" s="1"/>
  <c r="P132" i="4"/>
  <c r="U132" i="4" s="1"/>
  <c r="Z132" i="4" s="1"/>
  <c r="Q132" i="4"/>
  <c r="V132" i="4" s="1"/>
  <c r="AA132" i="4" s="1"/>
  <c r="M133" i="4"/>
  <c r="R133" i="4"/>
  <c r="W133" i="4" s="1"/>
  <c r="N133" i="4"/>
  <c r="S133" i="4"/>
  <c r="X133" i="4" s="1"/>
  <c r="O133" i="4"/>
  <c r="T133" i="4" s="1"/>
  <c r="Y133" i="4" s="1"/>
  <c r="P133" i="4"/>
  <c r="U133" i="4" s="1"/>
  <c r="Z133" i="4" s="1"/>
  <c r="Q133" i="4"/>
  <c r="V133" i="4"/>
  <c r="AA133" i="4" s="1"/>
  <c r="M134" i="4"/>
  <c r="R134" i="4"/>
  <c r="W134" i="4" s="1"/>
  <c r="N134" i="4"/>
  <c r="S134" i="4" s="1"/>
  <c r="X134" i="4" s="1"/>
  <c r="O134" i="4"/>
  <c r="T134" i="4" s="1"/>
  <c r="Y134" i="4" s="1"/>
  <c r="P134" i="4"/>
  <c r="U134" i="4"/>
  <c r="Z134" i="4" s="1"/>
  <c r="Q134" i="4"/>
  <c r="V134" i="4"/>
  <c r="AA134" i="4" s="1"/>
  <c r="M135" i="4"/>
  <c r="R135" i="4" s="1"/>
  <c r="W135" i="4" s="1"/>
  <c r="N135" i="4"/>
  <c r="S135" i="4" s="1"/>
  <c r="X135" i="4" s="1"/>
  <c r="O135" i="4"/>
  <c r="T135" i="4"/>
  <c r="Y135" i="4" s="1"/>
  <c r="P135" i="4"/>
  <c r="U135" i="4"/>
  <c r="Z135" i="4" s="1"/>
  <c r="Q135" i="4"/>
  <c r="V135" i="4" s="1"/>
  <c r="AA135" i="4" s="1"/>
  <c r="M136" i="4"/>
  <c r="R136" i="4" s="1"/>
  <c r="W136" i="4" s="1"/>
  <c r="N136" i="4"/>
  <c r="S136" i="4"/>
  <c r="X136" i="4" s="1"/>
  <c r="O136" i="4"/>
  <c r="T136" i="4"/>
  <c r="Y136" i="4" s="1"/>
  <c r="P136" i="4"/>
  <c r="U136" i="4" s="1"/>
  <c r="Z136" i="4" s="1"/>
  <c r="Q136" i="4"/>
  <c r="V136" i="4" s="1"/>
  <c r="AA136" i="4" s="1"/>
  <c r="M137" i="4"/>
  <c r="R137" i="4"/>
  <c r="W137" i="4" s="1"/>
  <c r="N137" i="4"/>
  <c r="S137" i="4"/>
  <c r="X137" i="4" s="1"/>
  <c r="O137" i="4"/>
  <c r="T137" i="4" s="1"/>
  <c r="Y137" i="4" s="1"/>
  <c r="P137" i="4"/>
  <c r="U137" i="4" s="1"/>
  <c r="Z137" i="4" s="1"/>
  <c r="Q137" i="4"/>
  <c r="V137" i="4"/>
  <c r="AA137" i="4" s="1"/>
  <c r="M138" i="4"/>
  <c r="R138" i="4"/>
  <c r="W138" i="4" s="1"/>
  <c r="N138" i="4"/>
  <c r="S138" i="4" s="1"/>
  <c r="X138" i="4" s="1"/>
  <c r="O138" i="4"/>
  <c r="T138" i="4" s="1"/>
  <c r="Y138" i="4" s="1"/>
  <c r="P138" i="4"/>
  <c r="U138" i="4"/>
  <c r="Z138" i="4" s="1"/>
  <c r="Q138" i="4"/>
  <c r="V138" i="4"/>
  <c r="AA138" i="4" s="1"/>
  <c r="M139" i="4"/>
  <c r="R139" i="4" s="1"/>
  <c r="W139" i="4" s="1"/>
  <c r="N139" i="4"/>
  <c r="S139" i="4" s="1"/>
  <c r="X139" i="4" s="1"/>
  <c r="O139" i="4"/>
  <c r="T139" i="4"/>
  <c r="Y139" i="4" s="1"/>
  <c r="P139" i="4"/>
  <c r="U139" i="4"/>
  <c r="Z139" i="4" s="1"/>
  <c r="Q139" i="4"/>
  <c r="V139" i="4" s="1"/>
  <c r="AA139" i="4" s="1"/>
  <c r="M140" i="4"/>
  <c r="R140" i="4" s="1"/>
  <c r="W140" i="4" s="1"/>
  <c r="N140" i="4"/>
  <c r="S140" i="4"/>
  <c r="X140" i="4" s="1"/>
  <c r="O140" i="4"/>
  <c r="T140" i="4"/>
  <c r="Y140" i="4" s="1"/>
  <c r="P140" i="4"/>
  <c r="U140" i="4" s="1"/>
  <c r="Z140" i="4" s="1"/>
  <c r="Q140" i="4"/>
  <c r="V140" i="4" s="1"/>
  <c r="AA140" i="4" s="1"/>
  <c r="M141" i="4"/>
  <c r="R141" i="4"/>
  <c r="W141" i="4" s="1"/>
  <c r="N141" i="4"/>
  <c r="S141" i="4"/>
  <c r="X141" i="4" s="1"/>
  <c r="O141" i="4"/>
  <c r="T141" i="4" s="1"/>
  <c r="Y141" i="4" s="1"/>
  <c r="P141" i="4"/>
  <c r="U141" i="4" s="1"/>
  <c r="Z141" i="4" s="1"/>
  <c r="Q141" i="4"/>
  <c r="V141" i="4"/>
  <c r="AA141" i="4" s="1"/>
  <c r="M142" i="4"/>
  <c r="R142" i="4"/>
  <c r="W142" i="4" s="1"/>
  <c r="N142" i="4"/>
  <c r="S142" i="4" s="1"/>
  <c r="X142" i="4" s="1"/>
  <c r="O142" i="4"/>
  <c r="T142" i="4" s="1"/>
  <c r="Y142" i="4" s="1"/>
  <c r="P142" i="4"/>
  <c r="U142" i="4"/>
  <c r="Z142" i="4" s="1"/>
  <c r="Q142" i="4"/>
  <c r="V142" i="4"/>
  <c r="AA142" i="4" s="1"/>
  <c r="M143" i="4"/>
  <c r="R143" i="4" s="1"/>
  <c r="W143" i="4" s="1"/>
  <c r="N143" i="4"/>
  <c r="S143" i="4" s="1"/>
  <c r="X143" i="4" s="1"/>
  <c r="O143" i="4"/>
  <c r="T143" i="4"/>
  <c r="Y143" i="4" s="1"/>
  <c r="P143" i="4"/>
  <c r="U143" i="4"/>
  <c r="Z143" i="4" s="1"/>
  <c r="Q143" i="4"/>
  <c r="V143" i="4" s="1"/>
  <c r="AA143" i="4" s="1"/>
  <c r="M144" i="4"/>
  <c r="R144" i="4" s="1"/>
  <c r="W144" i="4" s="1"/>
  <c r="N144" i="4"/>
  <c r="S144" i="4"/>
  <c r="X144" i="4" s="1"/>
  <c r="O144" i="4"/>
  <c r="T144" i="4"/>
  <c r="Y144" i="4" s="1"/>
  <c r="P144" i="4"/>
  <c r="U144" i="4" s="1"/>
  <c r="Z144" i="4" s="1"/>
  <c r="Q144" i="4"/>
  <c r="V144" i="4" s="1"/>
  <c r="AA144" i="4" s="1"/>
  <c r="M145" i="4"/>
  <c r="R145" i="4"/>
  <c r="W145" i="4" s="1"/>
  <c r="N145" i="4"/>
  <c r="S145" i="4"/>
  <c r="X145" i="4" s="1"/>
  <c r="O145" i="4"/>
  <c r="T145" i="4" s="1"/>
  <c r="Y145" i="4" s="1"/>
  <c r="P145" i="4"/>
  <c r="U145" i="4" s="1"/>
  <c r="Z145" i="4" s="1"/>
  <c r="Q145" i="4"/>
  <c r="V145" i="4"/>
  <c r="AA145" i="4" s="1"/>
  <c r="M146" i="4"/>
  <c r="R146" i="4"/>
  <c r="W146" i="4" s="1"/>
  <c r="N146" i="4"/>
  <c r="S146" i="4" s="1"/>
  <c r="X146" i="4" s="1"/>
  <c r="O146" i="4"/>
  <c r="T146" i="4" s="1"/>
  <c r="Y146" i="4" s="1"/>
  <c r="P146" i="4"/>
  <c r="U146" i="4"/>
  <c r="Z146" i="4" s="1"/>
  <c r="Q146" i="4"/>
  <c r="V146" i="4"/>
  <c r="AA146" i="4" s="1"/>
  <c r="M147" i="4"/>
  <c r="R147" i="4" s="1"/>
  <c r="W147" i="4" s="1"/>
  <c r="N147" i="4"/>
  <c r="S147" i="4" s="1"/>
  <c r="X147" i="4" s="1"/>
  <c r="O147" i="4"/>
  <c r="T147" i="4"/>
  <c r="Y147" i="4" s="1"/>
  <c r="P147" i="4"/>
  <c r="U147" i="4"/>
  <c r="Z147" i="4" s="1"/>
  <c r="Q147" i="4"/>
  <c r="V147" i="4" s="1"/>
  <c r="AA147" i="4" s="1"/>
  <c r="M148" i="4"/>
  <c r="R148" i="4" s="1"/>
  <c r="W148" i="4" s="1"/>
  <c r="N148" i="4"/>
  <c r="S148" i="4"/>
  <c r="X148" i="4" s="1"/>
  <c r="O148" i="4"/>
  <c r="T148" i="4"/>
  <c r="Y148" i="4" s="1"/>
  <c r="P148" i="4"/>
  <c r="U148" i="4" s="1"/>
  <c r="Z148" i="4" s="1"/>
  <c r="Q148" i="4"/>
  <c r="V148" i="4" s="1"/>
  <c r="AA148" i="4" s="1"/>
  <c r="M149" i="4"/>
  <c r="R149" i="4"/>
  <c r="W149" i="4" s="1"/>
  <c r="N149" i="4"/>
  <c r="S149" i="4"/>
  <c r="X149" i="4" s="1"/>
  <c r="O149" i="4"/>
  <c r="T149" i="4" s="1"/>
  <c r="Y149" i="4" s="1"/>
  <c r="P149" i="4"/>
  <c r="U149" i="4" s="1"/>
  <c r="Z149" i="4" s="1"/>
  <c r="Q149" i="4"/>
  <c r="V149" i="4"/>
  <c r="AA149" i="4" s="1"/>
  <c r="M150" i="4"/>
  <c r="R150" i="4"/>
  <c r="W150" i="4" s="1"/>
  <c r="N150" i="4"/>
  <c r="S150" i="4" s="1"/>
  <c r="X150" i="4" s="1"/>
  <c r="O150" i="4"/>
  <c r="T150" i="4" s="1"/>
  <c r="Y150" i="4" s="1"/>
  <c r="P150" i="4"/>
  <c r="U150" i="4"/>
  <c r="Z150" i="4" s="1"/>
  <c r="Q150" i="4"/>
  <c r="V150" i="4"/>
  <c r="AA150" i="4" s="1"/>
  <c r="M151" i="4"/>
  <c r="R151" i="4" s="1"/>
  <c r="W151" i="4" s="1"/>
  <c r="N151" i="4"/>
  <c r="S151" i="4" s="1"/>
  <c r="X151" i="4" s="1"/>
  <c r="O151" i="4"/>
  <c r="T151" i="4"/>
  <c r="Y151" i="4" s="1"/>
  <c r="P151" i="4"/>
  <c r="U151" i="4"/>
  <c r="Z151" i="4" s="1"/>
  <c r="Q151" i="4"/>
  <c r="V151" i="4" s="1"/>
  <c r="AA151" i="4" s="1"/>
  <c r="M152" i="4"/>
  <c r="R152" i="4"/>
  <c r="W152" i="4" s="1"/>
  <c r="N152" i="4"/>
  <c r="S152" i="4" s="1"/>
  <c r="X152" i="4" s="1"/>
  <c r="O152" i="4"/>
  <c r="T152" i="4" s="1"/>
  <c r="Y152" i="4" s="1"/>
  <c r="P152" i="4"/>
  <c r="U152" i="4"/>
  <c r="Z152" i="4" s="1"/>
  <c r="Q152" i="4"/>
  <c r="V152" i="4"/>
  <c r="AA152" i="4" s="1"/>
  <c r="M153" i="4"/>
  <c r="R153" i="4" s="1"/>
  <c r="W153" i="4" s="1"/>
  <c r="N153" i="4"/>
  <c r="S153" i="4" s="1"/>
  <c r="X153" i="4" s="1"/>
  <c r="O153" i="4"/>
  <c r="T153" i="4"/>
  <c r="Y153" i="4" s="1"/>
  <c r="P153" i="4"/>
  <c r="U153" i="4"/>
  <c r="Z153" i="4" s="1"/>
  <c r="Q153" i="4"/>
  <c r="V153" i="4" s="1"/>
  <c r="AA153" i="4" s="1"/>
  <c r="M154" i="4"/>
  <c r="R154" i="4" s="1"/>
  <c r="W154" i="4" s="1"/>
  <c r="N154" i="4"/>
  <c r="S154" i="4"/>
  <c r="X154" i="4" s="1"/>
  <c r="O154" i="4"/>
  <c r="T154" i="4"/>
  <c r="Y154" i="4" s="1"/>
  <c r="P154" i="4"/>
  <c r="U154" i="4" s="1"/>
  <c r="Z154" i="4" s="1"/>
  <c r="Q154" i="4"/>
  <c r="V154" i="4" s="1"/>
  <c r="AA154" i="4" s="1"/>
  <c r="M155" i="4"/>
  <c r="R155" i="4"/>
  <c r="W155" i="4" s="1"/>
  <c r="N155" i="4"/>
  <c r="S155" i="4"/>
  <c r="X155" i="4" s="1"/>
  <c r="O155" i="4"/>
  <c r="T155" i="4" s="1"/>
  <c r="Y155" i="4" s="1"/>
  <c r="P155" i="4"/>
  <c r="U155" i="4" s="1"/>
  <c r="Z155" i="4" s="1"/>
  <c r="Q155" i="4"/>
  <c r="V155" i="4"/>
  <c r="AA155" i="4" s="1"/>
  <c r="M156" i="4"/>
  <c r="R156" i="4" s="1"/>
  <c r="W156" i="4" s="1"/>
  <c r="N156" i="4"/>
  <c r="S156" i="4"/>
  <c r="X156" i="4" s="1"/>
  <c r="O156" i="4"/>
  <c r="T156" i="4"/>
  <c r="Y156" i="4" s="1"/>
  <c r="P156" i="4"/>
  <c r="U156" i="4" s="1"/>
  <c r="Z156" i="4" s="1"/>
  <c r="Q156" i="4"/>
  <c r="V156" i="4" s="1"/>
  <c r="AA156" i="4" s="1"/>
  <c r="M157" i="4"/>
  <c r="R157" i="4"/>
  <c r="W157" i="4" s="1"/>
  <c r="N157" i="4"/>
  <c r="S157" i="4"/>
  <c r="X157" i="4" s="1"/>
  <c r="O157" i="4"/>
  <c r="T157" i="4" s="1"/>
  <c r="Y157" i="4" s="1"/>
  <c r="P157" i="4"/>
  <c r="U157" i="4" s="1"/>
  <c r="Z157" i="4" s="1"/>
  <c r="Q157" i="4"/>
  <c r="V157" i="4"/>
  <c r="AA157" i="4" s="1"/>
  <c r="M158" i="4"/>
  <c r="R158" i="4"/>
  <c r="W158" i="4" s="1"/>
  <c r="N158" i="4"/>
  <c r="S158" i="4" s="1"/>
  <c r="X158" i="4" s="1"/>
  <c r="O158" i="4"/>
  <c r="T158" i="4" s="1"/>
  <c r="Y158" i="4" s="1"/>
  <c r="P158" i="4"/>
  <c r="U158" i="4"/>
  <c r="Z158" i="4" s="1"/>
  <c r="Q158" i="4"/>
  <c r="V158" i="4"/>
  <c r="AA158" i="4" s="1"/>
  <c r="M159" i="4"/>
  <c r="R159" i="4" s="1"/>
  <c r="W159" i="4" s="1"/>
  <c r="N159" i="4"/>
  <c r="S159" i="4" s="1"/>
  <c r="X159" i="4" s="1"/>
  <c r="O159" i="4"/>
  <c r="T159" i="4"/>
  <c r="Y159" i="4" s="1"/>
  <c r="P159" i="4"/>
  <c r="U159" i="4"/>
  <c r="Z159" i="4" s="1"/>
  <c r="Q159" i="4"/>
  <c r="V159" i="4" s="1"/>
  <c r="AA159" i="4" s="1"/>
  <c r="M160" i="4"/>
  <c r="R160" i="4"/>
  <c r="W160" i="4" s="1"/>
  <c r="N160" i="4"/>
  <c r="S160" i="4" s="1"/>
  <c r="X160" i="4" s="1"/>
  <c r="O160" i="4"/>
  <c r="T160" i="4" s="1"/>
  <c r="Y160" i="4" s="1"/>
  <c r="P160" i="4"/>
  <c r="U160" i="4"/>
  <c r="Z160" i="4" s="1"/>
  <c r="Q160" i="4"/>
  <c r="V160" i="4"/>
  <c r="AA160" i="4" s="1"/>
  <c r="M161" i="4"/>
  <c r="R161" i="4" s="1"/>
  <c r="W161" i="4" s="1"/>
  <c r="N161" i="4"/>
  <c r="S161" i="4" s="1"/>
  <c r="X161" i="4" s="1"/>
  <c r="O161" i="4"/>
  <c r="T161" i="4"/>
  <c r="Y161" i="4" s="1"/>
  <c r="P161" i="4"/>
  <c r="U161" i="4"/>
  <c r="Z161" i="4" s="1"/>
  <c r="Q161" i="4"/>
  <c r="V161" i="4" s="1"/>
  <c r="AA161" i="4" s="1"/>
  <c r="M162" i="4"/>
  <c r="R162" i="4" s="1"/>
  <c r="W162" i="4" s="1"/>
  <c r="N162" i="4"/>
  <c r="S162" i="4"/>
  <c r="X162" i="4" s="1"/>
  <c r="O162" i="4"/>
  <c r="T162" i="4"/>
  <c r="Y162" i="4" s="1"/>
  <c r="P162" i="4"/>
  <c r="U162" i="4" s="1"/>
  <c r="Z162" i="4" s="1"/>
  <c r="Q162" i="4"/>
  <c r="V162" i="4" s="1"/>
  <c r="AA162" i="4" s="1"/>
  <c r="M163" i="4"/>
  <c r="R163" i="4"/>
  <c r="W163" i="4" s="1"/>
  <c r="N163" i="4"/>
  <c r="S163" i="4"/>
  <c r="X163" i="4" s="1"/>
  <c r="O163" i="4"/>
  <c r="T163" i="4" s="1"/>
  <c r="Y163" i="4" s="1"/>
  <c r="P163" i="4"/>
  <c r="U163" i="4" s="1"/>
  <c r="Z163" i="4" s="1"/>
  <c r="Q163" i="4"/>
  <c r="V163" i="4"/>
  <c r="AA163" i="4" s="1"/>
  <c r="M164" i="4"/>
  <c r="R164" i="4" s="1"/>
  <c r="W164" i="4" s="1"/>
  <c r="N164" i="4"/>
  <c r="S164" i="4"/>
  <c r="X164" i="4" s="1"/>
  <c r="O164" i="4"/>
  <c r="T164" i="4"/>
  <c r="Y164" i="4" s="1"/>
  <c r="P164" i="4"/>
  <c r="U164" i="4" s="1"/>
  <c r="Z164" i="4" s="1"/>
  <c r="Q164" i="4"/>
  <c r="V164" i="4" s="1"/>
  <c r="AA164" i="4" s="1"/>
  <c r="M165" i="4"/>
  <c r="R165" i="4"/>
  <c r="W165" i="4" s="1"/>
  <c r="N165" i="4"/>
  <c r="S165" i="4"/>
  <c r="X165" i="4" s="1"/>
  <c r="O165" i="4"/>
  <c r="T165" i="4" s="1"/>
  <c r="Y165" i="4" s="1"/>
  <c r="P165" i="4"/>
  <c r="U165" i="4" s="1"/>
  <c r="Z165" i="4" s="1"/>
  <c r="Q165" i="4"/>
  <c r="V165" i="4"/>
  <c r="AA165" i="4" s="1"/>
  <c r="M166" i="4"/>
  <c r="R166" i="4"/>
  <c r="W166" i="4" s="1"/>
  <c r="N166" i="4"/>
  <c r="S166" i="4" s="1"/>
  <c r="X166" i="4" s="1"/>
  <c r="O166" i="4"/>
  <c r="T166" i="4" s="1"/>
  <c r="Y166" i="4" s="1"/>
  <c r="P166" i="4"/>
  <c r="U166" i="4"/>
  <c r="Z166" i="4" s="1"/>
  <c r="Q166" i="4"/>
  <c r="V166" i="4"/>
  <c r="AA166" i="4" s="1"/>
  <c r="M167" i="4"/>
  <c r="R167" i="4" s="1"/>
  <c r="W167" i="4" s="1"/>
  <c r="N167" i="4"/>
  <c r="S167" i="4" s="1"/>
  <c r="X167" i="4" s="1"/>
  <c r="O167" i="4"/>
  <c r="T167" i="4"/>
  <c r="Y167" i="4" s="1"/>
  <c r="P167" i="4"/>
  <c r="U167" i="4"/>
  <c r="Z167" i="4" s="1"/>
  <c r="Q167" i="4"/>
  <c r="V167" i="4" s="1"/>
  <c r="AA167" i="4" s="1"/>
  <c r="M168" i="4"/>
  <c r="R168" i="4"/>
  <c r="W168" i="4" s="1"/>
  <c r="N168" i="4"/>
  <c r="S168" i="4" s="1"/>
  <c r="X168" i="4" s="1"/>
  <c r="O168" i="4"/>
  <c r="T168" i="4" s="1"/>
  <c r="Y168" i="4" s="1"/>
  <c r="P168" i="4"/>
  <c r="U168" i="4"/>
  <c r="Z168" i="4" s="1"/>
  <c r="Q168" i="4"/>
  <c r="V168" i="4"/>
  <c r="AA168" i="4" s="1"/>
  <c r="M169" i="4"/>
  <c r="R169" i="4" s="1"/>
  <c r="W169" i="4" s="1"/>
  <c r="N169" i="4"/>
  <c r="S169" i="4" s="1"/>
  <c r="X169" i="4" s="1"/>
  <c r="O169" i="4"/>
  <c r="T169" i="4"/>
  <c r="Y169" i="4" s="1"/>
  <c r="P169" i="4"/>
  <c r="U169" i="4"/>
  <c r="Z169" i="4" s="1"/>
  <c r="Q169" i="4"/>
  <c r="V169" i="4" s="1"/>
  <c r="AA169" i="4" s="1"/>
  <c r="M170" i="4"/>
  <c r="R170" i="4" s="1"/>
  <c r="W170" i="4" s="1"/>
  <c r="N170" i="4"/>
  <c r="S170" i="4"/>
  <c r="X170" i="4" s="1"/>
  <c r="O170" i="4"/>
  <c r="T170" i="4"/>
  <c r="Y170" i="4" s="1"/>
  <c r="P170" i="4"/>
  <c r="U170" i="4" s="1"/>
  <c r="Z170" i="4" s="1"/>
  <c r="Q170" i="4"/>
  <c r="V170" i="4" s="1"/>
  <c r="AA170" i="4" s="1"/>
  <c r="M171" i="4"/>
  <c r="R171" i="4"/>
  <c r="W171" i="4" s="1"/>
  <c r="N171" i="4"/>
  <c r="S171" i="4"/>
  <c r="X171" i="4" s="1"/>
  <c r="O171" i="4"/>
  <c r="T171" i="4" s="1"/>
  <c r="Y171" i="4" s="1"/>
  <c r="P171" i="4"/>
  <c r="U171" i="4" s="1"/>
  <c r="Z171" i="4" s="1"/>
  <c r="Q171" i="4"/>
  <c r="V171" i="4"/>
  <c r="AA171" i="4" s="1"/>
  <c r="M172" i="4"/>
  <c r="R172" i="4" s="1"/>
  <c r="W172" i="4" s="1"/>
  <c r="N172" i="4"/>
  <c r="S172" i="4"/>
  <c r="X172" i="4" s="1"/>
  <c r="O172" i="4"/>
  <c r="T172" i="4"/>
  <c r="Y172" i="4" s="1"/>
  <c r="P172" i="4"/>
  <c r="U172" i="4" s="1"/>
  <c r="Z172" i="4" s="1"/>
  <c r="Q172" i="4"/>
  <c r="V172" i="4" s="1"/>
  <c r="AA172" i="4" s="1"/>
  <c r="M173" i="4"/>
  <c r="R173" i="4"/>
  <c r="W173" i="4" s="1"/>
  <c r="N173" i="4"/>
  <c r="S173" i="4"/>
  <c r="X173" i="4" s="1"/>
  <c r="O173" i="4"/>
  <c r="T173" i="4" s="1"/>
  <c r="Y173" i="4" s="1"/>
  <c r="P173" i="4"/>
  <c r="U173" i="4" s="1"/>
  <c r="Z173" i="4" s="1"/>
  <c r="Q173" i="4"/>
  <c r="V173" i="4"/>
  <c r="AA173" i="4" s="1"/>
  <c r="M174" i="4"/>
  <c r="R174" i="4"/>
  <c r="W174" i="4" s="1"/>
  <c r="N174" i="4"/>
  <c r="S174" i="4" s="1"/>
  <c r="X174" i="4" s="1"/>
  <c r="O174" i="4"/>
  <c r="T174" i="4" s="1"/>
  <c r="Y174" i="4" s="1"/>
  <c r="P174" i="4"/>
  <c r="U174" i="4"/>
  <c r="Z174" i="4" s="1"/>
  <c r="Q174" i="4"/>
  <c r="V174" i="4"/>
  <c r="AA174" i="4" s="1"/>
  <c r="M175" i="4"/>
  <c r="R175" i="4" s="1"/>
  <c r="W175" i="4" s="1"/>
  <c r="N175" i="4"/>
  <c r="S175" i="4" s="1"/>
  <c r="X175" i="4" s="1"/>
  <c r="O175" i="4"/>
  <c r="T175" i="4"/>
  <c r="Y175" i="4" s="1"/>
  <c r="P175" i="4"/>
  <c r="U175" i="4"/>
  <c r="Z175" i="4" s="1"/>
  <c r="Q175" i="4"/>
  <c r="V175" i="4" s="1"/>
  <c r="AA175" i="4" s="1"/>
  <c r="M176" i="4"/>
  <c r="R176" i="4"/>
  <c r="W176" i="4" s="1"/>
  <c r="N176" i="4"/>
  <c r="S176" i="4" s="1"/>
  <c r="X176" i="4" s="1"/>
  <c r="O176" i="4"/>
  <c r="T176" i="4" s="1"/>
  <c r="Y176" i="4" s="1"/>
  <c r="P176" i="4"/>
  <c r="U176" i="4"/>
  <c r="Z176" i="4" s="1"/>
  <c r="Q176" i="4"/>
  <c r="V176" i="4"/>
  <c r="AA176" i="4" s="1"/>
  <c r="M177" i="4"/>
  <c r="R177" i="4" s="1"/>
  <c r="W177" i="4" s="1"/>
  <c r="N177" i="4"/>
  <c r="S177" i="4" s="1"/>
  <c r="X177" i="4" s="1"/>
  <c r="O177" i="4"/>
  <c r="T177" i="4"/>
  <c r="Y177" i="4" s="1"/>
  <c r="P177" i="4"/>
  <c r="U177" i="4"/>
  <c r="Z177" i="4" s="1"/>
  <c r="Q177" i="4"/>
  <c r="V177" i="4" s="1"/>
  <c r="AA177" i="4" s="1"/>
  <c r="M178" i="4"/>
  <c r="R178" i="4" s="1"/>
  <c r="W178" i="4" s="1"/>
  <c r="N178" i="4"/>
  <c r="S178" i="4"/>
  <c r="X178" i="4" s="1"/>
  <c r="O178" i="4"/>
  <c r="T178" i="4"/>
  <c r="Y178" i="4" s="1"/>
  <c r="P178" i="4"/>
  <c r="U178" i="4" s="1"/>
  <c r="Z178" i="4" s="1"/>
  <c r="Q178" i="4"/>
  <c r="V178" i="4" s="1"/>
  <c r="AA178" i="4" s="1"/>
  <c r="M179" i="4"/>
  <c r="R179" i="4"/>
  <c r="W179" i="4" s="1"/>
  <c r="N179" i="4"/>
  <c r="S179" i="4"/>
  <c r="X179" i="4" s="1"/>
  <c r="O179" i="4"/>
  <c r="T179" i="4" s="1"/>
  <c r="Y179" i="4" s="1"/>
  <c r="P179" i="4"/>
  <c r="U179" i="4" s="1"/>
  <c r="Z179" i="4" s="1"/>
  <c r="Q179" i="4"/>
  <c r="V179" i="4"/>
  <c r="AA179" i="4" s="1"/>
  <c r="M180" i="4"/>
  <c r="R180" i="4" s="1"/>
  <c r="W180" i="4" s="1"/>
  <c r="N180" i="4"/>
  <c r="S180" i="4"/>
  <c r="X180" i="4" s="1"/>
  <c r="O180" i="4"/>
  <c r="T180" i="4"/>
  <c r="Y180" i="4" s="1"/>
  <c r="P180" i="4"/>
  <c r="U180" i="4" s="1"/>
  <c r="Z180" i="4" s="1"/>
  <c r="Q180" i="4"/>
  <c r="V180" i="4" s="1"/>
  <c r="AA180" i="4" s="1"/>
  <c r="M181" i="4"/>
  <c r="R181" i="4"/>
  <c r="W181" i="4" s="1"/>
  <c r="N181" i="4"/>
  <c r="S181" i="4"/>
  <c r="X181" i="4" s="1"/>
  <c r="O181" i="4"/>
  <c r="T181" i="4" s="1"/>
  <c r="Y181" i="4" s="1"/>
  <c r="P181" i="4"/>
  <c r="U181" i="4" s="1"/>
  <c r="Z181" i="4" s="1"/>
  <c r="Q181" i="4"/>
  <c r="V181" i="4"/>
  <c r="AA181" i="4" s="1"/>
  <c r="M182" i="4"/>
  <c r="R182" i="4"/>
  <c r="W182" i="4" s="1"/>
  <c r="N182" i="4"/>
  <c r="S182" i="4" s="1"/>
  <c r="X182" i="4" s="1"/>
  <c r="O182" i="4"/>
  <c r="T182" i="4" s="1"/>
  <c r="Y182" i="4" s="1"/>
  <c r="P182" i="4"/>
  <c r="U182" i="4"/>
  <c r="Z182" i="4" s="1"/>
  <c r="Q182" i="4"/>
  <c r="V182" i="4"/>
  <c r="AA182" i="4" s="1"/>
  <c r="M183" i="4"/>
  <c r="R183" i="4" s="1"/>
  <c r="W183" i="4" s="1"/>
  <c r="N183" i="4"/>
  <c r="S183" i="4" s="1"/>
  <c r="X183" i="4" s="1"/>
  <c r="O183" i="4"/>
  <c r="T183" i="4"/>
  <c r="Y183" i="4" s="1"/>
  <c r="P183" i="4"/>
  <c r="U183" i="4"/>
  <c r="Z183" i="4" s="1"/>
  <c r="Q183" i="4"/>
  <c r="V183" i="4" s="1"/>
  <c r="AA183" i="4" s="1"/>
  <c r="M184" i="4"/>
  <c r="R184" i="4" s="1"/>
  <c r="W184" i="4" s="1"/>
  <c r="N184" i="4"/>
  <c r="S184" i="4"/>
  <c r="X184" i="4" s="1"/>
  <c r="O184" i="4"/>
  <c r="T184" i="4"/>
  <c r="Y184" i="4" s="1"/>
  <c r="P184" i="4"/>
  <c r="U184" i="4" s="1"/>
  <c r="Z184" i="4" s="1"/>
  <c r="Q184" i="4"/>
  <c r="V184" i="4" s="1"/>
  <c r="AA184" i="4" s="1"/>
  <c r="M185" i="4"/>
  <c r="R185" i="4"/>
  <c r="W185" i="4" s="1"/>
  <c r="N185" i="4"/>
  <c r="S185" i="4"/>
  <c r="X185" i="4" s="1"/>
  <c r="O185" i="4"/>
  <c r="T185" i="4" s="1"/>
  <c r="Y185" i="4" s="1"/>
  <c r="P185" i="4"/>
  <c r="U185" i="4" s="1"/>
  <c r="Z185" i="4" s="1"/>
  <c r="Q185" i="4"/>
  <c r="V185" i="4"/>
  <c r="AA185" i="4" s="1"/>
  <c r="M186" i="4"/>
  <c r="R186" i="4"/>
  <c r="W186" i="4" s="1"/>
  <c r="N186" i="4"/>
  <c r="S186" i="4" s="1"/>
  <c r="X186" i="4" s="1"/>
  <c r="O186" i="4"/>
  <c r="T186" i="4" s="1"/>
  <c r="Y186" i="4" s="1"/>
  <c r="P186" i="4"/>
  <c r="U186" i="4"/>
  <c r="Z186" i="4" s="1"/>
  <c r="Q186" i="4"/>
  <c r="V186" i="4"/>
  <c r="AA186" i="4" s="1"/>
  <c r="M187" i="4"/>
  <c r="R187" i="4" s="1"/>
  <c r="W187" i="4" s="1"/>
  <c r="N187" i="4"/>
  <c r="S187" i="4" s="1"/>
  <c r="X187" i="4" s="1"/>
  <c r="O187" i="4"/>
  <c r="T187" i="4"/>
  <c r="Y187" i="4" s="1"/>
  <c r="P187" i="4"/>
  <c r="U187" i="4"/>
  <c r="Z187" i="4" s="1"/>
  <c r="Q187" i="4"/>
  <c r="V187" i="4" s="1"/>
  <c r="AA187" i="4" s="1"/>
  <c r="M188" i="4"/>
  <c r="R188" i="4" s="1"/>
  <c r="W188" i="4" s="1"/>
  <c r="N188" i="4"/>
  <c r="S188" i="4"/>
  <c r="X188" i="4" s="1"/>
  <c r="O188" i="4"/>
  <c r="T188" i="4"/>
  <c r="Y188" i="4" s="1"/>
  <c r="P188" i="4"/>
  <c r="U188" i="4" s="1"/>
  <c r="Z188" i="4" s="1"/>
  <c r="Q188" i="4"/>
  <c r="V188" i="4" s="1"/>
  <c r="AA188" i="4" s="1"/>
  <c r="M189" i="4"/>
  <c r="R189" i="4"/>
  <c r="W189" i="4" s="1"/>
  <c r="N189" i="4"/>
  <c r="S189" i="4"/>
  <c r="X189" i="4" s="1"/>
  <c r="O189" i="4"/>
  <c r="T189" i="4" s="1"/>
  <c r="Y189" i="4" s="1"/>
  <c r="P189" i="4"/>
  <c r="U189" i="4" s="1"/>
  <c r="Z189" i="4" s="1"/>
  <c r="Q189" i="4"/>
  <c r="V189" i="4"/>
  <c r="AA189" i="4" s="1"/>
  <c r="M190" i="4"/>
  <c r="R190" i="4"/>
  <c r="W190" i="4" s="1"/>
  <c r="N190" i="4"/>
  <c r="S190" i="4" s="1"/>
  <c r="X190" i="4" s="1"/>
  <c r="O190" i="4"/>
  <c r="T190" i="4" s="1"/>
  <c r="Y190" i="4" s="1"/>
  <c r="P190" i="4"/>
  <c r="U190" i="4"/>
  <c r="Z190" i="4" s="1"/>
  <c r="Q190" i="4"/>
  <c r="V190" i="4"/>
  <c r="AA190" i="4" s="1"/>
  <c r="M191" i="4"/>
  <c r="R191" i="4" s="1"/>
  <c r="W191" i="4" s="1"/>
  <c r="N191" i="4"/>
  <c r="S191" i="4" s="1"/>
  <c r="X191" i="4" s="1"/>
  <c r="O191" i="4"/>
  <c r="T191" i="4"/>
  <c r="Y191" i="4" s="1"/>
  <c r="P191" i="4"/>
  <c r="U191" i="4"/>
  <c r="Z191" i="4" s="1"/>
  <c r="Q191" i="4"/>
  <c r="V191" i="4" s="1"/>
  <c r="AA191" i="4" s="1"/>
  <c r="M192" i="4"/>
  <c r="R192" i="4" s="1"/>
  <c r="W192" i="4" s="1"/>
  <c r="N192" i="4"/>
  <c r="S192" i="4"/>
  <c r="X192" i="4" s="1"/>
  <c r="O192" i="4"/>
  <c r="T192" i="4"/>
  <c r="Y192" i="4" s="1"/>
  <c r="P192" i="4"/>
  <c r="U192" i="4" s="1"/>
  <c r="Z192" i="4" s="1"/>
  <c r="Q192" i="4"/>
  <c r="V192" i="4" s="1"/>
  <c r="AA192" i="4" s="1"/>
  <c r="M193" i="4"/>
  <c r="R193" i="4"/>
  <c r="W193" i="4" s="1"/>
  <c r="N193" i="4"/>
  <c r="S193" i="4"/>
  <c r="X193" i="4" s="1"/>
  <c r="O193" i="4"/>
  <c r="T193" i="4" s="1"/>
  <c r="Y193" i="4" s="1"/>
  <c r="P193" i="4"/>
  <c r="U193" i="4" s="1"/>
  <c r="Z193" i="4" s="1"/>
  <c r="Q193" i="4"/>
  <c r="V193" i="4"/>
  <c r="AA193" i="4" s="1"/>
  <c r="M194" i="4"/>
  <c r="R194" i="4"/>
  <c r="W194" i="4" s="1"/>
  <c r="N194" i="4"/>
  <c r="S194" i="4" s="1"/>
  <c r="X194" i="4" s="1"/>
  <c r="O194" i="4"/>
  <c r="T194" i="4" s="1"/>
  <c r="Y194" i="4" s="1"/>
  <c r="P194" i="4"/>
  <c r="U194" i="4"/>
  <c r="Z194" i="4" s="1"/>
  <c r="Q194" i="4"/>
  <c r="V194" i="4"/>
  <c r="AA194" i="4" s="1"/>
  <c r="M195" i="4"/>
  <c r="R195" i="4" s="1"/>
  <c r="W195" i="4" s="1"/>
  <c r="N195" i="4"/>
  <c r="S195" i="4" s="1"/>
  <c r="X195" i="4" s="1"/>
  <c r="O195" i="4"/>
  <c r="T195" i="4"/>
  <c r="Y195" i="4" s="1"/>
  <c r="P195" i="4"/>
  <c r="U195" i="4"/>
  <c r="Z195" i="4" s="1"/>
  <c r="Q195" i="4"/>
  <c r="V195" i="4" s="1"/>
  <c r="AA195" i="4" s="1"/>
  <c r="M196" i="4"/>
  <c r="R196" i="4" s="1"/>
  <c r="W196" i="4" s="1"/>
  <c r="N196" i="4"/>
  <c r="S196" i="4"/>
  <c r="X196" i="4" s="1"/>
  <c r="O196" i="4"/>
  <c r="T196" i="4"/>
  <c r="Y196" i="4" s="1"/>
  <c r="P196" i="4"/>
  <c r="U196" i="4" s="1"/>
  <c r="Z196" i="4" s="1"/>
  <c r="Q196" i="4"/>
  <c r="V196" i="4" s="1"/>
  <c r="AA196" i="4" s="1"/>
  <c r="M197" i="4"/>
  <c r="R197" i="4"/>
  <c r="W197" i="4" s="1"/>
  <c r="N197" i="4"/>
  <c r="S197" i="4"/>
  <c r="X197" i="4" s="1"/>
  <c r="O197" i="4"/>
  <c r="T197" i="4" s="1"/>
  <c r="Y197" i="4" s="1"/>
  <c r="P197" i="4"/>
  <c r="U197" i="4" s="1"/>
  <c r="Z197" i="4" s="1"/>
  <c r="Q197" i="4"/>
  <c r="V197" i="4"/>
  <c r="AA197" i="4" s="1"/>
  <c r="M198" i="4"/>
  <c r="R198" i="4"/>
  <c r="W198" i="4" s="1"/>
  <c r="N198" i="4"/>
  <c r="S198" i="4" s="1"/>
  <c r="X198" i="4" s="1"/>
  <c r="O198" i="4"/>
  <c r="T198" i="4" s="1"/>
  <c r="Y198" i="4" s="1"/>
  <c r="P198" i="4"/>
  <c r="U198" i="4"/>
  <c r="Z198" i="4" s="1"/>
  <c r="Q198" i="4"/>
  <c r="V198" i="4"/>
  <c r="AA198" i="4" s="1"/>
  <c r="M199" i="4"/>
  <c r="R199" i="4" s="1"/>
  <c r="W199" i="4" s="1"/>
  <c r="N199" i="4"/>
  <c r="S199" i="4" s="1"/>
  <c r="X199" i="4" s="1"/>
  <c r="O199" i="4"/>
  <c r="T199" i="4"/>
  <c r="Y199" i="4" s="1"/>
  <c r="P199" i="4"/>
  <c r="U199" i="4"/>
  <c r="Z199" i="4" s="1"/>
  <c r="Q199" i="4"/>
  <c r="V199" i="4" s="1"/>
  <c r="AA199" i="4" s="1"/>
  <c r="M200" i="4"/>
  <c r="R200" i="4" s="1"/>
  <c r="W200" i="4" s="1"/>
  <c r="N200" i="4"/>
  <c r="S200" i="4"/>
  <c r="X200" i="4" s="1"/>
  <c r="O200" i="4"/>
  <c r="T200" i="4"/>
  <c r="Y200" i="4" s="1"/>
  <c r="P200" i="4"/>
  <c r="U200" i="4" s="1"/>
  <c r="Z200" i="4" s="1"/>
  <c r="Q200" i="4"/>
  <c r="V200" i="4" s="1"/>
  <c r="AA200" i="4" s="1"/>
  <c r="M201" i="4"/>
  <c r="R201" i="4"/>
  <c r="W201" i="4" s="1"/>
  <c r="N201" i="4"/>
  <c r="S201" i="4"/>
  <c r="X201" i="4" s="1"/>
  <c r="O201" i="4"/>
  <c r="T201" i="4" s="1"/>
  <c r="Y201" i="4" s="1"/>
  <c r="P201" i="4"/>
  <c r="U201" i="4" s="1"/>
  <c r="Z201" i="4" s="1"/>
  <c r="Q201" i="4"/>
  <c r="V201" i="4"/>
  <c r="AA201" i="4" s="1"/>
  <c r="M202" i="4"/>
  <c r="R202" i="4"/>
  <c r="W202" i="4" s="1"/>
  <c r="N202" i="4"/>
  <c r="S202" i="4" s="1"/>
  <c r="X202" i="4" s="1"/>
  <c r="O202" i="4"/>
  <c r="T202" i="4" s="1"/>
  <c r="Y202" i="4" s="1"/>
  <c r="P202" i="4"/>
  <c r="U202" i="4"/>
  <c r="Z202" i="4" s="1"/>
  <c r="Q202" i="4"/>
  <c r="V202" i="4"/>
  <c r="AA202" i="4" s="1"/>
  <c r="M203" i="4"/>
  <c r="R203" i="4" s="1"/>
  <c r="W203" i="4" s="1"/>
  <c r="N203" i="4"/>
  <c r="S203" i="4" s="1"/>
  <c r="X203" i="4" s="1"/>
  <c r="O203" i="4"/>
  <c r="T203" i="4"/>
  <c r="Y203" i="4" s="1"/>
  <c r="P203" i="4"/>
  <c r="U203" i="4"/>
  <c r="Z203" i="4" s="1"/>
  <c r="Q203" i="4"/>
  <c r="V203" i="4" s="1"/>
  <c r="AA203" i="4" s="1"/>
  <c r="M204" i="4"/>
  <c r="R204" i="4" s="1"/>
  <c r="W204" i="4" s="1"/>
  <c r="N204" i="4"/>
  <c r="S204" i="4"/>
  <c r="X204" i="4" s="1"/>
  <c r="O204" i="4"/>
  <c r="T204" i="4"/>
  <c r="Y204" i="4" s="1"/>
  <c r="P204" i="4"/>
  <c r="U204" i="4" s="1"/>
  <c r="Z204" i="4" s="1"/>
  <c r="Q204" i="4"/>
  <c r="V204" i="4" s="1"/>
  <c r="AA204" i="4" s="1"/>
  <c r="M205" i="4"/>
  <c r="R205" i="4"/>
  <c r="W205" i="4" s="1"/>
  <c r="N205" i="4"/>
  <c r="S205" i="4"/>
  <c r="X205" i="4" s="1"/>
  <c r="O205" i="4"/>
  <c r="T205" i="4" s="1"/>
  <c r="Y205" i="4" s="1"/>
  <c r="P205" i="4"/>
  <c r="U205" i="4" s="1"/>
  <c r="Z205" i="4" s="1"/>
  <c r="Q205" i="4"/>
  <c r="V205" i="4"/>
  <c r="AA205" i="4" s="1"/>
  <c r="M206" i="4"/>
  <c r="R206" i="4"/>
  <c r="W206" i="4" s="1"/>
  <c r="N206" i="4"/>
  <c r="S206" i="4" s="1"/>
  <c r="X206" i="4" s="1"/>
  <c r="O206" i="4"/>
  <c r="T206" i="4" s="1"/>
  <c r="Y206" i="4" s="1"/>
  <c r="P206" i="4"/>
  <c r="U206" i="4"/>
  <c r="Z206" i="4" s="1"/>
  <c r="Q206" i="4"/>
  <c r="V206" i="4"/>
  <c r="AA206" i="4" s="1"/>
  <c r="M207" i="4"/>
  <c r="R207" i="4" s="1"/>
  <c r="W207" i="4" s="1"/>
  <c r="N207" i="4"/>
  <c r="S207" i="4" s="1"/>
  <c r="X207" i="4" s="1"/>
  <c r="O207" i="4"/>
  <c r="T207" i="4"/>
  <c r="Y207" i="4" s="1"/>
  <c r="P207" i="4"/>
  <c r="U207" i="4"/>
  <c r="Z207" i="4" s="1"/>
  <c r="Q207" i="4"/>
  <c r="V207" i="4" s="1"/>
  <c r="AA207" i="4" s="1"/>
  <c r="M208" i="4"/>
  <c r="R208" i="4" s="1"/>
  <c r="W208" i="4" s="1"/>
  <c r="N208" i="4"/>
  <c r="S208" i="4"/>
  <c r="X208" i="4" s="1"/>
  <c r="O208" i="4"/>
  <c r="T208" i="4"/>
  <c r="Y208" i="4" s="1"/>
  <c r="P208" i="4"/>
  <c r="U208" i="4" s="1"/>
  <c r="Z208" i="4" s="1"/>
  <c r="Q208" i="4"/>
  <c r="V208" i="4" s="1"/>
  <c r="AA208" i="4" s="1"/>
  <c r="M209" i="4"/>
  <c r="R209" i="4"/>
  <c r="W209" i="4" s="1"/>
  <c r="N209" i="4"/>
  <c r="S209" i="4"/>
  <c r="X209" i="4" s="1"/>
  <c r="O209" i="4"/>
  <c r="T209" i="4" s="1"/>
  <c r="Y209" i="4" s="1"/>
  <c r="P209" i="4"/>
  <c r="U209" i="4" s="1"/>
  <c r="Z209" i="4" s="1"/>
  <c r="Q209" i="4"/>
  <c r="V209" i="4"/>
  <c r="AA209" i="4" s="1"/>
  <c r="M210" i="4"/>
  <c r="R210" i="4"/>
  <c r="W210" i="4" s="1"/>
  <c r="N210" i="4"/>
  <c r="S210" i="4" s="1"/>
  <c r="X210" i="4" s="1"/>
  <c r="O210" i="4"/>
  <c r="T210" i="4" s="1"/>
  <c r="Y210" i="4" s="1"/>
  <c r="P210" i="4"/>
  <c r="U210" i="4"/>
  <c r="Z210" i="4" s="1"/>
  <c r="Q210" i="4"/>
  <c r="V210" i="4"/>
  <c r="AA210" i="4" s="1"/>
  <c r="M211" i="4"/>
  <c r="R211" i="4" s="1"/>
  <c r="W211" i="4" s="1"/>
  <c r="N211" i="4"/>
  <c r="S211" i="4" s="1"/>
  <c r="X211" i="4" s="1"/>
  <c r="O211" i="4"/>
  <c r="T211" i="4"/>
  <c r="Y211" i="4" s="1"/>
  <c r="P211" i="4"/>
  <c r="U211" i="4"/>
  <c r="Z211" i="4" s="1"/>
  <c r="Q211" i="4"/>
  <c r="V211" i="4" s="1"/>
  <c r="AA211" i="4" s="1"/>
  <c r="M212" i="4"/>
  <c r="R212" i="4" s="1"/>
  <c r="W212" i="4" s="1"/>
  <c r="N212" i="4"/>
  <c r="S212" i="4"/>
  <c r="X212" i="4" s="1"/>
  <c r="O212" i="4"/>
  <c r="T212" i="4"/>
  <c r="Y212" i="4" s="1"/>
  <c r="P212" i="4"/>
  <c r="U212" i="4" s="1"/>
  <c r="Z212" i="4" s="1"/>
  <c r="Q212" i="4"/>
  <c r="V212" i="4" s="1"/>
  <c r="AA212" i="4" s="1"/>
  <c r="M213" i="4"/>
  <c r="R213" i="4"/>
  <c r="W213" i="4" s="1"/>
  <c r="N213" i="4"/>
  <c r="S213" i="4"/>
  <c r="X213" i="4" s="1"/>
  <c r="O213" i="4"/>
  <c r="T213" i="4" s="1"/>
  <c r="Y213" i="4" s="1"/>
  <c r="P213" i="4"/>
  <c r="U213" i="4" s="1"/>
  <c r="Z213" i="4" s="1"/>
  <c r="Q213" i="4"/>
  <c r="V213" i="4"/>
  <c r="AA213" i="4" s="1"/>
  <c r="M214" i="4"/>
  <c r="R214" i="4"/>
  <c r="W214" i="4" s="1"/>
  <c r="N214" i="4"/>
  <c r="S214" i="4" s="1"/>
  <c r="X214" i="4" s="1"/>
  <c r="O214" i="4"/>
  <c r="T214" i="4" s="1"/>
  <c r="Y214" i="4" s="1"/>
  <c r="P214" i="4"/>
  <c r="U214" i="4"/>
  <c r="Z214" i="4" s="1"/>
  <c r="Q214" i="4"/>
  <c r="V214" i="4"/>
  <c r="AA214" i="4" s="1"/>
  <c r="M215" i="4"/>
  <c r="R215" i="4" s="1"/>
  <c r="W215" i="4" s="1"/>
  <c r="N215" i="4"/>
  <c r="S215" i="4" s="1"/>
  <c r="X215" i="4" s="1"/>
  <c r="O215" i="4"/>
  <c r="T215" i="4"/>
  <c r="Y215" i="4" s="1"/>
  <c r="P215" i="4"/>
  <c r="U215" i="4"/>
  <c r="Z215" i="4" s="1"/>
  <c r="Q215" i="4"/>
  <c r="V215" i="4" s="1"/>
  <c r="AA215" i="4" s="1"/>
  <c r="M216" i="4"/>
  <c r="R216" i="4" s="1"/>
  <c r="W216" i="4" s="1"/>
  <c r="N216" i="4"/>
  <c r="S216" i="4"/>
  <c r="X216" i="4" s="1"/>
  <c r="O216" i="4"/>
  <c r="T216" i="4"/>
  <c r="Y216" i="4" s="1"/>
  <c r="P216" i="4"/>
  <c r="U216" i="4" s="1"/>
  <c r="Z216" i="4" s="1"/>
  <c r="Q216" i="4"/>
  <c r="V216" i="4" s="1"/>
  <c r="AA216" i="4" s="1"/>
  <c r="M217" i="4"/>
  <c r="R217" i="4"/>
  <c r="W217" i="4" s="1"/>
  <c r="N217" i="4"/>
  <c r="S217" i="4"/>
  <c r="X217" i="4" s="1"/>
  <c r="O217" i="4"/>
  <c r="T217" i="4" s="1"/>
  <c r="Y217" i="4" s="1"/>
  <c r="P217" i="4"/>
  <c r="U217" i="4" s="1"/>
  <c r="Z217" i="4" s="1"/>
  <c r="Q217" i="4"/>
  <c r="V217" i="4"/>
  <c r="AA217" i="4" s="1"/>
  <c r="M218" i="4"/>
  <c r="R218" i="4"/>
  <c r="W218" i="4" s="1"/>
  <c r="N218" i="4"/>
  <c r="S218" i="4" s="1"/>
  <c r="X218" i="4" s="1"/>
  <c r="O218" i="4"/>
  <c r="T218" i="4" s="1"/>
  <c r="Y218" i="4" s="1"/>
  <c r="P218" i="4"/>
  <c r="U218" i="4"/>
  <c r="Z218" i="4" s="1"/>
  <c r="Q218" i="4"/>
  <c r="V218" i="4"/>
  <c r="AA218" i="4" s="1"/>
  <c r="M219" i="4"/>
  <c r="R219" i="4" s="1"/>
  <c r="W219" i="4" s="1"/>
  <c r="N219" i="4"/>
  <c r="S219" i="4" s="1"/>
  <c r="X219" i="4" s="1"/>
  <c r="O219" i="4"/>
  <c r="T219" i="4"/>
  <c r="Y219" i="4" s="1"/>
  <c r="P219" i="4"/>
  <c r="U219" i="4"/>
  <c r="Z219" i="4" s="1"/>
  <c r="Q219" i="4"/>
  <c r="V219" i="4" s="1"/>
  <c r="AA219" i="4" s="1"/>
  <c r="M220" i="4"/>
  <c r="R220" i="4" s="1"/>
  <c r="W220" i="4" s="1"/>
  <c r="N220" i="4"/>
  <c r="S220" i="4"/>
  <c r="X220" i="4" s="1"/>
  <c r="O220" i="4"/>
  <c r="T220" i="4"/>
  <c r="Y220" i="4" s="1"/>
  <c r="P220" i="4"/>
  <c r="U220" i="4" s="1"/>
  <c r="Z220" i="4" s="1"/>
  <c r="Q220" i="4"/>
  <c r="V220" i="4" s="1"/>
  <c r="AA220" i="4" s="1"/>
  <c r="M221" i="4"/>
  <c r="R221" i="4"/>
  <c r="W221" i="4" s="1"/>
  <c r="N221" i="4"/>
  <c r="S221" i="4"/>
  <c r="X221" i="4" s="1"/>
  <c r="O221" i="4"/>
  <c r="T221" i="4" s="1"/>
  <c r="Y221" i="4" s="1"/>
  <c r="P221" i="4"/>
  <c r="U221" i="4" s="1"/>
  <c r="Z221" i="4" s="1"/>
  <c r="Q221" i="4"/>
  <c r="V221" i="4"/>
  <c r="AA221" i="4" s="1"/>
  <c r="M222" i="4"/>
  <c r="R222" i="4"/>
  <c r="W222" i="4" s="1"/>
  <c r="N222" i="4"/>
  <c r="S222" i="4" s="1"/>
  <c r="X222" i="4" s="1"/>
  <c r="O222" i="4"/>
  <c r="T222" i="4" s="1"/>
  <c r="Y222" i="4" s="1"/>
  <c r="P222" i="4"/>
  <c r="U222" i="4"/>
  <c r="Z222" i="4" s="1"/>
  <c r="Q222" i="4"/>
  <c r="V222" i="4"/>
  <c r="AA222" i="4" s="1"/>
  <c r="M223" i="4"/>
  <c r="R223" i="4" s="1"/>
  <c r="W223" i="4" s="1"/>
  <c r="N223" i="4"/>
  <c r="S223" i="4" s="1"/>
  <c r="X223" i="4" s="1"/>
  <c r="O223" i="4"/>
  <c r="T223" i="4"/>
  <c r="Y223" i="4" s="1"/>
  <c r="P223" i="4"/>
  <c r="U223" i="4"/>
  <c r="Z223" i="4" s="1"/>
  <c r="Q223" i="4"/>
  <c r="V223" i="4" s="1"/>
  <c r="AA223" i="4" s="1"/>
  <c r="M224" i="4"/>
  <c r="R224" i="4" s="1"/>
  <c r="W224" i="4" s="1"/>
  <c r="N224" i="4"/>
  <c r="S224" i="4"/>
  <c r="X224" i="4" s="1"/>
  <c r="O224" i="4"/>
  <c r="T224" i="4"/>
  <c r="Y224" i="4" s="1"/>
  <c r="P224" i="4"/>
  <c r="U224" i="4" s="1"/>
  <c r="Z224" i="4" s="1"/>
  <c r="Q224" i="4"/>
  <c r="V224" i="4" s="1"/>
  <c r="AA224" i="4" s="1"/>
  <c r="M225" i="4"/>
  <c r="R225" i="4"/>
  <c r="W225" i="4" s="1"/>
  <c r="N225" i="4"/>
  <c r="S225" i="4"/>
  <c r="X225" i="4" s="1"/>
  <c r="O225" i="4"/>
  <c r="T225" i="4" s="1"/>
  <c r="Y225" i="4" s="1"/>
  <c r="P225" i="4"/>
  <c r="U225" i="4" s="1"/>
  <c r="Z225" i="4" s="1"/>
  <c r="Q225" i="4"/>
  <c r="V225" i="4"/>
  <c r="AA225" i="4" s="1"/>
  <c r="M226" i="4"/>
  <c r="R226" i="4"/>
  <c r="W226" i="4" s="1"/>
  <c r="N226" i="4"/>
  <c r="S226" i="4" s="1"/>
  <c r="X226" i="4" s="1"/>
  <c r="O226" i="4"/>
  <c r="T226" i="4" s="1"/>
  <c r="Y226" i="4" s="1"/>
  <c r="P226" i="4"/>
  <c r="U226" i="4"/>
  <c r="Z226" i="4" s="1"/>
  <c r="Q226" i="4"/>
  <c r="V226" i="4"/>
  <c r="AA226" i="4" s="1"/>
  <c r="M227" i="4"/>
  <c r="R227" i="4" s="1"/>
  <c r="W227" i="4" s="1"/>
  <c r="N227" i="4"/>
  <c r="S227" i="4" s="1"/>
  <c r="X227" i="4" s="1"/>
  <c r="O227" i="4"/>
  <c r="T227" i="4"/>
  <c r="Y227" i="4" s="1"/>
  <c r="P227" i="4"/>
  <c r="U227" i="4"/>
  <c r="Z227" i="4" s="1"/>
  <c r="Q227" i="4"/>
  <c r="V227" i="4" s="1"/>
  <c r="AA227" i="4" s="1"/>
  <c r="M228" i="4"/>
  <c r="R228" i="4" s="1"/>
  <c r="W228" i="4" s="1"/>
  <c r="N228" i="4"/>
  <c r="S228" i="4"/>
  <c r="X228" i="4" s="1"/>
  <c r="O228" i="4"/>
  <c r="T228" i="4"/>
  <c r="Y228" i="4" s="1"/>
  <c r="P228" i="4"/>
  <c r="U228" i="4" s="1"/>
  <c r="Z228" i="4" s="1"/>
  <c r="Q228" i="4"/>
  <c r="V228" i="4" s="1"/>
  <c r="AA228" i="4" s="1"/>
  <c r="M229" i="4"/>
  <c r="R229" i="4"/>
  <c r="W229" i="4" s="1"/>
  <c r="N229" i="4"/>
  <c r="S229" i="4"/>
  <c r="X229" i="4" s="1"/>
  <c r="O229" i="4"/>
  <c r="T229" i="4" s="1"/>
  <c r="Y229" i="4" s="1"/>
  <c r="P229" i="4"/>
  <c r="U229" i="4" s="1"/>
  <c r="Z229" i="4" s="1"/>
  <c r="Q229" i="4"/>
  <c r="V229" i="4"/>
  <c r="AA229" i="4" s="1"/>
  <c r="M230" i="4"/>
  <c r="R230" i="4"/>
  <c r="W230" i="4" s="1"/>
  <c r="N230" i="4"/>
  <c r="S230" i="4" s="1"/>
  <c r="X230" i="4" s="1"/>
  <c r="O230" i="4"/>
  <c r="T230" i="4" s="1"/>
  <c r="Y230" i="4" s="1"/>
  <c r="P230" i="4"/>
  <c r="U230" i="4"/>
  <c r="Z230" i="4" s="1"/>
  <c r="Q230" i="4"/>
  <c r="V230" i="4"/>
  <c r="AA230" i="4" s="1"/>
  <c r="M231" i="4"/>
  <c r="R231" i="4" s="1"/>
  <c r="W231" i="4" s="1"/>
  <c r="N231" i="4"/>
  <c r="S231" i="4" s="1"/>
  <c r="X231" i="4" s="1"/>
  <c r="O231" i="4"/>
  <c r="T231" i="4"/>
  <c r="Y231" i="4" s="1"/>
  <c r="P231" i="4"/>
  <c r="U231" i="4"/>
  <c r="Z231" i="4" s="1"/>
  <c r="Q231" i="4"/>
  <c r="V231" i="4" s="1"/>
  <c r="AA231" i="4" s="1"/>
  <c r="M232" i="4"/>
  <c r="R232" i="4" s="1"/>
  <c r="W232" i="4" s="1"/>
  <c r="N232" i="4"/>
  <c r="S232" i="4"/>
  <c r="X232" i="4" s="1"/>
  <c r="O232" i="4"/>
  <c r="T232" i="4"/>
  <c r="Y232" i="4" s="1"/>
  <c r="P232" i="4"/>
  <c r="U232" i="4" s="1"/>
  <c r="Z232" i="4" s="1"/>
  <c r="Q232" i="4"/>
  <c r="V232" i="4" s="1"/>
  <c r="AA232" i="4" s="1"/>
  <c r="M233" i="4"/>
  <c r="R233" i="4"/>
  <c r="W233" i="4" s="1"/>
  <c r="N233" i="4"/>
  <c r="S233" i="4"/>
  <c r="X233" i="4" s="1"/>
  <c r="O233" i="4"/>
  <c r="T233" i="4" s="1"/>
  <c r="Y233" i="4" s="1"/>
  <c r="P233" i="4"/>
  <c r="U233" i="4" s="1"/>
  <c r="Z233" i="4" s="1"/>
  <c r="Q233" i="4"/>
  <c r="V233" i="4"/>
  <c r="AA233" i="4" s="1"/>
  <c r="M234" i="4"/>
  <c r="R234" i="4"/>
  <c r="W234" i="4" s="1"/>
  <c r="N234" i="4"/>
  <c r="S234" i="4" s="1"/>
  <c r="X234" i="4" s="1"/>
  <c r="O234" i="4"/>
  <c r="T234" i="4" s="1"/>
  <c r="Y234" i="4" s="1"/>
  <c r="P234" i="4"/>
  <c r="U234" i="4"/>
  <c r="Z234" i="4" s="1"/>
  <c r="Q234" i="4"/>
  <c r="V234" i="4"/>
  <c r="AA234" i="4" s="1"/>
  <c r="M235" i="4"/>
  <c r="R235" i="4" s="1"/>
  <c r="W235" i="4" s="1"/>
  <c r="N235" i="4"/>
  <c r="S235" i="4" s="1"/>
  <c r="X235" i="4" s="1"/>
  <c r="O235" i="4"/>
  <c r="T235" i="4"/>
  <c r="Y235" i="4" s="1"/>
  <c r="P235" i="4"/>
  <c r="U235" i="4"/>
  <c r="Z235" i="4" s="1"/>
  <c r="Q235" i="4"/>
  <c r="V235" i="4" s="1"/>
  <c r="AA235" i="4" s="1"/>
  <c r="M236" i="4"/>
  <c r="R236" i="4" s="1"/>
  <c r="W236" i="4" s="1"/>
  <c r="N236" i="4"/>
  <c r="S236" i="4"/>
  <c r="X236" i="4" s="1"/>
  <c r="O236" i="4"/>
  <c r="T236" i="4"/>
  <c r="Y236" i="4" s="1"/>
  <c r="P236" i="4"/>
  <c r="U236" i="4" s="1"/>
  <c r="Z236" i="4" s="1"/>
  <c r="Q236" i="4"/>
  <c r="V236" i="4" s="1"/>
  <c r="AA236" i="4" s="1"/>
  <c r="M237" i="4"/>
  <c r="R237" i="4"/>
  <c r="W237" i="4" s="1"/>
  <c r="N237" i="4"/>
  <c r="S237" i="4"/>
  <c r="X237" i="4" s="1"/>
  <c r="O237" i="4"/>
  <c r="T237" i="4" s="1"/>
  <c r="Y237" i="4" s="1"/>
  <c r="P237" i="4"/>
  <c r="U237" i="4" s="1"/>
  <c r="Z237" i="4" s="1"/>
  <c r="Q237" i="4"/>
  <c r="V237" i="4"/>
  <c r="AA237" i="4" s="1"/>
  <c r="M238" i="4"/>
  <c r="R238" i="4"/>
  <c r="W238" i="4" s="1"/>
  <c r="N238" i="4"/>
  <c r="S238" i="4" s="1"/>
  <c r="X238" i="4" s="1"/>
  <c r="O238" i="4"/>
  <c r="T238" i="4" s="1"/>
  <c r="Y238" i="4" s="1"/>
  <c r="P238" i="4"/>
  <c r="U238" i="4"/>
  <c r="Z238" i="4" s="1"/>
  <c r="Q238" i="4"/>
  <c r="V238" i="4"/>
  <c r="AA238" i="4" s="1"/>
  <c r="M239" i="4"/>
  <c r="R239" i="4" s="1"/>
  <c r="W239" i="4" s="1"/>
  <c r="N239" i="4"/>
  <c r="S239" i="4" s="1"/>
  <c r="X239" i="4" s="1"/>
  <c r="O239" i="4"/>
  <c r="T239" i="4"/>
  <c r="Y239" i="4" s="1"/>
  <c r="P239" i="4"/>
  <c r="U239" i="4"/>
  <c r="Z239" i="4" s="1"/>
  <c r="Q239" i="4"/>
  <c r="V239" i="4" s="1"/>
  <c r="AA239" i="4" s="1"/>
  <c r="M240" i="4"/>
  <c r="R240" i="4" s="1"/>
  <c r="W240" i="4" s="1"/>
  <c r="N240" i="4"/>
  <c r="S240" i="4"/>
  <c r="X240" i="4" s="1"/>
  <c r="O240" i="4"/>
  <c r="T240" i="4"/>
  <c r="Y240" i="4" s="1"/>
  <c r="P240" i="4"/>
  <c r="U240" i="4" s="1"/>
  <c r="Z240" i="4" s="1"/>
  <c r="Q240" i="4"/>
  <c r="V240" i="4" s="1"/>
  <c r="AA240" i="4" s="1"/>
  <c r="M241" i="4"/>
  <c r="R241" i="4"/>
  <c r="W241" i="4" s="1"/>
  <c r="N241" i="4"/>
  <c r="S241" i="4"/>
  <c r="X241" i="4" s="1"/>
  <c r="O241" i="4"/>
  <c r="T241" i="4" s="1"/>
  <c r="Y241" i="4" s="1"/>
  <c r="P241" i="4"/>
  <c r="U241" i="4" s="1"/>
  <c r="Z241" i="4" s="1"/>
  <c r="Q241" i="4"/>
  <c r="V241" i="4"/>
  <c r="AA241" i="4" s="1"/>
  <c r="M242" i="4"/>
  <c r="R242" i="4"/>
  <c r="W242" i="4" s="1"/>
  <c r="N242" i="4"/>
  <c r="S242" i="4" s="1"/>
  <c r="X242" i="4" s="1"/>
  <c r="O242" i="4"/>
  <c r="T242" i="4" s="1"/>
  <c r="Y242" i="4" s="1"/>
  <c r="P242" i="4"/>
  <c r="U242" i="4"/>
  <c r="Z242" i="4" s="1"/>
  <c r="Q242" i="4"/>
  <c r="V242" i="4"/>
  <c r="AA242" i="4" s="1"/>
  <c r="M243" i="4"/>
  <c r="R243" i="4" s="1"/>
  <c r="W243" i="4" s="1"/>
  <c r="N243" i="4"/>
  <c r="S243" i="4" s="1"/>
  <c r="X243" i="4" s="1"/>
  <c r="O243" i="4"/>
  <c r="T243" i="4"/>
  <c r="Y243" i="4" s="1"/>
  <c r="P243" i="4"/>
  <c r="U243" i="4"/>
  <c r="Z243" i="4" s="1"/>
  <c r="Q243" i="4"/>
  <c r="V243" i="4" s="1"/>
  <c r="AA243" i="4" s="1"/>
  <c r="M244" i="4"/>
  <c r="R244" i="4" s="1"/>
  <c r="W244" i="4" s="1"/>
  <c r="N244" i="4"/>
  <c r="S244" i="4"/>
  <c r="X244" i="4" s="1"/>
  <c r="O244" i="4"/>
  <c r="T244" i="4"/>
  <c r="Y244" i="4" s="1"/>
  <c r="P244" i="4"/>
  <c r="U244" i="4" s="1"/>
  <c r="Z244" i="4" s="1"/>
  <c r="Q244" i="4"/>
  <c r="V244" i="4" s="1"/>
  <c r="AA244" i="4" s="1"/>
  <c r="M245" i="4"/>
  <c r="R245" i="4"/>
  <c r="W245" i="4" s="1"/>
  <c r="N245" i="4"/>
  <c r="S245" i="4"/>
  <c r="X245" i="4" s="1"/>
  <c r="O245" i="4"/>
  <c r="T245" i="4" s="1"/>
  <c r="Y245" i="4" s="1"/>
  <c r="P245" i="4"/>
  <c r="U245" i="4" s="1"/>
  <c r="Z245" i="4" s="1"/>
  <c r="Q245" i="4"/>
  <c r="V245" i="4"/>
  <c r="AA245" i="4" s="1"/>
  <c r="M246" i="4"/>
  <c r="R246" i="4"/>
  <c r="W246" i="4" s="1"/>
  <c r="N246" i="4"/>
  <c r="S246" i="4" s="1"/>
  <c r="X246" i="4" s="1"/>
  <c r="O246" i="4"/>
  <c r="T246" i="4" s="1"/>
  <c r="Y246" i="4" s="1"/>
  <c r="P246" i="4"/>
  <c r="U246" i="4"/>
  <c r="Z246" i="4" s="1"/>
  <c r="Q246" i="4"/>
  <c r="V246" i="4"/>
  <c r="AA246" i="4" s="1"/>
  <c r="M247" i="4"/>
  <c r="R247" i="4" s="1"/>
  <c r="W247" i="4" s="1"/>
  <c r="N247" i="4"/>
  <c r="S247" i="4" s="1"/>
  <c r="X247" i="4" s="1"/>
  <c r="O247" i="4"/>
  <c r="T247" i="4"/>
  <c r="Y247" i="4" s="1"/>
  <c r="P247" i="4"/>
  <c r="U247" i="4"/>
  <c r="Z247" i="4" s="1"/>
  <c r="Q247" i="4"/>
  <c r="V247" i="4" s="1"/>
  <c r="AA247" i="4" s="1"/>
  <c r="M248" i="4"/>
  <c r="R248" i="4" s="1"/>
  <c r="W248" i="4" s="1"/>
  <c r="N248" i="4"/>
  <c r="S248" i="4"/>
  <c r="X248" i="4" s="1"/>
  <c r="O248" i="4"/>
  <c r="T248" i="4"/>
  <c r="Y248" i="4" s="1"/>
  <c r="P248" i="4"/>
  <c r="U248" i="4" s="1"/>
  <c r="Z248" i="4" s="1"/>
  <c r="Q248" i="4"/>
  <c r="V248" i="4" s="1"/>
  <c r="AA248" i="4" s="1"/>
  <c r="M249" i="4"/>
  <c r="R249" i="4"/>
  <c r="W249" i="4" s="1"/>
  <c r="N249" i="4"/>
  <c r="S249" i="4"/>
  <c r="X249" i="4" s="1"/>
  <c r="O249" i="4"/>
  <c r="T249" i="4" s="1"/>
  <c r="Y249" i="4" s="1"/>
  <c r="P249" i="4"/>
  <c r="U249" i="4" s="1"/>
  <c r="Z249" i="4" s="1"/>
  <c r="Q249" i="4"/>
  <c r="V249" i="4"/>
  <c r="AA249" i="4" s="1"/>
  <c r="M250" i="4"/>
  <c r="R250" i="4"/>
  <c r="W250" i="4" s="1"/>
  <c r="N250" i="4"/>
  <c r="S250" i="4" s="1"/>
  <c r="X250" i="4" s="1"/>
  <c r="O250" i="4"/>
  <c r="T250" i="4" s="1"/>
  <c r="Y250" i="4" s="1"/>
  <c r="P250" i="4"/>
  <c r="U250" i="4"/>
  <c r="Z250" i="4" s="1"/>
  <c r="Q250" i="4"/>
  <c r="V250" i="4"/>
  <c r="AA250" i="4" s="1"/>
  <c r="M251" i="4"/>
  <c r="R251" i="4" s="1"/>
  <c r="W251" i="4" s="1"/>
  <c r="N251" i="4"/>
  <c r="S251" i="4" s="1"/>
  <c r="X251" i="4" s="1"/>
  <c r="O251" i="4"/>
  <c r="T251" i="4"/>
  <c r="Y251" i="4" s="1"/>
  <c r="P251" i="4"/>
  <c r="U251" i="4"/>
  <c r="Z251" i="4" s="1"/>
  <c r="Q251" i="4"/>
  <c r="V251" i="4" s="1"/>
  <c r="AA251" i="4" s="1"/>
  <c r="M252" i="4"/>
  <c r="R252" i="4" s="1"/>
  <c r="W252" i="4" s="1"/>
  <c r="N252" i="4"/>
  <c r="S252" i="4"/>
  <c r="X252" i="4" s="1"/>
  <c r="O252" i="4"/>
  <c r="T252" i="4"/>
  <c r="Y252" i="4" s="1"/>
  <c r="P252" i="4"/>
  <c r="U252" i="4" s="1"/>
  <c r="Z252" i="4" s="1"/>
  <c r="Q252" i="4"/>
  <c r="V252" i="4" s="1"/>
  <c r="AA252" i="4" s="1"/>
  <c r="M253" i="4"/>
  <c r="R253" i="4"/>
  <c r="W253" i="4" s="1"/>
  <c r="N253" i="4"/>
  <c r="S253" i="4"/>
  <c r="X253" i="4" s="1"/>
  <c r="O253" i="4"/>
  <c r="T253" i="4" s="1"/>
  <c r="Y253" i="4" s="1"/>
  <c r="P253" i="4"/>
  <c r="U253" i="4" s="1"/>
  <c r="Z253" i="4" s="1"/>
  <c r="Q253" i="4"/>
  <c r="V253" i="4"/>
  <c r="AA253" i="4" s="1"/>
  <c r="M254" i="4"/>
  <c r="R254" i="4"/>
  <c r="W254" i="4" s="1"/>
  <c r="N254" i="4"/>
  <c r="S254" i="4" s="1"/>
  <c r="X254" i="4" s="1"/>
  <c r="O254" i="4"/>
  <c r="T254" i="4" s="1"/>
  <c r="Y254" i="4" s="1"/>
  <c r="P254" i="4"/>
  <c r="U254" i="4"/>
  <c r="Z254" i="4" s="1"/>
  <c r="Q254" i="4"/>
  <c r="V254" i="4"/>
  <c r="AA254" i="4" s="1"/>
  <c r="M255" i="4"/>
  <c r="R255" i="4" s="1"/>
  <c r="W255" i="4" s="1"/>
  <c r="N255" i="4"/>
  <c r="S255" i="4" s="1"/>
  <c r="X255" i="4" s="1"/>
  <c r="O255" i="4"/>
  <c r="T255" i="4"/>
  <c r="Y255" i="4" s="1"/>
  <c r="P255" i="4"/>
  <c r="U255" i="4"/>
  <c r="Z255" i="4" s="1"/>
  <c r="Q255" i="4"/>
  <c r="V255" i="4" s="1"/>
  <c r="AA255" i="4" s="1"/>
  <c r="M256" i="4"/>
  <c r="R256" i="4" s="1"/>
  <c r="W256" i="4" s="1"/>
  <c r="N256" i="4"/>
  <c r="S256" i="4"/>
  <c r="X256" i="4" s="1"/>
  <c r="O256" i="4"/>
  <c r="T256" i="4"/>
  <c r="Y256" i="4" s="1"/>
  <c r="P256" i="4"/>
  <c r="U256" i="4" s="1"/>
  <c r="Z256" i="4" s="1"/>
  <c r="Q256" i="4"/>
  <c r="V256" i="4" s="1"/>
  <c r="AA256" i="4" s="1"/>
  <c r="M257" i="4"/>
  <c r="R257" i="4"/>
  <c r="W257" i="4" s="1"/>
  <c r="N257" i="4"/>
  <c r="S257" i="4"/>
  <c r="X257" i="4" s="1"/>
  <c r="O257" i="4"/>
  <c r="T257" i="4" s="1"/>
  <c r="Y257" i="4" s="1"/>
  <c r="P257" i="4"/>
  <c r="U257" i="4" s="1"/>
  <c r="Z257" i="4" s="1"/>
  <c r="Q257" i="4"/>
  <c r="V257" i="4"/>
  <c r="AA257" i="4" s="1"/>
  <c r="M258" i="4"/>
  <c r="R258" i="4"/>
  <c r="W258" i="4" s="1"/>
  <c r="N258" i="4"/>
  <c r="S258" i="4" s="1"/>
  <c r="X258" i="4" s="1"/>
  <c r="O258" i="4"/>
  <c r="T258" i="4" s="1"/>
  <c r="Y258" i="4" s="1"/>
  <c r="P258" i="4"/>
  <c r="U258" i="4"/>
  <c r="Z258" i="4" s="1"/>
  <c r="Q258" i="4"/>
  <c r="V258" i="4"/>
  <c r="AA258" i="4" s="1"/>
  <c r="M259" i="4"/>
  <c r="R259" i="4" s="1"/>
  <c r="W259" i="4" s="1"/>
  <c r="N259" i="4"/>
  <c r="S259" i="4" s="1"/>
  <c r="X259" i="4" s="1"/>
  <c r="O259" i="4"/>
  <c r="T259" i="4"/>
  <c r="Y259" i="4" s="1"/>
  <c r="P259" i="4"/>
  <c r="U259" i="4"/>
  <c r="Z259" i="4" s="1"/>
  <c r="Q259" i="4"/>
  <c r="V259" i="4" s="1"/>
  <c r="AA259" i="4" s="1"/>
  <c r="M260" i="4"/>
  <c r="R260" i="4" s="1"/>
  <c r="W260" i="4" s="1"/>
  <c r="N260" i="4"/>
  <c r="S260" i="4"/>
  <c r="X260" i="4" s="1"/>
  <c r="O260" i="4"/>
  <c r="T260" i="4"/>
  <c r="Y260" i="4" s="1"/>
  <c r="P260" i="4"/>
  <c r="U260" i="4" s="1"/>
  <c r="Z260" i="4" s="1"/>
  <c r="Q260" i="4"/>
  <c r="V260" i="4" s="1"/>
  <c r="AA260" i="4" s="1"/>
  <c r="M261" i="4"/>
  <c r="R261" i="4"/>
  <c r="W261" i="4" s="1"/>
  <c r="N261" i="4"/>
  <c r="S261" i="4"/>
  <c r="X261" i="4" s="1"/>
  <c r="O261" i="4"/>
  <c r="T261" i="4" s="1"/>
  <c r="Y261" i="4" s="1"/>
  <c r="P261" i="4"/>
  <c r="U261" i="4" s="1"/>
  <c r="Z261" i="4" s="1"/>
  <c r="Q261" i="4"/>
  <c r="V261" i="4"/>
  <c r="AA261" i="4" s="1"/>
  <c r="M262" i="4"/>
  <c r="R262" i="4"/>
  <c r="W262" i="4" s="1"/>
  <c r="N262" i="4"/>
  <c r="S262" i="4" s="1"/>
  <c r="X262" i="4" s="1"/>
  <c r="O262" i="4"/>
  <c r="T262" i="4" s="1"/>
  <c r="Y262" i="4" s="1"/>
  <c r="P262" i="4"/>
  <c r="U262" i="4"/>
  <c r="Z262" i="4" s="1"/>
  <c r="Q262" i="4"/>
  <c r="V262" i="4"/>
  <c r="AA262" i="4" s="1"/>
  <c r="M263" i="4"/>
  <c r="R263" i="4" s="1"/>
  <c r="W263" i="4" s="1"/>
  <c r="N263" i="4"/>
  <c r="S263" i="4" s="1"/>
  <c r="X263" i="4" s="1"/>
  <c r="O263" i="4"/>
  <c r="T263" i="4"/>
  <c r="Y263" i="4" s="1"/>
  <c r="P263" i="4"/>
  <c r="U263" i="4"/>
  <c r="Z263" i="4" s="1"/>
  <c r="Q263" i="4"/>
  <c r="V263" i="4" s="1"/>
  <c r="AA263" i="4" s="1"/>
  <c r="M264" i="4"/>
  <c r="R264" i="4" s="1"/>
  <c r="W264" i="4" s="1"/>
  <c r="N264" i="4"/>
  <c r="S264" i="4"/>
  <c r="X264" i="4" s="1"/>
  <c r="O264" i="4"/>
  <c r="T264" i="4"/>
  <c r="Y264" i="4" s="1"/>
  <c r="P264" i="4"/>
  <c r="U264" i="4" s="1"/>
  <c r="Z264" i="4" s="1"/>
  <c r="Q264" i="4"/>
  <c r="V264" i="4" s="1"/>
  <c r="AA264" i="4" s="1"/>
  <c r="M265" i="4"/>
  <c r="R265" i="4"/>
  <c r="W265" i="4" s="1"/>
  <c r="N265" i="4"/>
  <c r="S265" i="4"/>
  <c r="X265" i="4" s="1"/>
  <c r="O265" i="4"/>
  <c r="T265" i="4" s="1"/>
  <c r="Y265" i="4" s="1"/>
  <c r="P265" i="4"/>
  <c r="U265" i="4" s="1"/>
  <c r="Z265" i="4" s="1"/>
  <c r="Q265" i="4"/>
  <c r="V265" i="4"/>
  <c r="AA265" i="4" s="1"/>
  <c r="M266" i="4"/>
  <c r="R266" i="4"/>
  <c r="W266" i="4" s="1"/>
  <c r="N266" i="4"/>
  <c r="S266" i="4" s="1"/>
  <c r="X266" i="4" s="1"/>
  <c r="O266" i="4"/>
  <c r="T266" i="4" s="1"/>
  <c r="Y266" i="4" s="1"/>
  <c r="P266" i="4"/>
  <c r="U266" i="4"/>
  <c r="Z266" i="4" s="1"/>
  <c r="Q266" i="4"/>
  <c r="V266" i="4"/>
  <c r="AA266" i="4" s="1"/>
  <c r="M267" i="4"/>
  <c r="R267" i="4" s="1"/>
  <c r="W267" i="4" s="1"/>
  <c r="N267" i="4"/>
  <c r="S267" i="4" s="1"/>
  <c r="X267" i="4" s="1"/>
  <c r="O267" i="4"/>
  <c r="T267" i="4"/>
  <c r="Y267" i="4" s="1"/>
  <c r="P267" i="4"/>
  <c r="U267" i="4"/>
  <c r="Z267" i="4" s="1"/>
  <c r="Q267" i="4"/>
  <c r="V267" i="4" s="1"/>
  <c r="AA267" i="4" s="1"/>
  <c r="M268" i="4"/>
  <c r="R268" i="4" s="1"/>
  <c r="W268" i="4" s="1"/>
  <c r="N268" i="4"/>
  <c r="S268" i="4"/>
  <c r="X268" i="4" s="1"/>
  <c r="O268" i="4"/>
  <c r="T268" i="4"/>
  <c r="Y268" i="4" s="1"/>
  <c r="P268" i="4"/>
  <c r="U268" i="4" s="1"/>
  <c r="Z268" i="4" s="1"/>
  <c r="Q268" i="4"/>
  <c r="V268" i="4" s="1"/>
  <c r="AA268" i="4" s="1"/>
  <c r="M269" i="4"/>
  <c r="R269" i="4"/>
  <c r="W269" i="4" s="1"/>
  <c r="N269" i="4"/>
  <c r="S269" i="4"/>
  <c r="X269" i="4" s="1"/>
  <c r="O269" i="4"/>
  <c r="T269" i="4" s="1"/>
  <c r="Y269" i="4" s="1"/>
  <c r="P269" i="4"/>
  <c r="U269" i="4" s="1"/>
  <c r="Z269" i="4" s="1"/>
  <c r="Q269" i="4"/>
  <c r="V269" i="4"/>
  <c r="AA269" i="4" s="1"/>
  <c r="M270" i="4"/>
  <c r="R270" i="4"/>
  <c r="W270" i="4" s="1"/>
  <c r="N270" i="4"/>
  <c r="S270" i="4" s="1"/>
  <c r="X270" i="4" s="1"/>
  <c r="O270" i="4"/>
  <c r="T270" i="4" s="1"/>
  <c r="Y270" i="4" s="1"/>
  <c r="P270" i="4"/>
  <c r="U270" i="4"/>
  <c r="Z270" i="4" s="1"/>
  <c r="Q270" i="4"/>
  <c r="V270" i="4"/>
  <c r="AA270" i="4" s="1"/>
  <c r="M271" i="4"/>
  <c r="R271" i="4" s="1"/>
  <c r="W271" i="4" s="1"/>
  <c r="N271" i="4"/>
  <c r="S271" i="4" s="1"/>
  <c r="X271" i="4" s="1"/>
  <c r="O271" i="4"/>
  <c r="T271" i="4"/>
  <c r="Y271" i="4" s="1"/>
  <c r="P271" i="4"/>
  <c r="U271" i="4"/>
  <c r="Z271" i="4" s="1"/>
  <c r="Q271" i="4"/>
  <c r="V271" i="4" s="1"/>
  <c r="AA271" i="4" s="1"/>
  <c r="M272" i="4"/>
  <c r="R272" i="4" s="1"/>
  <c r="W272" i="4" s="1"/>
  <c r="N272" i="4"/>
  <c r="S272" i="4"/>
  <c r="X272" i="4" s="1"/>
  <c r="O272" i="4"/>
  <c r="T272" i="4"/>
  <c r="Y272" i="4" s="1"/>
  <c r="P272" i="4"/>
  <c r="U272" i="4" s="1"/>
  <c r="Z272" i="4" s="1"/>
  <c r="Q272" i="4"/>
  <c r="V272" i="4" s="1"/>
  <c r="AA272" i="4" s="1"/>
  <c r="M273" i="4"/>
  <c r="R273" i="4"/>
  <c r="W273" i="4" s="1"/>
  <c r="N273" i="4"/>
  <c r="S273" i="4"/>
  <c r="X273" i="4" s="1"/>
  <c r="O273" i="4"/>
  <c r="T273" i="4" s="1"/>
  <c r="Y273" i="4" s="1"/>
  <c r="P273" i="4"/>
  <c r="U273" i="4" s="1"/>
  <c r="Z273" i="4" s="1"/>
  <c r="Q273" i="4"/>
  <c r="V273" i="4"/>
  <c r="AA273" i="4" s="1"/>
  <c r="M274" i="4"/>
  <c r="R274" i="4"/>
  <c r="W274" i="4" s="1"/>
  <c r="N274" i="4"/>
  <c r="S274" i="4" s="1"/>
  <c r="X274" i="4" s="1"/>
  <c r="O274" i="4"/>
  <c r="T274" i="4" s="1"/>
  <c r="Y274" i="4" s="1"/>
  <c r="P274" i="4"/>
  <c r="U274" i="4"/>
  <c r="Z274" i="4" s="1"/>
  <c r="Q274" i="4"/>
  <c r="V274" i="4"/>
  <c r="AA274" i="4" s="1"/>
  <c r="M275" i="4"/>
  <c r="R275" i="4" s="1"/>
  <c r="W275" i="4" s="1"/>
  <c r="N275" i="4"/>
  <c r="S275" i="4" s="1"/>
  <c r="X275" i="4" s="1"/>
  <c r="O275" i="4"/>
  <c r="T275" i="4"/>
  <c r="Y275" i="4" s="1"/>
  <c r="P275" i="4"/>
  <c r="U275" i="4"/>
  <c r="Z275" i="4" s="1"/>
  <c r="Q275" i="4"/>
  <c r="V275" i="4" s="1"/>
  <c r="AA275" i="4" s="1"/>
  <c r="M276" i="4"/>
  <c r="R276" i="4" s="1"/>
  <c r="W276" i="4" s="1"/>
  <c r="N276" i="4"/>
  <c r="S276" i="4"/>
  <c r="X276" i="4" s="1"/>
  <c r="O276" i="4"/>
  <c r="T276" i="4"/>
  <c r="Y276" i="4" s="1"/>
  <c r="P276" i="4"/>
  <c r="U276" i="4" s="1"/>
  <c r="Z276" i="4" s="1"/>
  <c r="Q276" i="4"/>
  <c r="V276" i="4" s="1"/>
  <c r="AA276" i="4" s="1"/>
  <c r="M277" i="4"/>
  <c r="R277" i="4"/>
  <c r="W277" i="4" s="1"/>
  <c r="N277" i="4"/>
  <c r="S277" i="4"/>
  <c r="X277" i="4" s="1"/>
  <c r="O277" i="4"/>
  <c r="T277" i="4" s="1"/>
  <c r="Y277" i="4" s="1"/>
  <c r="P277" i="4"/>
  <c r="U277" i="4" s="1"/>
  <c r="Z277" i="4" s="1"/>
  <c r="Q277" i="4"/>
  <c r="V277" i="4"/>
  <c r="AA277" i="4" s="1"/>
  <c r="M278" i="4"/>
  <c r="R278" i="4"/>
  <c r="W278" i="4" s="1"/>
  <c r="N278" i="4"/>
  <c r="S278" i="4" s="1"/>
  <c r="X278" i="4" s="1"/>
  <c r="O278" i="4"/>
  <c r="T278" i="4" s="1"/>
  <c r="Y278" i="4" s="1"/>
  <c r="P278" i="4"/>
  <c r="U278" i="4"/>
  <c r="Z278" i="4" s="1"/>
  <c r="Q278" i="4"/>
  <c r="V278" i="4"/>
  <c r="AA278" i="4" s="1"/>
  <c r="M279" i="4"/>
  <c r="R279" i="4" s="1"/>
  <c r="W279" i="4" s="1"/>
  <c r="N279" i="4"/>
  <c r="S279" i="4" s="1"/>
  <c r="X279" i="4" s="1"/>
  <c r="O279" i="4"/>
  <c r="T279" i="4"/>
  <c r="Y279" i="4" s="1"/>
  <c r="P279" i="4"/>
  <c r="U279" i="4"/>
  <c r="Z279" i="4" s="1"/>
  <c r="Q279" i="4"/>
  <c r="V279" i="4" s="1"/>
  <c r="AA279" i="4" s="1"/>
  <c r="M280" i="4"/>
  <c r="R280" i="4" s="1"/>
  <c r="W280" i="4" s="1"/>
  <c r="N280" i="4"/>
  <c r="S280" i="4"/>
  <c r="X280" i="4" s="1"/>
  <c r="O280" i="4"/>
  <c r="T280" i="4"/>
  <c r="Y280" i="4" s="1"/>
  <c r="P280" i="4"/>
  <c r="U280" i="4" s="1"/>
  <c r="Z280" i="4" s="1"/>
  <c r="Q280" i="4"/>
  <c r="V280" i="4" s="1"/>
  <c r="AA280" i="4" s="1"/>
  <c r="M281" i="4"/>
  <c r="R281" i="4"/>
  <c r="W281" i="4" s="1"/>
  <c r="N281" i="4"/>
  <c r="S281" i="4"/>
  <c r="X281" i="4" s="1"/>
  <c r="O281" i="4"/>
  <c r="T281" i="4" s="1"/>
  <c r="Y281" i="4" s="1"/>
  <c r="P281" i="4"/>
  <c r="U281" i="4" s="1"/>
  <c r="Z281" i="4" s="1"/>
  <c r="Q281" i="4"/>
  <c r="V281" i="4"/>
  <c r="AA281" i="4" s="1"/>
  <c r="M282" i="4"/>
  <c r="R282" i="4"/>
  <c r="W282" i="4" s="1"/>
  <c r="N282" i="4"/>
  <c r="S282" i="4" s="1"/>
  <c r="X282" i="4" s="1"/>
  <c r="O282" i="4"/>
  <c r="T282" i="4" s="1"/>
  <c r="Y282" i="4" s="1"/>
  <c r="P282" i="4"/>
  <c r="U282" i="4"/>
  <c r="Z282" i="4" s="1"/>
  <c r="Q282" i="4"/>
  <c r="V282" i="4"/>
  <c r="AA282" i="4" s="1"/>
  <c r="M283" i="4"/>
  <c r="R283" i="4" s="1"/>
  <c r="W283" i="4" s="1"/>
  <c r="N283" i="4"/>
  <c r="S283" i="4" s="1"/>
  <c r="X283" i="4" s="1"/>
  <c r="O283" i="4"/>
  <c r="T283" i="4"/>
  <c r="Y283" i="4" s="1"/>
  <c r="P283" i="4"/>
  <c r="U283" i="4"/>
  <c r="Z283" i="4" s="1"/>
  <c r="Q283" i="4"/>
  <c r="V283" i="4" s="1"/>
  <c r="AA283" i="4" s="1"/>
  <c r="M284" i="4"/>
  <c r="R284" i="4" s="1"/>
  <c r="W284" i="4" s="1"/>
  <c r="N284" i="4"/>
  <c r="S284" i="4"/>
  <c r="X284" i="4" s="1"/>
  <c r="O284" i="4"/>
  <c r="T284" i="4"/>
  <c r="Y284" i="4" s="1"/>
  <c r="P284" i="4"/>
  <c r="U284" i="4" s="1"/>
  <c r="Z284" i="4" s="1"/>
  <c r="Q284" i="4"/>
  <c r="V284" i="4" s="1"/>
  <c r="AA284" i="4" s="1"/>
  <c r="M285" i="4"/>
  <c r="R285" i="4"/>
  <c r="W285" i="4" s="1"/>
  <c r="N285" i="4"/>
  <c r="S285" i="4"/>
  <c r="X285" i="4" s="1"/>
  <c r="O285" i="4"/>
  <c r="T285" i="4" s="1"/>
  <c r="Y285" i="4" s="1"/>
  <c r="P285" i="4"/>
  <c r="U285" i="4" s="1"/>
  <c r="Z285" i="4" s="1"/>
  <c r="Q285" i="4"/>
  <c r="V285" i="4"/>
  <c r="AA285" i="4" s="1"/>
  <c r="M286" i="4"/>
  <c r="R286" i="4"/>
  <c r="W286" i="4" s="1"/>
  <c r="N286" i="4"/>
  <c r="S286" i="4" s="1"/>
  <c r="X286" i="4" s="1"/>
  <c r="O286" i="4"/>
  <c r="T286" i="4" s="1"/>
  <c r="Y286" i="4" s="1"/>
  <c r="P286" i="4"/>
  <c r="U286" i="4"/>
  <c r="Z286" i="4" s="1"/>
  <c r="Q286" i="4"/>
  <c r="V286" i="4"/>
  <c r="AA286" i="4" s="1"/>
  <c r="M287" i="4"/>
  <c r="R287" i="4" s="1"/>
  <c r="W287" i="4" s="1"/>
  <c r="N287" i="4"/>
  <c r="S287" i="4" s="1"/>
  <c r="X287" i="4" s="1"/>
  <c r="O287" i="4"/>
  <c r="T287" i="4"/>
  <c r="Y287" i="4" s="1"/>
  <c r="P287" i="4"/>
  <c r="U287" i="4"/>
  <c r="Z287" i="4" s="1"/>
  <c r="Q287" i="4"/>
  <c r="V287" i="4" s="1"/>
  <c r="AA287" i="4" s="1"/>
  <c r="M288" i="4"/>
  <c r="R288" i="4" s="1"/>
  <c r="W288" i="4" s="1"/>
  <c r="N288" i="4"/>
  <c r="S288" i="4"/>
  <c r="X288" i="4" s="1"/>
  <c r="O288" i="4"/>
  <c r="T288" i="4"/>
  <c r="Y288" i="4" s="1"/>
  <c r="P288" i="4"/>
  <c r="U288" i="4" s="1"/>
  <c r="Z288" i="4" s="1"/>
  <c r="Q288" i="4"/>
  <c r="V288" i="4" s="1"/>
  <c r="AA288" i="4" s="1"/>
  <c r="M289" i="4"/>
  <c r="R289" i="4"/>
  <c r="W289" i="4" s="1"/>
  <c r="N289" i="4"/>
  <c r="S289" i="4"/>
  <c r="X289" i="4" s="1"/>
  <c r="O289" i="4"/>
  <c r="T289" i="4" s="1"/>
  <c r="Y289" i="4" s="1"/>
  <c r="P289" i="4"/>
  <c r="U289" i="4" s="1"/>
  <c r="Z289" i="4" s="1"/>
  <c r="Q289" i="4"/>
  <c r="V289" i="4"/>
  <c r="AA289" i="4" s="1"/>
  <c r="M290" i="4"/>
  <c r="R290" i="4"/>
  <c r="W290" i="4" s="1"/>
  <c r="N290" i="4"/>
  <c r="S290" i="4" s="1"/>
  <c r="X290" i="4" s="1"/>
  <c r="O290" i="4"/>
  <c r="T290" i="4" s="1"/>
  <c r="Y290" i="4" s="1"/>
  <c r="P290" i="4"/>
  <c r="U290" i="4"/>
  <c r="Z290" i="4" s="1"/>
  <c r="Q290" i="4"/>
  <c r="V290" i="4"/>
  <c r="AA290" i="4" s="1"/>
  <c r="M291" i="4"/>
  <c r="R291" i="4" s="1"/>
  <c r="W291" i="4" s="1"/>
  <c r="N291" i="4"/>
  <c r="S291" i="4" s="1"/>
  <c r="X291" i="4" s="1"/>
  <c r="O291" i="4"/>
  <c r="T291" i="4"/>
  <c r="Y291" i="4" s="1"/>
  <c r="P291" i="4"/>
  <c r="U291" i="4"/>
  <c r="Z291" i="4" s="1"/>
  <c r="Q291" i="4"/>
  <c r="V291" i="4" s="1"/>
  <c r="AA291" i="4" s="1"/>
  <c r="M292" i="4"/>
  <c r="R292" i="4" s="1"/>
  <c r="W292" i="4" s="1"/>
  <c r="N292" i="4"/>
  <c r="S292" i="4"/>
  <c r="X292" i="4" s="1"/>
  <c r="O292" i="4"/>
  <c r="T292" i="4"/>
  <c r="Y292" i="4" s="1"/>
  <c r="P292" i="4"/>
  <c r="U292" i="4" s="1"/>
  <c r="Z292" i="4" s="1"/>
  <c r="Q292" i="4"/>
  <c r="V292" i="4" s="1"/>
  <c r="AA292" i="4" s="1"/>
  <c r="M293" i="4"/>
  <c r="R293" i="4"/>
  <c r="W293" i="4" s="1"/>
  <c r="N293" i="4"/>
  <c r="S293" i="4"/>
  <c r="X293" i="4" s="1"/>
  <c r="O293" i="4"/>
  <c r="T293" i="4" s="1"/>
  <c r="Y293" i="4" s="1"/>
  <c r="P293" i="4"/>
  <c r="U293" i="4" s="1"/>
  <c r="Z293" i="4" s="1"/>
  <c r="Q293" i="4"/>
  <c r="V293" i="4"/>
  <c r="AA293" i="4" s="1"/>
  <c r="M294" i="4"/>
  <c r="R294" i="4"/>
  <c r="W294" i="4" s="1"/>
  <c r="N294" i="4"/>
  <c r="S294" i="4" s="1"/>
  <c r="X294" i="4" s="1"/>
  <c r="O294" i="4"/>
  <c r="T294" i="4" s="1"/>
  <c r="Y294" i="4" s="1"/>
  <c r="P294" i="4"/>
  <c r="U294" i="4"/>
  <c r="Z294" i="4" s="1"/>
  <c r="Q294" i="4"/>
  <c r="V294" i="4"/>
  <c r="AA294" i="4" s="1"/>
  <c r="M295" i="4"/>
  <c r="R295" i="4" s="1"/>
  <c r="W295" i="4" s="1"/>
  <c r="N295" i="4"/>
  <c r="S295" i="4" s="1"/>
  <c r="X295" i="4" s="1"/>
  <c r="O295" i="4"/>
  <c r="T295" i="4"/>
  <c r="Y295" i="4" s="1"/>
  <c r="P295" i="4"/>
  <c r="U295" i="4"/>
  <c r="Z295" i="4" s="1"/>
  <c r="Q295" i="4"/>
  <c r="V295" i="4" s="1"/>
  <c r="AA295" i="4" s="1"/>
  <c r="M296" i="4"/>
  <c r="R296" i="4" s="1"/>
  <c r="W296" i="4" s="1"/>
  <c r="N296" i="4"/>
  <c r="S296" i="4"/>
  <c r="X296" i="4" s="1"/>
  <c r="O296" i="4"/>
  <c r="T296" i="4"/>
  <c r="Y296" i="4" s="1"/>
  <c r="P296" i="4"/>
  <c r="U296" i="4" s="1"/>
  <c r="Z296" i="4" s="1"/>
  <c r="Q296" i="4"/>
  <c r="V296" i="4" s="1"/>
  <c r="AA296" i="4" s="1"/>
  <c r="M297" i="4"/>
  <c r="R297" i="4"/>
  <c r="W297" i="4" s="1"/>
  <c r="N297" i="4"/>
  <c r="S297" i="4"/>
  <c r="X297" i="4" s="1"/>
  <c r="O297" i="4"/>
  <c r="T297" i="4" s="1"/>
  <c r="Y297" i="4" s="1"/>
  <c r="P297" i="4"/>
  <c r="U297" i="4" s="1"/>
  <c r="Z297" i="4" s="1"/>
  <c r="Q297" i="4"/>
  <c r="V297" i="4"/>
  <c r="AA297" i="4" s="1"/>
  <c r="M298" i="4"/>
  <c r="R298" i="4" s="1"/>
  <c r="W298" i="4" s="1"/>
  <c r="N298" i="4"/>
  <c r="S298" i="4"/>
  <c r="X298" i="4" s="1"/>
  <c r="O298" i="4"/>
  <c r="T298" i="4"/>
  <c r="Y298" i="4" s="1"/>
  <c r="P298" i="4"/>
  <c r="U298" i="4" s="1"/>
  <c r="Z298" i="4" s="1"/>
  <c r="Q298" i="4"/>
  <c r="V298" i="4" s="1"/>
  <c r="AA298" i="4" s="1"/>
  <c r="M299" i="4"/>
  <c r="R299" i="4"/>
  <c r="W299" i="4" s="1"/>
  <c r="N299" i="4"/>
  <c r="S299" i="4"/>
  <c r="X299" i="4" s="1"/>
  <c r="O299" i="4"/>
  <c r="T299" i="4" s="1"/>
  <c r="Y299" i="4" s="1"/>
  <c r="P299" i="4"/>
  <c r="U299" i="4" s="1"/>
  <c r="Z299" i="4" s="1"/>
  <c r="Q299" i="4"/>
  <c r="V299" i="4"/>
  <c r="AA299" i="4" s="1"/>
  <c r="M300" i="4"/>
  <c r="R300" i="4"/>
  <c r="W300" i="4" s="1"/>
  <c r="N300" i="4"/>
  <c r="S300" i="4" s="1"/>
  <c r="X300" i="4" s="1"/>
  <c r="O300" i="4"/>
  <c r="T300" i="4" s="1"/>
  <c r="Y300" i="4" s="1"/>
  <c r="P300" i="4"/>
  <c r="U300" i="4"/>
  <c r="Z300" i="4" s="1"/>
  <c r="Q300" i="4"/>
  <c r="V300" i="4"/>
  <c r="AA300" i="4" s="1"/>
  <c r="M301" i="4"/>
  <c r="R301" i="4" s="1"/>
  <c r="W301" i="4" s="1"/>
  <c r="N301" i="4"/>
  <c r="S301" i="4" s="1"/>
  <c r="X301" i="4" s="1"/>
  <c r="O301" i="4"/>
  <c r="T301" i="4"/>
  <c r="Y301" i="4" s="1"/>
  <c r="P301" i="4"/>
  <c r="U301" i="4"/>
  <c r="Z301" i="4" s="1"/>
  <c r="Q301" i="4"/>
  <c r="V301" i="4" s="1"/>
  <c r="AA301" i="4" s="1"/>
  <c r="M302" i="4"/>
  <c r="R302" i="4"/>
  <c r="W302" i="4" s="1"/>
  <c r="N302" i="4"/>
  <c r="S302" i="4" s="1"/>
  <c r="X302" i="4" s="1"/>
  <c r="O302" i="4"/>
  <c r="T302" i="4" s="1"/>
  <c r="Y302" i="4" s="1"/>
  <c r="P302" i="4"/>
  <c r="U302" i="4"/>
  <c r="Z302" i="4" s="1"/>
  <c r="Q302" i="4"/>
  <c r="V302" i="4"/>
  <c r="AA302" i="4" s="1"/>
  <c r="M303" i="4"/>
  <c r="R303" i="4" s="1"/>
  <c r="W303" i="4" s="1"/>
  <c r="N303" i="4"/>
  <c r="S303" i="4" s="1"/>
  <c r="X303" i="4" s="1"/>
  <c r="O303" i="4"/>
  <c r="T303" i="4"/>
  <c r="Y303" i="4" s="1"/>
  <c r="P303" i="4"/>
  <c r="U303" i="4"/>
  <c r="Z303" i="4" s="1"/>
  <c r="Q303" i="4"/>
  <c r="V303" i="4" s="1"/>
  <c r="AA303" i="4" s="1"/>
  <c r="M304" i="4"/>
  <c r="R304" i="4" s="1"/>
  <c r="W304" i="4" s="1"/>
  <c r="N304" i="4"/>
  <c r="S304" i="4"/>
  <c r="X304" i="4" s="1"/>
  <c r="O304" i="4"/>
  <c r="T304" i="4"/>
  <c r="Y304" i="4" s="1"/>
  <c r="P304" i="4"/>
  <c r="U304" i="4" s="1"/>
  <c r="Z304" i="4" s="1"/>
  <c r="Q304" i="4"/>
  <c r="V304" i="4" s="1"/>
  <c r="AA304" i="4" s="1"/>
  <c r="M305" i="4"/>
  <c r="R305" i="4"/>
  <c r="W305" i="4" s="1"/>
  <c r="N305" i="4"/>
  <c r="S305" i="4"/>
  <c r="X305" i="4" s="1"/>
  <c r="O305" i="4"/>
  <c r="T305" i="4" s="1"/>
  <c r="Y305" i="4" s="1"/>
  <c r="P305" i="4"/>
  <c r="U305" i="4" s="1"/>
  <c r="Z305" i="4" s="1"/>
  <c r="Q305" i="4"/>
  <c r="V305" i="4"/>
  <c r="AA305" i="4" s="1"/>
  <c r="M306" i="4"/>
  <c r="R306" i="4" s="1"/>
  <c r="W306" i="4" s="1"/>
  <c r="N306" i="4"/>
  <c r="S306" i="4"/>
  <c r="X306" i="4" s="1"/>
  <c r="O306" i="4"/>
  <c r="T306" i="4"/>
  <c r="Y306" i="4" s="1"/>
  <c r="P306" i="4"/>
  <c r="U306" i="4" s="1"/>
  <c r="Z306" i="4" s="1"/>
  <c r="Q306" i="4"/>
  <c r="V306" i="4" s="1"/>
  <c r="AA306" i="4" s="1"/>
  <c r="M307" i="4"/>
  <c r="R307" i="4"/>
  <c r="W307" i="4" s="1"/>
  <c r="N307" i="4"/>
  <c r="S307" i="4"/>
  <c r="X307" i="4" s="1"/>
  <c r="O307" i="4"/>
  <c r="T307" i="4" s="1"/>
  <c r="Y307" i="4" s="1"/>
  <c r="P307" i="4"/>
  <c r="U307" i="4" s="1"/>
  <c r="Z307" i="4" s="1"/>
  <c r="Q307" i="4"/>
  <c r="V307" i="4"/>
  <c r="AA307" i="4" s="1"/>
  <c r="M308" i="4"/>
  <c r="R308" i="4"/>
  <c r="W308" i="4" s="1"/>
  <c r="N308" i="4"/>
  <c r="S308" i="4" s="1"/>
  <c r="X308" i="4" s="1"/>
  <c r="O308" i="4"/>
  <c r="T308" i="4" s="1"/>
  <c r="Y308" i="4" s="1"/>
  <c r="P308" i="4"/>
  <c r="U308" i="4"/>
  <c r="Z308" i="4" s="1"/>
  <c r="Q308" i="4"/>
  <c r="V308" i="4"/>
  <c r="AA308" i="4" s="1"/>
  <c r="M309" i="4"/>
  <c r="R309" i="4" s="1"/>
  <c r="W309" i="4" s="1"/>
  <c r="N309" i="4"/>
  <c r="S309" i="4" s="1"/>
  <c r="X309" i="4" s="1"/>
  <c r="O309" i="4"/>
  <c r="T309" i="4"/>
  <c r="Y309" i="4" s="1"/>
  <c r="P309" i="4"/>
  <c r="U309" i="4"/>
  <c r="Z309" i="4" s="1"/>
  <c r="Q309" i="4"/>
  <c r="V309" i="4" s="1"/>
  <c r="AA309" i="4" s="1"/>
  <c r="M310" i="4"/>
  <c r="R310" i="4"/>
  <c r="W310" i="4" s="1"/>
  <c r="N310" i="4"/>
  <c r="S310" i="4" s="1"/>
  <c r="X310" i="4" s="1"/>
  <c r="O310" i="4"/>
  <c r="T310" i="4" s="1"/>
  <c r="Y310" i="4" s="1"/>
  <c r="P310" i="4"/>
  <c r="U310" i="4"/>
  <c r="Z310" i="4" s="1"/>
  <c r="Q310" i="4"/>
  <c r="V310" i="4"/>
  <c r="AA310" i="4" s="1"/>
  <c r="M311" i="4"/>
  <c r="R311" i="4" s="1"/>
  <c r="W311" i="4" s="1"/>
  <c r="N311" i="4"/>
  <c r="S311" i="4"/>
  <c r="X311" i="4" s="1"/>
  <c r="O311" i="4"/>
  <c r="T311" i="4" s="1"/>
  <c r="Y311" i="4" s="1"/>
  <c r="P311" i="4"/>
  <c r="U311" i="4" s="1"/>
  <c r="Z311" i="4" s="1"/>
  <c r="Q311" i="4"/>
  <c r="V311" i="4"/>
  <c r="AA311" i="4" s="1"/>
  <c r="M312" i="4"/>
  <c r="R312" i="4"/>
  <c r="W312" i="4" s="1"/>
  <c r="N312" i="4"/>
  <c r="S312" i="4" s="1"/>
  <c r="X312" i="4" s="1"/>
  <c r="O312" i="4"/>
  <c r="T312" i="4" s="1"/>
  <c r="Y312" i="4" s="1"/>
  <c r="P312" i="4"/>
  <c r="U312" i="4"/>
  <c r="Z312" i="4" s="1"/>
  <c r="Q312" i="4"/>
  <c r="V312" i="4"/>
  <c r="AA312" i="4" s="1"/>
  <c r="M313" i="4"/>
  <c r="R313" i="4" s="1"/>
  <c r="W313" i="4" s="1"/>
  <c r="N313" i="4"/>
  <c r="S313" i="4" s="1"/>
  <c r="X313" i="4" s="1"/>
  <c r="O313" i="4"/>
  <c r="T313" i="4"/>
  <c r="Y313" i="4" s="1"/>
  <c r="P313" i="4"/>
  <c r="U313" i="4"/>
  <c r="Z313" i="4" s="1"/>
  <c r="Q313" i="4"/>
  <c r="V313" i="4" s="1"/>
  <c r="AA313" i="4" s="1"/>
  <c r="M314" i="4"/>
  <c r="R314" i="4"/>
  <c r="W314" i="4" s="1"/>
  <c r="N314" i="4"/>
  <c r="S314" i="4" s="1"/>
  <c r="X314" i="4" s="1"/>
  <c r="O314" i="4"/>
  <c r="T314" i="4" s="1"/>
  <c r="Y314" i="4" s="1"/>
  <c r="P314" i="4"/>
  <c r="U314" i="4"/>
  <c r="Z314" i="4" s="1"/>
  <c r="Q314" i="4"/>
  <c r="V314" i="4"/>
  <c r="AA314" i="4" s="1"/>
  <c r="M315" i="4"/>
  <c r="R315" i="4" s="1"/>
  <c r="W315" i="4" s="1"/>
  <c r="N315" i="4"/>
  <c r="S315" i="4" s="1"/>
  <c r="X315" i="4" s="1"/>
  <c r="O315" i="4"/>
  <c r="T315" i="4"/>
  <c r="Y315" i="4" s="1"/>
  <c r="P315" i="4"/>
  <c r="U315" i="4"/>
  <c r="Z315" i="4" s="1"/>
  <c r="Q315" i="4"/>
  <c r="V315" i="4" s="1"/>
  <c r="AA315" i="4" s="1"/>
  <c r="M316" i="4"/>
  <c r="R316" i="4" s="1"/>
  <c r="W316" i="4" s="1"/>
  <c r="N316" i="4"/>
  <c r="S316" i="4"/>
  <c r="X316" i="4" s="1"/>
  <c r="O316" i="4"/>
  <c r="T316" i="4"/>
  <c r="Y316" i="4" s="1"/>
  <c r="P316" i="4"/>
  <c r="U316" i="4" s="1"/>
  <c r="Z316" i="4" s="1"/>
  <c r="Q316" i="4"/>
  <c r="V316" i="4" s="1"/>
  <c r="AA316" i="4" s="1"/>
  <c r="M317" i="4"/>
  <c r="R317" i="4"/>
  <c r="W317" i="4" s="1"/>
  <c r="N317" i="4"/>
  <c r="S317" i="4"/>
  <c r="X317" i="4" s="1"/>
  <c r="O317" i="4"/>
  <c r="T317" i="4" s="1"/>
  <c r="Y317" i="4" s="1"/>
  <c r="P317" i="4"/>
  <c r="U317" i="4" s="1"/>
  <c r="Z317" i="4" s="1"/>
  <c r="Q317" i="4"/>
  <c r="V317" i="4"/>
  <c r="AA317" i="4" s="1"/>
  <c r="M318" i="4"/>
  <c r="R318" i="4" s="1"/>
  <c r="W318" i="4" s="1"/>
  <c r="N318" i="4"/>
  <c r="S318" i="4"/>
  <c r="X318" i="4" s="1"/>
  <c r="O318" i="4"/>
  <c r="T318" i="4"/>
  <c r="Y318" i="4" s="1"/>
  <c r="P318" i="4"/>
  <c r="U318" i="4" s="1"/>
  <c r="Z318" i="4" s="1"/>
  <c r="Q318" i="4"/>
  <c r="V318" i="4" s="1"/>
  <c r="AA318" i="4" s="1"/>
  <c r="M319" i="4"/>
  <c r="R319" i="4"/>
  <c r="W319" i="4" s="1"/>
  <c r="N319" i="4"/>
  <c r="S319" i="4"/>
  <c r="X319" i="4" s="1"/>
  <c r="O319" i="4"/>
  <c r="T319" i="4" s="1"/>
  <c r="Y319" i="4" s="1"/>
  <c r="P319" i="4"/>
  <c r="U319" i="4" s="1"/>
  <c r="Z319" i="4" s="1"/>
  <c r="Q319" i="4"/>
  <c r="V319" i="4"/>
  <c r="AA319" i="4" s="1"/>
  <c r="M320" i="4"/>
  <c r="R320" i="4"/>
  <c r="W320" i="4" s="1"/>
  <c r="N320" i="4"/>
  <c r="S320" i="4" s="1"/>
  <c r="X320" i="4" s="1"/>
  <c r="O320" i="4"/>
  <c r="T320" i="4" s="1"/>
  <c r="Y320" i="4" s="1"/>
  <c r="P320" i="4"/>
  <c r="U320" i="4"/>
  <c r="Z320" i="4" s="1"/>
  <c r="Q320" i="4"/>
  <c r="V320" i="4"/>
  <c r="AA320" i="4" s="1"/>
  <c r="M321" i="4"/>
  <c r="R321" i="4" s="1"/>
  <c r="W321" i="4" s="1"/>
  <c r="N321" i="4"/>
  <c r="S321" i="4" s="1"/>
  <c r="X321" i="4" s="1"/>
  <c r="O321" i="4"/>
  <c r="T321" i="4"/>
  <c r="Y321" i="4" s="1"/>
  <c r="P321" i="4"/>
  <c r="U321" i="4"/>
  <c r="Z321" i="4" s="1"/>
  <c r="Q321" i="4"/>
  <c r="V321" i="4" s="1"/>
  <c r="AA321" i="4" s="1"/>
  <c r="M322" i="4"/>
  <c r="R322" i="4"/>
  <c r="W322" i="4" s="1"/>
  <c r="N322" i="4"/>
  <c r="S322" i="4" s="1"/>
  <c r="X322" i="4" s="1"/>
  <c r="O322" i="4"/>
  <c r="T322" i="4" s="1"/>
  <c r="Y322" i="4" s="1"/>
  <c r="P322" i="4"/>
  <c r="U322" i="4"/>
  <c r="Z322" i="4" s="1"/>
  <c r="Q322" i="4"/>
  <c r="V322" i="4"/>
  <c r="AA322" i="4" s="1"/>
  <c r="M323" i="4"/>
  <c r="R323" i="4" s="1"/>
  <c r="W323" i="4" s="1"/>
  <c r="N323" i="4"/>
  <c r="S323" i="4" s="1"/>
  <c r="X323" i="4" s="1"/>
  <c r="O323" i="4"/>
  <c r="T323" i="4"/>
  <c r="Y323" i="4" s="1"/>
  <c r="P323" i="4"/>
  <c r="U323" i="4"/>
  <c r="Z323" i="4" s="1"/>
  <c r="Q323" i="4"/>
  <c r="V323" i="4" s="1"/>
  <c r="AA323" i="4" s="1"/>
  <c r="M324" i="4"/>
  <c r="R324" i="4" s="1"/>
  <c r="W324" i="4" s="1"/>
  <c r="N324" i="4"/>
  <c r="S324" i="4"/>
  <c r="X324" i="4" s="1"/>
  <c r="O324" i="4"/>
  <c r="T324" i="4"/>
  <c r="Y324" i="4" s="1"/>
  <c r="P324" i="4"/>
  <c r="U324" i="4" s="1"/>
  <c r="Z324" i="4" s="1"/>
  <c r="Q324" i="4"/>
  <c r="V324" i="4" s="1"/>
  <c r="AA324" i="4" s="1"/>
  <c r="M325" i="4"/>
  <c r="R325" i="4"/>
  <c r="W325" i="4" s="1"/>
  <c r="N325" i="4"/>
  <c r="S325" i="4"/>
  <c r="X325" i="4" s="1"/>
  <c r="O325" i="4"/>
  <c r="T325" i="4" s="1"/>
  <c r="Y325" i="4" s="1"/>
  <c r="P325" i="4"/>
  <c r="U325" i="4" s="1"/>
  <c r="Z325" i="4" s="1"/>
  <c r="Q325" i="4"/>
  <c r="V325" i="4"/>
  <c r="AA325" i="4" s="1"/>
  <c r="M326" i="4"/>
  <c r="R326" i="4" s="1"/>
  <c r="W326" i="4" s="1"/>
  <c r="N326" i="4"/>
  <c r="S326" i="4"/>
  <c r="X326" i="4" s="1"/>
  <c r="O326" i="4"/>
  <c r="T326" i="4"/>
  <c r="Y326" i="4" s="1"/>
  <c r="P326" i="4"/>
  <c r="U326" i="4" s="1"/>
  <c r="Z326" i="4" s="1"/>
  <c r="Q326" i="4"/>
  <c r="V326" i="4" s="1"/>
  <c r="AA326" i="4" s="1"/>
  <c r="M327" i="4"/>
  <c r="R327" i="4"/>
  <c r="W327" i="4" s="1"/>
  <c r="N327" i="4"/>
  <c r="S327" i="4"/>
  <c r="X327" i="4" s="1"/>
  <c r="O327" i="4"/>
  <c r="T327" i="4" s="1"/>
  <c r="Y327" i="4" s="1"/>
  <c r="P327" i="4"/>
  <c r="U327" i="4" s="1"/>
  <c r="Z327" i="4" s="1"/>
  <c r="Q327" i="4"/>
  <c r="V327" i="4"/>
  <c r="AA327" i="4" s="1"/>
  <c r="M328" i="4"/>
  <c r="R328" i="4"/>
  <c r="W328" i="4" s="1"/>
  <c r="N328" i="4"/>
  <c r="S328" i="4" s="1"/>
  <c r="X328" i="4" s="1"/>
  <c r="O328" i="4"/>
  <c r="T328" i="4" s="1"/>
  <c r="Y328" i="4" s="1"/>
  <c r="P328" i="4"/>
  <c r="U328" i="4"/>
  <c r="Z328" i="4" s="1"/>
  <c r="Q328" i="4"/>
  <c r="V328" i="4"/>
  <c r="AA328" i="4" s="1"/>
  <c r="M329" i="4"/>
  <c r="R329" i="4" s="1"/>
  <c r="W329" i="4" s="1"/>
  <c r="N329" i="4"/>
  <c r="S329" i="4" s="1"/>
  <c r="X329" i="4" s="1"/>
  <c r="O329" i="4"/>
  <c r="T329" i="4"/>
  <c r="Y329" i="4" s="1"/>
  <c r="P329" i="4"/>
  <c r="U329" i="4"/>
  <c r="Z329" i="4" s="1"/>
  <c r="Q329" i="4"/>
  <c r="V329" i="4" s="1"/>
  <c r="AA329" i="4" s="1"/>
  <c r="M330" i="4"/>
  <c r="R330" i="4"/>
  <c r="W330" i="4" s="1"/>
  <c r="N330" i="4"/>
  <c r="S330" i="4" s="1"/>
  <c r="X330" i="4" s="1"/>
  <c r="O330" i="4"/>
  <c r="T330" i="4" s="1"/>
  <c r="Y330" i="4" s="1"/>
  <c r="P330" i="4"/>
  <c r="U330" i="4"/>
  <c r="Z330" i="4" s="1"/>
  <c r="Q330" i="4"/>
  <c r="V330" i="4"/>
  <c r="AA330" i="4" s="1"/>
  <c r="M331" i="4"/>
  <c r="R331" i="4" s="1"/>
  <c r="W331" i="4" s="1"/>
  <c r="N331" i="4"/>
  <c r="S331" i="4" s="1"/>
  <c r="X331" i="4" s="1"/>
  <c r="O331" i="4"/>
  <c r="T331" i="4"/>
  <c r="Y331" i="4" s="1"/>
  <c r="P331" i="4"/>
  <c r="U331" i="4"/>
  <c r="Z331" i="4" s="1"/>
  <c r="Q331" i="4"/>
  <c r="V331" i="4" s="1"/>
  <c r="AA331" i="4" s="1"/>
  <c r="M332" i="4"/>
  <c r="R332" i="4" s="1"/>
  <c r="W332" i="4" s="1"/>
  <c r="N332" i="4"/>
  <c r="S332" i="4"/>
  <c r="X332" i="4" s="1"/>
  <c r="O332" i="4"/>
  <c r="T332" i="4"/>
  <c r="Y332" i="4" s="1"/>
  <c r="P332" i="4"/>
  <c r="U332" i="4" s="1"/>
  <c r="Z332" i="4" s="1"/>
  <c r="Q332" i="4"/>
  <c r="V332" i="4" s="1"/>
  <c r="AA332" i="4" s="1"/>
  <c r="M333" i="4"/>
  <c r="R333" i="4"/>
  <c r="W333" i="4" s="1"/>
  <c r="N333" i="4"/>
  <c r="S333" i="4"/>
  <c r="X333" i="4" s="1"/>
  <c r="O333" i="4"/>
  <c r="T333" i="4" s="1"/>
  <c r="Y333" i="4" s="1"/>
  <c r="P333" i="4"/>
  <c r="U333" i="4" s="1"/>
  <c r="Z333" i="4" s="1"/>
  <c r="Q333" i="4"/>
  <c r="V333" i="4"/>
  <c r="AA333" i="4" s="1"/>
  <c r="M334" i="4"/>
  <c r="R334" i="4" s="1"/>
  <c r="W334" i="4" s="1"/>
  <c r="N334" i="4"/>
  <c r="S334" i="4"/>
  <c r="X334" i="4" s="1"/>
  <c r="O334" i="4"/>
  <c r="T334" i="4"/>
  <c r="Y334" i="4" s="1"/>
  <c r="P334" i="4"/>
  <c r="U334" i="4" s="1"/>
  <c r="Z334" i="4" s="1"/>
  <c r="Q334" i="4"/>
  <c r="V334" i="4" s="1"/>
  <c r="AA334" i="4" s="1"/>
  <c r="M335" i="4"/>
  <c r="R335" i="4"/>
  <c r="W335" i="4" s="1"/>
  <c r="N335" i="4"/>
  <c r="S335" i="4"/>
  <c r="X335" i="4" s="1"/>
  <c r="O335" i="4"/>
  <c r="T335" i="4" s="1"/>
  <c r="Y335" i="4" s="1"/>
  <c r="P335" i="4"/>
  <c r="U335" i="4" s="1"/>
  <c r="Z335" i="4" s="1"/>
  <c r="Q335" i="4"/>
  <c r="V335" i="4"/>
  <c r="AA335" i="4" s="1"/>
  <c r="M336" i="4"/>
  <c r="R336" i="4"/>
  <c r="W336" i="4" s="1"/>
  <c r="N336" i="4"/>
  <c r="S336" i="4" s="1"/>
  <c r="X336" i="4" s="1"/>
  <c r="O336" i="4"/>
  <c r="T336" i="4" s="1"/>
  <c r="Y336" i="4" s="1"/>
  <c r="P336" i="4"/>
  <c r="U336" i="4"/>
  <c r="Z336" i="4" s="1"/>
  <c r="Q336" i="4"/>
  <c r="V336" i="4"/>
  <c r="AA336" i="4" s="1"/>
  <c r="M337" i="4"/>
  <c r="R337" i="4" s="1"/>
  <c r="W337" i="4" s="1"/>
  <c r="N337" i="4"/>
  <c r="S337" i="4" s="1"/>
  <c r="X337" i="4" s="1"/>
  <c r="O337" i="4"/>
  <c r="T337" i="4"/>
  <c r="Y337" i="4" s="1"/>
  <c r="P337" i="4"/>
  <c r="U337" i="4"/>
  <c r="Z337" i="4" s="1"/>
  <c r="Q337" i="4"/>
  <c r="V337" i="4" s="1"/>
  <c r="AA337" i="4" s="1"/>
  <c r="M338" i="4"/>
  <c r="R338" i="4"/>
  <c r="W338" i="4" s="1"/>
  <c r="N338" i="4"/>
  <c r="S338" i="4" s="1"/>
  <c r="X338" i="4" s="1"/>
  <c r="O338" i="4"/>
  <c r="T338" i="4" s="1"/>
  <c r="Y338" i="4" s="1"/>
  <c r="P338" i="4"/>
  <c r="U338" i="4"/>
  <c r="Z338" i="4" s="1"/>
  <c r="Q338" i="4"/>
  <c r="V338" i="4"/>
  <c r="AA338" i="4" s="1"/>
  <c r="M339" i="4"/>
  <c r="R339" i="4" s="1"/>
  <c r="W339" i="4" s="1"/>
  <c r="N339" i="4"/>
  <c r="S339" i="4" s="1"/>
  <c r="X339" i="4" s="1"/>
  <c r="O339" i="4"/>
  <c r="T339" i="4"/>
  <c r="Y339" i="4" s="1"/>
  <c r="P339" i="4"/>
  <c r="U339" i="4"/>
  <c r="Z339" i="4" s="1"/>
  <c r="Q339" i="4"/>
  <c r="V339" i="4" s="1"/>
  <c r="AA339" i="4" s="1"/>
  <c r="M340" i="4"/>
  <c r="R340" i="4" s="1"/>
  <c r="W340" i="4" s="1"/>
  <c r="N340" i="4"/>
  <c r="S340" i="4"/>
  <c r="X340" i="4" s="1"/>
  <c r="O340" i="4"/>
  <c r="T340" i="4"/>
  <c r="Y340" i="4" s="1"/>
  <c r="P340" i="4"/>
  <c r="U340" i="4" s="1"/>
  <c r="Z340" i="4" s="1"/>
  <c r="Q340" i="4"/>
  <c r="V340" i="4" s="1"/>
  <c r="AA340" i="4" s="1"/>
  <c r="M341" i="4"/>
  <c r="R341" i="4"/>
  <c r="W341" i="4" s="1"/>
  <c r="N341" i="4"/>
  <c r="S341" i="4"/>
  <c r="X341" i="4" s="1"/>
  <c r="O341" i="4"/>
  <c r="T341" i="4" s="1"/>
  <c r="Y341" i="4" s="1"/>
  <c r="P341" i="4"/>
  <c r="U341" i="4" s="1"/>
  <c r="Z341" i="4" s="1"/>
  <c r="Q341" i="4"/>
  <c r="V341" i="4"/>
  <c r="AA341" i="4" s="1"/>
  <c r="M342" i="4"/>
  <c r="R342" i="4" s="1"/>
  <c r="W342" i="4" s="1"/>
  <c r="N342" i="4"/>
  <c r="S342" i="4"/>
  <c r="X342" i="4" s="1"/>
  <c r="O342" i="4"/>
  <c r="T342" i="4"/>
  <c r="Y342" i="4" s="1"/>
  <c r="P342" i="4"/>
  <c r="U342" i="4" s="1"/>
  <c r="Z342" i="4" s="1"/>
  <c r="Q342" i="4"/>
  <c r="V342" i="4" s="1"/>
  <c r="AA342" i="4" s="1"/>
  <c r="M343" i="4"/>
  <c r="R343" i="4"/>
  <c r="W343" i="4" s="1"/>
  <c r="N343" i="4"/>
  <c r="S343" i="4"/>
  <c r="X343" i="4" s="1"/>
  <c r="O343" i="4"/>
  <c r="T343" i="4" s="1"/>
  <c r="Y343" i="4" s="1"/>
  <c r="P343" i="4"/>
  <c r="U343" i="4" s="1"/>
  <c r="Z343" i="4" s="1"/>
  <c r="Q343" i="4"/>
  <c r="V343" i="4"/>
  <c r="AA343" i="4" s="1"/>
  <c r="M344" i="4"/>
  <c r="R344" i="4"/>
  <c r="W344" i="4" s="1"/>
  <c r="N344" i="4"/>
  <c r="S344" i="4" s="1"/>
  <c r="X344" i="4" s="1"/>
  <c r="O344" i="4"/>
  <c r="T344" i="4" s="1"/>
  <c r="Y344" i="4" s="1"/>
  <c r="P344" i="4"/>
  <c r="U344" i="4"/>
  <c r="Z344" i="4" s="1"/>
  <c r="Q344" i="4"/>
  <c r="V344" i="4"/>
  <c r="AA344" i="4" s="1"/>
  <c r="M345" i="4"/>
  <c r="R345" i="4" s="1"/>
  <c r="W345" i="4" s="1"/>
  <c r="N345" i="4"/>
  <c r="S345" i="4" s="1"/>
  <c r="X345" i="4" s="1"/>
  <c r="O345" i="4"/>
  <c r="T345" i="4"/>
  <c r="Y345" i="4" s="1"/>
  <c r="P345" i="4"/>
  <c r="U345" i="4"/>
  <c r="Z345" i="4" s="1"/>
  <c r="Q345" i="4"/>
  <c r="V345" i="4" s="1"/>
  <c r="AA345" i="4" s="1"/>
  <c r="M346" i="4"/>
  <c r="R346" i="4"/>
  <c r="W346" i="4" s="1"/>
  <c r="N346" i="4"/>
  <c r="S346" i="4" s="1"/>
  <c r="X346" i="4" s="1"/>
  <c r="O346" i="4"/>
  <c r="T346" i="4" s="1"/>
  <c r="Y346" i="4" s="1"/>
  <c r="P346" i="4"/>
  <c r="U346" i="4"/>
  <c r="Z346" i="4" s="1"/>
  <c r="Q346" i="4"/>
  <c r="V346" i="4"/>
  <c r="AA346" i="4" s="1"/>
  <c r="M347" i="4"/>
  <c r="R347" i="4" s="1"/>
  <c r="W347" i="4" s="1"/>
  <c r="N347" i="4"/>
  <c r="S347" i="4" s="1"/>
  <c r="X347" i="4" s="1"/>
  <c r="O347" i="4"/>
  <c r="T347" i="4"/>
  <c r="Y347" i="4" s="1"/>
  <c r="P347" i="4"/>
  <c r="U347" i="4"/>
  <c r="Z347" i="4" s="1"/>
  <c r="Q347" i="4"/>
  <c r="V347" i="4" s="1"/>
  <c r="AA347" i="4" s="1"/>
  <c r="M348" i="4"/>
  <c r="R348" i="4" s="1"/>
  <c r="W348" i="4" s="1"/>
  <c r="N348" i="4"/>
  <c r="S348" i="4"/>
  <c r="X348" i="4" s="1"/>
  <c r="O348" i="4"/>
  <c r="T348" i="4"/>
  <c r="Y348" i="4" s="1"/>
  <c r="P348" i="4"/>
  <c r="U348" i="4" s="1"/>
  <c r="Z348" i="4" s="1"/>
  <c r="Q348" i="4"/>
  <c r="V348" i="4" s="1"/>
  <c r="AA348" i="4" s="1"/>
  <c r="M349" i="4"/>
  <c r="R349" i="4"/>
  <c r="W349" i="4" s="1"/>
  <c r="N349" i="4"/>
  <c r="S349" i="4"/>
  <c r="X349" i="4" s="1"/>
  <c r="O349" i="4"/>
  <c r="T349" i="4" s="1"/>
  <c r="Y349" i="4" s="1"/>
  <c r="P349" i="4"/>
  <c r="U349" i="4" s="1"/>
  <c r="Z349" i="4" s="1"/>
  <c r="Q349" i="4"/>
  <c r="V349" i="4"/>
  <c r="AA349" i="4" s="1"/>
  <c r="M350" i="4"/>
  <c r="R350" i="4" s="1"/>
  <c r="W350" i="4" s="1"/>
  <c r="N350" i="4"/>
  <c r="S350" i="4"/>
  <c r="X350" i="4" s="1"/>
  <c r="O350" i="4"/>
  <c r="T350" i="4"/>
  <c r="Y350" i="4" s="1"/>
  <c r="P350" i="4"/>
  <c r="U350" i="4" s="1"/>
  <c r="Z350" i="4" s="1"/>
  <c r="Q350" i="4"/>
  <c r="V350" i="4" s="1"/>
  <c r="AA350" i="4" s="1"/>
  <c r="M351" i="4"/>
  <c r="R351" i="4"/>
  <c r="W351" i="4" s="1"/>
  <c r="N351" i="4"/>
  <c r="S351" i="4"/>
  <c r="X351" i="4" s="1"/>
  <c r="O351" i="4"/>
  <c r="T351" i="4" s="1"/>
  <c r="Y351" i="4" s="1"/>
  <c r="P351" i="4"/>
  <c r="U351" i="4" s="1"/>
  <c r="Z351" i="4" s="1"/>
  <c r="Q351" i="4"/>
  <c r="V351" i="4"/>
  <c r="AA351" i="4" s="1"/>
  <c r="M352" i="4"/>
  <c r="R352" i="4"/>
  <c r="W352" i="4" s="1"/>
  <c r="N352" i="4"/>
  <c r="S352" i="4" s="1"/>
  <c r="X352" i="4" s="1"/>
  <c r="O352" i="4"/>
  <c r="T352" i="4" s="1"/>
  <c r="Y352" i="4" s="1"/>
  <c r="P352" i="4"/>
  <c r="U352" i="4"/>
  <c r="Z352" i="4" s="1"/>
  <c r="Q352" i="4"/>
  <c r="V352" i="4"/>
  <c r="AA352" i="4" s="1"/>
  <c r="M353" i="4"/>
  <c r="R353" i="4" s="1"/>
  <c r="W353" i="4" s="1"/>
  <c r="N353" i="4"/>
  <c r="S353" i="4" s="1"/>
  <c r="X353" i="4" s="1"/>
  <c r="O353" i="4"/>
  <c r="T353" i="4"/>
  <c r="Y353" i="4" s="1"/>
  <c r="P353" i="4"/>
  <c r="U353" i="4"/>
  <c r="Z353" i="4" s="1"/>
  <c r="Q353" i="4"/>
  <c r="V353" i="4" s="1"/>
  <c r="AA353" i="4" s="1"/>
  <c r="M354" i="4"/>
  <c r="R354" i="4"/>
  <c r="W354" i="4" s="1"/>
  <c r="N354" i="4"/>
  <c r="S354" i="4" s="1"/>
  <c r="X354" i="4" s="1"/>
  <c r="O354" i="4"/>
  <c r="T354" i="4" s="1"/>
  <c r="Y354" i="4" s="1"/>
  <c r="P354" i="4"/>
  <c r="U354" i="4"/>
  <c r="Z354" i="4" s="1"/>
  <c r="Q354" i="4"/>
  <c r="V354" i="4"/>
  <c r="AA354" i="4" s="1"/>
  <c r="M355" i="4"/>
  <c r="R355" i="4" s="1"/>
  <c r="W355" i="4" s="1"/>
  <c r="N355" i="4"/>
  <c r="S355" i="4" s="1"/>
  <c r="X355" i="4" s="1"/>
  <c r="O355" i="4"/>
  <c r="T355" i="4"/>
  <c r="Y355" i="4" s="1"/>
  <c r="P355" i="4"/>
  <c r="U355" i="4"/>
  <c r="Z355" i="4" s="1"/>
  <c r="Q355" i="4"/>
  <c r="V355" i="4" s="1"/>
  <c r="AA355" i="4" s="1"/>
  <c r="M356" i="4"/>
  <c r="R356" i="4" s="1"/>
  <c r="W356" i="4" s="1"/>
  <c r="N356" i="4"/>
  <c r="S356" i="4"/>
  <c r="X356" i="4" s="1"/>
  <c r="O356" i="4"/>
  <c r="T356" i="4"/>
  <c r="Y356" i="4" s="1"/>
  <c r="P356" i="4"/>
  <c r="U356" i="4" s="1"/>
  <c r="Z356" i="4" s="1"/>
  <c r="Q356" i="4"/>
  <c r="V356" i="4" s="1"/>
  <c r="AA356" i="4" s="1"/>
  <c r="M357" i="4"/>
  <c r="R357" i="4"/>
  <c r="W357" i="4" s="1"/>
  <c r="N357" i="4"/>
  <c r="S357" i="4"/>
  <c r="X357" i="4" s="1"/>
  <c r="O357" i="4"/>
  <c r="T357" i="4" s="1"/>
  <c r="Y357" i="4" s="1"/>
  <c r="P357" i="4"/>
  <c r="U357" i="4" s="1"/>
  <c r="Z357" i="4" s="1"/>
  <c r="Q357" i="4"/>
  <c r="V357" i="4"/>
  <c r="AA357" i="4" s="1"/>
  <c r="M358" i="4"/>
  <c r="R358" i="4" s="1"/>
  <c r="W358" i="4" s="1"/>
  <c r="N358" i="4"/>
  <c r="S358" i="4"/>
  <c r="X358" i="4" s="1"/>
  <c r="O358" i="4"/>
  <c r="T358" i="4"/>
  <c r="Y358" i="4" s="1"/>
  <c r="P358" i="4"/>
  <c r="U358" i="4" s="1"/>
  <c r="Z358" i="4" s="1"/>
  <c r="Q358" i="4"/>
  <c r="V358" i="4" s="1"/>
  <c r="AA358" i="4" s="1"/>
  <c r="M359" i="4"/>
  <c r="R359" i="4"/>
  <c r="W359" i="4" s="1"/>
  <c r="N359" i="4"/>
  <c r="S359" i="4"/>
  <c r="X359" i="4" s="1"/>
  <c r="O359" i="4"/>
  <c r="T359" i="4" s="1"/>
  <c r="Y359" i="4" s="1"/>
  <c r="P359" i="4"/>
  <c r="U359" i="4" s="1"/>
  <c r="Z359" i="4" s="1"/>
  <c r="Q359" i="4"/>
  <c r="V359" i="4"/>
  <c r="AA359" i="4" s="1"/>
  <c r="M360" i="4"/>
  <c r="R360" i="4"/>
  <c r="W360" i="4" s="1"/>
  <c r="N360" i="4"/>
  <c r="S360" i="4" s="1"/>
  <c r="X360" i="4" s="1"/>
  <c r="O360" i="4"/>
  <c r="T360" i="4" s="1"/>
  <c r="Y360" i="4" s="1"/>
  <c r="P360" i="4"/>
  <c r="U360" i="4"/>
  <c r="Z360" i="4" s="1"/>
  <c r="Q360" i="4"/>
  <c r="V360" i="4"/>
  <c r="AA360" i="4" s="1"/>
  <c r="M361" i="4"/>
  <c r="R361" i="4" s="1"/>
  <c r="W361" i="4" s="1"/>
  <c r="N361" i="4"/>
  <c r="S361" i="4" s="1"/>
  <c r="X361" i="4" s="1"/>
  <c r="O361" i="4"/>
  <c r="T361" i="4"/>
  <c r="Y361" i="4" s="1"/>
  <c r="P361" i="4"/>
  <c r="U361" i="4"/>
  <c r="Z361" i="4" s="1"/>
  <c r="Q361" i="4"/>
  <c r="V361" i="4" s="1"/>
  <c r="AA361" i="4" s="1"/>
  <c r="M362" i="4"/>
  <c r="R362" i="4"/>
  <c r="W362" i="4" s="1"/>
  <c r="N362" i="4"/>
  <c r="S362" i="4" s="1"/>
  <c r="X362" i="4" s="1"/>
  <c r="O362" i="4"/>
  <c r="T362" i="4" s="1"/>
  <c r="Y362" i="4" s="1"/>
  <c r="P362" i="4"/>
  <c r="U362" i="4"/>
  <c r="Z362" i="4" s="1"/>
  <c r="Q362" i="4"/>
  <c r="V362" i="4"/>
  <c r="AA362" i="4" s="1"/>
  <c r="M363" i="4"/>
  <c r="R363" i="4" s="1"/>
  <c r="W363" i="4" s="1"/>
  <c r="N363" i="4"/>
  <c r="S363" i="4" s="1"/>
  <c r="X363" i="4" s="1"/>
  <c r="O363" i="4"/>
  <c r="T363" i="4"/>
  <c r="Y363" i="4" s="1"/>
  <c r="P363" i="4"/>
  <c r="U363" i="4"/>
  <c r="Z363" i="4" s="1"/>
  <c r="Q363" i="4"/>
  <c r="V363" i="4" s="1"/>
  <c r="AA363" i="4" s="1"/>
  <c r="M364" i="4"/>
  <c r="R364" i="4" s="1"/>
  <c r="W364" i="4" s="1"/>
  <c r="N364" i="4"/>
  <c r="S364" i="4"/>
  <c r="X364" i="4" s="1"/>
  <c r="O364" i="4"/>
  <c r="T364" i="4"/>
  <c r="Y364" i="4" s="1"/>
  <c r="P364" i="4"/>
  <c r="U364" i="4" s="1"/>
  <c r="Z364" i="4" s="1"/>
  <c r="Q364" i="4"/>
  <c r="V364" i="4" s="1"/>
  <c r="AA364" i="4" s="1"/>
  <c r="M365" i="4"/>
  <c r="R365" i="4"/>
  <c r="W365" i="4" s="1"/>
  <c r="N365" i="4"/>
  <c r="S365" i="4"/>
  <c r="X365" i="4" s="1"/>
  <c r="O365" i="4"/>
  <c r="T365" i="4" s="1"/>
  <c r="Y365" i="4" s="1"/>
  <c r="P365" i="4"/>
  <c r="U365" i="4" s="1"/>
  <c r="Z365" i="4" s="1"/>
  <c r="Q365" i="4"/>
  <c r="V365" i="4"/>
  <c r="AA365" i="4" s="1"/>
  <c r="M366" i="4"/>
  <c r="R366" i="4"/>
  <c r="W366" i="4" s="1"/>
  <c r="N366" i="4"/>
  <c r="S366" i="4" s="1"/>
  <c r="X366" i="4" s="1"/>
  <c r="O366" i="4"/>
  <c r="T366" i="4" s="1"/>
  <c r="Y366" i="4" s="1"/>
  <c r="P366" i="4"/>
  <c r="U366" i="4"/>
  <c r="Z366" i="4" s="1"/>
  <c r="Q366" i="4"/>
  <c r="V366" i="4"/>
  <c r="AA366" i="4" s="1"/>
  <c r="M367" i="4"/>
  <c r="R367" i="4" s="1"/>
  <c r="W367" i="4" s="1"/>
  <c r="N367" i="4"/>
  <c r="S367" i="4" s="1"/>
  <c r="X367" i="4" s="1"/>
  <c r="O367" i="4"/>
  <c r="T367" i="4"/>
  <c r="Y367" i="4" s="1"/>
  <c r="P367" i="4"/>
  <c r="U367" i="4"/>
  <c r="Z367" i="4" s="1"/>
  <c r="Q367" i="4"/>
  <c r="V367" i="4" s="1"/>
  <c r="AA367" i="4" s="1"/>
  <c r="M368" i="4"/>
  <c r="R368" i="4" s="1"/>
  <c r="W368" i="4" s="1"/>
  <c r="N368" i="4"/>
  <c r="S368" i="4"/>
  <c r="X368" i="4" s="1"/>
  <c r="O368" i="4"/>
  <c r="T368" i="4"/>
  <c r="Y368" i="4" s="1"/>
  <c r="P368" i="4"/>
  <c r="U368" i="4" s="1"/>
  <c r="Z368" i="4" s="1"/>
  <c r="Q368" i="4"/>
  <c r="V368" i="4" s="1"/>
  <c r="AA368" i="4" s="1"/>
  <c r="M369" i="4"/>
  <c r="R369" i="4"/>
  <c r="W369" i="4" s="1"/>
  <c r="N369" i="4"/>
  <c r="S369" i="4"/>
  <c r="X369" i="4" s="1"/>
  <c r="O369" i="4"/>
  <c r="T369" i="4" s="1"/>
  <c r="Y369" i="4" s="1"/>
  <c r="P369" i="4"/>
  <c r="U369" i="4" s="1"/>
  <c r="Z369" i="4" s="1"/>
  <c r="Q369" i="4"/>
  <c r="V369" i="4"/>
  <c r="AA369" i="4" s="1"/>
  <c r="M370" i="4"/>
  <c r="R370" i="4"/>
  <c r="W370" i="4" s="1"/>
  <c r="N370" i="4"/>
  <c r="S370" i="4" s="1"/>
  <c r="X370" i="4" s="1"/>
  <c r="O370" i="4"/>
  <c r="T370" i="4" s="1"/>
  <c r="Y370" i="4" s="1"/>
  <c r="P370" i="4"/>
  <c r="U370" i="4"/>
  <c r="Z370" i="4" s="1"/>
  <c r="Q370" i="4"/>
  <c r="V370" i="4"/>
  <c r="AA370" i="4" s="1"/>
  <c r="M371" i="4"/>
  <c r="R371" i="4" s="1"/>
  <c r="W371" i="4" s="1"/>
  <c r="N371" i="4"/>
  <c r="S371" i="4" s="1"/>
  <c r="X371" i="4" s="1"/>
  <c r="O371" i="4"/>
  <c r="T371" i="4"/>
  <c r="Y371" i="4" s="1"/>
  <c r="P371" i="4"/>
  <c r="U371" i="4"/>
  <c r="Z371" i="4" s="1"/>
  <c r="Q371" i="4"/>
  <c r="V371" i="4" s="1"/>
  <c r="AA371" i="4" s="1"/>
  <c r="M372" i="4"/>
  <c r="R372" i="4" s="1"/>
  <c r="W372" i="4" s="1"/>
  <c r="N372" i="4"/>
  <c r="S372" i="4"/>
  <c r="X372" i="4" s="1"/>
  <c r="O372" i="4"/>
  <c r="T372" i="4"/>
  <c r="Y372" i="4" s="1"/>
  <c r="P372" i="4"/>
  <c r="U372" i="4" s="1"/>
  <c r="Z372" i="4" s="1"/>
  <c r="Q372" i="4"/>
  <c r="V372" i="4" s="1"/>
  <c r="AA372" i="4" s="1"/>
  <c r="M373" i="4"/>
  <c r="R373" i="4"/>
  <c r="W373" i="4" s="1"/>
  <c r="N373" i="4"/>
  <c r="S373" i="4"/>
  <c r="X373" i="4" s="1"/>
  <c r="O373" i="4"/>
  <c r="T373" i="4" s="1"/>
  <c r="Y373" i="4" s="1"/>
  <c r="P373" i="4"/>
  <c r="U373" i="4" s="1"/>
  <c r="Z373" i="4" s="1"/>
  <c r="Q373" i="4"/>
  <c r="V373" i="4"/>
  <c r="AA373" i="4" s="1"/>
  <c r="M374" i="4"/>
  <c r="R374" i="4"/>
  <c r="W374" i="4" s="1"/>
  <c r="N374" i="4"/>
  <c r="S374" i="4" s="1"/>
  <c r="X374" i="4" s="1"/>
  <c r="O374" i="4"/>
  <c r="T374" i="4" s="1"/>
  <c r="Y374" i="4" s="1"/>
  <c r="P374" i="4"/>
  <c r="U374" i="4"/>
  <c r="Z374" i="4" s="1"/>
  <c r="Q374" i="4"/>
  <c r="V374" i="4"/>
  <c r="AA374" i="4" s="1"/>
  <c r="M375" i="4"/>
  <c r="R375" i="4" s="1"/>
  <c r="W375" i="4" s="1"/>
  <c r="N375" i="4"/>
  <c r="S375" i="4" s="1"/>
  <c r="X375" i="4" s="1"/>
  <c r="O375" i="4"/>
  <c r="T375" i="4"/>
  <c r="Y375" i="4" s="1"/>
  <c r="P375" i="4"/>
  <c r="U375" i="4"/>
  <c r="Z375" i="4" s="1"/>
  <c r="Q375" i="4"/>
  <c r="V375" i="4" s="1"/>
  <c r="AA375" i="4" s="1"/>
  <c r="M376" i="4"/>
  <c r="R376" i="4" s="1"/>
  <c r="W376" i="4" s="1"/>
  <c r="N376" i="4"/>
  <c r="S376" i="4"/>
  <c r="X376" i="4" s="1"/>
  <c r="O376" i="4"/>
  <c r="T376" i="4"/>
  <c r="Y376" i="4" s="1"/>
  <c r="P376" i="4"/>
  <c r="U376" i="4" s="1"/>
  <c r="Z376" i="4" s="1"/>
  <c r="Q376" i="4"/>
  <c r="V376" i="4" s="1"/>
  <c r="AA376" i="4" s="1"/>
  <c r="M377" i="4"/>
  <c r="R377" i="4"/>
  <c r="W377" i="4" s="1"/>
  <c r="N377" i="4"/>
  <c r="S377" i="4"/>
  <c r="X377" i="4" s="1"/>
  <c r="O377" i="4"/>
  <c r="T377" i="4" s="1"/>
  <c r="Y377" i="4" s="1"/>
  <c r="P377" i="4"/>
  <c r="U377" i="4" s="1"/>
  <c r="Z377" i="4" s="1"/>
  <c r="Q377" i="4"/>
  <c r="V377" i="4"/>
  <c r="AA377" i="4" s="1"/>
  <c r="M378" i="4"/>
  <c r="R378" i="4"/>
  <c r="W378" i="4" s="1"/>
  <c r="N378" i="4"/>
  <c r="S378" i="4" s="1"/>
  <c r="X378" i="4" s="1"/>
  <c r="O378" i="4"/>
  <c r="T378" i="4" s="1"/>
  <c r="Y378" i="4" s="1"/>
  <c r="P378" i="4"/>
  <c r="U378" i="4"/>
  <c r="Z378" i="4" s="1"/>
  <c r="Q378" i="4"/>
  <c r="V378" i="4"/>
  <c r="AA378" i="4" s="1"/>
  <c r="M379" i="4"/>
  <c r="R379" i="4" s="1"/>
  <c r="W379" i="4" s="1"/>
  <c r="N379" i="4"/>
  <c r="S379" i="4" s="1"/>
  <c r="X379" i="4" s="1"/>
  <c r="O379" i="4"/>
  <c r="T379" i="4"/>
  <c r="Y379" i="4" s="1"/>
  <c r="P379" i="4"/>
  <c r="U379" i="4"/>
  <c r="Z379" i="4" s="1"/>
  <c r="Q379" i="4"/>
  <c r="V379" i="4" s="1"/>
  <c r="AA379" i="4" s="1"/>
  <c r="M380" i="4"/>
  <c r="R380" i="4" s="1"/>
  <c r="W380" i="4" s="1"/>
  <c r="N380" i="4"/>
  <c r="S380" i="4"/>
  <c r="X380" i="4" s="1"/>
  <c r="O380" i="4"/>
  <c r="T380" i="4"/>
  <c r="Y380" i="4" s="1"/>
  <c r="P380" i="4"/>
  <c r="U380" i="4" s="1"/>
  <c r="Z380" i="4" s="1"/>
  <c r="Q380" i="4"/>
  <c r="V380" i="4" s="1"/>
  <c r="AA380" i="4" s="1"/>
  <c r="M381" i="4"/>
  <c r="R381" i="4"/>
  <c r="W381" i="4" s="1"/>
  <c r="N381" i="4"/>
  <c r="S381" i="4"/>
  <c r="X381" i="4" s="1"/>
  <c r="O381" i="4"/>
  <c r="T381" i="4" s="1"/>
  <c r="Y381" i="4" s="1"/>
  <c r="P381" i="4"/>
  <c r="U381" i="4" s="1"/>
  <c r="Z381" i="4" s="1"/>
  <c r="Q381" i="4"/>
  <c r="V381" i="4"/>
  <c r="AA381" i="4" s="1"/>
  <c r="M382" i="4"/>
  <c r="R382" i="4"/>
  <c r="W382" i="4" s="1"/>
  <c r="N382" i="4"/>
  <c r="S382" i="4" s="1"/>
  <c r="X382" i="4" s="1"/>
  <c r="O382" i="4"/>
  <c r="T382" i="4" s="1"/>
  <c r="Y382" i="4" s="1"/>
  <c r="P382" i="4"/>
  <c r="U382" i="4"/>
  <c r="Z382" i="4" s="1"/>
  <c r="Q382" i="4"/>
  <c r="V382" i="4"/>
  <c r="AA382" i="4" s="1"/>
  <c r="M383" i="4"/>
  <c r="R383" i="4" s="1"/>
  <c r="W383" i="4" s="1"/>
  <c r="N383" i="4"/>
  <c r="S383" i="4" s="1"/>
  <c r="X383" i="4" s="1"/>
  <c r="O383" i="4"/>
  <c r="T383" i="4"/>
  <c r="Y383" i="4" s="1"/>
  <c r="P383" i="4"/>
  <c r="U383" i="4"/>
  <c r="Z383" i="4" s="1"/>
  <c r="Q383" i="4"/>
  <c r="V383" i="4" s="1"/>
  <c r="AA383" i="4" s="1"/>
  <c r="M384" i="4"/>
  <c r="R384" i="4" s="1"/>
  <c r="W384" i="4" s="1"/>
  <c r="N384" i="4"/>
  <c r="S384" i="4"/>
  <c r="X384" i="4" s="1"/>
  <c r="O384" i="4"/>
  <c r="T384" i="4"/>
  <c r="Y384" i="4" s="1"/>
  <c r="P384" i="4"/>
  <c r="U384" i="4" s="1"/>
  <c r="Z384" i="4" s="1"/>
  <c r="Q384" i="4"/>
  <c r="V384" i="4" s="1"/>
  <c r="AA384" i="4" s="1"/>
  <c r="M385" i="4"/>
  <c r="R385" i="4"/>
  <c r="W385" i="4" s="1"/>
  <c r="N385" i="4"/>
  <c r="S385" i="4"/>
  <c r="X385" i="4" s="1"/>
  <c r="O385" i="4"/>
  <c r="T385" i="4" s="1"/>
  <c r="Y385" i="4" s="1"/>
  <c r="P385" i="4"/>
  <c r="U385" i="4" s="1"/>
  <c r="Z385" i="4" s="1"/>
  <c r="Q385" i="4"/>
  <c r="V385" i="4"/>
  <c r="AA385" i="4" s="1"/>
  <c r="M386" i="4"/>
  <c r="R386" i="4"/>
  <c r="W386" i="4" s="1"/>
  <c r="N386" i="4"/>
  <c r="S386" i="4" s="1"/>
  <c r="X386" i="4" s="1"/>
  <c r="O386" i="4"/>
  <c r="T386" i="4" s="1"/>
  <c r="Y386" i="4" s="1"/>
  <c r="P386" i="4"/>
  <c r="U386" i="4"/>
  <c r="Z386" i="4" s="1"/>
  <c r="Q386" i="4"/>
  <c r="V386" i="4"/>
  <c r="AA386" i="4" s="1"/>
  <c r="M387" i="4"/>
  <c r="R387" i="4" s="1"/>
  <c r="W387" i="4" s="1"/>
  <c r="N387" i="4"/>
  <c r="S387" i="4" s="1"/>
  <c r="X387" i="4" s="1"/>
  <c r="O387" i="4"/>
  <c r="T387" i="4"/>
  <c r="Y387" i="4" s="1"/>
  <c r="P387" i="4"/>
  <c r="U387" i="4"/>
  <c r="Z387" i="4" s="1"/>
  <c r="Q387" i="4"/>
  <c r="V387" i="4" s="1"/>
  <c r="AA387" i="4" s="1"/>
  <c r="M388" i="4"/>
  <c r="R388" i="4" s="1"/>
  <c r="W388" i="4" s="1"/>
  <c r="N388" i="4"/>
  <c r="S388" i="4"/>
  <c r="X388" i="4" s="1"/>
  <c r="O388" i="4"/>
  <c r="T388" i="4"/>
  <c r="Y388" i="4" s="1"/>
  <c r="P388" i="4"/>
  <c r="U388" i="4" s="1"/>
  <c r="Z388" i="4" s="1"/>
  <c r="Q388" i="4"/>
  <c r="V388" i="4" s="1"/>
  <c r="AA388" i="4" s="1"/>
  <c r="M389" i="4"/>
  <c r="R389" i="4"/>
  <c r="W389" i="4" s="1"/>
  <c r="N389" i="4"/>
  <c r="S389" i="4"/>
  <c r="X389" i="4" s="1"/>
  <c r="O389" i="4"/>
  <c r="T389" i="4" s="1"/>
  <c r="Y389" i="4" s="1"/>
  <c r="P389" i="4"/>
  <c r="U389" i="4" s="1"/>
  <c r="Z389" i="4" s="1"/>
  <c r="Q389" i="4"/>
  <c r="V389" i="4"/>
  <c r="AA389" i="4" s="1"/>
  <c r="M390" i="4"/>
  <c r="R390" i="4"/>
  <c r="W390" i="4" s="1"/>
  <c r="N390" i="4"/>
  <c r="S390" i="4" s="1"/>
  <c r="X390" i="4" s="1"/>
  <c r="O390" i="4"/>
  <c r="T390" i="4" s="1"/>
  <c r="Y390" i="4" s="1"/>
  <c r="P390" i="4"/>
  <c r="U390" i="4"/>
  <c r="Z390" i="4" s="1"/>
  <c r="Q390" i="4"/>
  <c r="V390" i="4"/>
  <c r="AA390" i="4" s="1"/>
  <c r="M391" i="4"/>
  <c r="R391" i="4" s="1"/>
  <c r="W391" i="4" s="1"/>
  <c r="N391" i="4"/>
  <c r="S391" i="4" s="1"/>
  <c r="X391" i="4" s="1"/>
  <c r="O391" i="4"/>
  <c r="T391" i="4"/>
  <c r="Y391" i="4" s="1"/>
  <c r="P391" i="4"/>
  <c r="U391" i="4"/>
  <c r="Z391" i="4" s="1"/>
  <c r="Q391" i="4"/>
  <c r="V391" i="4" s="1"/>
  <c r="AA391" i="4" s="1"/>
  <c r="M392" i="4"/>
  <c r="R392" i="4" s="1"/>
  <c r="W392" i="4" s="1"/>
  <c r="N392" i="4"/>
  <c r="S392" i="4"/>
  <c r="X392" i="4" s="1"/>
  <c r="O392" i="4"/>
  <c r="T392" i="4"/>
  <c r="Y392" i="4" s="1"/>
  <c r="P392" i="4"/>
  <c r="U392" i="4" s="1"/>
  <c r="Z392" i="4" s="1"/>
  <c r="Q392" i="4"/>
  <c r="V392" i="4" s="1"/>
  <c r="AA392" i="4" s="1"/>
  <c r="M393" i="4"/>
  <c r="R393" i="4"/>
  <c r="W393" i="4" s="1"/>
  <c r="N393" i="4"/>
  <c r="S393" i="4"/>
  <c r="X393" i="4" s="1"/>
  <c r="O393" i="4"/>
  <c r="T393" i="4" s="1"/>
  <c r="Y393" i="4" s="1"/>
  <c r="P393" i="4"/>
  <c r="U393" i="4" s="1"/>
  <c r="Z393" i="4" s="1"/>
  <c r="Q393" i="4"/>
  <c r="V393" i="4"/>
  <c r="AA393" i="4" s="1"/>
  <c r="M394" i="4"/>
  <c r="R394" i="4"/>
  <c r="W394" i="4" s="1"/>
  <c r="N394" i="4"/>
  <c r="S394" i="4" s="1"/>
  <c r="X394" i="4" s="1"/>
  <c r="O394" i="4"/>
  <c r="T394" i="4" s="1"/>
  <c r="Y394" i="4" s="1"/>
  <c r="P394" i="4"/>
  <c r="U394" i="4"/>
  <c r="Z394" i="4" s="1"/>
  <c r="Q394" i="4"/>
  <c r="V394" i="4"/>
  <c r="AA394" i="4" s="1"/>
  <c r="M395" i="4"/>
  <c r="R395" i="4" s="1"/>
  <c r="W395" i="4" s="1"/>
  <c r="N395" i="4"/>
  <c r="S395" i="4" s="1"/>
  <c r="X395" i="4" s="1"/>
  <c r="O395" i="4"/>
  <c r="T395" i="4"/>
  <c r="Y395" i="4" s="1"/>
  <c r="P395" i="4"/>
  <c r="U395" i="4"/>
  <c r="Z395" i="4" s="1"/>
  <c r="Q395" i="4"/>
  <c r="V395" i="4" s="1"/>
  <c r="AA395" i="4" s="1"/>
  <c r="M396" i="4"/>
  <c r="R396" i="4" s="1"/>
  <c r="W396" i="4" s="1"/>
  <c r="N396" i="4"/>
  <c r="S396" i="4"/>
  <c r="X396" i="4" s="1"/>
  <c r="O396" i="4"/>
  <c r="T396" i="4"/>
  <c r="Y396" i="4" s="1"/>
  <c r="P396" i="4"/>
  <c r="U396" i="4" s="1"/>
  <c r="Z396" i="4" s="1"/>
  <c r="Q396" i="4"/>
  <c r="V396" i="4" s="1"/>
  <c r="AA396" i="4" s="1"/>
  <c r="M397" i="4"/>
  <c r="R397" i="4"/>
  <c r="W397" i="4" s="1"/>
  <c r="N397" i="4"/>
  <c r="S397" i="4"/>
  <c r="X397" i="4" s="1"/>
  <c r="O397" i="4"/>
  <c r="T397" i="4" s="1"/>
  <c r="Y397" i="4" s="1"/>
  <c r="P397" i="4"/>
  <c r="U397" i="4" s="1"/>
  <c r="Z397" i="4" s="1"/>
  <c r="Q397" i="4"/>
  <c r="V397" i="4"/>
  <c r="AA397" i="4" s="1"/>
  <c r="M398" i="4"/>
  <c r="R398" i="4"/>
  <c r="W398" i="4" s="1"/>
  <c r="N398" i="4"/>
  <c r="S398" i="4" s="1"/>
  <c r="X398" i="4" s="1"/>
  <c r="O398" i="4"/>
  <c r="T398" i="4" s="1"/>
  <c r="Y398" i="4" s="1"/>
  <c r="P398" i="4"/>
  <c r="U398" i="4"/>
  <c r="Z398" i="4" s="1"/>
  <c r="Q398" i="4"/>
  <c r="V398" i="4"/>
  <c r="AA398" i="4" s="1"/>
  <c r="M399" i="4"/>
  <c r="R399" i="4" s="1"/>
  <c r="W399" i="4" s="1"/>
  <c r="N399" i="4"/>
  <c r="S399" i="4" s="1"/>
  <c r="X399" i="4" s="1"/>
  <c r="O399" i="4"/>
  <c r="T399" i="4"/>
  <c r="Y399" i="4" s="1"/>
  <c r="P399" i="4"/>
  <c r="U399" i="4"/>
  <c r="Z399" i="4" s="1"/>
  <c r="Q399" i="4"/>
  <c r="V399" i="4" s="1"/>
  <c r="AA399" i="4" s="1"/>
  <c r="M400" i="4"/>
  <c r="R400" i="4" s="1"/>
  <c r="W400" i="4" s="1"/>
  <c r="N400" i="4"/>
  <c r="S400" i="4"/>
  <c r="X400" i="4" s="1"/>
  <c r="O400" i="4"/>
  <c r="T400" i="4"/>
  <c r="Y400" i="4" s="1"/>
  <c r="P400" i="4"/>
  <c r="U400" i="4" s="1"/>
  <c r="Z400" i="4" s="1"/>
  <c r="Q400" i="4"/>
  <c r="V400" i="4" s="1"/>
  <c r="AA400" i="4" s="1"/>
  <c r="M401" i="4"/>
  <c r="R401" i="4"/>
  <c r="W401" i="4" s="1"/>
  <c r="N401" i="4"/>
  <c r="S401" i="4"/>
  <c r="X401" i="4" s="1"/>
  <c r="O401" i="4"/>
  <c r="T401" i="4" s="1"/>
  <c r="Y401" i="4" s="1"/>
  <c r="P401" i="4"/>
  <c r="U401" i="4" s="1"/>
  <c r="Z401" i="4" s="1"/>
  <c r="Q401" i="4"/>
  <c r="V401" i="4"/>
  <c r="AA401" i="4" s="1"/>
  <c r="M402" i="4"/>
  <c r="R402" i="4"/>
  <c r="W402" i="4" s="1"/>
  <c r="N402" i="4"/>
  <c r="S402" i="4" s="1"/>
  <c r="X402" i="4" s="1"/>
  <c r="O402" i="4"/>
  <c r="T402" i="4" s="1"/>
  <c r="Y402" i="4" s="1"/>
  <c r="P402" i="4"/>
  <c r="U402" i="4"/>
  <c r="Z402" i="4" s="1"/>
  <c r="Q402" i="4"/>
  <c r="V402" i="4"/>
  <c r="AA402" i="4" s="1"/>
  <c r="M403" i="4"/>
  <c r="R403" i="4" s="1"/>
  <c r="W403" i="4" s="1"/>
  <c r="N403" i="4"/>
  <c r="S403" i="4" s="1"/>
  <c r="X403" i="4" s="1"/>
  <c r="O403" i="4"/>
  <c r="T403" i="4"/>
  <c r="Y403" i="4" s="1"/>
  <c r="P403" i="4"/>
  <c r="U403" i="4"/>
  <c r="Z403" i="4" s="1"/>
  <c r="Q403" i="4"/>
  <c r="V403" i="4" s="1"/>
  <c r="AA403" i="4" s="1"/>
  <c r="M404" i="4"/>
  <c r="R404" i="4" s="1"/>
  <c r="W404" i="4" s="1"/>
  <c r="N404" i="4"/>
  <c r="S404" i="4"/>
  <c r="X404" i="4" s="1"/>
  <c r="O404" i="4"/>
  <c r="T404" i="4"/>
  <c r="Y404" i="4" s="1"/>
  <c r="P404" i="4"/>
  <c r="U404" i="4" s="1"/>
  <c r="Z404" i="4" s="1"/>
  <c r="Q404" i="4"/>
  <c r="V404" i="4" s="1"/>
  <c r="AA404" i="4" s="1"/>
  <c r="M405" i="4"/>
  <c r="R405" i="4"/>
  <c r="W405" i="4" s="1"/>
  <c r="N405" i="4"/>
  <c r="S405" i="4"/>
  <c r="X405" i="4" s="1"/>
  <c r="O405" i="4"/>
  <c r="T405" i="4" s="1"/>
  <c r="Y405" i="4" s="1"/>
  <c r="P405" i="4"/>
  <c r="U405" i="4" s="1"/>
  <c r="Z405" i="4" s="1"/>
  <c r="Q405" i="4"/>
  <c r="V405" i="4"/>
  <c r="AA405" i="4" s="1"/>
  <c r="M406" i="4"/>
  <c r="R406" i="4"/>
  <c r="W406" i="4" s="1"/>
  <c r="N406" i="4"/>
  <c r="S406" i="4" s="1"/>
  <c r="X406" i="4" s="1"/>
  <c r="O406" i="4"/>
  <c r="T406" i="4" s="1"/>
  <c r="Y406" i="4" s="1"/>
  <c r="P406" i="4"/>
  <c r="U406" i="4"/>
  <c r="Z406" i="4" s="1"/>
  <c r="Q406" i="4"/>
  <c r="V406" i="4"/>
  <c r="AA406" i="4" s="1"/>
  <c r="M407" i="4"/>
  <c r="R407" i="4" s="1"/>
  <c r="W407" i="4" s="1"/>
  <c r="N407" i="4"/>
  <c r="S407" i="4" s="1"/>
  <c r="X407" i="4" s="1"/>
  <c r="O407" i="4"/>
  <c r="T407" i="4"/>
  <c r="Y407" i="4" s="1"/>
  <c r="P407" i="4"/>
  <c r="U407" i="4"/>
  <c r="Z407" i="4" s="1"/>
  <c r="Q407" i="4"/>
  <c r="V407" i="4" s="1"/>
  <c r="AA407" i="4" s="1"/>
  <c r="M408" i="4"/>
  <c r="R408" i="4" s="1"/>
  <c r="W408" i="4" s="1"/>
  <c r="N408" i="4"/>
  <c r="S408" i="4"/>
  <c r="X408" i="4" s="1"/>
  <c r="O408" i="4"/>
  <c r="T408" i="4"/>
  <c r="Y408" i="4" s="1"/>
  <c r="P408" i="4"/>
  <c r="U408" i="4" s="1"/>
  <c r="Z408" i="4" s="1"/>
  <c r="Q408" i="4"/>
  <c r="V408" i="4" s="1"/>
  <c r="AA408" i="4" s="1"/>
  <c r="M409" i="4"/>
  <c r="R409" i="4"/>
  <c r="W409" i="4" s="1"/>
  <c r="N409" i="4"/>
  <c r="S409" i="4"/>
  <c r="X409" i="4" s="1"/>
  <c r="O409" i="4"/>
  <c r="T409" i="4" s="1"/>
  <c r="Y409" i="4" s="1"/>
  <c r="P409" i="4"/>
  <c r="U409" i="4" s="1"/>
  <c r="Z409" i="4" s="1"/>
  <c r="Q409" i="4"/>
  <c r="V409" i="4"/>
  <c r="AA409" i="4" s="1"/>
  <c r="M410" i="4"/>
  <c r="R410" i="4"/>
  <c r="W410" i="4" s="1"/>
  <c r="N410" i="4"/>
  <c r="S410" i="4" s="1"/>
  <c r="X410" i="4" s="1"/>
  <c r="O410" i="4"/>
  <c r="T410" i="4" s="1"/>
  <c r="Y410" i="4" s="1"/>
  <c r="P410" i="4"/>
  <c r="U410" i="4"/>
  <c r="Z410" i="4" s="1"/>
  <c r="Q410" i="4"/>
  <c r="V410" i="4"/>
  <c r="AA410" i="4" s="1"/>
  <c r="M411" i="4"/>
  <c r="R411" i="4" s="1"/>
  <c r="W411" i="4" s="1"/>
  <c r="N411" i="4"/>
  <c r="S411" i="4" s="1"/>
  <c r="X411" i="4" s="1"/>
  <c r="O411" i="4"/>
  <c r="T411" i="4"/>
  <c r="Y411" i="4" s="1"/>
  <c r="P411" i="4"/>
  <c r="U411" i="4"/>
  <c r="Z411" i="4" s="1"/>
  <c r="Q411" i="4"/>
  <c r="V411" i="4" s="1"/>
  <c r="AA411" i="4" s="1"/>
  <c r="M412" i="4"/>
  <c r="R412" i="4" s="1"/>
  <c r="W412" i="4" s="1"/>
  <c r="N412" i="4"/>
  <c r="S412" i="4"/>
  <c r="X412" i="4" s="1"/>
  <c r="O412" i="4"/>
  <c r="T412" i="4"/>
  <c r="Y412" i="4" s="1"/>
  <c r="P412" i="4"/>
  <c r="U412" i="4" s="1"/>
  <c r="Z412" i="4" s="1"/>
  <c r="Q412" i="4"/>
  <c r="V412" i="4" s="1"/>
  <c r="AA412" i="4" s="1"/>
  <c r="M413" i="4"/>
  <c r="R413" i="4"/>
  <c r="W413" i="4" s="1"/>
  <c r="N413" i="4"/>
  <c r="S413" i="4"/>
  <c r="X413" i="4" s="1"/>
  <c r="O413" i="4"/>
  <c r="T413" i="4" s="1"/>
  <c r="Y413" i="4" s="1"/>
  <c r="P413" i="4"/>
  <c r="U413" i="4" s="1"/>
  <c r="Z413" i="4" s="1"/>
  <c r="Q413" i="4"/>
  <c r="V413" i="4"/>
  <c r="AA413" i="4" s="1"/>
  <c r="M414" i="4"/>
  <c r="R414" i="4"/>
  <c r="W414" i="4" s="1"/>
  <c r="N414" i="4"/>
  <c r="S414" i="4" s="1"/>
  <c r="X414" i="4" s="1"/>
  <c r="O414" i="4"/>
  <c r="T414" i="4" s="1"/>
  <c r="Y414" i="4" s="1"/>
  <c r="P414" i="4"/>
  <c r="U414" i="4"/>
  <c r="Z414" i="4" s="1"/>
  <c r="Q414" i="4"/>
  <c r="V414" i="4"/>
  <c r="AA414" i="4" s="1"/>
  <c r="M415" i="4"/>
  <c r="R415" i="4" s="1"/>
  <c r="W415" i="4" s="1"/>
  <c r="N415" i="4"/>
  <c r="S415" i="4" s="1"/>
  <c r="X415" i="4" s="1"/>
  <c r="O415" i="4"/>
  <c r="T415" i="4"/>
  <c r="Y415" i="4" s="1"/>
  <c r="P415" i="4"/>
  <c r="U415" i="4"/>
  <c r="Z415" i="4" s="1"/>
  <c r="Q415" i="4"/>
  <c r="V415" i="4" s="1"/>
  <c r="AA415" i="4" s="1"/>
  <c r="M416" i="4"/>
  <c r="R416" i="4" s="1"/>
  <c r="W416" i="4" s="1"/>
  <c r="N416" i="4"/>
  <c r="S416" i="4"/>
  <c r="X416" i="4" s="1"/>
  <c r="O416" i="4"/>
  <c r="T416" i="4"/>
  <c r="Y416" i="4" s="1"/>
  <c r="P416" i="4"/>
  <c r="U416" i="4" s="1"/>
  <c r="Z416" i="4" s="1"/>
  <c r="Q416" i="4"/>
  <c r="V416" i="4" s="1"/>
  <c r="AA416" i="4" s="1"/>
  <c r="M417" i="4"/>
  <c r="R417" i="4"/>
  <c r="W417" i="4" s="1"/>
  <c r="N417" i="4"/>
  <c r="S417" i="4"/>
  <c r="X417" i="4" s="1"/>
  <c r="O417" i="4"/>
  <c r="T417" i="4" s="1"/>
  <c r="Y417" i="4" s="1"/>
  <c r="P417" i="4"/>
  <c r="U417" i="4" s="1"/>
  <c r="Z417" i="4" s="1"/>
  <c r="Q417" i="4"/>
  <c r="V417" i="4"/>
  <c r="AA417" i="4" s="1"/>
  <c r="M418" i="4"/>
  <c r="R418" i="4"/>
  <c r="W418" i="4" s="1"/>
  <c r="N418" i="4"/>
  <c r="S418" i="4" s="1"/>
  <c r="X418" i="4" s="1"/>
  <c r="O418" i="4"/>
  <c r="T418" i="4" s="1"/>
  <c r="Y418" i="4" s="1"/>
  <c r="P418" i="4"/>
  <c r="U418" i="4"/>
  <c r="Z418" i="4" s="1"/>
  <c r="Q418" i="4"/>
  <c r="V418" i="4"/>
  <c r="AA418" i="4" s="1"/>
  <c r="M419" i="4"/>
  <c r="R419" i="4" s="1"/>
  <c r="W419" i="4" s="1"/>
  <c r="N419" i="4"/>
  <c r="S419" i="4" s="1"/>
  <c r="X419" i="4" s="1"/>
  <c r="O419" i="4"/>
  <c r="T419" i="4"/>
  <c r="Y419" i="4" s="1"/>
  <c r="P419" i="4"/>
  <c r="U419" i="4"/>
  <c r="Z419" i="4" s="1"/>
  <c r="Q419" i="4"/>
  <c r="V419" i="4" s="1"/>
  <c r="AA419" i="4" s="1"/>
  <c r="M420" i="4"/>
  <c r="R420" i="4" s="1"/>
  <c r="W420" i="4" s="1"/>
  <c r="N420" i="4"/>
  <c r="S420" i="4"/>
  <c r="X420" i="4" s="1"/>
  <c r="O420" i="4"/>
  <c r="T420" i="4"/>
  <c r="Y420" i="4" s="1"/>
  <c r="P420" i="4"/>
  <c r="U420" i="4" s="1"/>
  <c r="Z420" i="4" s="1"/>
  <c r="Q420" i="4"/>
  <c r="V420" i="4" s="1"/>
  <c r="AA420" i="4" s="1"/>
  <c r="M421" i="4"/>
  <c r="R421" i="4"/>
  <c r="W421" i="4" s="1"/>
  <c r="N421" i="4"/>
  <c r="S421" i="4"/>
  <c r="X421" i="4" s="1"/>
  <c r="O421" i="4"/>
  <c r="T421" i="4" s="1"/>
  <c r="Y421" i="4" s="1"/>
  <c r="P421" i="4"/>
  <c r="U421" i="4" s="1"/>
  <c r="Z421" i="4" s="1"/>
  <c r="Q421" i="4"/>
  <c r="V421" i="4"/>
  <c r="AA421" i="4" s="1"/>
  <c r="M422" i="4"/>
  <c r="R422" i="4"/>
  <c r="W422" i="4" s="1"/>
  <c r="N422" i="4"/>
  <c r="S422" i="4" s="1"/>
  <c r="X422" i="4" s="1"/>
  <c r="O422" i="4"/>
  <c r="T422" i="4" s="1"/>
  <c r="Y422" i="4" s="1"/>
  <c r="P422" i="4"/>
  <c r="U422" i="4"/>
  <c r="Z422" i="4" s="1"/>
  <c r="Q422" i="4"/>
  <c r="V422" i="4"/>
  <c r="AA422" i="4" s="1"/>
  <c r="M423" i="4"/>
  <c r="R423" i="4" s="1"/>
  <c r="W423" i="4" s="1"/>
  <c r="N423" i="4"/>
  <c r="S423" i="4" s="1"/>
  <c r="X423" i="4" s="1"/>
  <c r="O423" i="4"/>
  <c r="T423" i="4"/>
  <c r="Y423" i="4" s="1"/>
  <c r="P423" i="4"/>
  <c r="U423" i="4"/>
  <c r="Z423" i="4" s="1"/>
  <c r="Q423" i="4"/>
  <c r="V423" i="4" s="1"/>
  <c r="AA423" i="4" s="1"/>
  <c r="M424" i="4"/>
  <c r="R424" i="4" s="1"/>
  <c r="W424" i="4" s="1"/>
  <c r="N424" i="4"/>
  <c r="S424" i="4"/>
  <c r="X424" i="4" s="1"/>
  <c r="O424" i="4"/>
  <c r="T424" i="4"/>
  <c r="Y424" i="4" s="1"/>
  <c r="P424" i="4"/>
  <c r="U424" i="4" s="1"/>
  <c r="Z424" i="4" s="1"/>
  <c r="Q424" i="4"/>
  <c r="V424" i="4" s="1"/>
  <c r="AA424" i="4" s="1"/>
  <c r="M425" i="4"/>
  <c r="R425" i="4"/>
  <c r="W425" i="4" s="1"/>
  <c r="N425" i="4"/>
  <c r="S425" i="4"/>
  <c r="X425" i="4" s="1"/>
  <c r="O425" i="4"/>
  <c r="T425" i="4" s="1"/>
  <c r="Y425" i="4" s="1"/>
  <c r="P425" i="4"/>
  <c r="U425" i="4" s="1"/>
  <c r="Z425" i="4" s="1"/>
  <c r="Q425" i="4"/>
  <c r="V425" i="4"/>
  <c r="AA425" i="4" s="1"/>
  <c r="M426" i="4"/>
  <c r="R426" i="4"/>
  <c r="W426" i="4" s="1"/>
  <c r="N426" i="4"/>
  <c r="S426" i="4" s="1"/>
  <c r="X426" i="4" s="1"/>
  <c r="O426" i="4"/>
  <c r="T426" i="4" s="1"/>
  <c r="Y426" i="4" s="1"/>
  <c r="P426" i="4"/>
  <c r="U426" i="4"/>
  <c r="Z426" i="4" s="1"/>
  <c r="Q426" i="4"/>
  <c r="V426" i="4"/>
  <c r="AA426" i="4" s="1"/>
  <c r="M427" i="4"/>
  <c r="R427" i="4" s="1"/>
  <c r="W427" i="4" s="1"/>
  <c r="N427" i="4"/>
  <c r="S427" i="4" s="1"/>
  <c r="X427" i="4" s="1"/>
  <c r="O427" i="4"/>
  <c r="T427" i="4"/>
  <c r="Y427" i="4" s="1"/>
  <c r="P427" i="4"/>
  <c r="U427" i="4"/>
  <c r="Z427" i="4" s="1"/>
  <c r="Q427" i="4"/>
  <c r="V427" i="4" s="1"/>
  <c r="AA427" i="4" s="1"/>
  <c r="M428" i="4"/>
  <c r="R428" i="4" s="1"/>
  <c r="W428" i="4" s="1"/>
  <c r="N428" i="4"/>
  <c r="S428" i="4"/>
  <c r="X428" i="4" s="1"/>
  <c r="O428" i="4"/>
  <c r="T428" i="4"/>
  <c r="Y428" i="4" s="1"/>
  <c r="P428" i="4"/>
  <c r="U428" i="4" s="1"/>
  <c r="Z428" i="4" s="1"/>
  <c r="Q428" i="4"/>
  <c r="V428" i="4" s="1"/>
  <c r="AA428" i="4" s="1"/>
  <c r="M429" i="4"/>
  <c r="R429" i="4"/>
  <c r="W429" i="4" s="1"/>
  <c r="N429" i="4"/>
  <c r="S429" i="4"/>
  <c r="X429" i="4" s="1"/>
  <c r="O429" i="4"/>
  <c r="T429" i="4" s="1"/>
  <c r="Y429" i="4" s="1"/>
  <c r="P429" i="4"/>
  <c r="U429" i="4" s="1"/>
  <c r="Z429" i="4" s="1"/>
  <c r="Q429" i="4"/>
  <c r="V429" i="4"/>
  <c r="AA429" i="4" s="1"/>
  <c r="M430" i="4"/>
  <c r="R430" i="4"/>
  <c r="W430" i="4" s="1"/>
  <c r="N430" i="4"/>
  <c r="S430" i="4" s="1"/>
  <c r="X430" i="4" s="1"/>
  <c r="O430" i="4"/>
  <c r="T430" i="4" s="1"/>
  <c r="Y430" i="4" s="1"/>
  <c r="P430" i="4"/>
  <c r="U430" i="4"/>
  <c r="Z430" i="4" s="1"/>
  <c r="Q430" i="4"/>
  <c r="V430" i="4"/>
  <c r="AA430" i="4" s="1"/>
  <c r="M431" i="4"/>
  <c r="R431" i="4" s="1"/>
  <c r="W431" i="4" s="1"/>
  <c r="N431" i="4"/>
  <c r="S431" i="4" s="1"/>
  <c r="X431" i="4" s="1"/>
  <c r="O431" i="4"/>
  <c r="T431" i="4"/>
  <c r="Y431" i="4" s="1"/>
  <c r="P431" i="4"/>
  <c r="U431" i="4"/>
  <c r="Z431" i="4" s="1"/>
  <c r="Q431" i="4"/>
  <c r="V431" i="4" s="1"/>
  <c r="AA431" i="4" s="1"/>
  <c r="M432" i="4"/>
  <c r="R432" i="4" s="1"/>
  <c r="W432" i="4" s="1"/>
  <c r="N432" i="4"/>
  <c r="S432" i="4"/>
  <c r="X432" i="4" s="1"/>
  <c r="O432" i="4"/>
  <c r="T432" i="4"/>
  <c r="Y432" i="4" s="1"/>
  <c r="P432" i="4"/>
  <c r="U432" i="4" s="1"/>
  <c r="Z432" i="4" s="1"/>
  <c r="Q432" i="4"/>
  <c r="V432" i="4" s="1"/>
  <c r="AA432" i="4" s="1"/>
  <c r="M433" i="4"/>
  <c r="R433" i="4"/>
  <c r="W433" i="4" s="1"/>
  <c r="N433" i="4"/>
  <c r="S433" i="4"/>
  <c r="X433" i="4" s="1"/>
  <c r="O433" i="4"/>
  <c r="T433" i="4" s="1"/>
  <c r="Y433" i="4" s="1"/>
  <c r="P433" i="4"/>
  <c r="U433" i="4" s="1"/>
  <c r="Z433" i="4" s="1"/>
  <c r="Q433" i="4"/>
  <c r="V433" i="4"/>
  <c r="AA433" i="4" s="1"/>
  <c r="M434" i="4"/>
  <c r="R434" i="4"/>
  <c r="W434" i="4" s="1"/>
  <c r="N434" i="4"/>
  <c r="S434" i="4" s="1"/>
  <c r="X434" i="4" s="1"/>
  <c r="O434" i="4"/>
  <c r="T434" i="4" s="1"/>
  <c r="Y434" i="4" s="1"/>
  <c r="P434" i="4"/>
  <c r="U434" i="4"/>
  <c r="Z434" i="4" s="1"/>
  <c r="Q434" i="4"/>
  <c r="V434" i="4"/>
  <c r="AA434" i="4" s="1"/>
  <c r="M435" i="4"/>
  <c r="R435" i="4" s="1"/>
  <c r="W435" i="4" s="1"/>
  <c r="N435" i="4"/>
  <c r="S435" i="4" s="1"/>
  <c r="X435" i="4" s="1"/>
  <c r="O435" i="4"/>
  <c r="T435" i="4"/>
  <c r="Y435" i="4" s="1"/>
  <c r="P435" i="4"/>
  <c r="U435" i="4"/>
  <c r="Z435" i="4" s="1"/>
  <c r="Q435" i="4"/>
  <c r="V435" i="4" s="1"/>
  <c r="AA435" i="4" s="1"/>
  <c r="M436" i="4"/>
  <c r="R436" i="4" s="1"/>
  <c r="W436" i="4" s="1"/>
  <c r="N436" i="4"/>
  <c r="S436" i="4"/>
  <c r="X436" i="4" s="1"/>
  <c r="O436" i="4"/>
  <c r="T436" i="4"/>
  <c r="Y436" i="4" s="1"/>
  <c r="P436" i="4"/>
  <c r="U436" i="4" s="1"/>
  <c r="Z436" i="4" s="1"/>
  <c r="Q436" i="4"/>
  <c r="V436" i="4" s="1"/>
  <c r="AA436" i="4" s="1"/>
  <c r="M437" i="4"/>
  <c r="R437" i="4"/>
  <c r="W437" i="4" s="1"/>
  <c r="N437" i="4"/>
  <c r="S437" i="4"/>
  <c r="X437" i="4" s="1"/>
  <c r="O437" i="4"/>
  <c r="T437" i="4" s="1"/>
  <c r="Y437" i="4" s="1"/>
  <c r="P437" i="4"/>
  <c r="U437" i="4" s="1"/>
  <c r="Z437" i="4" s="1"/>
  <c r="Q437" i="4"/>
  <c r="V437" i="4"/>
  <c r="AA437" i="4" s="1"/>
  <c r="M438" i="4"/>
  <c r="R438" i="4"/>
  <c r="W438" i="4" s="1"/>
  <c r="N438" i="4"/>
  <c r="S438" i="4" s="1"/>
  <c r="X438" i="4" s="1"/>
  <c r="O438" i="4"/>
  <c r="T438" i="4" s="1"/>
  <c r="Y438" i="4" s="1"/>
  <c r="P438" i="4"/>
  <c r="U438" i="4"/>
  <c r="Z438" i="4" s="1"/>
  <c r="Q438" i="4"/>
  <c r="V438" i="4"/>
  <c r="AA438" i="4" s="1"/>
  <c r="M439" i="4"/>
  <c r="R439" i="4" s="1"/>
  <c r="W439" i="4" s="1"/>
  <c r="N439" i="4"/>
  <c r="S439" i="4" s="1"/>
  <c r="X439" i="4" s="1"/>
  <c r="O439" i="4"/>
  <c r="T439" i="4"/>
  <c r="Y439" i="4" s="1"/>
  <c r="P439" i="4"/>
  <c r="U439" i="4"/>
  <c r="Z439" i="4" s="1"/>
  <c r="Q439" i="4"/>
  <c r="V439" i="4" s="1"/>
  <c r="AA439" i="4" s="1"/>
  <c r="M440" i="4"/>
  <c r="R440" i="4" s="1"/>
  <c r="W440" i="4" s="1"/>
  <c r="N440" i="4"/>
  <c r="S440" i="4"/>
  <c r="X440" i="4" s="1"/>
  <c r="O440" i="4"/>
  <c r="T440" i="4"/>
  <c r="Y440" i="4" s="1"/>
  <c r="P440" i="4"/>
  <c r="U440" i="4" s="1"/>
  <c r="Z440" i="4" s="1"/>
  <c r="Q440" i="4"/>
  <c r="V440" i="4" s="1"/>
  <c r="AA440" i="4" s="1"/>
  <c r="M441" i="4"/>
  <c r="R441" i="4"/>
  <c r="W441" i="4" s="1"/>
  <c r="N441" i="4"/>
  <c r="S441" i="4"/>
  <c r="X441" i="4" s="1"/>
  <c r="O441" i="4"/>
  <c r="T441" i="4" s="1"/>
  <c r="Y441" i="4" s="1"/>
  <c r="P441" i="4"/>
  <c r="U441" i="4" s="1"/>
  <c r="Z441" i="4" s="1"/>
  <c r="Q441" i="4"/>
  <c r="V441" i="4"/>
  <c r="AA441" i="4" s="1"/>
  <c r="M442" i="4"/>
  <c r="R442" i="4"/>
  <c r="W442" i="4" s="1"/>
  <c r="N442" i="4"/>
  <c r="S442" i="4" s="1"/>
  <c r="X442" i="4" s="1"/>
  <c r="O442" i="4"/>
  <c r="T442" i="4" s="1"/>
  <c r="Y442" i="4" s="1"/>
  <c r="P442" i="4"/>
  <c r="U442" i="4"/>
  <c r="Z442" i="4" s="1"/>
  <c r="Q442" i="4"/>
  <c r="V442" i="4"/>
  <c r="AA442" i="4" s="1"/>
  <c r="M443" i="4"/>
  <c r="R443" i="4" s="1"/>
  <c r="W443" i="4" s="1"/>
  <c r="N443" i="4"/>
  <c r="S443" i="4" s="1"/>
  <c r="X443" i="4" s="1"/>
  <c r="O443" i="4"/>
  <c r="T443" i="4"/>
  <c r="Y443" i="4" s="1"/>
  <c r="P443" i="4"/>
  <c r="U443" i="4"/>
  <c r="Z443" i="4" s="1"/>
  <c r="Q443" i="4"/>
  <c r="V443" i="4" s="1"/>
  <c r="AA443" i="4" s="1"/>
  <c r="M444" i="4"/>
  <c r="R444" i="4"/>
  <c r="W444" i="4" s="1"/>
  <c r="N444" i="4"/>
  <c r="S444" i="4" s="1"/>
  <c r="X444" i="4" s="1"/>
  <c r="O444" i="4"/>
  <c r="T444" i="4" s="1"/>
  <c r="Y444" i="4" s="1"/>
  <c r="P444" i="4"/>
  <c r="U444" i="4"/>
  <c r="Z444" i="4" s="1"/>
  <c r="Q444" i="4"/>
  <c r="V444" i="4"/>
  <c r="AA444" i="4" s="1"/>
  <c r="M445" i="4"/>
  <c r="R445" i="4" s="1"/>
  <c r="W445" i="4" s="1"/>
  <c r="N445" i="4"/>
  <c r="S445" i="4" s="1"/>
  <c r="X445" i="4" s="1"/>
  <c r="O445" i="4"/>
  <c r="T445" i="4"/>
  <c r="Y445" i="4" s="1"/>
  <c r="P445" i="4"/>
  <c r="U445" i="4"/>
  <c r="Z445" i="4" s="1"/>
  <c r="Q445" i="4"/>
  <c r="V445" i="4" s="1"/>
  <c r="AA445" i="4" s="1"/>
  <c r="M446" i="4"/>
  <c r="R446" i="4" s="1"/>
  <c r="W446" i="4" s="1"/>
  <c r="N446" i="4"/>
  <c r="S446" i="4"/>
  <c r="X446" i="4" s="1"/>
  <c r="O446" i="4"/>
  <c r="T446" i="4"/>
  <c r="Y446" i="4" s="1"/>
  <c r="P446" i="4"/>
  <c r="U446" i="4" s="1"/>
  <c r="Z446" i="4" s="1"/>
  <c r="Q446" i="4"/>
  <c r="V446" i="4" s="1"/>
  <c r="AA446" i="4" s="1"/>
  <c r="M447" i="4"/>
  <c r="R447" i="4"/>
  <c r="W447" i="4" s="1"/>
  <c r="N447" i="4"/>
  <c r="S447" i="4"/>
  <c r="X447" i="4" s="1"/>
  <c r="O447" i="4"/>
  <c r="T447" i="4" s="1"/>
  <c r="Y447" i="4" s="1"/>
  <c r="P447" i="4"/>
  <c r="U447" i="4" s="1"/>
  <c r="Z447" i="4" s="1"/>
  <c r="Q447" i="4"/>
  <c r="V447" i="4"/>
  <c r="AA447" i="4" s="1"/>
  <c r="M448" i="4"/>
  <c r="R448" i="4" s="1"/>
  <c r="W448" i="4" s="1"/>
  <c r="N448" i="4"/>
  <c r="S448" i="4"/>
  <c r="X448" i="4" s="1"/>
  <c r="O448" i="4"/>
  <c r="T448" i="4"/>
  <c r="Y448" i="4" s="1"/>
  <c r="P448" i="4"/>
  <c r="U448" i="4" s="1"/>
  <c r="Z448" i="4" s="1"/>
  <c r="Q448" i="4"/>
  <c r="V448" i="4" s="1"/>
  <c r="AA448" i="4" s="1"/>
  <c r="M449" i="4"/>
  <c r="R449" i="4"/>
  <c r="W449" i="4" s="1"/>
  <c r="N449" i="4"/>
  <c r="S449" i="4"/>
  <c r="X449" i="4" s="1"/>
  <c r="O449" i="4"/>
  <c r="T449" i="4" s="1"/>
  <c r="Y449" i="4" s="1"/>
  <c r="P449" i="4"/>
  <c r="U449" i="4" s="1"/>
  <c r="Z449" i="4" s="1"/>
  <c r="Q449" i="4"/>
  <c r="V449" i="4"/>
  <c r="AA449" i="4" s="1"/>
  <c r="M450" i="4"/>
  <c r="R450" i="4"/>
  <c r="W450" i="4" s="1"/>
  <c r="N450" i="4"/>
  <c r="S450" i="4" s="1"/>
  <c r="X450" i="4" s="1"/>
  <c r="O450" i="4"/>
  <c r="T450" i="4" s="1"/>
  <c r="Y450" i="4" s="1"/>
  <c r="P450" i="4"/>
  <c r="U450" i="4"/>
  <c r="Z450" i="4" s="1"/>
  <c r="Q450" i="4"/>
  <c r="V450" i="4"/>
  <c r="AA450" i="4" s="1"/>
  <c r="M451" i="4"/>
  <c r="R451" i="4" s="1"/>
  <c r="W451" i="4" s="1"/>
  <c r="N451" i="4"/>
  <c r="S451" i="4" s="1"/>
  <c r="X451" i="4" s="1"/>
  <c r="O451" i="4"/>
  <c r="T451" i="4"/>
  <c r="Y451" i="4" s="1"/>
  <c r="P451" i="4"/>
  <c r="U451" i="4"/>
  <c r="Z451" i="4" s="1"/>
  <c r="Q451" i="4"/>
  <c r="V451" i="4" s="1"/>
  <c r="AA451" i="4" s="1"/>
  <c r="M452" i="4"/>
  <c r="R452" i="4"/>
  <c r="W452" i="4" s="1"/>
  <c r="N452" i="4"/>
  <c r="S452" i="4" s="1"/>
  <c r="X452" i="4" s="1"/>
  <c r="O452" i="4"/>
  <c r="T452" i="4" s="1"/>
  <c r="Y452" i="4" s="1"/>
  <c r="P452" i="4"/>
  <c r="U452" i="4"/>
  <c r="Z452" i="4" s="1"/>
  <c r="Q452" i="4"/>
  <c r="V452" i="4"/>
  <c r="AA452" i="4" s="1"/>
  <c r="M453" i="4"/>
  <c r="R453" i="4" s="1"/>
  <c r="W453" i="4" s="1"/>
  <c r="N453" i="4"/>
  <c r="S453" i="4" s="1"/>
  <c r="X453" i="4" s="1"/>
  <c r="O453" i="4"/>
  <c r="T453" i="4"/>
  <c r="Y453" i="4" s="1"/>
  <c r="P453" i="4"/>
  <c r="U453" i="4"/>
  <c r="Z453" i="4" s="1"/>
  <c r="Q453" i="4"/>
  <c r="V453" i="4" s="1"/>
  <c r="AA453" i="4" s="1"/>
  <c r="M454" i="4"/>
  <c r="R454" i="4" s="1"/>
  <c r="W454" i="4" s="1"/>
  <c r="N454" i="4"/>
  <c r="S454" i="4"/>
  <c r="X454" i="4" s="1"/>
  <c r="O454" i="4"/>
  <c r="T454" i="4"/>
  <c r="Y454" i="4" s="1"/>
  <c r="P454" i="4"/>
  <c r="U454" i="4" s="1"/>
  <c r="Z454" i="4" s="1"/>
  <c r="Q454" i="4"/>
  <c r="V454" i="4" s="1"/>
  <c r="AA454" i="4" s="1"/>
  <c r="M455" i="4"/>
  <c r="R455" i="4"/>
  <c r="W455" i="4" s="1"/>
  <c r="N455" i="4"/>
  <c r="S455" i="4"/>
  <c r="X455" i="4" s="1"/>
  <c r="O455" i="4"/>
  <c r="T455" i="4" s="1"/>
  <c r="Y455" i="4" s="1"/>
  <c r="P455" i="4"/>
  <c r="U455" i="4" s="1"/>
  <c r="Z455" i="4" s="1"/>
  <c r="Q455" i="4"/>
  <c r="V455" i="4"/>
  <c r="AA455" i="4" s="1"/>
  <c r="M456" i="4"/>
  <c r="R456" i="4" s="1"/>
  <c r="W456" i="4" s="1"/>
  <c r="N456" i="4"/>
  <c r="S456" i="4"/>
  <c r="X456" i="4" s="1"/>
  <c r="O456" i="4"/>
  <c r="T456" i="4"/>
  <c r="Y456" i="4" s="1"/>
  <c r="P456" i="4"/>
  <c r="U456" i="4" s="1"/>
  <c r="Z456" i="4" s="1"/>
  <c r="Q456" i="4"/>
  <c r="V456" i="4" s="1"/>
  <c r="AA456" i="4" s="1"/>
  <c r="M457" i="4"/>
  <c r="R457" i="4"/>
  <c r="W457" i="4" s="1"/>
  <c r="N457" i="4"/>
  <c r="S457" i="4"/>
  <c r="X457" i="4" s="1"/>
  <c r="O457" i="4"/>
  <c r="T457" i="4" s="1"/>
  <c r="Y457" i="4" s="1"/>
  <c r="P457" i="4"/>
  <c r="U457" i="4" s="1"/>
  <c r="Z457" i="4" s="1"/>
  <c r="Q457" i="4"/>
  <c r="V457" i="4"/>
  <c r="AA457" i="4" s="1"/>
  <c r="M458" i="4"/>
  <c r="R458" i="4"/>
  <c r="W458" i="4" s="1"/>
  <c r="N458" i="4"/>
  <c r="S458" i="4" s="1"/>
  <c r="X458" i="4" s="1"/>
  <c r="O458" i="4"/>
  <c r="T458" i="4" s="1"/>
  <c r="Y458" i="4" s="1"/>
  <c r="P458" i="4"/>
  <c r="U458" i="4"/>
  <c r="Z458" i="4" s="1"/>
  <c r="Q458" i="4"/>
  <c r="V458" i="4"/>
  <c r="AA458" i="4" s="1"/>
  <c r="M459" i="4"/>
  <c r="R459" i="4" s="1"/>
  <c r="W459" i="4" s="1"/>
  <c r="N459" i="4"/>
  <c r="S459" i="4" s="1"/>
  <c r="X459" i="4" s="1"/>
  <c r="O459" i="4"/>
  <c r="T459" i="4"/>
  <c r="Y459" i="4" s="1"/>
  <c r="P459" i="4"/>
  <c r="U459" i="4"/>
  <c r="Z459" i="4" s="1"/>
  <c r="Q459" i="4"/>
  <c r="V459" i="4" s="1"/>
  <c r="AA459" i="4" s="1"/>
  <c r="M460" i="4"/>
  <c r="R460" i="4"/>
  <c r="W460" i="4" s="1"/>
  <c r="N460" i="4"/>
  <c r="S460" i="4" s="1"/>
  <c r="X460" i="4" s="1"/>
  <c r="O460" i="4"/>
  <c r="T460" i="4" s="1"/>
  <c r="Y460" i="4" s="1"/>
  <c r="P460" i="4"/>
  <c r="U460" i="4"/>
  <c r="Z460" i="4" s="1"/>
  <c r="Q460" i="4"/>
  <c r="V460" i="4"/>
  <c r="AA460" i="4" s="1"/>
  <c r="M461" i="4"/>
  <c r="R461" i="4" s="1"/>
  <c r="W461" i="4" s="1"/>
  <c r="N461" i="4"/>
  <c r="S461" i="4" s="1"/>
  <c r="X461" i="4" s="1"/>
  <c r="O461" i="4"/>
  <c r="T461" i="4"/>
  <c r="Y461" i="4" s="1"/>
  <c r="P461" i="4"/>
  <c r="U461" i="4"/>
  <c r="Z461" i="4" s="1"/>
  <c r="Q461" i="4"/>
  <c r="V461" i="4" s="1"/>
  <c r="AA461" i="4" s="1"/>
  <c r="M462" i="4"/>
  <c r="R462" i="4" s="1"/>
  <c r="W462" i="4" s="1"/>
  <c r="N462" i="4"/>
  <c r="S462" i="4"/>
  <c r="X462" i="4" s="1"/>
  <c r="O462" i="4"/>
  <c r="T462" i="4"/>
  <c r="Y462" i="4" s="1"/>
  <c r="P462" i="4"/>
  <c r="U462" i="4" s="1"/>
  <c r="Z462" i="4" s="1"/>
  <c r="Q462" i="4"/>
  <c r="V462" i="4" s="1"/>
  <c r="AA462" i="4" s="1"/>
  <c r="M463" i="4"/>
  <c r="R463" i="4"/>
  <c r="W463" i="4" s="1"/>
  <c r="N463" i="4"/>
  <c r="S463" i="4"/>
  <c r="X463" i="4" s="1"/>
  <c r="O463" i="4"/>
  <c r="T463" i="4" s="1"/>
  <c r="Y463" i="4" s="1"/>
  <c r="P463" i="4"/>
  <c r="U463" i="4" s="1"/>
  <c r="Z463" i="4" s="1"/>
  <c r="Q463" i="4"/>
  <c r="V463" i="4"/>
  <c r="AA463" i="4" s="1"/>
  <c r="M464" i="4"/>
  <c r="R464" i="4" s="1"/>
  <c r="W464" i="4" s="1"/>
  <c r="N464" i="4"/>
  <c r="S464" i="4"/>
  <c r="X464" i="4" s="1"/>
  <c r="O464" i="4"/>
  <c r="T464" i="4"/>
  <c r="Y464" i="4" s="1"/>
  <c r="P464" i="4"/>
  <c r="U464" i="4" s="1"/>
  <c r="Z464" i="4" s="1"/>
  <c r="Q464" i="4"/>
  <c r="V464" i="4" s="1"/>
  <c r="AA464" i="4" s="1"/>
  <c r="M465" i="4"/>
  <c r="R465" i="4"/>
  <c r="W465" i="4" s="1"/>
  <c r="N465" i="4"/>
  <c r="S465" i="4"/>
  <c r="X465" i="4" s="1"/>
  <c r="O465" i="4"/>
  <c r="T465" i="4" s="1"/>
  <c r="Y465" i="4" s="1"/>
  <c r="P465" i="4"/>
  <c r="U465" i="4" s="1"/>
  <c r="Z465" i="4" s="1"/>
  <c r="Q465" i="4"/>
  <c r="V465" i="4"/>
  <c r="AA465" i="4" s="1"/>
  <c r="M466" i="4"/>
  <c r="R466" i="4"/>
  <c r="W466" i="4" s="1"/>
  <c r="N466" i="4"/>
  <c r="S466" i="4" s="1"/>
  <c r="X466" i="4" s="1"/>
  <c r="O466" i="4"/>
  <c r="T466" i="4" s="1"/>
  <c r="Y466" i="4" s="1"/>
  <c r="P466" i="4"/>
  <c r="U466" i="4"/>
  <c r="Z466" i="4" s="1"/>
  <c r="Q466" i="4"/>
  <c r="V466" i="4"/>
  <c r="AA466" i="4" s="1"/>
  <c r="M467" i="4"/>
  <c r="R467" i="4" s="1"/>
  <c r="W467" i="4" s="1"/>
  <c r="N467" i="4"/>
  <c r="S467" i="4" s="1"/>
  <c r="X467" i="4" s="1"/>
  <c r="O467" i="4"/>
  <c r="T467" i="4"/>
  <c r="Y467" i="4" s="1"/>
  <c r="P467" i="4"/>
  <c r="U467" i="4"/>
  <c r="Z467" i="4" s="1"/>
  <c r="Q467" i="4"/>
  <c r="V467" i="4" s="1"/>
  <c r="AA467" i="4" s="1"/>
  <c r="M468" i="4"/>
  <c r="R468" i="4"/>
  <c r="W468" i="4" s="1"/>
  <c r="N468" i="4"/>
  <c r="S468" i="4" s="1"/>
  <c r="X468" i="4" s="1"/>
  <c r="O468" i="4"/>
  <c r="T468" i="4" s="1"/>
  <c r="Y468" i="4" s="1"/>
  <c r="P468" i="4"/>
  <c r="U468" i="4"/>
  <c r="Z468" i="4" s="1"/>
  <c r="Q468" i="4"/>
  <c r="V468" i="4"/>
  <c r="AA468" i="4" s="1"/>
  <c r="M469" i="4"/>
  <c r="R469" i="4" s="1"/>
  <c r="W469" i="4" s="1"/>
  <c r="N469" i="4"/>
  <c r="S469" i="4" s="1"/>
  <c r="X469" i="4" s="1"/>
  <c r="O469" i="4"/>
  <c r="T469" i="4"/>
  <c r="Y469" i="4" s="1"/>
  <c r="P469" i="4"/>
  <c r="U469" i="4"/>
  <c r="Z469" i="4" s="1"/>
  <c r="Q469" i="4"/>
  <c r="V469" i="4" s="1"/>
  <c r="AA469" i="4" s="1"/>
  <c r="M470" i="4"/>
  <c r="R470" i="4" s="1"/>
  <c r="W470" i="4" s="1"/>
  <c r="N470" i="4"/>
  <c r="S470" i="4"/>
  <c r="X470" i="4" s="1"/>
  <c r="O470" i="4"/>
  <c r="T470" i="4"/>
  <c r="Y470" i="4" s="1"/>
  <c r="P470" i="4"/>
  <c r="U470" i="4" s="1"/>
  <c r="Z470" i="4" s="1"/>
  <c r="Q470" i="4"/>
  <c r="V470" i="4" s="1"/>
  <c r="AA470" i="4" s="1"/>
  <c r="M471" i="4"/>
  <c r="R471" i="4"/>
  <c r="W471" i="4" s="1"/>
  <c r="N471" i="4"/>
  <c r="S471" i="4"/>
  <c r="X471" i="4" s="1"/>
  <c r="O471" i="4"/>
  <c r="T471" i="4" s="1"/>
  <c r="Y471" i="4" s="1"/>
  <c r="P471" i="4"/>
  <c r="U471" i="4" s="1"/>
  <c r="Z471" i="4" s="1"/>
  <c r="Q471" i="4"/>
  <c r="V471" i="4"/>
  <c r="AA471" i="4" s="1"/>
  <c r="M472" i="4"/>
  <c r="R472" i="4" s="1"/>
  <c r="W472" i="4" s="1"/>
  <c r="N472" i="4"/>
  <c r="S472" i="4"/>
  <c r="X472" i="4" s="1"/>
  <c r="O472" i="4"/>
  <c r="T472" i="4"/>
  <c r="Y472" i="4" s="1"/>
  <c r="P472" i="4"/>
  <c r="U472" i="4" s="1"/>
  <c r="Z472" i="4" s="1"/>
  <c r="Q472" i="4"/>
  <c r="V472" i="4" s="1"/>
  <c r="AA472" i="4" s="1"/>
  <c r="M473" i="4"/>
  <c r="R473" i="4"/>
  <c r="W473" i="4" s="1"/>
  <c r="N473" i="4"/>
  <c r="S473" i="4"/>
  <c r="X473" i="4" s="1"/>
  <c r="O473" i="4"/>
  <c r="T473" i="4" s="1"/>
  <c r="Y473" i="4" s="1"/>
  <c r="P473" i="4"/>
  <c r="U473" i="4" s="1"/>
  <c r="Z473" i="4" s="1"/>
  <c r="Q473" i="4"/>
  <c r="V473" i="4"/>
  <c r="AA473" i="4" s="1"/>
  <c r="M474" i="4"/>
  <c r="R474" i="4"/>
  <c r="W474" i="4" s="1"/>
  <c r="N474" i="4"/>
  <c r="S474" i="4" s="1"/>
  <c r="X474" i="4" s="1"/>
  <c r="O474" i="4"/>
  <c r="T474" i="4" s="1"/>
  <c r="Y474" i="4" s="1"/>
  <c r="P474" i="4"/>
  <c r="U474" i="4"/>
  <c r="Z474" i="4" s="1"/>
  <c r="Q474" i="4"/>
  <c r="V474" i="4"/>
  <c r="AA474" i="4" s="1"/>
  <c r="M475" i="4"/>
  <c r="R475" i="4" s="1"/>
  <c r="W475" i="4" s="1"/>
  <c r="N475" i="4"/>
  <c r="S475" i="4" s="1"/>
  <c r="X475" i="4" s="1"/>
  <c r="O475" i="4"/>
  <c r="T475" i="4"/>
  <c r="Y475" i="4" s="1"/>
  <c r="P475" i="4"/>
  <c r="U475" i="4"/>
  <c r="Z475" i="4" s="1"/>
  <c r="Q475" i="4"/>
  <c r="V475" i="4" s="1"/>
  <c r="AA475" i="4" s="1"/>
  <c r="M476" i="4"/>
  <c r="R476" i="4"/>
  <c r="W476" i="4" s="1"/>
  <c r="N476" i="4"/>
  <c r="S476" i="4" s="1"/>
  <c r="X476" i="4" s="1"/>
  <c r="O476" i="4"/>
  <c r="T476" i="4" s="1"/>
  <c r="Y476" i="4" s="1"/>
  <c r="P476" i="4"/>
  <c r="U476" i="4"/>
  <c r="Z476" i="4" s="1"/>
  <c r="Q476" i="4"/>
  <c r="V476" i="4"/>
  <c r="AA476" i="4" s="1"/>
  <c r="M477" i="4"/>
  <c r="R477" i="4" s="1"/>
  <c r="W477" i="4" s="1"/>
  <c r="N477" i="4"/>
  <c r="S477" i="4" s="1"/>
  <c r="X477" i="4" s="1"/>
  <c r="O477" i="4"/>
  <c r="T477" i="4"/>
  <c r="Y477" i="4" s="1"/>
  <c r="P477" i="4"/>
  <c r="U477" i="4"/>
  <c r="Z477" i="4" s="1"/>
  <c r="Q477" i="4"/>
  <c r="V477" i="4" s="1"/>
  <c r="AA477" i="4" s="1"/>
  <c r="M478" i="4"/>
  <c r="R478" i="4" s="1"/>
  <c r="W478" i="4" s="1"/>
  <c r="N478" i="4"/>
  <c r="S478" i="4"/>
  <c r="X478" i="4" s="1"/>
  <c r="O478" i="4"/>
  <c r="T478" i="4"/>
  <c r="Y478" i="4" s="1"/>
  <c r="P478" i="4"/>
  <c r="U478" i="4" s="1"/>
  <c r="Z478" i="4" s="1"/>
  <c r="Q478" i="4"/>
  <c r="V478" i="4" s="1"/>
  <c r="AA478" i="4" s="1"/>
  <c r="M479" i="4"/>
  <c r="R479" i="4"/>
  <c r="W479" i="4" s="1"/>
  <c r="N479" i="4"/>
  <c r="S479" i="4"/>
  <c r="X479" i="4" s="1"/>
  <c r="O479" i="4"/>
  <c r="T479" i="4" s="1"/>
  <c r="Y479" i="4" s="1"/>
  <c r="P479" i="4"/>
  <c r="U479" i="4" s="1"/>
  <c r="Z479" i="4" s="1"/>
  <c r="Q479" i="4"/>
  <c r="V479" i="4"/>
  <c r="AA479" i="4" s="1"/>
  <c r="M480" i="4"/>
  <c r="R480" i="4" s="1"/>
  <c r="W480" i="4" s="1"/>
  <c r="N480" i="4"/>
  <c r="S480" i="4"/>
  <c r="X480" i="4" s="1"/>
  <c r="O480" i="4"/>
  <c r="T480" i="4"/>
  <c r="Y480" i="4" s="1"/>
  <c r="P480" i="4"/>
  <c r="U480" i="4" s="1"/>
  <c r="Z480" i="4" s="1"/>
  <c r="Q480" i="4"/>
  <c r="V480" i="4" s="1"/>
  <c r="AA480" i="4" s="1"/>
  <c r="M481" i="4"/>
  <c r="R481" i="4"/>
  <c r="W481" i="4" s="1"/>
  <c r="N481" i="4"/>
  <c r="S481" i="4"/>
  <c r="X481" i="4" s="1"/>
  <c r="O481" i="4"/>
  <c r="T481" i="4" s="1"/>
  <c r="Y481" i="4" s="1"/>
  <c r="P481" i="4"/>
  <c r="U481" i="4" s="1"/>
  <c r="Z481" i="4" s="1"/>
  <c r="Q481" i="4"/>
  <c r="V481" i="4"/>
  <c r="AA481" i="4" s="1"/>
  <c r="M482" i="4"/>
  <c r="R482" i="4"/>
  <c r="W482" i="4" s="1"/>
  <c r="N482" i="4"/>
  <c r="S482" i="4" s="1"/>
  <c r="X482" i="4" s="1"/>
  <c r="O482" i="4"/>
  <c r="T482" i="4" s="1"/>
  <c r="Y482" i="4" s="1"/>
  <c r="P482" i="4"/>
  <c r="U482" i="4"/>
  <c r="Z482" i="4" s="1"/>
  <c r="Q482" i="4"/>
  <c r="V482" i="4"/>
  <c r="AA482" i="4" s="1"/>
  <c r="M483" i="4"/>
  <c r="R483" i="4" s="1"/>
  <c r="W483" i="4" s="1"/>
  <c r="N483" i="4"/>
  <c r="S483" i="4" s="1"/>
  <c r="X483" i="4" s="1"/>
  <c r="O483" i="4"/>
  <c r="T483" i="4"/>
  <c r="Y483" i="4" s="1"/>
  <c r="P483" i="4"/>
  <c r="U483" i="4"/>
  <c r="Z483" i="4" s="1"/>
  <c r="Q483" i="4"/>
  <c r="V483" i="4" s="1"/>
  <c r="AA483" i="4" s="1"/>
  <c r="M484" i="4"/>
  <c r="R484" i="4"/>
  <c r="W484" i="4" s="1"/>
  <c r="N484" i="4"/>
  <c r="S484" i="4" s="1"/>
  <c r="X484" i="4" s="1"/>
  <c r="O484" i="4"/>
  <c r="T484" i="4" s="1"/>
  <c r="Y484" i="4" s="1"/>
  <c r="P484" i="4"/>
  <c r="U484" i="4"/>
  <c r="Z484" i="4" s="1"/>
  <c r="Q484" i="4"/>
  <c r="V484" i="4"/>
  <c r="AA484" i="4" s="1"/>
  <c r="M485" i="4"/>
  <c r="R485" i="4" s="1"/>
  <c r="W485" i="4" s="1"/>
  <c r="N485" i="4"/>
  <c r="S485" i="4" s="1"/>
  <c r="X485" i="4" s="1"/>
  <c r="O485" i="4"/>
  <c r="T485" i="4"/>
  <c r="Y485" i="4" s="1"/>
  <c r="P485" i="4"/>
  <c r="U485" i="4"/>
  <c r="Z485" i="4" s="1"/>
  <c r="Q485" i="4"/>
  <c r="V485" i="4" s="1"/>
  <c r="AA485" i="4" s="1"/>
  <c r="M486" i="4"/>
  <c r="R486" i="4" s="1"/>
  <c r="W486" i="4" s="1"/>
  <c r="N486" i="4"/>
  <c r="S486" i="4"/>
  <c r="X486" i="4" s="1"/>
  <c r="O486" i="4"/>
  <c r="T486" i="4"/>
  <c r="Y486" i="4" s="1"/>
  <c r="P486" i="4"/>
  <c r="U486" i="4" s="1"/>
  <c r="Z486" i="4" s="1"/>
  <c r="Q486" i="4"/>
  <c r="V486" i="4" s="1"/>
  <c r="AA486" i="4" s="1"/>
  <c r="M487" i="4"/>
  <c r="R487" i="4"/>
  <c r="W487" i="4" s="1"/>
  <c r="N487" i="4"/>
  <c r="S487" i="4"/>
  <c r="X487" i="4" s="1"/>
  <c r="O487" i="4"/>
  <c r="T487" i="4" s="1"/>
  <c r="Y487" i="4" s="1"/>
  <c r="P487" i="4"/>
  <c r="U487" i="4" s="1"/>
  <c r="Z487" i="4" s="1"/>
  <c r="Q487" i="4"/>
  <c r="V487" i="4"/>
  <c r="AA487" i="4" s="1"/>
  <c r="M488" i="4"/>
  <c r="R488" i="4"/>
  <c r="W488" i="4" s="1"/>
  <c r="N488" i="4"/>
  <c r="S488" i="4" s="1"/>
  <c r="X488" i="4" s="1"/>
  <c r="O488" i="4"/>
  <c r="T488" i="4" s="1"/>
  <c r="Y488" i="4" s="1"/>
  <c r="P488" i="4"/>
  <c r="U488" i="4"/>
  <c r="Z488" i="4" s="1"/>
  <c r="Q488" i="4"/>
  <c r="V488" i="4"/>
  <c r="AA488" i="4" s="1"/>
  <c r="M489" i="4"/>
  <c r="R489" i="4" s="1"/>
  <c r="W489" i="4" s="1"/>
  <c r="N489" i="4"/>
  <c r="S489" i="4" s="1"/>
  <c r="X489" i="4" s="1"/>
  <c r="O489" i="4"/>
  <c r="T489" i="4"/>
  <c r="Y489" i="4" s="1"/>
  <c r="P489" i="4"/>
  <c r="U489" i="4"/>
  <c r="Z489" i="4" s="1"/>
  <c r="Q489" i="4"/>
  <c r="V489" i="4" s="1"/>
  <c r="AA489" i="4" s="1"/>
  <c r="M490" i="4"/>
  <c r="R490" i="4" s="1"/>
  <c r="W490" i="4" s="1"/>
  <c r="N490" i="4"/>
  <c r="S490" i="4"/>
  <c r="X490" i="4" s="1"/>
  <c r="O490" i="4"/>
  <c r="T490" i="4"/>
  <c r="Y490" i="4" s="1"/>
  <c r="P490" i="4"/>
  <c r="U490" i="4" s="1"/>
  <c r="Z490" i="4" s="1"/>
  <c r="Q490" i="4"/>
  <c r="V490" i="4" s="1"/>
  <c r="AA490" i="4" s="1"/>
  <c r="M491" i="4"/>
  <c r="R491" i="4"/>
  <c r="W491" i="4" s="1"/>
  <c r="N491" i="4"/>
  <c r="S491" i="4"/>
  <c r="X491" i="4" s="1"/>
  <c r="O491" i="4"/>
  <c r="T491" i="4" s="1"/>
  <c r="Y491" i="4" s="1"/>
  <c r="P491" i="4"/>
  <c r="U491" i="4" s="1"/>
  <c r="Z491" i="4" s="1"/>
  <c r="Q491" i="4"/>
  <c r="V491" i="4"/>
  <c r="AA491" i="4" s="1"/>
  <c r="M492" i="4"/>
  <c r="R492" i="4"/>
  <c r="W492" i="4" s="1"/>
  <c r="N492" i="4"/>
  <c r="S492" i="4" s="1"/>
  <c r="X492" i="4" s="1"/>
  <c r="O492" i="4"/>
  <c r="T492" i="4" s="1"/>
  <c r="Y492" i="4" s="1"/>
  <c r="P492" i="4"/>
  <c r="U492" i="4"/>
  <c r="Z492" i="4" s="1"/>
  <c r="Q492" i="4"/>
  <c r="V492" i="4"/>
  <c r="AA492" i="4" s="1"/>
  <c r="M493" i="4"/>
  <c r="R493" i="4" s="1"/>
  <c r="W493" i="4" s="1"/>
  <c r="N493" i="4"/>
  <c r="S493" i="4" s="1"/>
  <c r="X493" i="4" s="1"/>
  <c r="O493" i="4"/>
  <c r="T493" i="4"/>
  <c r="Y493" i="4" s="1"/>
  <c r="P493" i="4"/>
  <c r="U493" i="4"/>
  <c r="Z493" i="4" s="1"/>
  <c r="Q493" i="4"/>
  <c r="V493" i="4" s="1"/>
  <c r="AA493" i="4" s="1"/>
  <c r="M494" i="4"/>
  <c r="R494" i="4" s="1"/>
  <c r="W494" i="4" s="1"/>
  <c r="N494" i="4"/>
  <c r="S494" i="4"/>
  <c r="X494" i="4" s="1"/>
  <c r="O494" i="4"/>
  <c r="T494" i="4"/>
  <c r="Y494" i="4" s="1"/>
  <c r="P494" i="4"/>
  <c r="U494" i="4" s="1"/>
  <c r="Z494" i="4" s="1"/>
  <c r="Q494" i="4"/>
  <c r="V494" i="4" s="1"/>
  <c r="AA494" i="4" s="1"/>
  <c r="M495" i="4"/>
  <c r="R495" i="4"/>
  <c r="W495" i="4" s="1"/>
  <c r="N495" i="4"/>
  <c r="S495" i="4"/>
  <c r="X495" i="4" s="1"/>
  <c r="O495" i="4"/>
  <c r="T495" i="4" s="1"/>
  <c r="Y495" i="4" s="1"/>
  <c r="P495" i="4"/>
  <c r="U495" i="4" s="1"/>
  <c r="Z495" i="4" s="1"/>
  <c r="Q495" i="4"/>
  <c r="V495" i="4"/>
  <c r="AA495" i="4" s="1"/>
  <c r="M496" i="4"/>
  <c r="R496" i="4"/>
  <c r="W496" i="4" s="1"/>
  <c r="N496" i="4"/>
  <c r="S496" i="4" s="1"/>
  <c r="X496" i="4" s="1"/>
  <c r="O496" i="4"/>
  <c r="T496" i="4" s="1"/>
  <c r="Y496" i="4" s="1"/>
  <c r="P496" i="4"/>
  <c r="U496" i="4"/>
  <c r="Z496" i="4" s="1"/>
  <c r="Q496" i="4"/>
  <c r="V496" i="4"/>
  <c r="AA496" i="4" s="1"/>
  <c r="M497" i="4"/>
  <c r="R497" i="4" s="1"/>
  <c r="W497" i="4" s="1"/>
  <c r="N497" i="4"/>
  <c r="S497" i="4" s="1"/>
  <c r="X497" i="4" s="1"/>
  <c r="O497" i="4"/>
  <c r="T497" i="4"/>
  <c r="Y497" i="4" s="1"/>
  <c r="P497" i="4"/>
  <c r="U497" i="4"/>
  <c r="Z497" i="4" s="1"/>
  <c r="Q497" i="4"/>
  <c r="V497" i="4" s="1"/>
  <c r="AA497" i="4" s="1"/>
  <c r="M498" i="4"/>
  <c r="R498" i="4" s="1"/>
  <c r="W498" i="4" s="1"/>
  <c r="N498" i="4"/>
  <c r="S498" i="4"/>
  <c r="X498" i="4" s="1"/>
  <c r="O498" i="4"/>
  <c r="T498" i="4"/>
  <c r="Y498" i="4" s="1"/>
  <c r="P498" i="4"/>
  <c r="U498" i="4" s="1"/>
  <c r="Z498" i="4" s="1"/>
  <c r="Q498" i="4"/>
  <c r="V498" i="4" s="1"/>
  <c r="AA498" i="4" s="1"/>
  <c r="M499" i="4"/>
  <c r="R499" i="4"/>
  <c r="W499" i="4" s="1"/>
  <c r="N499" i="4"/>
  <c r="S499" i="4"/>
  <c r="X499" i="4" s="1"/>
  <c r="O499" i="4"/>
  <c r="T499" i="4" s="1"/>
  <c r="Y499" i="4" s="1"/>
  <c r="P499" i="4"/>
  <c r="U499" i="4" s="1"/>
  <c r="Z499" i="4" s="1"/>
  <c r="Q499" i="4"/>
  <c r="V499" i="4"/>
  <c r="AA499" i="4" s="1"/>
  <c r="M500" i="4"/>
  <c r="R500" i="4"/>
  <c r="W500" i="4" s="1"/>
  <c r="N500" i="4"/>
  <c r="S500" i="4" s="1"/>
  <c r="X500" i="4" s="1"/>
  <c r="O500" i="4"/>
  <c r="T500" i="4" s="1"/>
  <c r="Y500" i="4" s="1"/>
  <c r="P500" i="4"/>
  <c r="U500" i="4"/>
  <c r="Z500" i="4" s="1"/>
  <c r="Q500" i="4"/>
  <c r="V500" i="4"/>
  <c r="AA500" i="4" s="1"/>
  <c r="M501" i="4"/>
  <c r="R501" i="4" s="1"/>
  <c r="W501" i="4" s="1"/>
  <c r="N501" i="4"/>
  <c r="S501" i="4" s="1"/>
  <c r="X501" i="4" s="1"/>
  <c r="O501" i="4"/>
  <c r="T501" i="4"/>
  <c r="Y501" i="4" s="1"/>
  <c r="P501" i="4"/>
  <c r="U501" i="4"/>
  <c r="Z501" i="4" s="1"/>
  <c r="Q501" i="4"/>
  <c r="V501" i="4" s="1"/>
  <c r="AA501" i="4" s="1"/>
  <c r="M502" i="4"/>
  <c r="R502" i="4" s="1"/>
  <c r="W502" i="4" s="1"/>
  <c r="N502" i="4"/>
  <c r="S502" i="4"/>
  <c r="X502" i="4" s="1"/>
  <c r="O502" i="4"/>
  <c r="T502" i="4"/>
  <c r="Y502" i="4" s="1"/>
  <c r="P502" i="4"/>
  <c r="U502" i="4" s="1"/>
  <c r="Z502" i="4" s="1"/>
  <c r="Q502" i="4"/>
  <c r="V502" i="4" s="1"/>
  <c r="AA502" i="4" s="1"/>
  <c r="M503" i="4"/>
  <c r="R503" i="4"/>
  <c r="W503" i="4" s="1"/>
  <c r="N503" i="4"/>
  <c r="S503" i="4"/>
  <c r="X503" i="4" s="1"/>
  <c r="O503" i="4"/>
  <c r="T503" i="4" s="1"/>
  <c r="Y503" i="4" s="1"/>
  <c r="P503" i="4"/>
  <c r="U503" i="4" s="1"/>
  <c r="Z503" i="4" s="1"/>
  <c r="Q503" i="4"/>
  <c r="V503" i="4"/>
  <c r="AA503" i="4" s="1"/>
  <c r="M504" i="4"/>
  <c r="R504" i="4" s="1"/>
  <c r="W504" i="4" s="1"/>
  <c r="N504" i="4"/>
  <c r="S504" i="4"/>
  <c r="X504" i="4" s="1"/>
  <c r="O504" i="4"/>
  <c r="T504" i="4"/>
  <c r="Y504" i="4" s="1"/>
  <c r="P504" i="4"/>
  <c r="U504" i="4" s="1"/>
  <c r="Z504" i="4" s="1"/>
  <c r="Q504" i="4"/>
  <c r="V504" i="4" s="1"/>
  <c r="AA504" i="4" s="1"/>
  <c r="M505" i="4"/>
  <c r="R505" i="4"/>
  <c r="W505" i="4" s="1"/>
  <c r="N505" i="4"/>
  <c r="S505" i="4"/>
  <c r="X505" i="4" s="1"/>
  <c r="O505" i="4"/>
  <c r="T505" i="4" s="1"/>
  <c r="Y505" i="4" s="1"/>
  <c r="P505" i="4"/>
  <c r="U505" i="4" s="1"/>
  <c r="Z505" i="4" s="1"/>
  <c r="Q505" i="4"/>
  <c r="V505" i="4"/>
  <c r="AA505" i="4" s="1"/>
  <c r="M506" i="4"/>
  <c r="R506" i="4"/>
  <c r="W506" i="4" s="1"/>
  <c r="N506" i="4"/>
  <c r="S506" i="4" s="1"/>
  <c r="X506" i="4" s="1"/>
  <c r="O506" i="4"/>
  <c r="T506" i="4" s="1"/>
  <c r="Y506" i="4" s="1"/>
  <c r="P506" i="4"/>
  <c r="U506" i="4"/>
  <c r="Z506" i="4" s="1"/>
  <c r="Q506" i="4"/>
  <c r="V506" i="4"/>
  <c r="AA506" i="4" s="1"/>
  <c r="M507" i="4"/>
  <c r="R507" i="4" s="1"/>
  <c r="W507" i="4" s="1"/>
  <c r="N507" i="4"/>
  <c r="S507" i="4" s="1"/>
  <c r="X507" i="4" s="1"/>
  <c r="O507" i="4"/>
  <c r="T507" i="4"/>
  <c r="Y507" i="4" s="1"/>
  <c r="P507" i="4"/>
  <c r="U507" i="4"/>
  <c r="Z507" i="4" s="1"/>
  <c r="Q507" i="4"/>
  <c r="V507" i="4" s="1"/>
  <c r="AA507" i="4" s="1"/>
  <c r="M508" i="4"/>
  <c r="R508" i="4"/>
  <c r="W508" i="4" s="1"/>
  <c r="N508" i="4"/>
  <c r="S508" i="4" s="1"/>
  <c r="X508" i="4" s="1"/>
  <c r="O508" i="4"/>
  <c r="T508" i="4" s="1"/>
  <c r="Y508" i="4" s="1"/>
  <c r="P508" i="4"/>
  <c r="U508" i="4"/>
  <c r="Z508" i="4" s="1"/>
  <c r="Q508" i="4"/>
  <c r="V508" i="4"/>
  <c r="AA508" i="4" s="1"/>
  <c r="M509" i="4"/>
  <c r="R509" i="4" s="1"/>
  <c r="W509" i="4" s="1"/>
  <c r="N509" i="4"/>
  <c r="S509" i="4" s="1"/>
  <c r="X509" i="4" s="1"/>
  <c r="O509" i="4"/>
  <c r="T509" i="4"/>
  <c r="Y509" i="4" s="1"/>
  <c r="P509" i="4"/>
  <c r="U509" i="4"/>
  <c r="Z509" i="4" s="1"/>
  <c r="Q509" i="4"/>
  <c r="V509" i="4" s="1"/>
  <c r="AA509" i="4" s="1"/>
  <c r="M510" i="4"/>
  <c r="R510" i="4" s="1"/>
  <c r="W510" i="4" s="1"/>
  <c r="N510" i="4"/>
  <c r="S510" i="4"/>
  <c r="X510" i="4" s="1"/>
  <c r="O510" i="4"/>
  <c r="T510" i="4"/>
  <c r="Y510" i="4" s="1"/>
  <c r="P510" i="4"/>
  <c r="U510" i="4" s="1"/>
  <c r="Z510" i="4" s="1"/>
  <c r="Q510" i="4"/>
  <c r="V510" i="4" s="1"/>
  <c r="AA510" i="4" s="1"/>
  <c r="M511" i="4"/>
  <c r="R511" i="4"/>
  <c r="W511" i="4" s="1"/>
  <c r="N511" i="4"/>
  <c r="S511" i="4"/>
  <c r="X511" i="4" s="1"/>
  <c r="O511" i="4"/>
  <c r="T511" i="4" s="1"/>
  <c r="Y511" i="4" s="1"/>
  <c r="P511" i="4"/>
  <c r="U511" i="4" s="1"/>
  <c r="Z511" i="4" s="1"/>
  <c r="Q511" i="4"/>
  <c r="V511" i="4"/>
  <c r="AA511" i="4" s="1"/>
  <c r="M512" i="4"/>
  <c r="R512" i="4" s="1"/>
  <c r="W512" i="4" s="1"/>
  <c r="N512" i="4"/>
  <c r="S512" i="4"/>
  <c r="X512" i="4" s="1"/>
  <c r="O512" i="4"/>
  <c r="T512" i="4"/>
  <c r="Y512" i="4" s="1"/>
  <c r="P512" i="4"/>
  <c r="U512" i="4" s="1"/>
  <c r="Z512" i="4" s="1"/>
  <c r="Q512" i="4"/>
  <c r="V512" i="4" s="1"/>
  <c r="AA512" i="4" s="1"/>
  <c r="M513" i="4"/>
  <c r="R513" i="4"/>
  <c r="W513" i="4" s="1"/>
  <c r="N513" i="4"/>
  <c r="S513" i="4"/>
  <c r="X513" i="4" s="1"/>
  <c r="O513" i="4"/>
  <c r="T513" i="4" s="1"/>
  <c r="Y513" i="4" s="1"/>
  <c r="P513" i="4"/>
  <c r="U513" i="4" s="1"/>
  <c r="Z513" i="4" s="1"/>
  <c r="Q513" i="4"/>
  <c r="V513" i="4"/>
  <c r="AA513" i="4" s="1"/>
  <c r="M514" i="4"/>
  <c r="R514" i="4"/>
  <c r="W514" i="4" s="1"/>
  <c r="N514" i="4"/>
  <c r="S514" i="4" s="1"/>
  <c r="X514" i="4" s="1"/>
  <c r="O514" i="4"/>
  <c r="T514" i="4" s="1"/>
  <c r="Y514" i="4" s="1"/>
  <c r="P514" i="4"/>
  <c r="U514" i="4"/>
  <c r="Z514" i="4" s="1"/>
  <c r="Q514" i="4"/>
  <c r="V514" i="4"/>
  <c r="AA514" i="4" s="1"/>
  <c r="M515" i="4"/>
  <c r="R515" i="4" s="1"/>
  <c r="W515" i="4" s="1"/>
  <c r="N515" i="4"/>
  <c r="S515" i="4" s="1"/>
  <c r="X515" i="4" s="1"/>
  <c r="O515" i="4"/>
  <c r="T515" i="4"/>
  <c r="Y515" i="4" s="1"/>
  <c r="P515" i="4"/>
  <c r="U515" i="4"/>
  <c r="Z515" i="4" s="1"/>
  <c r="Q515" i="4"/>
  <c r="V515" i="4" s="1"/>
  <c r="AA515" i="4" s="1"/>
  <c r="M516" i="4"/>
  <c r="R516" i="4"/>
  <c r="W516" i="4" s="1"/>
  <c r="N516" i="4"/>
  <c r="S516" i="4" s="1"/>
  <c r="X516" i="4" s="1"/>
  <c r="O516" i="4"/>
  <c r="T516" i="4" s="1"/>
  <c r="Y516" i="4" s="1"/>
  <c r="P516" i="4"/>
  <c r="U516" i="4"/>
  <c r="Z516" i="4" s="1"/>
  <c r="Q516" i="4"/>
  <c r="V516" i="4"/>
  <c r="AA516" i="4" s="1"/>
  <c r="M517" i="4"/>
  <c r="R517" i="4" s="1"/>
  <c r="W517" i="4" s="1"/>
  <c r="N517" i="4"/>
  <c r="S517" i="4" s="1"/>
  <c r="X517" i="4" s="1"/>
  <c r="O517" i="4"/>
  <c r="T517" i="4"/>
  <c r="Y517" i="4" s="1"/>
  <c r="P517" i="4"/>
  <c r="U517" i="4"/>
  <c r="Z517" i="4" s="1"/>
  <c r="Q517" i="4"/>
  <c r="V517" i="4" s="1"/>
  <c r="AA517" i="4" s="1"/>
  <c r="M518" i="4"/>
  <c r="R518" i="4" s="1"/>
  <c r="W518" i="4" s="1"/>
  <c r="N518" i="4"/>
  <c r="S518" i="4"/>
  <c r="X518" i="4" s="1"/>
  <c r="O518" i="4"/>
  <c r="T518" i="4"/>
  <c r="Y518" i="4" s="1"/>
  <c r="P518" i="4"/>
  <c r="U518" i="4" s="1"/>
  <c r="Z518" i="4" s="1"/>
  <c r="Q518" i="4"/>
  <c r="V518" i="4" s="1"/>
  <c r="AA518" i="4" s="1"/>
  <c r="M519" i="4"/>
  <c r="R519" i="4"/>
  <c r="W519" i="4" s="1"/>
  <c r="N519" i="4"/>
  <c r="S519" i="4"/>
  <c r="X519" i="4" s="1"/>
  <c r="O519" i="4"/>
  <c r="T519" i="4" s="1"/>
  <c r="Y519" i="4" s="1"/>
  <c r="P519" i="4"/>
  <c r="U519" i="4" s="1"/>
  <c r="Z519" i="4" s="1"/>
  <c r="Q519" i="4"/>
  <c r="V519" i="4"/>
  <c r="AA519" i="4" s="1"/>
  <c r="M520" i="4"/>
  <c r="R520" i="4" s="1"/>
  <c r="W520" i="4" s="1"/>
  <c r="N520" i="4"/>
  <c r="S520" i="4"/>
  <c r="X520" i="4" s="1"/>
  <c r="O520" i="4"/>
  <c r="T520" i="4"/>
  <c r="Y520" i="4" s="1"/>
  <c r="P520" i="4"/>
  <c r="U520" i="4" s="1"/>
  <c r="Z520" i="4" s="1"/>
  <c r="Q520" i="4"/>
  <c r="V520" i="4" s="1"/>
  <c r="AA520" i="4" s="1"/>
  <c r="M521" i="4"/>
  <c r="R521" i="4"/>
  <c r="W521" i="4" s="1"/>
  <c r="N521" i="4"/>
  <c r="S521" i="4"/>
  <c r="X521" i="4" s="1"/>
  <c r="O521" i="4"/>
  <c r="T521" i="4" s="1"/>
  <c r="Y521" i="4" s="1"/>
  <c r="P521" i="4"/>
  <c r="U521" i="4" s="1"/>
  <c r="Z521" i="4" s="1"/>
  <c r="Q521" i="4"/>
  <c r="V521" i="4"/>
  <c r="AA521" i="4" s="1"/>
  <c r="M522" i="4"/>
  <c r="R522" i="4"/>
  <c r="W522" i="4" s="1"/>
  <c r="N522" i="4"/>
  <c r="S522" i="4" s="1"/>
  <c r="X522" i="4" s="1"/>
  <c r="O522" i="4"/>
  <c r="T522" i="4" s="1"/>
  <c r="Y522" i="4" s="1"/>
  <c r="P522" i="4"/>
  <c r="U522" i="4"/>
  <c r="Z522" i="4" s="1"/>
  <c r="Q522" i="4"/>
  <c r="V522" i="4"/>
  <c r="AA522" i="4" s="1"/>
  <c r="M523" i="4"/>
  <c r="R523" i="4" s="1"/>
  <c r="W523" i="4" s="1"/>
  <c r="N523" i="4"/>
  <c r="S523" i="4" s="1"/>
  <c r="X523" i="4" s="1"/>
  <c r="O523" i="4"/>
  <c r="T523" i="4"/>
  <c r="Y523" i="4" s="1"/>
  <c r="P523" i="4"/>
  <c r="U523" i="4"/>
  <c r="Z523" i="4" s="1"/>
  <c r="Q523" i="4"/>
  <c r="V523" i="4" s="1"/>
  <c r="AA523" i="4" s="1"/>
  <c r="M524" i="4"/>
  <c r="R524" i="4"/>
  <c r="W524" i="4" s="1"/>
  <c r="N524" i="4"/>
  <c r="S524" i="4" s="1"/>
  <c r="X524" i="4" s="1"/>
  <c r="O524" i="4"/>
  <c r="T524" i="4" s="1"/>
  <c r="Y524" i="4" s="1"/>
  <c r="P524" i="4"/>
  <c r="U524" i="4"/>
  <c r="Z524" i="4" s="1"/>
  <c r="Q524" i="4"/>
  <c r="V524" i="4"/>
  <c r="AA524" i="4" s="1"/>
  <c r="M525" i="4"/>
  <c r="R525" i="4" s="1"/>
  <c r="W525" i="4" s="1"/>
  <c r="N525" i="4"/>
  <c r="S525" i="4" s="1"/>
  <c r="X525" i="4" s="1"/>
  <c r="O525" i="4"/>
  <c r="T525" i="4"/>
  <c r="Y525" i="4" s="1"/>
  <c r="P525" i="4"/>
  <c r="U525" i="4"/>
  <c r="Z525" i="4" s="1"/>
  <c r="Q525" i="4"/>
  <c r="V525" i="4" s="1"/>
  <c r="AA525" i="4" s="1"/>
  <c r="M526" i="4"/>
  <c r="R526" i="4" s="1"/>
  <c r="W526" i="4" s="1"/>
  <c r="N526" i="4"/>
  <c r="S526" i="4"/>
  <c r="X526" i="4" s="1"/>
  <c r="O526" i="4"/>
  <c r="T526" i="4"/>
  <c r="Y526" i="4" s="1"/>
  <c r="P526" i="4"/>
  <c r="U526" i="4" s="1"/>
  <c r="Z526" i="4" s="1"/>
  <c r="Q526" i="4"/>
  <c r="V526" i="4" s="1"/>
  <c r="AA526" i="4" s="1"/>
  <c r="M527" i="4"/>
  <c r="R527" i="4"/>
  <c r="W527" i="4" s="1"/>
  <c r="N527" i="4"/>
  <c r="S527" i="4"/>
  <c r="X527" i="4" s="1"/>
  <c r="O527" i="4"/>
  <c r="T527" i="4" s="1"/>
  <c r="Y527" i="4" s="1"/>
  <c r="P527" i="4"/>
  <c r="U527" i="4" s="1"/>
  <c r="Z527" i="4" s="1"/>
  <c r="Q527" i="4"/>
  <c r="V527" i="4"/>
  <c r="AA527" i="4" s="1"/>
  <c r="M528" i="4"/>
  <c r="R528" i="4" s="1"/>
  <c r="W528" i="4" s="1"/>
  <c r="N528" i="4"/>
  <c r="S528" i="4"/>
  <c r="X528" i="4" s="1"/>
  <c r="O528" i="4"/>
  <c r="T528" i="4"/>
  <c r="Y528" i="4" s="1"/>
  <c r="P528" i="4"/>
  <c r="U528" i="4" s="1"/>
  <c r="Z528" i="4" s="1"/>
  <c r="Q528" i="4"/>
  <c r="V528" i="4" s="1"/>
  <c r="AA528" i="4" s="1"/>
  <c r="M529" i="4"/>
  <c r="R529" i="4"/>
  <c r="W529" i="4" s="1"/>
  <c r="N529" i="4"/>
  <c r="S529" i="4"/>
  <c r="X529" i="4" s="1"/>
  <c r="O529" i="4"/>
  <c r="T529" i="4" s="1"/>
  <c r="Y529" i="4" s="1"/>
  <c r="P529" i="4"/>
  <c r="U529" i="4" s="1"/>
  <c r="Z529" i="4" s="1"/>
  <c r="Q529" i="4"/>
  <c r="V529" i="4"/>
  <c r="AA529" i="4" s="1"/>
  <c r="M530" i="4"/>
  <c r="R530" i="4"/>
  <c r="W530" i="4" s="1"/>
  <c r="N530" i="4"/>
  <c r="S530" i="4" s="1"/>
  <c r="X530" i="4" s="1"/>
  <c r="O530" i="4"/>
  <c r="T530" i="4" s="1"/>
  <c r="Y530" i="4" s="1"/>
  <c r="P530" i="4"/>
  <c r="U530" i="4"/>
  <c r="Z530" i="4" s="1"/>
  <c r="Q530" i="4"/>
  <c r="V530" i="4"/>
  <c r="AA530" i="4" s="1"/>
  <c r="M531" i="4"/>
  <c r="R531" i="4" s="1"/>
  <c r="W531" i="4" s="1"/>
  <c r="N531" i="4"/>
  <c r="S531" i="4" s="1"/>
  <c r="X531" i="4" s="1"/>
  <c r="O531" i="4"/>
  <c r="T531" i="4"/>
  <c r="Y531" i="4" s="1"/>
  <c r="P531" i="4"/>
  <c r="U531" i="4"/>
  <c r="Z531" i="4" s="1"/>
  <c r="Q531" i="4"/>
  <c r="V531" i="4" s="1"/>
  <c r="AA531" i="4" s="1"/>
  <c r="M532" i="4"/>
  <c r="R532" i="4"/>
  <c r="W532" i="4" s="1"/>
  <c r="N532" i="4"/>
  <c r="S532" i="4" s="1"/>
  <c r="X532" i="4" s="1"/>
  <c r="O532" i="4"/>
  <c r="T532" i="4" s="1"/>
  <c r="Y532" i="4" s="1"/>
  <c r="P532" i="4"/>
  <c r="U532" i="4"/>
  <c r="Z532" i="4" s="1"/>
  <c r="Q532" i="4"/>
  <c r="V532" i="4"/>
  <c r="AA532" i="4" s="1"/>
  <c r="M533" i="4"/>
  <c r="R533" i="4" s="1"/>
  <c r="W533" i="4" s="1"/>
  <c r="N533" i="4"/>
  <c r="S533" i="4" s="1"/>
  <c r="X533" i="4" s="1"/>
  <c r="O533" i="4"/>
  <c r="T533" i="4"/>
  <c r="Y533" i="4" s="1"/>
  <c r="P533" i="4"/>
  <c r="U533" i="4"/>
  <c r="Z533" i="4" s="1"/>
  <c r="Q533" i="4"/>
  <c r="V533" i="4" s="1"/>
  <c r="AA533" i="4" s="1"/>
  <c r="M534" i="4"/>
  <c r="R534" i="4" s="1"/>
  <c r="W534" i="4" s="1"/>
  <c r="N534" i="4"/>
  <c r="S534" i="4"/>
  <c r="X534" i="4" s="1"/>
  <c r="O534" i="4"/>
  <c r="T534" i="4"/>
  <c r="Y534" i="4" s="1"/>
  <c r="P534" i="4"/>
  <c r="U534" i="4" s="1"/>
  <c r="Z534" i="4" s="1"/>
  <c r="Q534" i="4"/>
  <c r="V534" i="4" s="1"/>
  <c r="AA534" i="4" s="1"/>
  <c r="M535" i="4"/>
  <c r="R535" i="4"/>
  <c r="W535" i="4" s="1"/>
  <c r="N535" i="4"/>
  <c r="S535" i="4"/>
  <c r="X535" i="4" s="1"/>
  <c r="O535" i="4"/>
  <c r="T535" i="4" s="1"/>
  <c r="Y535" i="4" s="1"/>
  <c r="P535" i="4"/>
  <c r="U535" i="4" s="1"/>
  <c r="Z535" i="4" s="1"/>
  <c r="Q535" i="4"/>
  <c r="V535" i="4"/>
  <c r="AA535" i="4" s="1"/>
  <c r="M536" i="4"/>
  <c r="R536" i="4" s="1"/>
  <c r="W536" i="4" s="1"/>
  <c r="N536" i="4"/>
  <c r="S536" i="4"/>
  <c r="X536" i="4" s="1"/>
  <c r="O536" i="4"/>
  <c r="T536" i="4"/>
  <c r="Y536" i="4" s="1"/>
  <c r="P536" i="4"/>
  <c r="U536" i="4" s="1"/>
  <c r="Z536" i="4" s="1"/>
  <c r="Q536" i="4"/>
  <c r="V536" i="4" s="1"/>
  <c r="AA536" i="4" s="1"/>
  <c r="M537" i="4"/>
  <c r="R537" i="4"/>
  <c r="W537" i="4" s="1"/>
  <c r="N537" i="4"/>
  <c r="S537" i="4"/>
  <c r="X537" i="4" s="1"/>
  <c r="O537" i="4"/>
  <c r="T537" i="4" s="1"/>
  <c r="Y537" i="4" s="1"/>
  <c r="P537" i="4"/>
  <c r="U537" i="4" s="1"/>
  <c r="Z537" i="4" s="1"/>
  <c r="Q537" i="4"/>
  <c r="V537" i="4"/>
  <c r="AA537" i="4" s="1"/>
  <c r="M538" i="4"/>
  <c r="R538" i="4"/>
  <c r="W538" i="4" s="1"/>
  <c r="N538" i="4"/>
  <c r="S538" i="4" s="1"/>
  <c r="X538" i="4" s="1"/>
  <c r="O538" i="4"/>
  <c r="T538" i="4" s="1"/>
  <c r="Y538" i="4" s="1"/>
  <c r="P538" i="4"/>
  <c r="U538" i="4"/>
  <c r="Z538" i="4" s="1"/>
  <c r="Q538" i="4"/>
  <c r="V538" i="4"/>
  <c r="AA538" i="4" s="1"/>
  <c r="M539" i="4"/>
  <c r="R539" i="4" s="1"/>
  <c r="W539" i="4" s="1"/>
  <c r="N539" i="4"/>
  <c r="S539" i="4" s="1"/>
  <c r="X539" i="4" s="1"/>
  <c r="O539" i="4"/>
  <c r="T539" i="4"/>
  <c r="Y539" i="4" s="1"/>
  <c r="P539" i="4"/>
  <c r="U539" i="4"/>
  <c r="Z539" i="4" s="1"/>
  <c r="Q539" i="4"/>
  <c r="V539" i="4" s="1"/>
  <c r="AA539" i="4" s="1"/>
  <c r="M540" i="4"/>
  <c r="R540" i="4"/>
  <c r="W540" i="4" s="1"/>
  <c r="N540" i="4"/>
  <c r="S540" i="4" s="1"/>
  <c r="X540" i="4" s="1"/>
  <c r="O540" i="4"/>
  <c r="T540" i="4" s="1"/>
  <c r="Y540" i="4" s="1"/>
  <c r="P540" i="4"/>
  <c r="U540" i="4"/>
  <c r="Z540" i="4" s="1"/>
  <c r="Q540" i="4"/>
  <c r="V540" i="4"/>
  <c r="AA540" i="4" s="1"/>
  <c r="M541" i="4"/>
  <c r="R541" i="4" s="1"/>
  <c r="W541" i="4" s="1"/>
  <c r="N541" i="4"/>
  <c r="S541" i="4" s="1"/>
  <c r="X541" i="4" s="1"/>
  <c r="O541" i="4"/>
  <c r="T541" i="4"/>
  <c r="Y541" i="4" s="1"/>
  <c r="P541" i="4"/>
  <c r="U541" i="4"/>
  <c r="Z541" i="4" s="1"/>
  <c r="Q541" i="4"/>
  <c r="V541" i="4" s="1"/>
  <c r="AA541" i="4" s="1"/>
  <c r="M542" i="4"/>
  <c r="R542" i="4" s="1"/>
  <c r="W542" i="4" s="1"/>
  <c r="N542" i="4"/>
  <c r="S542" i="4"/>
  <c r="X542" i="4" s="1"/>
  <c r="O542" i="4"/>
  <c r="T542" i="4"/>
  <c r="Y542" i="4" s="1"/>
  <c r="P542" i="4"/>
  <c r="U542" i="4" s="1"/>
  <c r="Z542" i="4" s="1"/>
  <c r="Q542" i="4"/>
  <c r="V542" i="4" s="1"/>
  <c r="AA542" i="4" s="1"/>
  <c r="M543" i="4"/>
  <c r="R543" i="4"/>
  <c r="W543" i="4" s="1"/>
  <c r="N543" i="4"/>
  <c r="S543" i="4"/>
  <c r="X543" i="4" s="1"/>
  <c r="O543" i="4"/>
  <c r="T543" i="4" s="1"/>
  <c r="Y543" i="4" s="1"/>
  <c r="P543" i="4"/>
  <c r="U543" i="4" s="1"/>
  <c r="Z543" i="4" s="1"/>
  <c r="Q543" i="4"/>
  <c r="V543" i="4"/>
  <c r="AA543" i="4" s="1"/>
  <c r="M544" i="4"/>
  <c r="R544" i="4" s="1"/>
  <c r="W544" i="4" s="1"/>
  <c r="N544" i="4"/>
  <c r="S544" i="4"/>
  <c r="X544" i="4" s="1"/>
  <c r="O544" i="4"/>
  <c r="T544" i="4"/>
  <c r="Y544" i="4" s="1"/>
  <c r="P544" i="4"/>
  <c r="U544" i="4" s="1"/>
  <c r="Z544" i="4" s="1"/>
  <c r="Q544" i="4"/>
  <c r="V544" i="4" s="1"/>
  <c r="AA544" i="4" s="1"/>
  <c r="M545" i="4"/>
  <c r="R545" i="4"/>
  <c r="W545" i="4" s="1"/>
  <c r="N545" i="4"/>
  <c r="S545" i="4"/>
  <c r="X545" i="4" s="1"/>
  <c r="O545" i="4"/>
  <c r="T545" i="4" s="1"/>
  <c r="Y545" i="4" s="1"/>
  <c r="P545" i="4"/>
  <c r="U545" i="4" s="1"/>
  <c r="Z545" i="4" s="1"/>
  <c r="Q545" i="4"/>
  <c r="V545" i="4"/>
  <c r="AA545" i="4" s="1"/>
  <c r="M546" i="4"/>
  <c r="R546" i="4"/>
  <c r="W546" i="4" s="1"/>
  <c r="N546" i="4"/>
  <c r="S546" i="4" s="1"/>
  <c r="X546" i="4" s="1"/>
  <c r="O546" i="4"/>
  <c r="T546" i="4" s="1"/>
  <c r="Y546" i="4" s="1"/>
  <c r="P546" i="4"/>
  <c r="U546" i="4"/>
  <c r="Z546" i="4" s="1"/>
  <c r="Q546" i="4"/>
  <c r="V546" i="4"/>
  <c r="AA546" i="4" s="1"/>
  <c r="M547" i="4"/>
  <c r="R547" i="4" s="1"/>
  <c r="W547" i="4" s="1"/>
  <c r="N547" i="4"/>
  <c r="S547" i="4" s="1"/>
  <c r="X547" i="4" s="1"/>
  <c r="O547" i="4"/>
  <c r="T547" i="4"/>
  <c r="Y547" i="4" s="1"/>
  <c r="P547" i="4"/>
  <c r="U547" i="4"/>
  <c r="Z547" i="4" s="1"/>
  <c r="Q547" i="4"/>
  <c r="V547" i="4" s="1"/>
  <c r="AA547" i="4" s="1"/>
  <c r="M548" i="4"/>
  <c r="R548" i="4"/>
  <c r="W548" i="4" s="1"/>
  <c r="N548" i="4"/>
  <c r="S548" i="4" s="1"/>
  <c r="X548" i="4" s="1"/>
  <c r="O548" i="4"/>
  <c r="T548" i="4" s="1"/>
  <c r="Y548" i="4" s="1"/>
  <c r="P548" i="4"/>
  <c r="U548" i="4"/>
  <c r="Z548" i="4" s="1"/>
  <c r="Q548" i="4"/>
  <c r="V548" i="4"/>
  <c r="AA548" i="4" s="1"/>
  <c r="M549" i="4"/>
  <c r="R549" i="4" s="1"/>
  <c r="W549" i="4" s="1"/>
  <c r="N549" i="4"/>
  <c r="S549" i="4" s="1"/>
  <c r="X549" i="4" s="1"/>
  <c r="O549" i="4"/>
  <c r="T549" i="4"/>
  <c r="Y549" i="4" s="1"/>
  <c r="P549" i="4"/>
  <c r="U549" i="4"/>
  <c r="Z549" i="4" s="1"/>
  <c r="Q549" i="4"/>
  <c r="V549" i="4" s="1"/>
  <c r="AA549" i="4" s="1"/>
  <c r="M550" i="4"/>
  <c r="R550" i="4" s="1"/>
  <c r="W550" i="4" s="1"/>
  <c r="N550" i="4"/>
  <c r="S550" i="4"/>
  <c r="X550" i="4" s="1"/>
  <c r="O550" i="4"/>
  <c r="T550" i="4"/>
  <c r="Y550" i="4" s="1"/>
  <c r="P550" i="4"/>
  <c r="U550" i="4" s="1"/>
  <c r="Z550" i="4" s="1"/>
  <c r="Q550" i="4"/>
  <c r="V550" i="4" s="1"/>
  <c r="AA550" i="4" s="1"/>
  <c r="M551" i="4"/>
  <c r="R551" i="4"/>
  <c r="W551" i="4" s="1"/>
  <c r="N551" i="4"/>
  <c r="S551" i="4"/>
  <c r="X551" i="4" s="1"/>
  <c r="O551" i="4"/>
  <c r="T551" i="4" s="1"/>
  <c r="Y551" i="4" s="1"/>
  <c r="P551" i="4"/>
  <c r="U551" i="4" s="1"/>
  <c r="Z551" i="4" s="1"/>
  <c r="Q551" i="4"/>
  <c r="V551" i="4"/>
  <c r="AA551" i="4" s="1"/>
  <c r="M552" i="4"/>
  <c r="R552" i="4" s="1"/>
  <c r="W552" i="4" s="1"/>
  <c r="N552" i="4"/>
  <c r="S552" i="4"/>
  <c r="X552" i="4" s="1"/>
  <c r="O552" i="4"/>
  <c r="T552" i="4"/>
  <c r="Y552" i="4" s="1"/>
  <c r="P552" i="4"/>
  <c r="U552" i="4" s="1"/>
  <c r="Z552" i="4" s="1"/>
  <c r="Q552" i="4"/>
  <c r="V552" i="4" s="1"/>
  <c r="AA552" i="4" s="1"/>
  <c r="M553" i="4"/>
  <c r="R553" i="4"/>
  <c r="W553" i="4" s="1"/>
  <c r="N553" i="4"/>
  <c r="S553" i="4"/>
  <c r="X553" i="4" s="1"/>
  <c r="O553" i="4"/>
  <c r="T553" i="4" s="1"/>
  <c r="Y553" i="4" s="1"/>
  <c r="P553" i="4"/>
  <c r="U553" i="4" s="1"/>
  <c r="Z553" i="4" s="1"/>
  <c r="Q553" i="4"/>
  <c r="V553" i="4"/>
  <c r="AA553" i="4" s="1"/>
  <c r="M554" i="4"/>
  <c r="R554" i="4"/>
  <c r="W554" i="4" s="1"/>
  <c r="N554" i="4"/>
  <c r="S554" i="4" s="1"/>
  <c r="X554" i="4" s="1"/>
  <c r="O554" i="4"/>
  <c r="T554" i="4" s="1"/>
  <c r="Y554" i="4" s="1"/>
  <c r="P554" i="4"/>
  <c r="U554" i="4"/>
  <c r="Z554" i="4" s="1"/>
  <c r="Q554" i="4"/>
  <c r="V554" i="4"/>
  <c r="AA554" i="4" s="1"/>
  <c r="M555" i="4"/>
  <c r="R555" i="4" s="1"/>
  <c r="W555" i="4" s="1"/>
  <c r="N555" i="4"/>
  <c r="S555" i="4" s="1"/>
  <c r="X555" i="4" s="1"/>
  <c r="O555" i="4"/>
  <c r="T555" i="4"/>
  <c r="Y555" i="4" s="1"/>
  <c r="P555" i="4"/>
  <c r="U555" i="4"/>
  <c r="Z555" i="4" s="1"/>
  <c r="Q555" i="4"/>
  <c r="V555" i="4" s="1"/>
  <c r="AA555" i="4" s="1"/>
  <c r="M556" i="4"/>
  <c r="R556" i="4"/>
  <c r="W556" i="4" s="1"/>
  <c r="N556" i="4"/>
  <c r="S556" i="4" s="1"/>
  <c r="X556" i="4" s="1"/>
  <c r="O556" i="4"/>
  <c r="T556" i="4" s="1"/>
  <c r="Y556" i="4" s="1"/>
  <c r="P556" i="4"/>
  <c r="U556" i="4"/>
  <c r="Z556" i="4" s="1"/>
  <c r="Q556" i="4"/>
  <c r="V556" i="4"/>
  <c r="AA556" i="4" s="1"/>
  <c r="M557" i="4"/>
  <c r="R557" i="4" s="1"/>
  <c r="W557" i="4" s="1"/>
  <c r="N557" i="4"/>
  <c r="S557" i="4" s="1"/>
  <c r="X557" i="4" s="1"/>
  <c r="O557" i="4"/>
  <c r="T557" i="4"/>
  <c r="Y557" i="4" s="1"/>
  <c r="P557" i="4"/>
  <c r="U557" i="4"/>
  <c r="Z557" i="4" s="1"/>
  <c r="Q557" i="4"/>
  <c r="V557" i="4" s="1"/>
  <c r="AA557" i="4" s="1"/>
  <c r="M558" i="4"/>
  <c r="R558" i="4" s="1"/>
  <c r="W558" i="4" s="1"/>
  <c r="N558" i="4"/>
  <c r="S558" i="4"/>
  <c r="X558" i="4" s="1"/>
  <c r="O558" i="4"/>
  <c r="T558" i="4"/>
  <c r="Y558" i="4" s="1"/>
  <c r="P558" i="4"/>
  <c r="U558" i="4" s="1"/>
  <c r="Z558" i="4" s="1"/>
  <c r="Q558" i="4"/>
  <c r="V558" i="4" s="1"/>
  <c r="AA558" i="4" s="1"/>
  <c r="M559" i="4"/>
  <c r="R559" i="4"/>
  <c r="W559" i="4" s="1"/>
  <c r="N559" i="4"/>
  <c r="S559" i="4"/>
  <c r="X559" i="4" s="1"/>
  <c r="O559" i="4"/>
  <c r="T559" i="4" s="1"/>
  <c r="Y559" i="4" s="1"/>
  <c r="P559" i="4"/>
  <c r="U559" i="4" s="1"/>
  <c r="Z559" i="4" s="1"/>
  <c r="Q559" i="4"/>
  <c r="V559" i="4"/>
  <c r="AA559" i="4" s="1"/>
  <c r="M560" i="4"/>
  <c r="R560" i="4" s="1"/>
  <c r="W560" i="4" s="1"/>
  <c r="N560" i="4"/>
  <c r="S560" i="4"/>
  <c r="X560" i="4" s="1"/>
  <c r="O560" i="4"/>
  <c r="T560" i="4"/>
  <c r="Y560" i="4" s="1"/>
  <c r="P560" i="4"/>
  <c r="U560" i="4" s="1"/>
  <c r="Z560" i="4" s="1"/>
  <c r="Q560" i="4"/>
  <c r="V560" i="4" s="1"/>
  <c r="AA560" i="4" s="1"/>
  <c r="M561" i="4"/>
  <c r="R561" i="4"/>
  <c r="W561" i="4" s="1"/>
  <c r="N561" i="4"/>
  <c r="S561" i="4"/>
  <c r="X561" i="4" s="1"/>
  <c r="O561" i="4"/>
  <c r="T561" i="4" s="1"/>
  <c r="Y561" i="4" s="1"/>
  <c r="P561" i="4"/>
  <c r="U561" i="4" s="1"/>
  <c r="Z561" i="4" s="1"/>
  <c r="Q561" i="4"/>
  <c r="V561" i="4"/>
  <c r="AA561" i="4" s="1"/>
  <c r="M562" i="4"/>
  <c r="R562" i="4"/>
  <c r="W562" i="4" s="1"/>
  <c r="N562" i="4"/>
  <c r="S562" i="4" s="1"/>
  <c r="X562" i="4" s="1"/>
  <c r="O562" i="4"/>
  <c r="T562" i="4" s="1"/>
  <c r="Y562" i="4" s="1"/>
  <c r="P562" i="4"/>
  <c r="U562" i="4"/>
  <c r="Z562" i="4" s="1"/>
  <c r="Q562" i="4"/>
  <c r="V562" i="4"/>
  <c r="AA562" i="4" s="1"/>
  <c r="M563" i="4"/>
  <c r="R563" i="4" s="1"/>
  <c r="W563" i="4" s="1"/>
  <c r="N563" i="4"/>
  <c r="S563" i="4" s="1"/>
  <c r="X563" i="4" s="1"/>
  <c r="O563" i="4"/>
  <c r="T563" i="4"/>
  <c r="Y563" i="4" s="1"/>
  <c r="P563" i="4"/>
  <c r="U563" i="4"/>
  <c r="Z563" i="4" s="1"/>
  <c r="Q563" i="4"/>
  <c r="V563" i="4"/>
  <c r="AA563" i="4" s="1"/>
  <c r="M564" i="4"/>
  <c r="R564" i="4" s="1"/>
  <c r="W564" i="4" s="1"/>
  <c r="N564" i="4"/>
  <c r="S564" i="4" s="1"/>
  <c r="X564" i="4" s="1"/>
  <c r="O564" i="4"/>
  <c r="T564" i="4"/>
  <c r="Y564" i="4" s="1"/>
  <c r="P564" i="4"/>
  <c r="U564" i="4"/>
  <c r="Z564" i="4" s="1"/>
  <c r="Q564" i="4"/>
  <c r="V564" i="4" s="1"/>
  <c r="AA564" i="4" s="1"/>
  <c r="M565" i="4"/>
  <c r="R565" i="4" s="1"/>
  <c r="W565" i="4" s="1"/>
  <c r="N565" i="4"/>
  <c r="S565" i="4"/>
  <c r="X565" i="4" s="1"/>
  <c r="O565" i="4"/>
  <c r="T565" i="4"/>
  <c r="Y565" i="4" s="1"/>
  <c r="P565" i="4"/>
  <c r="U565" i="4" s="1"/>
  <c r="Z565" i="4" s="1"/>
  <c r="Q565" i="4"/>
  <c r="V565" i="4" s="1"/>
  <c r="AA565" i="4" s="1"/>
  <c r="M566" i="4"/>
  <c r="R566" i="4"/>
  <c r="W566" i="4" s="1"/>
  <c r="N566" i="4"/>
  <c r="S566" i="4"/>
  <c r="X566" i="4" s="1"/>
  <c r="O566" i="4"/>
  <c r="T566" i="4" s="1"/>
  <c r="Y566" i="4" s="1"/>
  <c r="P566" i="4"/>
  <c r="U566" i="4" s="1"/>
  <c r="Z566" i="4" s="1"/>
  <c r="Q566" i="4"/>
  <c r="V566" i="4"/>
  <c r="AA566" i="4" s="1"/>
  <c r="M567" i="4"/>
  <c r="R567" i="4"/>
  <c r="W567" i="4" s="1"/>
  <c r="N567" i="4"/>
  <c r="S567" i="4" s="1"/>
  <c r="X567" i="4" s="1"/>
  <c r="O567" i="4"/>
  <c r="T567" i="4" s="1"/>
  <c r="Y567" i="4" s="1"/>
  <c r="P567" i="4"/>
  <c r="U567" i="4"/>
  <c r="Z567" i="4" s="1"/>
  <c r="Q567" i="4"/>
  <c r="V567" i="4"/>
  <c r="AA567" i="4" s="1"/>
  <c r="M568" i="4"/>
  <c r="R568" i="4" s="1"/>
  <c r="W568" i="4" s="1"/>
  <c r="N568" i="4"/>
  <c r="S568" i="4" s="1"/>
  <c r="X568" i="4" s="1"/>
  <c r="O568" i="4"/>
  <c r="T568" i="4"/>
  <c r="Y568" i="4" s="1"/>
  <c r="P568" i="4"/>
  <c r="U568" i="4"/>
  <c r="Z568" i="4" s="1"/>
  <c r="Q568" i="4"/>
  <c r="V568" i="4" s="1"/>
  <c r="AA568" i="4" s="1"/>
  <c r="M569" i="4"/>
  <c r="R569" i="4" s="1"/>
  <c r="W569" i="4" s="1"/>
  <c r="N569" i="4"/>
  <c r="S569" i="4"/>
  <c r="X569" i="4" s="1"/>
  <c r="O569" i="4"/>
  <c r="T569" i="4"/>
  <c r="Y569" i="4" s="1"/>
  <c r="P569" i="4"/>
  <c r="U569" i="4" s="1"/>
  <c r="Z569" i="4" s="1"/>
  <c r="Q569" i="4"/>
  <c r="V569" i="4" s="1"/>
  <c r="AA569" i="4" s="1"/>
  <c r="M570" i="4"/>
  <c r="R570" i="4"/>
  <c r="W570" i="4" s="1"/>
  <c r="N570" i="4"/>
  <c r="S570" i="4"/>
  <c r="X570" i="4" s="1"/>
  <c r="O570" i="4"/>
  <c r="T570" i="4" s="1"/>
  <c r="Y570" i="4" s="1"/>
  <c r="P570" i="4"/>
  <c r="U570" i="4" s="1"/>
  <c r="Z570" i="4" s="1"/>
  <c r="Q570" i="4"/>
  <c r="V570" i="4"/>
  <c r="AA570" i="4" s="1"/>
  <c r="M571" i="4"/>
  <c r="R571" i="4"/>
  <c r="W571" i="4" s="1"/>
  <c r="N571" i="4"/>
  <c r="S571" i="4" s="1"/>
  <c r="X571" i="4" s="1"/>
  <c r="O571" i="4"/>
  <c r="T571" i="4" s="1"/>
  <c r="Y571" i="4" s="1"/>
  <c r="P571" i="4"/>
  <c r="U571" i="4"/>
  <c r="Z571" i="4" s="1"/>
  <c r="Q571" i="4"/>
  <c r="V571" i="4"/>
  <c r="AA571" i="4" s="1"/>
  <c r="M572" i="4"/>
  <c r="R572" i="4" s="1"/>
  <c r="W572" i="4" s="1"/>
  <c r="N572" i="4"/>
  <c r="S572" i="4" s="1"/>
  <c r="X572" i="4" s="1"/>
  <c r="O572" i="4"/>
  <c r="T572" i="4"/>
  <c r="Y572" i="4" s="1"/>
  <c r="P572" i="4"/>
  <c r="U572" i="4"/>
  <c r="Z572" i="4" s="1"/>
  <c r="Q572" i="4"/>
  <c r="V572" i="4" s="1"/>
  <c r="AA572" i="4" s="1"/>
  <c r="M573" i="4"/>
  <c r="R573" i="4" s="1"/>
  <c r="W573" i="4" s="1"/>
  <c r="N573" i="4"/>
  <c r="S573" i="4"/>
  <c r="X573" i="4" s="1"/>
  <c r="O573" i="4"/>
  <c r="T573" i="4"/>
  <c r="Y573" i="4" s="1"/>
  <c r="P573" i="4"/>
  <c r="U573" i="4" s="1"/>
  <c r="Z573" i="4" s="1"/>
  <c r="Q573" i="4"/>
  <c r="V573" i="4" s="1"/>
  <c r="AA573" i="4" s="1"/>
  <c r="M574" i="4"/>
  <c r="R574" i="4"/>
  <c r="W574" i="4" s="1"/>
  <c r="N574" i="4"/>
  <c r="S574" i="4"/>
  <c r="X574" i="4" s="1"/>
  <c r="O574" i="4"/>
  <c r="T574" i="4" s="1"/>
  <c r="Y574" i="4" s="1"/>
  <c r="P574" i="4"/>
  <c r="U574" i="4" s="1"/>
  <c r="Z574" i="4" s="1"/>
  <c r="Q574" i="4"/>
  <c r="V574" i="4"/>
  <c r="AA574" i="4" s="1"/>
  <c r="M575" i="4"/>
  <c r="R575" i="4"/>
  <c r="W575" i="4" s="1"/>
  <c r="N575" i="4"/>
  <c r="S575" i="4" s="1"/>
  <c r="X575" i="4" s="1"/>
  <c r="O575" i="4"/>
  <c r="T575" i="4" s="1"/>
  <c r="Y575" i="4" s="1"/>
  <c r="P575" i="4"/>
  <c r="U575" i="4"/>
  <c r="Z575" i="4" s="1"/>
  <c r="Q575" i="4"/>
  <c r="V575" i="4"/>
  <c r="AA575" i="4" s="1"/>
  <c r="M576" i="4"/>
  <c r="R576" i="4" s="1"/>
  <c r="W576" i="4" s="1"/>
  <c r="N576" i="4"/>
  <c r="S576" i="4" s="1"/>
  <c r="X576" i="4" s="1"/>
  <c r="O576" i="4"/>
  <c r="T576" i="4"/>
  <c r="Y576" i="4" s="1"/>
  <c r="P576" i="4"/>
  <c r="U576" i="4"/>
  <c r="Z576" i="4" s="1"/>
  <c r="Q576" i="4"/>
  <c r="V576" i="4" s="1"/>
  <c r="AA576" i="4" s="1"/>
  <c r="M577" i="4"/>
  <c r="R577" i="4" s="1"/>
  <c r="W577" i="4" s="1"/>
  <c r="N577" i="4"/>
  <c r="S577" i="4"/>
  <c r="X577" i="4" s="1"/>
  <c r="O577" i="4"/>
  <c r="T577" i="4"/>
  <c r="Y577" i="4" s="1"/>
  <c r="P577" i="4"/>
  <c r="U577" i="4" s="1"/>
  <c r="Z577" i="4" s="1"/>
  <c r="Q577" i="4"/>
  <c r="V577" i="4" s="1"/>
  <c r="AA577" i="4" s="1"/>
  <c r="M578" i="4"/>
  <c r="R578" i="4"/>
  <c r="W578" i="4" s="1"/>
  <c r="N578" i="4"/>
  <c r="S578" i="4"/>
  <c r="X578" i="4" s="1"/>
  <c r="O578" i="4"/>
  <c r="T578" i="4" s="1"/>
  <c r="Y578" i="4" s="1"/>
  <c r="P578" i="4"/>
  <c r="U578" i="4" s="1"/>
  <c r="Z578" i="4" s="1"/>
  <c r="Q578" i="4"/>
  <c r="V578" i="4"/>
  <c r="AA578" i="4" s="1"/>
  <c r="M579" i="4"/>
  <c r="R579" i="4"/>
  <c r="W579" i="4" s="1"/>
  <c r="N579" i="4"/>
  <c r="S579" i="4" s="1"/>
  <c r="X579" i="4" s="1"/>
  <c r="O579" i="4"/>
  <c r="T579" i="4" s="1"/>
  <c r="Y579" i="4" s="1"/>
  <c r="P579" i="4"/>
  <c r="U579" i="4"/>
  <c r="Z579" i="4" s="1"/>
  <c r="Q579" i="4"/>
  <c r="V579" i="4"/>
  <c r="AA579" i="4" s="1"/>
  <c r="M580" i="4"/>
  <c r="R580" i="4" s="1"/>
  <c r="W580" i="4" s="1"/>
  <c r="N580" i="4"/>
  <c r="S580" i="4" s="1"/>
  <c r="X580" i="4" s="1"/>
  <c r="O580" i="4"/>
  <c r="T580" i="4"/>
  <c r="Y580" i="4" s="1"/>
  <c r="P580" i="4"/>
  <c r="U580" i="4"/>
  <c r="Z580" i="4" s="1"/>
  <c r="Q580" i="4"/>
  <c r="V580" i="4" s="1"/>
  <c r="AA580" i="4" s="1"/>
  <c r="M581" i="4"/>
  <c r="R581" i="4" s="1"/>
  <c r="W581" i="4" s="1"/>
  <c r="N581" i="4"/>
  <c r="S581" i="4"/>
  <c r="X581" i="4" s="1"/>
  <c r="O581" i="4"/>
  <c r="T581" i="4"/>
  <c r="Y581" i="4" s="1"/>
  <c r="P581" i="4"/>
  <c r="U581" i="4" s="1"/>
  <c r="Z581" i="4" s="1"/>
  <c r="Q581" i="4"/>
  <c r="V581" i="4" s="1"/>
  <c r="AA581" i="4" s="1"/>
  <c r="M582" i="4"/>
  <c r="R582" i="4"/>
  <c r="W582" i="4" s="1"/>
  <c r="N582" i="4"/>
  <c r="S582" i="4"/>
  <c r="X582" i="4" s="1"/>
  <c r="O582" i="4"/>
  <c r="T582" i="4" s="1"/>
  <c r="Y582" i="4" s="1"/>
  <c r="P582" i="4"/>
  <c r="U582" i="4" s="1"/>
  <c r="Z582" i="4" s="1"/>
  <c r="Q582" i="4"/>
  <c r="V582" i="4"/>
  <c r="AA582" i="4" s="1"/>
  <c r="M583" i="4"/>
  <c r="R583" i="4"/>
  <c r="W583" i="4" s="1"/>
  <c r="N583" i="4"/>
  <c r="S583" i="4" s="1"/>
  <c r="X583" i="4" s="1"/>
  <c r="O583" i="4"/>
  <c r="T583" i="4" s="1"/>
  <c r="Y583" i="4" s="1"/>
  <c r="P583" i="4"/>
  <c r="U583" i="4"/>
  <c r="Z583" i="4" s="1"/>
  <c r="Q583" i="4"/>
  <c r="V583" i="4"/>
  <c r="AA583" i="4" s="1"/>
  <c r="M584" i="4"/>
  <c r="R584" i="4" s="1"/>
  <c r="W584" i="4" s="1"/>
  <c r="N584" i="4"/>
  <c r="S584" i="4" s="1"/>
  <c r="X584" i="4" s="1"/>
  <c r="O584" i="4"/>
  <c r="T584" i="4"/>
  <c r="Y584" i="4" s="1"/>
  <c r="P584" i="4"/>
  <c r="U584" i="4"/>
  <c r="Z584" i="4" s="1"/>
  <c r="Q584" i="4"/>
  <c r="V584" i="4" s="1"/>
  <c r="AA584" i="4" s="1"/>
  <c r="M585" i="4"/>
  <c r="R585" i="4" s="1"/>
  <c r="W585" i="4" s="1"/>
  <c r="N585" i="4"/>
  <c r="S585" i="4"/>
  <c r="X585" i="4" s="1"/>
  <c r="O585" i="4"/>
  <c r="T585" i="4"/>
  <c r="Y585" i="4" s="1"/>
  <c r="P585" i="4"/>
  <c r="U585" i="4" s="1"/>
  <c r="Z585" i="4" s="1"/>
  <c r="Q585" i="4"/>
  <c r="V585" i="4" s="1"/>
  <c r="AA585" i="4" s="1"/>
  <c r="M586" i="4"/>
  <c r="R586" i="4"/>
  <c r="W586" i="4" s="1"/>
  <c r="N586" i="4"/>
  <c r="S586" i="4"/>
  <c r="X586" i="4" s="1"/>
  <c r="O586" i="4"/>
  <c r="T586" i="4" s="1"/>
  <c r="Y586" i="4" s="1"/>
  <c r="P586" i="4"/>
  <c r="U586" i="4" s="1"/>
  <c r="Z586" i="4" s="1"/>
  <c r="Q586" i="4"/>
  <c r="V586" i="4"/>
  <c r="AA586" i="4" s="1"/>
  <c r="M587" i="4"/>
  <c r="R587" i="4"/>
  <c r="W587" i="4" s="1"/>
  <c r="N587" i="4"/>
  <c r="S587" i="4" s="1"/>
  <c r="X587" i="4" s="1"/>
  <c r="O587" i="4"/>
  <c r="T587" i="4" s="1"/>
  <c r="Y587" i="4" s="1"/>
  <c r="P587" i="4"/>
  <c r="U587" i="4"/>
  <c r="Z587" i="4" s="1"/>
  <c r="Q587" i="4"/>
  <c r="V587" i="4"/>
  <c r="AA587" i="4" s="1"/>
  <c r="M588" i="4"/>
  <c r="R588" i="4" s="1"/>
  <c r="W588" i="4" s="1"/>
  <c r="N588" i="4"/>
  <c r="S588" i="4" s="1"/>
  <c r="X588" i="4" s="1"/>
  <c r="O588" i="4"/>
  <c r="T588" i="4"/>
  <c r="Y588" i="4" s="1"/>
  <c r="P588" i="4"/>
  <c r="U588" i="4"/>
  <c r="Z588" i="4" s="1"/>
  <c r="Q588" i="4"/>
  <c r="V588" i="4" s="1"/>
  <c r="AA588" i="4" s="1"/>
  <c r="M589" i="4"/>
  <c r="R589" i="4" s="1"/>
  <c r="W589" i="4" s="1"/>
  <c r="N589" i="4"/>
  <c r="S589" i="4"/>
  <c r="X589" i="4" s="1"/>
  <c r="O589" i="4"/>
  <c r="T589" i="4"/>
  <c r="Y589" i="4" s="1"/>
  <c r="P589" i="4"/>
  <c r="U589" i="4" s="1"/>
  <c r="Z589" i="4" s="1"/>
  <c r="Q589" i="4"/>
  <c r="V589" i="4" s="1"/>
  <c r="AA589" i="4" s="1"/>
  <c r="M590" i="4"/>
  <c r="R590" i="4"/>
  <c r="W590" i="4" s="1"/>
  <c r="N590" i="4"/>
  <c r="S590" i="4"/>
  <c r="X590" i="4" s="1"/>
  <c r="O590" i="4"/>
  <c r="T590" i="4" s="1"/>
  <c r="Y590" i="4" s="1"/>
  <c r="P590" i="4"/>
  <c r="U590" i="4" s="1"/>
  <c r="Z590" i="4" s="1"/>
  <c r="Q590" i="4"/>
  <c r="V590" i="4"/>
  <c r="AA590" i="4" s="1"/>
  <c r="M591" i="4"/>
  <c r="R591" i="4"/>
  <c r="W591" i="4" s="1"/>
  <c r="N591" i="4"/>
  <c r="S591" i="4" s="1"/>
  <c r="X591" i="4" s="1"/>
  <c r="O591" i="4"/>
  <c r="T591" i="4" s="1"/>
  <c r="Y591" i="4" s="1"/>
  <c r="P591" i="4"/>
  <c r="U591" i="4"/>
  <c r="Z591" i="4" s="1"/>
  <c r="Q591" i="4"/>
  <c r="V591" i="4"/>
  <c r="AA591" i="4" s="1"/>
  <c r="M592" i="4"/>
  <c r="R592" i="4" s="1"/>
  <c r="W592" i="4" s="1"/>
  <c r="N592" i="4"/>
  <c r="S592" i="4" s="1"/>
  <c r="X592" i="4" s="1"/>
  <c r="O592" i="4"/>
  <c r="T592" i="4"/>
  <c r="Y592" i="4" s="1"/>
  <c r="P592" i="4"/>
  <c r="U592" i="4"/>
  <c r="Z592" i="4" s="1"/>
  <c r="Q592" i="4"/>
  <c r="V592" i="4" s="1"/>
  <c r="AA592" i="4" s="1"/>
  <c r="M593" i="4"/>
  <c r="R593" i="4" s="1"/>
  <c r="W593" i="4" s="1"/>
  <c r="N593" i="4"/>
  <c r="S593" i="4"/>
  <c r="X593" i="4" s="1"/>
  <c r="O593" i="4"/>
  <c r="T593" i="4"/>
  <c r="Y593" i="4" s="1"/>
  <c r="P593" i="4"/>
  <c r="U593" i="4" s="1"/>
  <c r="Z593" i="4" s="1"/>
  <c r="Q593" i="4"/>
  <c r="V593" i="4" s="1"/>
  <c r="AA593" i="4" s="1"/>
  <c r="M594" i="4"/>
  <c r="R594" i="4"/>
  <c r="W594" i="4" s="1"/>
  <c r="N594" i="4"/>
  <c r="S594" i="4"/>
  <c r="X594" i="4" s="1"/>
  <c r="O594" i="4"/>
  <c r="T594" i="4" s="1"/>
  <c r="Y594" i="4" s="1"/>
  <c r="P594" i="4"/>
  <c r="U594" i="4" s="1"/>
  <c r="Z594" i="4" s="1"/>
  <c r="Q594" i="4"/>
  <c r="V594" i="4"/>
  <c r="AA594" i="4" s="1"/>
  <c r="M595" i="4"/>
  <c r="R595" i="4"/>
  <c r="W595" i="4" s="1"/>
  <c r="N595" i="4"/>
  <c r="S595" i="4" s="1"/>
  <c r="X595" i="4" s="1"/>
  <c r="O595" i="4"/>
  <c r="T595" i="4" s="1"/>
  <c r="Y595" i="4" s="1"/>
  <c r="P595" i="4"/>
  <c r="U595" i="4"/>
  <c r="Z595" i="4" s="1"/>
  <c r="Q595" i="4"/>
  <c r="V595" i="4"/>
  <c r="AA595" i="4" s="1"/>
  <c r="M596" i="4"/>
  <c r="R596" i="4" s="1"/>
  <c r="W596" i="4" s="1"/>
  <c r="N596" i="4"/>
  <c r="S596" i="4" s="1"/>
  <c r="X596" i="4" s="1"/>
  <c r="O596" i="4"/>
  <c r="T596" i="4"/>
  <c r="Y596" i="4" s="1"/>
  <c r="P596" i="4"/>
  <c r="U596" i="4"/>
  <c r="Z596" i="4" s="1"/>
  <c r="Q596" i="4"/>
  <c r="V596" i="4" s="1"/>
  <c r="AA596" i="4" s="1"/>
  <c r="M597" i="4"/>
  <c r="R597" i="4" s="1"/>
  <c r="W597" i="4" s="1"/>
  <c r="N597" i="4"/>
  <c r="S597" i="4"/>
  <c r="X597" i="4" s="1"/>
  <c r="O597" i="4"/>
  <c r="T597" i="4"/>
  <c r="Y597" i="4" s="1"/>
  <c r="P597" i="4"/>
  <c r="U597" i="4" s="1"/>
  <c r="Z597" i="4" s="1"/>
  <c r="Q597" i="4"/>
  <c r="V597" i="4" s="1"/>
  <c r="AA597" i="4" s="1"/>
  <c r="M598" i="4"/>
  <c r="R598" i="4"/>
  <c r="W598" i="4" s="1"/>
  <c r="N598" i="4"/>
  <c r="S598" i="4"/>
  <c r="X598" i="4" s="1"/>
  <c r="O598" i="4"/>
  <c r="T598" i="4" s="1"/>
  <c r="Y598" i="4" s="1"/>
  <c r="P598" i="4"/>
  <c r="U598" i="4" s="1"/>
  <c r="Z598" i="4" s="1"/>
  <c r="Q598" i="4"/>
  <c r="V598" i="4"/>
  <c r="AA598" i="4" s="1"/>
  <c r="M599" i="4"/>
  <c r="R599" i="4"/>
  <c r="W599" i="4" s="1"/>
  <c r="N599" i="4"/>
  <c r="S599" i="4" s="1"/>
  <c r="X599" i="4" s="1"/>
  <c r="O599" i="4"/>
  <c r="T599" i="4" s="1"/>
  <c r="Y599" i="4" s="1"/>
  <c r="P599" i="4"/>
  <c r="U599" i="4"/>
  <c r="Z599" i="4" s="1"/>
  <c r="Q599" i="4"/>
  <c r="V599" i="4"/>
  <c r="AA599" i="4" s="1"/>
  <c r="M600" i="4"/>
  <c r="R600" i="4" s="1"/>
  <c r="W600" i="4" s="1"/>
  <c r="N600" i="4"/>
  <c r="S600" i="4" s="1"/>
  <c r="X600" i="4" s="1"/>
  <c r="O600" i="4"/>
  <c r="T600" i="4"/>
  <c r="Y600" i="4" s="1"/>
  <c r="P600" i="4"/>
  <c r="U600" i="4"/>
  <c r="Z600" i="4" s="1"/>
  <c r="Q600" i="4"/>
  <c r="V600" i="4" s="1"/>
  <c r="AA600" i="4" s="1"/>
  <c r="M601" i="4"/>
  <c r="R601" i="4" s="1"/>
  <c r="W601" i="4" s="1"/>
  <c r="N601" i="4"/>
  <c r="S601" i="4"/>
  <c r="X601" i="4" s="1"/>
  <c r="O601" i="4"/>
  <c r="T601" i="4"/>
  <c r="Y601" i="4" s="1"/>
  <c r="P601" i="4"/>
  <c r="U601" i="4" s="1"/>
  <c r="Z601" i="4" s="1"/>
  <c r="Q601" i="4"/>
  <c r="V601" i="4" s="1"/>
  <c r="AA601" i="4" s="1"/>
  <c r="M602" i="4"/>
  <c r="R602" i="4"/>
  <c r="W602" i="4" s="1"/>
  <c r="N602" i="4"/>
  <c r="S602" i="4"/>
  <c r="X602" i="4" s="1"/>
  <c r="O602" i="4"/>
  <c r="T602" i="4" s="1"/>
  <c r="Y602" i="4" s="1"/>
  <c r="P602" i="4"/>
  <c r="U602" i="4" s="1"/>
  <c r="Z602" i="4" s="1"/>
  <c r="Q602" i="4"/>
  <c r="V602" i="4"/>
  <c r="AA602" i="4" s="1"/>
  <c r="M603" i="4"/>
  <c r="R603" i="4"/>
  <c r="W603" i="4" s="1"/>
  <c r="N603" i="4"/>
  <c r="S603" i="4" s="1"/>
  <c r="X603" i="4" s="1"/>
  <c r="O603" i="4"/>
  <c r="T603" i="4" s="1"/>
  <c r="Y603" i="4" s="1"/>
  <c r="P603" i="4"/>
  <c r="U603" i="4"/>
  <c r="Z603" i="4" s="1"/>
  <c r="Q603" i="4"/>
  <c r="V603" i="4"/>
  <c r="AA603" i="4" s="1"/>
  <c r="M604" i="4"/>
  <c r="R604" i="4" s="1"/>
  <c r="W604" i="4" s="1"/>
  <c r="N604" i="4"/>
  <c r="S604" i="4" s="1"/>
  <c r="X604" i="4" s="1"/>
  <c r="O604" i="4"/>
  <c r="T604" i="4"/>
  <c r="Y604" i="4" s="1"/>
  <c r="P604" i="4"/>
  <c r="U604" i="4"/>
  <c r="Z604" i="4" s="1"/>
  <c r="Q604" i="4"/>
  <c r="V604" i="4" s="1"/>
  <c r="AA604" i="4" s="1"/>
  <c r="M605" i="4"/>
  <c r="R605" i="4" s="1"/>
  <c r="W605" i="4" s="1"/>
  <c r="N605" i="4"/>
  <c r="S605" i="4"/>
  <c r="X605" i="4" s="1"/>
  <c r="O605" i="4"/>
  <c r="T605" i="4"/>
  <c r="Y605" i="4" s="1"/>
  <c r="P605" i="4"/>
  <c r="U605" i="4" s="1"/>
  <c r="Z605" i="4" s="1"/>
  <c r="Q605" i="4"/>
  <c r="V605" i="4" s="1"/>
  <c r="AA605" i="4" s="1"/>
  <c r="M606" i="4"/>
  <c r="R606" i="4"/>
  <c r="W606" i="4" s="1"/>
  <c r="N606" i="4"/>
  <c r="S606" i="4"/>
  <c r="X606" i="4" s="1"/>
  <c r="O606" i="4"/>
  <c r="T606" i="4" s="1"/>
  <c r="Y606" i="4" s="1"/>
  <c r="P606" i="4"/>
  <c r="U606" i="4" s="1"/>
  <c r="Z606" i="4" s="1"/>
  <c r="Q606" i="4"/>
  <c r="V606" i="4"/>
  <c r="AA606" i="4" s="1"/>
  <c r="M607" i="4"/>
  <c r="R607" i="4"/>
  <c r="W607" i="4" s="1"/>
  <c r="N607" i="4"/>
  <c r="S607" i="4" s="1"/>
  <c r="X607" i="4" s="1"/>
  <c r="O607" i="4"/>
  <c r="T607" i="4" s="1"/>
  <c r="Y607" i="4" s="1"/>
  <c r="P607" i="4"/>
  <c r="U607" i="4"/>
  <c r="Z607" i="4" s="1"/>
  <c r="Q607" i="4"/>
  <c r="V607" i="4"/>
  <c r="AA607" i="4" s="1"/>
  <c r="M608" i="4"/>
  <c r="R608" i="4" s="1"/>
  <c r="W608" i="4" s="1"/>
  <c r="N608" i="4"/>
  <c r="S608" i="4" s="1"/>
  <c r="X608" i="4" s="1"/>
  <c r="O608" i="4"/>
  <c r="T608" i="4"/>
  <c r="Y608" i="4" s="1"/>
  <c r="P608" i="4"/>
  <c r="U608" i="4"/>
  <c r="Z608" i="4" s="1"/>
  <c r="Q608" i="4"/>
  <c r="V608" i="4" s="1"/>
  <c r="AA608" i="4" s="1"/>
  <c r="M609" i="4"/>
  <c r="R609" i="4" s="1"/>
  <c r="W609" i="4" s="1"/>
  <c r="N609" i="4"/>
  <c r="S609" i="4"/>
  <c r="X609" i="4" s="1"/>
  <c r="O609" i="4"/>
  <c r="T609" i="4"/>
  <c r="Y609" i="4" s="1"/>
  <c r="P609" i="4"/>
  <c r="U609" i="4" s="1"/>
  <c r="Z609" i="4" s="1"/>
  <c r="Q609" i="4"/>
  <c r="V609" i="4" s="1"/>
  <c r="AA609" i="4" s="1"/>
  <c r="M610" i="4"/>
  <c r="R610" i="4"/>
  <c r="W610" i="4" s="1"/>
  <c r="N610" i="4"/>
  <c r="S610" i="4"/>
  <c r="X610" i="4" s="1"/>
  <c r="O610" i="4"/>
  <c r="T610" i="4" s="1"/>
  <c r="Y610" i="4" s="1"/>
  <c r="P610" i="4"/>
  <c r="U610" i="4" s="1"/>
  <c r="Z610" i="4" s="1"/>
  <c r="Q610" i="4"/>
  <c r="V610" i="4"/>
  <c r="AA610" i="4" s="1"/>
  <c r="M611" i="4"/>
  <c r="R611" i="4"/>
  <c r="W611" i="4" s="1"/>
  <c r="N611" i="4"/>
  <c r="S611" i="4" s="1"/>
  <c r="X611" i="4" s="1"/>
  <c r="O611" i="4"/>
  <c r="T611" i="4" s="1"/>
  <c r="Y611" i="4" s="1"/>
  <c r="P611" i="4"/>
  <c r="U611" i="4"/>
  <c r="Z611" i="4" s="1"/>
  <c r="Q611" i="4"/>
  <c r="V611" i="4"/>
  <c r="AA611" i="4" s="1"/>
  <c r="M612" i="4"/>
  <c r="R612" i="4" s="1"/>
  <c r="W612" i="4" s="1"/>
  <c r="N612" i="4"/>
  <c r="S612" i="4" s="1"/>
  <c r="X612" i="4" s="1"/>
  <c r="O612" i="4"/>
  <c r="T612" i="4"/>
  <c r="Y612" i="4" s="1"/>
  <c r="P612" i="4"/>
  <c r="U612" i="4"/>
  <c r="Z612" i="4" s="1"/>
  <c r="Q612" i="4"/>
  <c r="V612" i="4" s="1"/>
  <c r="AA612" i="4" s="1"/>
  <c r="M613" i="4"/>
  <c r="R613" i="4" s="1"/>
  <c r="W613" i="4" s="1"/>
  <c r="N613" i="4"/>
  <c r="S613" i="4"/>
  <c r="X613" i="4" s="1"/>
  <c r="O613" i="4"/>
  <c r="T613" i="4"/>
  <c r="Y613" i="4" s="1"/>
  <c r="P613" i="4"/>
  <c r="U613" i="4" s="1"/>
  <c r="Z613" i="4" s="1"/>
  <c r="Q613" i="4"/>
  <c r="V613" i="4" s="1"/>
  <c r="AA613" i="4" s="1"/>
  <c r="M614" i="4"/>
  <c r="R614" i="4"/>
  <c r="W614" i="4" s="1"/>
  <c r="N614" i="4"/>
  <c r="S614" i="4"/>
  <c r="X614" i="4" s="1"/>
  <c r="O614" i="4"/>
  <c r="T614" i="4" s="1"/>
  <c r="Y614" i="4" s="1"/>
  <c r="P614" i="4"/>
  <c r="U614" i="4" s="1"/>
  <c r="Z614" i="4" s="1"/>
  <c r="Q614" i="4"/>
  <c r="V614" i="4"/>
  <c r="AA614" i="4" s="1"/>
  <c r="M615" i="4"/>
  <c r="R615" i="4"/>
  <c r="W615" i="4" s="1"/>
  <c r="N615" i="4"/>
  <c r="S615" i="4" s="1"/>
  <c r="X615" i="4" s="1"/>
  <c r="O615" i="4"/>
  <c r="T615" i="4" s="1"/>
  <c r="Y615" i="4" s="1"/>
  <c r="P615" i="4"/>
  <c r="U615" i="4"/>
  <c r="Z615" i="4" s="1"/>
  <c r="Q615" i="4"/>
  <c r="V615" i="4"/>
  <c r="AA615" i="4" s="1"/>
  <c r="M616" i="4"/>
  <c r="R616" i="4" s="1"/>
  <c r="W616" i="4" s="1"/>
  <c r="N616" i="4"/>
  <c r="S616" i="4" s="1"/>
  <c r="X616" i="4" s="1"/>
  <c r="O616" i="4"/>
  <c r="T616" i="4"/>
  <c r="Y616" i="4" s="1"/>
  <c r="P616" i="4"/>
  <c r="U616" i="4"/>
  <c r="Z616" i="4" s="1"/>
  <c r="Q616" i="4"/>
  <c r="V616" i="4" s="1"/>
  <c r="AA616" i="4" s="1"/>
  <c r="M617" i="4"/>
  <c r="R617" i="4" s="1"/>
  <c r="W617" i="4" s="1"/>
  <c r="N617" i="4"/>
  <c r="S617" i="4"/>
  <c r="X617" i="4" s="1"/>
  <c r="O617" i="4"/>
  <c r="T617" i="4"/>
  <c r="Y617" i="4" s="1"/>
  <c r="P617" i="4"/>
  <c r="U617" i="4" s="1"/>
  <c r="Z617" i="4" s="1"/>
  <c r="Q617" i="4"/>
  <c r="V617" i="4" s="1"/>
  <c r="AA617" i="4" s="1"/>
  <c r="M618" i="4"/>
  <c r="R618" i="4"/>
  <c r="W618" i="4" s="1"/>
  <c r="N618" i="4"/>
  <c r="S618" i="4"/>
  <c r="X618" i="4" s="1"/>
  <c r="O618" i="4"/>
  <c r="T618" i="4" s="1"/>
  <c r="Y618" i="4" s="1"/>
  <c r="P618" i="4"/>
  <c r="U618" i="4" s="1"/>
  <c r="Z618" i="4" s="1"/>
  <c r="Q618" i="4"/>
  <c r="V618" i="4"/>
  <c r="AA618" i="4" s="1"/>
  <c r="M619" i="4"/>
  <c r="R619" i="4"/>
  <c r="W619" i="4" s="1"/>
  <c r="N619" i="4"/>
  <c r="S619" i="4" s="1"/>
  <c r="X619" i="4" s="1"/>
  <c r="O619" i="4"/>
  <c r="T619" i="4" s="1"/>
  <c r="Y619" i="4" s="1"/>
  <c r="P619" i="4"/>
  <c r="U619" i="4"/>
  <c r="Z619" i="4" s="1"/>
  <c r="Q619" i="4"/>
  <c r="V619" i="4"/>
  <c r="AA619" i="4" s="1"/>
  <c r="M620" i="4"/>
  <c r="R620" i="4" s="1"/>
  <c r="W620" i="4" s="1"/>
  <c r="N620" i="4"/>
  <c r="S620" i="4" s="1"/>
  <c r="X620" i="4" s="1"/>
  <c r="O620" i="4"/>
  <c r="T620" i="4"/>
  <c r="Y620" i="4" s="1"/>
  <c r="P620" i="4"/>
  <c r="U620" i="4"/>
  <c r="Z620" i="4" s="1"/>
  <c r="Q620" i="4"/>
  <c r="V620" i="4" s="1"/>
  <c r="AA620" i="4" s="1"/>
  <c r="M621" i="4"/>
  <c r="R621" i="4" s="1"/>
  <c r="W621" i="4" s="1"/>
  <c r="N621" i="4"/>
  <c r="S621" i="4"/>
  <c r="X621" i="4" s="1"/>
  <c r="O621" i="4"/>
  <c r="T621" i="4"/>
  <c r="Y621" i="4" s="1"/>
  <c r="P621" i="4"/>
  <c r="U621" i="4" s="1"/>
  <c r="Z621" i="4" s="1"/>
  <c r="Q621" i="4"/>
  <c r="V621" i="4" s="1"/>
  <c r="AA621" i="4" s="1"/>
  <c r="M622" i="4"/>
  <c r="R622" i="4"/>
  <c r="W622" i="4" s="1"/>
  <c r="N622" i="4"/>
  <c r="S622" i="4"/>
  <c r="X622" i="4" s="1"/>
  <c r="O622" i="4"/>
  <c r="T622" i="4" s="1"/>
  <c r="Y622" i="4" s="1"/>
  <c r="P622" i="4"/>
  <c r="U622" i="4" s="1"/>
  <c r="Z622" i="4" s="1"/>
  <c r="Q622" i="4"/>
  <c r="V622" i="4"/>
  <c r="AA622" i="4" s="1"/>
  <c r="M623" i="4"/>
  <c r="R623" i="4"/>
  <c r="W623" i="4" s="1"/>
  <c r="N623" i="4"/>
  <c r="S623" i="4" s="1"/>
  <c r="X623" i="4" s="1"/>
  <c r="O623" i="4"/>
  <c r="T623" i="4" s="1"/>
  <c r="Y623" i="4" s="1"/>
  <c r="P623" i="4"/>
  <c r="U623" i="4"/>
  <c r="Z623" i="4" s="1"/>
  <c r="Q623" i="4"/>
  <c r="V623" i="4"/>
  <c r="AA623" i="4" s="1"/>
  <c r="M624" i="4"/>
  <c r="R624" i="4" s="1"/>
  <c r="W624" i="4" s="1"/>
  <c r="N624" i="4"/>
  <c r="S624" i="4" s="1"/>
  <c r="X624" i="4" s="1"/>
  <c r="O624" i="4"/>
  <c r="T624" i="4"/>
  <c r="Y624" i="4" s="1"/>
  <c r="P624" i="4"/>
  <c r="U624" i="4"/>
  <c r="Z624" i="4" s="1"/>
  <c r="Q624" i="4"/>
  <c r="V624" i="4" s="1"/>
  <c r="AA624" i="4" s="1"/>
  <c r="M625" i="4"/>
  <c r="R625" i="4" s="1"/>
  <c r="W625" i="4" s="1"/>
  <c r="N625" i="4"/>
  <c r="S625" i="4"/>
  <c r="X625" i="4" s="1"/>
  <c r="O625" i="4"/>
  <c r="T625" i="4"/>
  <c r="Y625" i="4" s="1"/>
  <c r="P625" i="4"/>
  <c r="U625" i="4" s="1"/>
  <c r="Z625" i="4" s="1"/>
  <c r="Q625" i="4"/>
  <c r="V625" i="4" s="1"/>
  <c r="AA625" i="4" s="1"/>
  <c r="M626" i="4"/>
  <c r="R626" i="4"/>
  <c r="W626" i="4" s="1"/>
  <c r="N626" i="4"/>
  <c r="S626" i="4"/>
  <c r="X626" i="4" s="1"/>
  <c r="O626" i="4"/>
  <c r="T626" i="4" s="1"/>
  <c r="Y626" i="4" s="1"/>
  <c r="P626" i="4"/>
  <c r="U626" i="4" s="1"/>
  <c r="Z626" i="4" s="1"/>
  <c r="Q626" i="4"/>
  <c r="V626" i="4"/>
  <c r="AA626" i="4" s="1"/>
  <c r="M627" i="4"/>
  <c r="R627" i="4"/>
  <c r="W627" i="4" s="1"/>
  <c r="N627" i="4"/>
  <c r="S627" i="4" s="1"/>
  <c r="X627" i="4" s="1"/>
  <c r="O627" i="4"/>
  <c r="T627" i="4" s="1"/>
  <c r="Y627" i="4" s="1"/>
  <c r="P627" i="4"/>
  <c r="U627" i="4"/>
  <c r="Z627" i="4" s="1"/>
  <c r="Q627" i="4"/>
  <c r="V627" i="4"/>
  <c r="AA627" i="4" s="1"/>
  <c r="M628" i="4"/>
  <c r="R628" i="4" s="1"/>
  <c r="W628" i="4" s="1"/>
  <c r="N628" i="4"/>
  <c r="S628" i="4" s="1"/>
  <c r="X628" i="4" s="1"/>
  <c r="O628" i="4"/>
  <c r="T628" i="4"/>
  <c r="Y628" i="4" s="1"/>
  <c r="P628" i="4"/>
  <c r="U628" i="4"/>
  <c r="Z628" i="4" s="1"/>
  <c r="Q628" i="4"/>
  <c r="V628" i="4" s="1"/>
  <c r="AA628" i="4" s="1"/>
  <c r="M629" i="4"/>
  <c r="R629" i="4" s="1"/>
  <c r="W629" i="4" s="1"/>
  <c r="N629" i="4"/>
  <c r="S629" i="4"/>
  <c r="X629" i="4" s="1"/>
  <c r="O629" i="4"/>
  <c r="T629" i="4"/>
  <c r="Y629" i="4" s="1"/>
  <c r="P629" i="4"/>
  <c r="U629" i="4" s="1"/>
  <c r="Z629" i="4" s="1"/>
  <c r="Q629" i="4"/>
  <c r="V629" i="4" s="1"/>
  <c r="AA629" i="4" s="1"/>
  <c r="M630" i="4"/>
  <c r="R630" i="4"/>
  <c r="W630" i="4" s="1"/>
  <c r="N630" i="4"/>
  <c r="S630" i="4"/>
  <c r="X630" i="4" s="1"/>
  <c r="O630" i="4"/>
  <c r="T630" i="4" s="1"/>
  <c r="Y630" i="4" s="1"/>
  <c r="P630" i="4"/>
  <c r="U630" i="4" s="1"/>
  <c r="Z630" i="4" s="1"/>
  <c r="Q630" i="4"/>
  <c r="V630" i="4"/>
  <c r="AA630" i="4" s="1"/>
  <c r="M631" i="4"/>
  <c r="R631" i="4"/>
  <c r="W631" i="4" s="1"/>
  <c r="N631" i="4"/>
  <c r="S631" i="4" s="1"/>
  <c r="X631" i="4" s="1"/>
  <c r="O631" i="4"/>
  <c r="T631" i="4" s="1"/>
  <c r="Y631" i="4" s="1"/>
  <c r="P631" i="4"/>
  <c r="U631" i="4"/>
  <c r="Z631" i="4" s="1"/>
  <c r="Q631" i="4"/>
  <c r="V631" i="4"/>
  <c r="AA631" i="4" s="1"/>
  <c r="M632" i="4"/>
  <c r="R632" i="4" s="1"/>
  <c r="W632" i="4" s="1"/>
  <c r="N632" i="4"/>
  <c r="S632" i="4" s="1"/>
  <c r="X632" i="4" s="1"/>
  <c r="O632" i="4"/>
  <c r="T632" i="4"/>
  <c r="Y632" i="4" s="1"/>
  <c r="P632" i="4"/>
  <c r="U632" i="4"/>
  <c r="Z632" i="4" s="1"/>
  <c r="Q632" i="4"/>
  <c r="V632" i="4" s="1"/>
  <c r="AA632" i="4" s="1"/>
  <c r="M633" i="4"/>
  <c r="R633" i="4" s="1"/>
  <c r="W633" i="4" s="1"/>
  <c r="N633" i="4"/>
  <c r="S633" i="4"/>
  <c r="X633" i="4" s="1"/>
  <c r="O633" i="4"/>
  <c r="T633" i="4"/>
  <c r="Y633" i="4" s="1"/>
  <c r="P633" i="4"/>
  <c r="U633" i="4" s="1"/>
  <c r="Z633" i="4" s="1"/>
  <c r="Q633" i="4"/>
  <c r="V633" i="4" s="1"/>
  <c r="AA633" i="4" s="1"/>
  <c r="M634" i="4"/>
  <c r="R634" i="4"/>
  <c r="W634" i="4" s="1"/>
  <c r="N634" i="4"/>
  <c r="S634" i="4"/>
  <c r="X634" i="4" s="1"/>
  <c r="O634" i="4"/>
  <c r="T634" i="4" s="1"/>
  <c r="Y634" i="4" s="1"/>
  <c r="P634" i="4"/>
  <c r="U634" i="4" s="1"/>
  <c r="Z634" i="4" s="1"/>
  <c r="Q634" i="4"/>
  <c r="V634" i="4"/>
  <c r="AA634" i="4" s="1"/>
  <c r="M635" i="4"/>
  <c r="R635" i="4"/>
  <c r="W635" i="4" s="1"/>
  <c r="N635" i="4"/>
  <c r="S635" i="4" s="1"/>
  <c r="X635" i="4" s="1"/>
  <c r="O635" i="4"/>
  <c r="T635" i="4" s="1"/>
  <c r="Y635" i="4" s="1"/>
  <c r="P635" i="4"/>
  <c r="U635" i="4"/>
  <c r="Z635" i="4" s="1"/>
  <c r="Q635" i="4"/>
  <c r="V635" i="4"/>
  <c r="AA635" i="4" s="1"/>
  <c r="M636" i="4"/>
  <c r="R636" i="4" s="1"/>
  <c r="W636" i="4" s="1"/>
  <c r="N636" i="4"/>
  <c r="S636" i="4" s="1"/>
  <c r="X636" i="4" s="1"/>
  <c r="O636" i="4"/>
  <c r="T636" i="4"/>
  <c r="Y636" i="4" s="1"/>
  <c r="P636" i="4"/>
  <c r="U636" i="4"/>
  <c r="Z636" i="4" s="1"/>
  <c r="Q636" i="4"/>
  <c r="V636" i="4" s="1"/>
  <c r="AA636" i="4" s="1"/>
  <c r="M637" i="4"/>
  <c r="R637" i="4" s="1"/>
  <c r="W637" i="4" s="1"/>
  <c r="N637" i="4"/>
  <c r="S637" i="4"/>
  <c r="X637" i="4" s="1"/>
  <c r="O637" i="4"/>
  <c r="T637" i="4"/>
  <c r="Y637" i="4" s="1"/>
  <c r="P637" i="4"/>
  <c r="U637" i="4" s="1"/>
  <c r="Z637" i="4" s="1"/>
  <c r="Q637" i="4"/>
  <c r="V637" i="4" s="1"/>
  <c r="AA637" i="4" s="1"/>
  <c r="M638" i="4"/>
  <c r="R638" i="4"/>
  <c r="W638" i="4" s="1"/>
  <c r="N638" i="4"/>
  <c r="S638" i="4"/>
  <c r="X638" i="4" s="1"/>
  <c r="O638" i="4"/>
  <c r="T638" i="4" s="1"/>
  <c r="Y638" i="4" s="1"/>
  <c r="P638" i="4"/>
  <c r="U638" i="4" s="1"/>
  <c r="Z638" i="4" s="1"/>
  <c r="Q638" i="4"/>
  <c r="V638" i="4"/>
  <c r="AA638" i="4" s="1"/>
  <c r="M639" i="4"/>
  <c r="R639" i="4"/>
  <c r="W639" i="4" s="1"/>
  <c r="N639" i="4"/>
  <c r="S639" i="4" s="1"/>
  <c r="X639" i="4" s="1"/>
  <c r="O639" i="4"/>
  <c r="T639" i="4" s="1"/>
  <c r="Y639" i="4" s="1"/>
  <c r="P639" i="4"/>
  <c r="U639" i="4"/>
  <c r="Z639" i="4" s="1"/>
  <c r="Q639" i="4"/>
  <c r="V639" i="4"/>
  <c r="AA639" i="4" s="1"/>
  <c r="M640" i="4"/>
  <c r="R640" i="4" s="1"/>
  <c r="W640" i="4" s="1"/>
  <c r="N640" i="4"/>
  <c r="S640" i="4" s="1"/>
  <c r="X640" i="4" s="1"/>
  <c r="O640" i="4"/>
  <c r="T640" i="4"/>
  <c r="Y640" i="4" s="1"/>
  <c r="P640" i="4"/>
  <c r="U640" i="4"/>
  <c r="Z640" i="4" s="1"/>
  <c r="Q640" i="4"/>
  <c r="V640" i="4" s="1"/>
  <c r="AA640" i="4" s="1"/>
  <c r="M641" i="4"/>
  <c r="R641" i="4" s="1"/>
  <c r="W641" i="4" s="1"/>
  <c r="N641" i="4"/>
  <c r="S641" i="4"/>
  <c r="X641" i="4" s="1"/>
  <c r="O641" i="4"/>
  <c r="T641" i="4"/>
  <c r="Y641" i="4" s="1"/>
  <c r="P641" i="4"/>
  <c r="U641" i="4" s="1"/>
  <c r="Z641" i="4" s="1"/>
  <c r="Q641" i="4"/>
  <c r="V641" i="4" s="1"/>
  <c r="AA641" i="4" s="1"/>
  <c r="M642" i="4"/>
  <c r="R642" i="4"/>
  <c r="W642" i="4" s="1"/>
  <c r="N642" i="4"/>
  <c r="S642" i="4"/>
  <c r="X642" i="4" s="1"/>
  <c r="O642" i="4"/>
  <c r="T642" i="4" s="1"/>
  <c r="Y642" i="4" s="1"/>
  <c r="P642" i="4"/>
  <c r="U642" i="4" s="1"/>
  <c r="Z642" i="4" s="1"/>
  <c r="Q642" i="4"/>
  <c r="V642" i="4"/>
  <c r="AA642" i="4" s="1"/>
  <c r="M643" i="4"/>
  <c r="R643" i="4"/>
  <c r="W643" i="4" s="1"/>
  <c r="N643" i="4"/>
  <c r="S643" i="4" s="1"/>
  <c r="X643" i="4" s="1"/>
  <c r="O643" i="4"/>
  <c r="T643" i="4" s="1"/>
  <c r="Y643" i="4" s="1"/>
  <c r="P643" i="4"/>
  <c r="U643" i="4"/>
  <c r="Z643" i="4" s="1"/>
  <c r="Q643" i="4"/>
  <c r="V643" i="4"/>
  <c r="AA643" i="4" s="1"/>
  <c r="M644" i="4"/>
  <c r="R644" i="4" s="1"/>
  <c r="W644" i="4" s="1"/>
  <c r="N644" i="4"/>
  <c r="S644" i="4" s="1"/>
  <c r="X644" i="4" s="1"/>
  <c r="O644" i="4"/>
  <c r="T644" i="4"/>
  <c r="Y644" i="4" s="1"/>
  <c r="P644" i="4"/>
  <c r="U644" i="4"/>
  <c r="Z644" i="4" s="1"/>
  <c r="Q644" i="4"/>
  <c r="V644" i="4" s="1"/>
  <c r="AA644" i="4" s="1"/>
  <c r="M645" i="4"/>
  <c r="R645" i="4" s="1"/>
  <c r="W645" i="4" s="1"/>
  <c r="N645" i="4"/>
  <c r="S645" i="4"/>
  <c r="X645" i="4" s="1"/>
  <c r="O645" i="4"/>
  <c r="T645" i="4"/>
  <c r="Y645" i="4" s="1"/>
  <c r="P645" i="4"/>
  <c r="U645" i="4" s="1"/>
  <c r="Z645" i="4" s="1"/>
  <c r="Q645" i="4"/>
  <c r="V645" i="4" s="1"/>
  <c r="AA645" i="4" s="1"/>
  <c r="M646" i="4"/>
  <c r="R646" i="4"/>
  <c r="W646" i="4" s="1"/>
  <c r="N646" i="4"/>
  <c r="S646" i="4"/>
  <c r="X646" i="4" s="1"/>
  <c r="O646" i="4"/>
  <c r="T646" i="4" s="1"/>
  <c r="Y646" i="4" s="1"/>
  <c r="P646" i="4"/>
  <c r="U646" i="4" s="1"/>
  <c r="Z646" i="4" s="1"/>
  <c r="Q646" i="4"/>
  <c r="V646" i="4"/>
  <c r="AA646" i="4" s="1"/>
  <c r="M647" i="4"/>
  <c r="R647" i="4"/>
  <c r="W647" i="4" s="1"/>
  <c r="N647" i="4"/>
  <c r="S647" i="4" s="1"/>
  <c r="X647" i="4" s="1"/>
  <c r="O647" i="4"/>
  <c r="T647" i="4" s="1"/>
  <c r="Y647" i="4" s="1"/>
  <c r="P647" i="4"/>
  <c r="U647" i="4"/>
  <c r="Z647" i="4" s="1"/>
  <c r="Q647" i="4"/>
  <c r="V647" i="4"/>
  <c r="AA647" i="4" s="1"/>
  <c r="M648" i="4"/>
  <c r="R648" i="4" s="1"/>
  <c r="W648" i="4" s="1"/>
  <c r="N648" i="4"/>
  <c r="S648" i="4" s="1"/>
  <c r="X648" i="4" s="1"/>
  <c r="O648" i="4"/>
  <c r="T648" i="4"/>
  <c r="Y648" i="4" s="1"/>
  <c r="P648" i="4"/>
  <c r="U648" i="4"/>
  <c r="Z648" i="4" s="1"/>
  <c r="Q648" i="4"/>
  <c r="V648" i="4" s="1"/>
  <c r="AA648" i="4" s="1"/>
  <c r="M649" i="4"/>
  <c r="R649" i="4" s="1"/>
  <c r="W649" i="4" s="1"/>
  <c r="N649" i="4"/>
  <c r="S649" i="4"/>
  <c r="X649" i="4" s="1"/>
  <c r="O649" i="4"/>
  <c r="T649" i="4"/>
  <c r="Y649" i="4" s="1"/>
  <c r="P649" i="4"/>
  <c r="U649" i="4" s="1"/>
  <c r="Z649" i="4" s="1"/>
  <c r="Q649" i="4"/>
  <c r="V649" i="4" s="1"/>
  <c r="AA649" i="4" s="1"/>
  <c r="M650" i="4"/>
  <c r="R650" i="4"/>
  <c r="W650" i="4" s="1"/>
  <c r="N650" i="4"/>
  <c r="S650" i="4"/>
  <c r="X650" i="4" s="1"/>
  <c r="O650" i="4"/>
  <c r="T650" i="4" s="1"/>
  <c r="Y650" i="4" s="1"/>
  <c r="P650" i="4"/>
  <c r="U650" i="4" s="1"/>
  <c r="Z650" i="4" s="1"/>
  <c r="Q650" i="4"/>
  <c r="V650" i="4"/>
  <c r="AA650" i="4" s="1"/>
  <c r="M651" i="4"/>
  <c r="R651" i="4"/>
  <c r="W651" i="4" s="1"/>
  <c r="N651" i="4"/>
  <c r="S651" i="4" s="1"/>
  <c r="X651" i="4" s="1"/>
  <c r="O651" i="4"/>
  <c r="T651" i="4" s="1"/>
  <c r="Y651" i="4" s="1"/>
  <c r="P651" i="4"/>
  <c r="U651" i="4"/>
  <c r="Z651" i="4" s="1"/>
  <c r="Q651" i="4"/>
  <c r="V651" i="4"/>
  <c r="AA651" i="4" s="1"/>
  <c r="M652" i="4"/>
  <c r="R652" i="4" s="1"/>
  <c r="W652" i="4" s="1"/>
  <c r="N652" i="4"/>
  <c r="S652" i="4" s="1"/>
  <c r="X652" i="4" s="1"/>
  <c r="O652" i="4"/>
  <c r="T652" i="4"/>
  <c r="Y652" i="4" s="1"/>
  <c r="P652" i="4"/>
  <c r="U652" i="4"/>
  <c r="Z652" i="4" s="1"/>
  <c r="Q652" i="4"/>
  <c r="V652" i="4" s="1"/>
  <c r="AA652" i="4" s="1"/>
  <c r="M653" i="4"/>
  <c r="R653" i="4" s="1"/>
  <c r="W653" i="4" s="1"/>
  <c r="N653" i="4"/>
  <c r="S653" i="4"/>
  <c r="X653" i="4" s="1"/>
  <c r="O653" i="4"/>
  <c r="T653" i="4"/>
  <c r="Y653" i="4" s="1"/>
  <c r="P653" i="4"/>
  <c r="U653" i="4" s="1"/>
  <c r="Z653" i="4" s="1"/>
  <c r="Q653" i="4"/>
  <c r="V653" i="4" s="1"/>
  <c r="AA653" i="4" s="1"/>
  <c r="M654" i="4"/>
  <c r="R654" i="4"/>
  <c r="W654" i="4" s="1"/>
  <c r="N654" i="4"/>
  <c r="S654" i="4"/>
  <c r="X654" i="4" s="1"/>
  <c r="O654" i="4"/>
  <c r="T654" i="4" s="1"/>
  <c r="Y654" i="4" s="1"/>
  <c r="P654" i="4"/>
  <c r="U654" i="4" s="1"/>
  <c r="Z654" i="4" s="1"/>
  <c r="Q654" i="4"/>
  <c r="V654" i="4"/>
  <c r="AA654" i="4" s="1"/>
  <c r="M655" i="4"/>
  <c r="R655" i="4"/>
  <c r="W655" i="4" s="1"/>
  <c r="N655" i="4"/>
  <c r="S655" i="4" s="1"/>
  <c r="X655" i="4" s="1"/>
  <c r="O655" i="4"/>
  <c r="T655" i="4" s="1"/>
  <c r="Y655" i="4" s="1"/>
  <c r="P655" i="4"/>
  <c r="U655" i="4"/>
  <c r="Z655" i="4" s="1"/>
  <c r="Q655" i="4"/>
  <c r="V655" i="4"/>
  <c r="AA655" i="4" s="1"/>
  <c r="M656" i="4"/>
  <c r="R656" i="4" s="1"/>
  <c r="W656" i="4" s="1"/>
  <c r="N656" i="4"/>
  <c r="S656" i="4" s="1"/>
  <c r="X656" i="4" s="1"/>
  <c r="O656" i="4"/>
  <c r="T656" i="4"/>
  <c r="Y656" i="4" s="1"/>
  <c r="P656" i="4"/>
  <c r="U656" i="4"/>
  <c r="Z656" i="4" s="1"/>
  <c r="Q656" i="4"/>
  <c r="V656" i="4" s="1"/>
  <c r="AA656" i="4" s="1"/>
  <c r="M657" i="4"/>
  <c r="R657" i="4" s="1"/>
  <c r="W657" i="4" s="1"/>
  <c r="N657" i="4"/>
  <c r="S657" i="4"/>
  <c r="X657" i="4" s="1"/>
  <c r="O657" i="4"/>
  <c r="T657" i="4"/>
  <c r="Y657" i="4" s="1"/>
  <c r="P657" i="4"/>
  <c r="U657" i="4" s="1"/>
  <c r="Z657" i="4" s="1"/>
  <c r="Q657" i="4"/>
  <c r="V657" i="4" s="1"/>
  <c r="AA657" i="4" s="1"/>
  <c r="M658" i="4"/>
  <c r="R658" i="4"/>
  <c r="W658" i="4" s="1"/>
  <c r="N658" i="4"/>
  <c r="S658" i="4"/>
  <c r="X658" i="4" s="1"/>
  <c r="O658" i="4"/>
  <c r="T658" i="4" s="1"/>
  <c r="Y658" i="4" s="1"/>
  <c r="P658" i="4"/>
  <c r="U658" i="4" s="1"/>
  <c r="Z658" i="4" s="1"/>
  <c r="Q658" i="4"/>
  <c r="V658" i="4"/>
  <c r="AA658" i="4" s="1"/>
  <c r="M659" i="4"/>
  <c r="R659" i="4"/>
  <c r="W659" i="4" s="1"/>
  <c r="N659" i="4"/>
  <c r="S659" i="4" s="1"/>
  <c r="X659" i="4" s="1"/>
  <c r="O659" i="4"/>
  <c r="T659" i="4" s="1"/>
  <c r="Y659" i="4" s="1"/>
  <c r="P659" i="4"/>
  <c r="U659" i="4"/>
  <c r="Z659" i="4" s="1"/>
  <c r="Q659" i="4"/>
  <c r="V659" i="4"/>
  <c r="AA659" i="4" s="1"/>
  <c r="M660" i="4"/>
  <c r="R660" i="4" s="1"/>
  <c r="W660" i="4" s="1"/>
  <c r="N660" i="4"/>
  <c r="S660" i="4" s="1"/>
  <c r="X660" i="4" s="1"/>
  <c r="O660" i="4"/>
  <c r="T660" i="4"/>
  <c r="Y660" i="4" s="1"/>
  <c r="P660" i="4"/>
  <c r="U660" i="4"/>
  <c r="Z660" i="4" s="1"/>
  <c r="Q660" i="4"/>
  <c r="V660" i="4" s="1"/>
  <c r="AA660" i="4" s="1"/>
  <c r="M661" i="4"/>
  <c r="R661" i="4" s="1"/>
  <c r="W661" i="4" s="1"/>
  <c r="N661" i="4"/>
  <c r="S661" i="4"/>
  <c r="X661" i="4" s="1"/>
  <c r="O661" i="4"/>
  <c r="T661" i="4"/>
  <c r="Y661" i="4" s="1"/>
  <c r="P661" i="4"/>
  <c r="U661" i="4" s="1"/>
  <c r="Z661" i="4" s="1"/>
  <c r="Q661" i="4"/>
  <c r="V661" i="4" s="1"/>
  <c r="AA661" i="4" s="1"/>
  <c r="M662" i="4"/>
  <c r="R662" i="4"/>
  <c r="W662" i="4" s="1"/>
  <c r="N662" i="4"/>
  <c r="S662" i="4"/>
  <c r="X662" i="4" s="1"/>
  <c r="O662" i="4"/>
  <c r="T662" i="4" s="1"/>
  <c r="Y662" i="4" s="1"/>
  <c r="P662" i="4"/>
  <c r="U662" i="4" s="1"/>
  <c r="Z662" i="4" s="1"/>
  <c r="Q662" i="4"/>
  <c r="V662" i="4"/>
  <c r="AA662" i="4" s="1"/>
  <c r="M663" i="4"/>
  <c r="R663" i="4"/>
  <c r="W663" i="4" s="1"/>
  <c r="N663" i="4"/>
  <c r="S663" i="4" s="1"/>
  <c r="X663" i="4" s="1"/>
  <c r="O663" i="4"/>
  <c r="T663" i="4" s="1"/>
  <c r="Y663" i="4" s="1"/>
  <c r="P663" i="4"/>
  <c r="U663" i="4"/>
  <c r="Z663" i="4" s="1"/>
  <c r="Q663" i="4"/>
  <c r="V663" i="4"/>
  <c r="AA663" i="4" s="1"/>
  <c r="M664" i="4"/>
  <c r="R664" i="4" s="1"/>
  <c r="W664" i="4" s="1"/>
  <c r="N664" i="4"/>
  <c r="S664" i="4" s="1"/>
  <c r="X664" i="4" s="1"/>
  <c r="O664" i="4"/>
  <c r="T664" i="4"/>
  <c r="Y664" i="4" s="1"/>
  <c r="P664" i="4"/>
  <c r="U664" i="4"/>
  <c r="Z664" i="4" s="1"/>
  <c r="Q664" i="4"/>
  <c r="V664" i="4" s="1"/>
  <c r="AA664" i="4" s="1"/>
  <c r="M665" i="4"/>
  <c r="R665" i="4" s="1"/>
  <c r="W665" i="4" s="1"/>
  <c r="N665" i="4"/>
  <c r="S665" i="4"/>
  <c r="X665" i="4" s="1"/>
  <c r="O665" i="4"/>
  <c r="T665" i="4"/>
  <c r="Y665" i="4" s="1"/>
  <c r="P665" i="4"/>
  <c r="U665" i="4" s="1"/>
  <c r="Z665" i="4" s="1"/>
  <c r="Q665" i="4"/>
  <c r="V665" i="4" s="1"/>
  <c r="AA665" i="4" s="1"/>
  <c r="M666" i="4"/>
  <c r="R666" i="4"/>
  <c r="W666" i="4" s="1"/>
  <c r="N666" i="4"/>
  <c r="S666" i="4"/>
  <c r="X666" i="4" s="1"/>
  <c r="O666" i="4"/>
  <c r="T666" i="4" s="1"/>
  <c r="Y666" i="4" s="1"/>
  <c r="P666" i="4"/>
  <c r="U666" i="4" s="1"/>
  <c r="Z666" i="4" s="1"/>
  <c r="Q666" i="4"/>
  <c r="V666" i="4"/>
  <c r="AA666" i="4" s="1"/>
  <c r="M667" i="4"/>
  <c r="R667" i="4"/>
  <c r="W667" i="4" s="1"/>
  <c r="N667" i="4"/>
  <c r="S667" i="4" s="1"/>
  <c r="X667" i="4" s="1"/>
  <c r="O667" i="4"/>
  <c r="T667" i="4" s="1"/>
  <c r="Y667" i="4" s="1"/>
  <c r="P667" i="4"/>
  <c r="U667" i="4"/>
  <c r="Z667" i="4" s="1"/>
  <c r="Q667" i="4"/>
  <c r="V667" i="4"/>
  <c r="AA667" i="4" s="1"/>
  <c r="M668" i="4"/>
  <c r="R668" i="4" s="1"/>
  <c r="W668" i="4" s="1"/>
  <c r="N668" i="4"/>
  <c r="S668" i="4" s="1"/>
  <c r="X668" i="4" s="1"/>
  <c r="O668" i="4"/>
  <c r="T668" i="4"/>
  <c r="Y668" i="4" s="1"/>
  <c r="P668" i="4"/>
  <c r="U668" i="4"/>
  <c r="Z668" i="4" s="1"/>
  <c r="Q668" i="4"/>
  <c r="V668" i="4" s="1"/>
  <c r="AA668" i="4" s="1"/>
  <c r="M669" i="4"/>
  <c r="R669" i="4" s="1"/>
  <c r="W669" i="4" s="1"/>
  <c r="N669" i="4"/>
  <c r="S669" i="4"/>
  <c r="X669" i="4" s="1"/>
  <c r="O669" i="4"/>
  <c r="T669" i="4"/>
  <c r="Y669" i="4" s="1"/>
  <c r="P669" i="4"/>
  <c r="U669" i="4" s="1"/>
  <c r="Z669" i="4" s="1"/>
  <c r="Q669" i="4"/>
  <c r="V669" i="4" s="1"/>
  <c r="AA669" i="4" s="1"/>
  <c r="M670" i="4"/>
  <c r="R670" i="4"/>
  <c r="W670" i="4" s="1"/>
  <c r="N670" i="4"/>
  <c r="S670" i="4"/>
  <c r="X670" i="4" s="1"/>
  <c r="O670" i="4"/>
  <c r="T670" i="4" s="1"/>
  <c r="Y670" i="4" s="1"/>
  <c r="P670" i="4"/>
  <c r="U670" i="4" s="1"/>
  <c r="Z670" i="4" s="1"/>
  <c r="Q670" i="4"/>
  <c r="V670" i="4"/>
  <c r="AA670" i="4" s="1"/>
  <c r="M671" i="4"/>
  <c r="R671" i="4"/>
  <c r="W671" i="4" s="1"/>
  <c r="N671" i="4"/>
  <c r="S671" i="4" s="1"/>
  <c r="X671" i="4" s="1"/>
  <c r="O671" i="4"/>
  <c r="T671" i="4" s="1"/>
  <c r="Y671" i="4" s="1"/>
  <c r="P671" i="4"/>
  <c r="U671" i="4"/>
  <c r="Z671" i="4" s="1"/>
  <c r="Q671" i="4"/>
  <c r="V671" i="4"/>
  <c r="AA671" i="4" s="1"/>
  <c r="M672" i="4"/>
  <c r="R672" i="4" s="1"/>
  <c r="W672" i="4" s="1"/>
  <c r="N672" i="4"/>
  <c r="S672" i="4" s="1"/>
  <c r="X672" i="4" s="1"/>
  <c r="O672" i="4"/>
  <c r="T672" i="4"/>
  <c r="Y672" i="4" s="1"/>
  <c r="P672" i="4"/>
  <c r="U672" i="4"/>
  <c r="Z672" i="4" s="1"/>
  <c r="Q672" i="4"/>
  <c r="V672" i="4" s="1"/>
  <c r="AA672" i="4" s="1"/>
  <c r="M673" i="4"/>
  <c r="R673" i="4" s="1"/>
  <c r="W673" i="4" s="1"/>
  <c r="N673" i="4"/>
  <c r="S673" i="4"/>
  <c r="X673" i="4" s="1"/>
  <c r="O673" i="4"/>
  <c r="T673" i="4"/>
  <c r="Y673" i="4" s="1"/>
  <c r="P673" i="4"/>
  <c r="U673" i="4" s="1"/>
  <c r="Z673" i="4" s="1"/>
  <c r="Q673" i="4"/>
  <c r="V673" i="4" s="1"/>
  <c r="AA673" i="4" s="1"/>
  <c r="M674" i="4"/>
  <c r="R674" i="4"/>
  <c r="W674" i="4" s="1"/>
  <c r="N674" i="4"/>
  <c r="S674" i="4"/>
  <c r="X674" i="4" s="1"/>
  <c r="O674" i="4"/>
  <c r="T674" i="4" s="1"/>
  <c r="Y674" i="4" s="1"/>
  <c r="P674" i="4"/>
  <c r="U674" i="4" s="1"/>
  <c r="Z674" i="4" s="1"/>
  <c r="Q674" i="4"/>
  <c r="V674" i="4"/>
  <c r="AA674" i="4" s="1"/>
  <c r="M675" i="4"/>
  <c r="R675" i="4"/>
  <c r="W675" i="4" s="1"/>
  <c r="N675" i="4"/>
  <c r="S675" i="4" s="1"/>
  <c r="X675" i="4" s="1"/>
  <c r="O675" i="4"/>
  <c r="T675" i="4" s="1"/>
  <c r="Y675" i="4" s="1"/>
  <c r="P675" i="4"/>
  <c r="U675" i="4"/>
  <c r="Z675" i="4" s="1"/>
  <c r="Q675" i="4"/>
  <c r="V675" i="4"/>
  <c r="AA675" i="4" s="1"/>
  <c r="M676" i="4"/>
  <c r="R676" i="4" s="1"/>
  <c r="W676" i="4" s="1"/>
  <c r="N676" i="4"/>
  <c r="S676" i="4" s="1"/>
  <c r="X676" i="4" s="1"/>
  <c r="O676" i="4"/>
  <c r="T676" i="4"/>
  <c r="Y676" i="4" s="1"/>
  <c r="P676" i="4"/>
  <c r="U676" i="4"/>
  <c r="Z676" i="4" s="1"/>
  <c r="Q676" i="4"/>
  <c r="V676" i="4" s="1"/>
  <c r="AA676" i="4" s="1"/>
  <c r="M677" i="4"/>
  <c r="R677" i="4" s="1"/>
  <c r="W677" i="4" s="1"/>
  <c r="N677" i="4"/>
  <c r="S677" i="4"/>
  <c r="X677" i="4" s="1"/>
  <c r="O677" i="4"/>
  <c r="T677" i="4"/>
  <c r="Y677" i="4" s="1"/>
  <c r="P677" i="4"/>
  <c r="U677" i="4" s="1"/>
  <c r="Z677" i="4" s="1"/>
  <c r="Q677" i="4"/>
  <c r="V677" i="4" s="1"/>
  <c r="AA677" i="4" s="1"/>
  <c r="M678" i="4"/>
  <c r="R678" i="4"/>
  <c r="W678" i="4" s="1"/>
  <c r="N678" i="4"/>
  <c r="S678" i="4"/>
  <c r="X678" i="4" s="1"/>
  <c r="O678" i="4"/>
  <c r="T678" i="4" s="1"/>
  <c r="Y678" i="4" s="1"/>
  <c r="P678" i="4"/>
  <c r="U678" i="4" s="1"/>
  <c r="Z678" i="4" s="1"/>
  <c r="Q678" i="4"/>
  <c r="V678" i="4"/>
  <c r="AA678" i="4" s="1"/>
  <c r="M679" i="4"/>
  <c r="R679" i="4"/>
  <c r="W679" i="4" s="1"/>
  <c r="N679" i="4"/>
  <c r="S679" i="4" s="1"/>
  <c r="X679" i="4" s="1"/>
  <c r="O679" i="4"/>
  <c r="T679" i="4" s="1"/>
  <c r="Y679" i="4" s="1"/>
  <c r="P679" i="4"/>
  <c r="U679" i="4"/>
  <c r="Z679" i="4" s="1"/>
  <c r="Q679" i="4"/>
  <c r="V679" i="4"/>
  <c r="AA679" i="4" s="1"/>
  <c r="M680" i="4"/>
  <c r="R680" i="4" s="1"/>
  <c r="W680" i="4" s="1"/>
  <c r="N680" i="4"/>
  <c r="S680" i="4" s="1"/>
  <c r="X680" i="4" s="1"/>
  <c r="O680" i="4"/>
  <c r="T680" i="4"/>
  <c r="Y680" i="4" s="1"/>
  <c r="P680" i="4"/>
  <c r="U680" i="4"/>
  <c r="Z680" i="4" s="1"/>
  <c r="Q680" i="4"/>
  <c r="V680" i="4" s="1"/>
  <c r="AA680" i="4" s="1"/>
  <c r="M681" i="4"/>
  <c r="R681" i="4" s="1"/>
  <c r="W681" i="4" s="1"/>
  <c r="N681" i="4"/>
  <c r="S681" i="4"/>
  <c r="X681" i="4" s="1"/>
  <c r="O681" i="4"/>
  <c r="T681" i="4"/>
  <c r="Y681" i="4" s="1"/>
  <c r="P681" i="4"/>
  <c r="U681" i="4" s="1"/>
  <c r="Z681" i="4" s="1"/>
  <c r="Q681" i="4"/>
  <c r="V681" i="4" s="1"/>
  <c r="AA681" i="4" s="1"/>
  <c r="M682" i="4"/>
  <c r="R682" i="4"/>
  <c r="W682" i="4" s="1"/>
  <c r="N682" i="4"/>
  <c r="S682" i="4"/>
  <c r="X682" i="4" s="1"/>
  <c r="O682" i="4"/>
  <c r="T682" i="4" s="1"/>
  <c r="Y682" i="4" s="1"/>
  <c r="P682" i="4"/>
  <c r="U682" i="4" s="1"/>
  <c r="Z682" i="4" s="1"/>
  <c r="Q682" i="4"/>
  <c r="V682" i="4"/>
  <c r="AA682" i="4" s="1"/>
  <c r="M683" i="4"/>
  <c r="R683" i="4"/>
  <c r="W683" i="4" s="1"/>
  <c r="N683" i="4"/>
  <c r="S683" i="4" s="1"/>
  <c r="X683" i="4" s="1"/>
  <c r="O683" i="4"/>
  <c r="T683" i="4" s="1"/>
  <c r="Y683" i="4" s="1"/>
  <c r="P683" i="4"/>
  <c r="U683" i="4"/>
  <c r="Z683" i="4" s="1"/>
  <c r="Q683" i="4"/>
  <c r="V683" i="4"/>
  <c r="AA683" i="4" s="1"/>
  <c r="M684" i="4"/>
  <c r="R684" i="4" s="1"/>
  <c r="W684" i="4" s="1"/>
  <c r="N684" i="4"/>
  <c r="S684" i="4" s="1"/>
  <c r="X684" i="4" s="1"/>
  <c r="O684" i="4"/>
  <c r="T684" i="4"/>
  <c r="Y684" i="4" s="1"/>
  <c r="P684" i="4"/>
  <c r="U684" i="4"/>
  <c r="Z684" i="4" s="1"/>
  <c r="Q684" i="4"/>
  <c r="V684" i="4" s="1"/>
  <c r="AA684" i="4" s="1"/>
  <c r="M685" i="4"/>
  <c r="R685" i="4" s="1"/>
  <c r="W685" i="4" s="1"/>
  <c r="N685" i="4"/>
  <c r="S685" i="4"/>
  <c r="X685" i="4" s="1"/>
  <c r="O685" i="4"/>
  <c r="T685" i="4"/>
  <c r="Y685" i="4" s="1"/>
  <c r="P685" i="4"/>
  <c r="U685" i="4" s="1"/>
  <c r="Z685" i="4" s="1"/>
  <c r="Q685" i="4"/>
  <c r="V685" i="4" s="1"/>
  <c r="AA685" i="4" s="1"/>
  <c r="M686" i="4"/>
  <c r="R686" i="4"/>
  <c r="W686" i="4" s="1"/>
  <c r="N686" i="4"/>
  <c r="S686" i="4"/>
  <c r="X686" i="4" s="1"/>
  <c r="O686" i="4"/>
  <c r="T686" i="4" s="1"/>
  <c r="Y686" i="4" s="1"/>
  <c r="P686" i="4"/>
  <c r="U686" i="4" s="1"/>
  <c r="Z686" i="4" s="1"/>
  <c r="Q686" i="4"/>
  <c r="V686" i="4"/>
  <c r="AA686" i="4" s="1"/>
  <c r="M687" i="4"/>
  <c r="R687" i="4"/>
  <c r="W687" i="4" s="1"/>
  <c r="N687" i="4"/>
  <c r="S687" i="4" s="1"/>
  <c r="X687" i="4" s="1"/>
  <c r="O687" i="4"/>
  <c r="T687" i="4" s="1"/>
  <c r="Y687" i="4" s="1"/>
  <c r="P687" i="4"/>
  <c r="U687" i="4"/>
  <c r="Z687" i="4" s="1"/>
  <c r="Q687" i="4"/>
  <c r="V687" i="4"/>
  <c r="AA687" i="4" s="1"/>
  <c r="M688" i="4"/>
  <c r="R688" i="4" s="1"/>
  <c r="W688" i="4" s="1"/>
  <c r="N688" i="4"/>
  <c r="S688" i="4" s="1"/>
  <c r="X688" i="4" s="1"/>
  <c r="O688" i="4"/>
  <c r="T688" i="4"/>
  <c r="Y688" i="4" s="1"/>
  <c r="P688" i="4"/>
  <c r="U688" i="4"/>
  <c r="Z688" i="4" s="1"/>
  <c r="Q688" i="4"/>
  <c r="V688" i="4" s="1"/>
  <c r="AA688" i="4" s="1"/>
  <c r="M689" i="4"/>
  <c r="R689" i="4" s="1"/>
  <c r="W689" i="4" s="1"/>
  <c r="N689" i="4"/>
  <c r="S689" i="4"/>
  <c r="X689" i="4" s="1"/>
  <c r="O689" i="4"/>
  <c r="T689" i="4"/>
  <c r="Y689" i="4" s="1"/>
  <c r="P689" i="4"/>
  <c r="U689" i="4" s="1"/>
  <c r="Z689" i="4" s="1"/>
  <c r="Q689" i="4"/>
  <c r="V689" i="4" s="1"/>
  <c r="AA689" i="4" s="1"/>
  <c r="M690" i="4"/>
  <c r="R690" i="4"/>
  <c r="W690" i="4" s="1"/>
  <c r="N690" i="4"/>
  <c r="S690" i="4"/>
  <c r="X690" i="4" s="1"/>
  <c r="O690" i="4"/>
  <c r="T690" i="4" s="1"/>
  <c r="Y690" i="4" s="1"/>
  <c r="P690" i="4"/>
  <c r="U690" i="4" s="1"/>
  <c r="Z690" i="4" s="1"/>
  <c r="Q690" i="4"/>
  <c r="V690" i="4"/>
  <c r="AA690" i="4" s="1"/>
  <c r="M691" i="4"/>
  <c r="R691" i="4"/>
  <c r="W691" i="4" s="1"/>
  <c r="N691" i="4"/>
  <c r="S691" i="4" s="1"/>
  <c r="X691" i="4" s="1"/>
  <c r="O691" i="4"/>
  <c r="T691" i="4" s="1"/>
  <c r="Y691" i="4" s="1"/>
  <c r="P691" i="4"/>
  <c r="U691" i="4"/>
  <c r="Z691" i="4" s="1"/>
  <c r="Q691" i="4"/>
  <c r="V691" i="4"/>
  <c r="AA691" i="4" s="1"/>
  <c r="M692" i="4"/>
  <c r="R692" i="4" s="1"/>
  <c r="W692" i="4" s="1"/>
  <c r="N692" i="4"/>
  <c r="S692" i="4" s="1"/>
  <c r="X692" i="4" s="1"/>
  <c r="O692" i="4"/>
  <c r="T692" i="4"/>
  <c r="Y692" i="4" s="1"/>
  <c r="P692" i="4"/>
  <c r="U692" i="4"/>
  <c r="Z692" i="4" s="1"/>
  <c r="Q692" i="4"/>
  <c r="V692" i="4" s="1"/>
  <c r="AA692" i="4" s="1"/>
  <c r="M693" i="4"/>
  <c r="R693" i="4" s="1"/>
  <c r="W693" i="4" s="1"/>
  <c r="N693" i="4"/>
  <c r="S693" i="4"/>
  <c r="X693" i="4" s="1"/>
  <c r="O693" i="4"/>
  <c r="T693" i="4"/>
  <c r="Y693" i="4" s="1"/>
  <c r="P693" i="4"/>
  <c r="U693" i="4" s="1"/>
  <c r="Z693" i="4" s="1"/>
  <c r="Q693" i="4"/>
  <c r="V693" i="4" s="1"/>
  <c r="AA693" i="4" s="1"/>
  <c r="M694" i="4"/>
  <c r="R694" i="4"/>
  <c r="W694" i="4" s="1"/>
  <c r="N694" i="4"/>
  <c r="S694" i="4"/>
  <c r="X694" i="4" s="1"/>
  <c r="O694" i="4"/>
  <c r="T694" i="4" s="1"/>
  <c r="Y694" i="4" s="1"/>
  <c r="P694" i="4"/>
  <c r="U694" i="4" s="1"/>
  <c r="Z694" i="4" s="1"/>
  <c r="Q694" i="4"/>
  <c r="V694" i="4"/>
  <c r="AA694" i="4" s="1"/>
  <c r="M695" i="4"/>
  <c r="R695" i="4"/>
  <c r="W695" i="4" s="1"/>
  <c r="N695" i="4"/>
  <c r="S695" i="4" s="1"/>
  <c r="X695" i="4" s="1"/>
  <c r="O695" i="4"/>
  <c r="T695" i="4" s="1"/>
  <c r="Y695" i="4" s="1"/>
  <c r="P695" i="4"/>
  <c r="U695" i="4"/>
  <c r="Z695" i="4" s="1"/>
  <c r="Q695" i="4"/>
  <c r="V695" i="4"/>
  <c r="AA695" i="4" s="1"/>
  <c r="M696" i="4"/>
  <c r="R696" i="4" s="1"/>
  <c r="W696" i="4" s="1"/>
  <c r="N696" i="4"/>
  <c r="S696" i="4" s="1"/>
  <c r="X696" i="4" s="1"/>
  <c r="O696" i="4"/>
  <c r="T696" i="4"/>
  <c r="Y696" i="4" s="1"/>
  <c r="P696" i="4"/>
  <c r="U696" i="4"/>
  <c r="Z696" i="4" s="1"/>
  <c r="Q696" i="4"/>
  <c r="V696" i="4" s="1"/>
  <c r="AA696" i="4" s="1"/>
  <c r="M697" i="4"/>
  <c r="R697" i="4" s="1"/>
  <c r="W697" i="4" s="1"/>
  <c r="N697" i="4"/>
  <c r="S697" i="4"/>
  <c r="X697" i="4" s="1"/>
  <c r="O697" i="4"/>
  <c r="T697" i="4"/>
  <c r="Y697" i="4" s="1"/>
  <c r="P697" i="4"/>
  <c r="U697" i="4" s="1"/>
  <c r="Z697" i="4" s="1"/>
  <c r="Q697" i="4"/>
  <c r="V697" i="4" s="1"/>
  <c r="AA697" i="4" s="1"/>
  <c r="M698" i="4"/>
  <c r="R698" i="4"/>
  <c r="W698" i="4" s="1"/>
  <c r="N698" i="4"/>
  <c r="S698" i="4"/>
  <c r="X698" i="4" s="1"/>
  <c r="O698" i="4"/>
  <c r="T698" i="4" s="1"/>
  <c r="Y698" i="4" s="1"/>
  <c r="P698" i="4"/>
  <c r="U698" i="4" s="1"/>
  <c r="Z698" i="4" s="1"/>
  <c r="Q698" i="4"/>
  <c r="V698" i="4"/>
  <c r="AA698" i="4" s="1"/>
  <c r="M699" i="4"/>
  <c r="R699" i="4"/>
  <c r="W699" i="4" s="1"/>
  <c r="N699" i="4"/>
  <c r="S699" i="4" s="1"/>
  <c r="X699" i="4" s="1"/>
  <c r="O699" i="4"/>
  <c r="T699" i="4" s="1"/>
  <c r="Y699" i="4" s="1"/>
  <c r="P699" i="4"/>
  <c r="U699" i="4"/>
  <c r="Z699" i="4" s="1"/>
  <c r="Q699" i="4"/>
  <c r="V699" i="4"/>
  <c r="AA699" i="4" s="1"/>
  <c r="M700" i="4"/>
  <c r="R700" i="4" s="1"/>
  <c r="W700" i="4" s="1"/>
  <c r="N700" i="4"/>
  <c r="S700" i="4" s="1"/>
  <c r="X700" i="4" s="1"/>
  <c r="O700" i="4"/>
  <c r="T700" i="4"/>
  <c r="Y700" i="4" s="1"/>
  <c r="P700" i="4"/>
  <c r="U700" i="4"/>
  <c r="Z700" i="4" s="1"/>
  <c r="Q700" i="4"/>
  <c r="V700" i="4" s="1"/>
  <c r="AA700" i="4" s="1"/>
  <c r="M701" i="4"/>
  <c r="R701" i="4" s="1"/>
  <c r="W701" i="4" s="1"/>
  <c r="N701" i="4"/>
  <c r="S701" i="4"/>
  <c r="X701" i="4" s="1"/>
  <c r="O701" i="4"/>
  <c r="T701" i="4"/>
  <c r="Y701" i="4" s="1"/>
  <c r="P701" i="4"/>
  <c r="U701" i="4" s="1"/>
  <c r="Z701" i="4" s="1"/>
  <c r="Q701" i="4"/>
  <c r="V701" i="4" s="1"/>
  <c r="AA701" i="4" s="1"/>
  <c r="M702" i="4"/>
  <c r="R702" i="4"/>
  <c r="W702" i="4" s="1"/>
  <c r="N702" i="4"/>
  <c r="S702" i="4"/>
  <c r="X702" i="4" s="1"/>
  <c r="O702" i="4"/>
  <c r="T702" i="4" s="1"/>
  <c r="Y702" i="4" s="1"/>
  <c r="P702" i="4"/>
  <c r="U702" i="4" s="1"/>
  <c r="Z702" i="4" s="1"/>
  <c r="Q702" i="4"/>
  <c r="V702" i="4"/>
  <c r="AA702" i="4" s="1"/>
  <c r="M703" i="4"/>
  <c r="R703" i="4"/>
  <c r="W703" i="4" s="1"/>
  <c r="N703" i="4"/>
  <c r="S703" i="4" s="1"/>
  <c r="X703" i="4" s="1"/>
  <c r="O703" i="4"/>
  <c r="T703" i="4" s="1"/>
  <c r="Y703" i="4" s="1"/>
  <c r="P703" i="4"/>
  <c r="U703" i="4"/>
  <c r="Z703" i="4" s="1"/>
  <c r="Q703" i="4"/>
  <c r="V703" i="4"/>
  <c r="AA703" i="4" s="1"/>
  <c r="M704" i="4"/>
  <c r="R704" i="4" s="1"/>
  <c r="W704" i="4" s="1"/>
  <c r="N704" i="4"/>
  <c r="S704" i="4" s="1"/>
  <c r="X704" i="4" s="1"/>
  <c r="O704" i="4"/>
  <c r="T704" i="4"/>
  <c r="Y704" i="4" s="1"/>
  <c r="P704" i="4"/>
  <c r="U704" i="4"/>
  <c r="Z704" i="4" s="1"/>
  <c r="Q704" i="4"/>
  <c r="V704" i="4" s="1"/>
  <c r="AA704" i="4" s="1"/>
  <c r="M705" i="4"/>
  <c r="R705" i="4" s="1"/>
  <c r="W705" i="4" s="1"/>
  <c r="N705" i="4"/>
  <c r="S705" i="4"/>
  <c r="X705" i="4" s="1"/>
  <c r="O705" i="4"/>
  <c r="T705" i="4"/>
  <c r="Y705" i="4" s="1"/>
  <c r="P705" i="4"/>
  <c r="U705" i="4" s="1"/>
  <c r="Z705" i="4" s="1"/>
  <c r="Q705" i="4"/>
  <c r="V705" i="4" s="1"/>
  <c r="AA705" i="4" s="1"/>
  <c r="M706" i="4"/>
  <c r="R706" i="4"/>
  <c r="W706" i="4" s="1"/>
  <c r="N706" i="4"/>
  <c r="S706" i="4"/>
  <c r="X706" i="4" s="1"/>
  <c r="O706" i="4"/>
  <c r="T706" i="4" s="1"/>
  <c r="Y706" i="4" s="1"/>
  <c r="P706" i="4"/>
  <c r="U706" i="4" s="1"/>
  <c r="Z706" i="4" s="1"/>
  <c r="Q706" i="4"/>
  <c r="V706" i="4"/>
  <c r="AA706" i="4" s="1"/>
  <c r="M707" i="4"/>
  <c r="R707" i="4"/>
  <c r="W707" i="4" s="1"/>
  <c r="N707" i="4"/>
  <c r="S707" i="4" s="1"/>
  <c r="X707" i="4" s="1"/>
  <c r="O707" i="4"/>
  <c r="T707" i="4" s="1"/>
  <c r="Y707" i="4" s="1"/>
  <c r="P707" i="4"/>
  <c r="U707" i="4"/>
  <c r="Z707" i="4" s="1"/>
  <c r="Q707" i="4"/>
  <c r="V707" i="4"/>
  <c r="AA707" i="4" s="1"/>
  <c r="M708" i="4"/>
  <c r="R708" i="4" s="1"/>
  <c r="W708" i="4" s="1"/>
  <c r="N708" i="4"/>
  <c r="S708" i="4" s="1"/>
  <c r="X708" i="4" s="1"/>
  <c r="O708" i="4"/>
  <c r="T708" i="4"/>
  <c r="Y708" i="4" s="1"/>
  <c r="P708" i="4"/>
  <c r="U708" i="4"/>
  <c r="Z708" i="4" s="1"/>
  <c r="Q708" i="4"/>
  <c r="V708" i="4" s="1"/>
  <c r="AA708" i="4" s="1"/>
  <c r="M709" i="4"/>
  <c r="R709" i="4" s="1"/>
  <c r="W709" i="4" s="1"/>
  <c r="N709" i="4"/>
  <c r="S709" i="4"/>
  <c r="X709" i="4" s="1"/>
  <c r="O709" i="4"/>
  <c r="T709" i="4"/>
  <c r="Y709" i="4" s="1"/>
  <c r="P709" i="4"/>
  <c r="U709" i="4" s="1"/>
  <c r="Z709" i="4" s="1"/>
  <c r="Q709" i="4"/>
  <c r="V709" i="4" s="1"/>
  <c r="AA709" i="4" s="1"/>
  <c r="M710" i="4"/>
  <c r="R710" i="4"/>
  <c r="W710" i="4" s="1"/>
  <c r="N710" i="4"/>
  <c r="S710" i="4"/>
  <c r="X710" i="4" s="1"/>
  <c r="O710" i="4"/>
  <c r="T710" i="4" s="1"/>
  <c r="Y710" i="4" s="1"/>
  <c r="P710" i="4"/>
  <c r="U710" i="4" s="1"/>
  <c r="Z710" i="4" s="1"/>
  <c r="Q710" i="4"/>
  <c r="V710" i="4"/>
  <c r="AA710" i="4" s="1"/>
  <c r="M711" i="4"/>
  <c r="R711" i="4"/>
  <c r="W711" i="4" s="1"/>
  <c r="N711" i="4"/>
  <c r="S711" i="4" s="1"/>
  <c r="X711" i="4" s="1"/>
  <c r="O711" i="4"/>
  <c r="T711" i="4" s="1"/>
  <c r="Y711" i="4" s="1"/>
  <c r="P711" i="4"/>
  <c r="U711" i="4"/>
  <c r="Z711" i="4" s="1"/>
  <c r="Q711" i="4"/>
  <c r="V711" i="4"/>
  <c r="AA711" i="4" s="1"/>
  <c r="M712" i="4"/>
  <c r="R712" i="4" s="1"/>
  <c r="W712" i="4" s="1"/>
  <c r="N712" i="4"/>
  <c r="S712" i="4" s="1"/>
  <c r="X712" i="4" s="1"/>
  <c r="O712" i="4"/>
  <c r="T712" i="4"/>
  <c r="Y712" i="4" s="1"/>
  <c r="P712" i="4"/>
  <c r="U712" i="4"/>
  <c r="Z712" i="4" s="1"/>
  <c r="Q712" i="4"/>
  <c r="V712" i="4" s="1"/>
  <c r="AA712" i="4" s="1"/>
  <c r="M713" i="4"/>
  <c r="R713" i="4" s="1"/>
  <c r="W713" i="4" s="1"/>
  <c r="N713" i="4"/>
  <c r="S713" i="4"/>
  <c r="X713" i="4" s="1"/>
  <c r="O713" i="4"/>
  <c r="T713" i="4"/>
  <c r="Y713" i="4" s="1"/>
  <c r="P713" i="4"/>
  <c r="U713" i="4" s="1"/>
  <c r="Z713" i="4" s="1"/>
  <c r="Q713" i="4"/>
  <c r="V713" i="4" s="1"/>
  <c r="AA713" i="4" s="1"/>
  <c r="M714" i="4"/>
  <c r="R714" i="4"/>
  <c r="W714" i="4" s="1"/>
  <c r="N714" i="4"/>
  <c r="S714" i="4"/>
  <c r="X714" i="4" s="1"/>
  <c r="O714" i="4"/>
  <c r="T714" i="4" s="1"/>
  <c r="Y714" i="4" s="1"/>
  <c r="P714" i="4"/>
  <c r="U714" i="4" s="1"/>
  <c r="Z714" i="4" s="1"/>
  <c r="Q714" i="4"/>
  <c r="V714" i="4"/>
  <c r="AA714" i="4" s="1"/>
  <c r="M715" i="4"/>
  <c r="R715" i="4"/>
  <c r="W715" i="4" s="1"/>
  <c r="N715" i="4"/>
  <c r="S715" i="4" s="1"/>
  <c r="X715" i="4" s="1"/>
  <c r="O715" i="4"/>
  <c r="T715" i="4" s="1"/>
  <c r="Y715" i="4" s="1"/>
  <c r="P715" i="4"/>
  <c r="U715" i="4"/>
  <c r="Z715" i="4" s="1"/>
  <c r="Q715" i="4"/>
  <c r="V715" i="4"/>
  <c r="AA715" i="4" s="1"/>
  <c r="M716" i="4"/>
  <c r="R716" i="4" s="1"/>
  <c r="W716" i="4" s="1"/>
  <c r="N716" i="4"/>
  <c r="S716" i="4" s="1"/>
  <c r="X716" i="4" s="1"/>
  <c r="O716" i="4"/>
  <c r="T716" i="4"/>
  <c r="Y716" i="4" s="1"/>
  <c r="P716" i="4"/>
  <c r="U716" i="4"/>
  <c r="Z716" i="4" s="1"/>
  <c r="Q716" i="4"/>
  <c r="V716" i="4" s="1"/>
  <c r="AA716" i="4" s="1"/>
  <c r="M717" i="4"/>
  <c r="R717" i="4" s="1"/>
  <c r="W717" i="4" s="1"/>
  <c r="N717" i="4"/>
  <c r="S717" i="4"/>
  <c r="X717" i="4" s="1"/>
  <c r="O717" i="4"/>
  <c r="T717" i="4"/>
  <c r="Y717" i="4" s="1"/>
  <c r="P717" i="4"/>
  <c r="U717" i="4" s="1"/>
  <c r="Z717" i="4" s="1"/>
  <c r="Q717" i="4"/>
  <c r="V717" i="4" s="1"/>
  <c r="AA717" i="4" s="1"/>
  <c r="M718" i="4"/>
  <c r="R718" i="4"/>
  <c r="W718" i="4" s="1"/>
  <c r="N718" i="4"/>
  <c r="S718" i="4"/>
  <c r="X718" i="4" s="1"/>
  <c r="O718" i="4"/>
  <c r="T718" i="4" s="1"/>
  <c r="Y718" i="4" s="1"/>
  <c r="P718" i="4"/>
  <c r="U718" i="4" s="1"/>
  <c r="Z718" i="4" s="1"/>
  <c r="Q718" i="4"/>
  <c r="V718" i="4"/>
  <c r="AA718" i="4" s="1"/>
  <c r="M719" i="4"/>
  <c r="R719" i="4"/>
  <c r="W719" i="4" s="1"/>
  <c r="N719" i="4"/>
  <c r="S719" i="4" s="1"/>
  <c r="X719" i="4" s="1"/>
  <c r="O719" i="4"/>
  <c r="T719" i="4" s="1"/>
  <c r="Y719" i="4" s="1"/>
  <c r="P719" i="4"/>
  <c r="U719" i="4"/>
  <c r="Z719" i="4" s="1"/>
  <c r="Q719" i="4"/>
  <c r="V719" i="4"/>
  <c r="AA719" i="4" s="1"/>
  <c r="M720" i="4"/>
  <c r="R720" i="4" s="1"/>
  <c r="W720" i="4" s="1"/>
  <c r="N720" i="4"/>
  <c r="S720" i="4" s="1"/>
  <c r="X720" i="4" s="1"/>
  <c r="O720" i="4"/>
  <c r="T720" i="4"/>
  <c r="Y720" i="4" s="1"/>
  <c r="P720" i="4"/>
  <c r="U720" i="4"/>
  <c r="Z720" i="4" s="1"/>
  <c r="Q720" i="4"/>
  <c r="V720" i="4" s="1"/>
  <c r="AA720" i="4" s="1"/>
  <c r="M721" i="4"/>
  <c r="R721" i="4" s="1"/>
  <c r="W721" i="4" s="1"/>
  <c r="N721" i="4"/>
  <c r="S721" i="4"/>
  <c r="X721" i="4" s="1"/>
  <c r="O721" i="4"/>
  <c r="T721" i="4"/>
  <c r="Y721" i="4" s="1"/>
  <c r="P721" i="4"/>
  <c r="U721" i="4" s="1"/>
  <c r="Z721" i="4" s="1"/>
  <c r="Q721" i="4"/>
  <c r="V721" i="4" s="1"/>
  <c r="AA721" i="4" s="1"/>
  <c r="M722" i="4"/>
  <c r="R722" i="4"/>
  <c r="W722" i="4" s="1"/>
  <c r="N722" i="4"/>
  <c r="S722" i="4"/>
  <c r="X722" i="4" s="1"/>
  <c r="O722" i="4"/>
  <c r="T722" i="4" s="1"/>
  <c r="Y722" i="4" s="1"/>
  <c r="P722" i="4"/>
  <c r="U722" i="4" s="1"/>
  <c r="Z722" i="4" s="1"/>
  <c r="Q722" i="4"/>
  <c r="V722" i="4"/>
  <c r="AA722" i="4" s="1"/>
  <c r="M723" i="4"/>
  <c r="R723" i="4"/>
  <c r="W723" i="4" s="1"/>
  <c r="N723" i="4"/>
  <c r="S723" i="4" s="1"/>
  <c r="X723" i="4" s="1"/>
  <c r="O723" i="4"/>
  <c r="T723" i="4" s="1"/>
  <c r="Y723" i="4" s="1"/>
  <c r="P723" i="4"/>
  <c r="U723" i="4"/>
  <c r="Z723" i="4" s="1"/>
  <c r="Q723" i="4"/>
  <c r="V723" i="4"/>
  <c r="AA723" i="4" s="1"/>
  <c r="M724" i="4"/>
  <c r="R724" i="4" s="1"/>
  <c r="W724" i="4" s="1"/>
  <c r="N724" i="4"/>
  <c r="S724" i="4" s="1"/>
  <c r="X724" i="4" s="1"/>
  <c r="O724" i="4"/>
  <c r="T724" i="4"/>
  <c r="Y724" i="4" s="1"/>
  <c r="P724" i="4"/>
  <c r="U724" i="4"/>
  <c r="Z724" i="4" s="1"/>
  <c r="Q724" i="4"/>
  <c r="V724" i="4" s="1"/>
  <c r="AA724" i="4" s="1"/>
  <c r="M725" i="4"/>
  <c r="R725" i="4" s="1"/>
  <c r="W725" i="4" s="1"/>
  <c r="N725" i="4"/>
  <c r="S725" i="4"/>
  <c r="X725" i="4" s="1"/>
  <c r="O725" i="4"/>
  <c r="T725" i="4"/>
  <c r="Y725" i="4" s="1"/>
  <c r="P725" i="4"/>
  <c r="U725" i="4" s="1"/>
  <c r="Z725" i="4" s="1"/>
  <c r="Q725" i="4"/>
  <c r="V725" i="4" s="1"/>
  <c r="AA725" i="4" s="1"/>
  <c r="M726" i="4"/>
  <c r="R726" i="4"/>
  <c r="W726" i="4" s="1"/>
  <c r="N726" i="4"/>
  <c r="S726" i="4"/>
  <c r="X726" i="4" s="1"/>
  <c r="O726" i="4"/>
  <c r="T726" i="4" s="1"/>
  <c r="Y726" i="4" s="1"/>
  <c r="P726" i="4"/>
  <c r="U726" i="4" s="1"/>
  <c r="Z726" i="4" s="1"/>
  <c r="Q726" i="4"/>
  <c r="V726" i="4"/>
  <c r="AA726" i="4" s="1"/>
  <c r="M727" i="4"/>
  <c r="R727" i="4"/>
  <c r="W727" i="4" s="1"/>
  <c r="N727" i="4"/>
  <c r="S727" i="4" s="1"/>
  <c r="X727" i="4" s="1"/>
  <c r="O727" i="4"/>
  <c r="T727" i="4" s="1"/>
  <c r="Y727" i="4" s="1"/>
  <c r="P727" i="4"/>
  <c r="U727" i="4"/>
  <c r="Z727" i="4" s="1"/>
  <c r="Q727" i="4"/>
  <c r="V727" i="4"/>
  <c r="AA727" i="4" s="1"/>
  <c r="M728" i="4"/>
  <c r="R728" i="4" s="1"/>
  <c r="W728" i="4" s="1"/>
  <c r="N728" i="4"/>
  <c r="S728" i="4" s="1"/>
  <c r="X728" i="4" s="1"/>
  <c r="O728" i="4"/>
  <c r="T728" i="4"/>
  <c r="Y728" i="4" s="1"/>
  <c r="P728" i="4"/>
  <c r="U728" i="4"/>
  <c r="Z728" i="4" s="1"/>
  <c r="Q728" i="4"/>
  <c r="V728" i="4" s="1"/>
  <c r="AA728" i="4" s="1"/>
  <c r="M729" i="4"/>
  <c r="R729" i="4" s="1"/>
  <c r="W729" i="4" s="1"/>
  <c r="N729" i="4"/>
  <c r="S729" i="4"/>
  <c r="X729" i="4" s="1"/>
  <c r="O729" i="4"/>
  <c r="T729" i="4"/>
  <c r="Y729" i="4" s="1"/>
  <c r="P729" i="4"/>
  <c r="U729" i="4" s="1"/>
  <c r="Z729" i="4" s="1"/>
  <c r="Q729" i="4"/>
  <c r="V729" i="4" s="1"/>
  <c r="AA729" i="4" s="1"/>
  <c r="M730" i="4"/>
  <c r="R730" i="4"/>
  <c r="W730" i="4" s="1"/>
  <c r="N730" i="4"/>
  <c r="S730" i="4"/>
  <c r="X730" i="4" s="1"/>
  <c r="O730" i="4"/>
  <c r="T730" i="4" s="1"/>
  <c r="Y730" i="4" s="1"/>
  <c r="P730" i="4"/>
  <c r="U730" i="4" s="1"/>
  <c r="Z730" i="4" s="1"/>
  <c r="Q730" i="4"/>
  <c r="V730" i="4"/>
  <c r="AA730" i="4" s="1"/>
  <c r="M731" i="4"/>
  <c r="R731" i="4"/>
  <c r="W731" i="4" s="1"/>
  <c r="N731" i="4"/>
  <c r="S731" i="4" s="1"/>
  <c r="X731" i="4" s="1"/>
  <c r="O731" i="4"/>
  <c r="T731" i="4" s="1"/>
  <c r="Y731" i="4" s="1"/>
  <c r="P731" i="4"/>
  <c r="U731" i="4"/>
  <c r="Z731" i="4" s="1"/>
  <c r="Q731" i="4"/>
  <c r="V731" i="4"/>
  <c r="AA731" i="4" s="1"/>
  <c r="M732" i="4"/>
  <c r="R732" i="4" s="1"/>
  <c r="W732" i="4" s="1"/>
  <c r="N732" i="4"/>
  <c r="S732" i="4" s="1"/>
  <c r="X732" i="4" s="1"/>
  <c r="O732" i="4"/>
  <c r="T732" i="4"/>
  <c r="Y732" i="4" s="1"/>
  <c r="P732" i="4"/>
  <c r="U732" i="4"/>
  <c r="Z732" i="4" s="1"/>
  <c r="Q732" i="4"/>
  <c r="V732" i="4" s="1"/>
  <c r="AA732" i="4" s="1"/>
  <c r="M733" i="4"/>
  <c r="R733" i="4" s="1"/>
  <c r="W733" i="4" s="1"/>
  <c r="N733" i="4"/>
  <c r="S733" i="4"/>
  <c r="X733" i="4" s="1"/>
  <c r="O733" i="4"/>
  <c r="T733" i="4"/>
  <c r="Y733" i="4" s="1"/>
  <c r="P733" i="4"/>
  <c r="U733" i="4" s="1"/>
  <c r="Z733" i="4" s="1"/>
  <c r="Q733" i="4"/>
  <c r="V733" i="4" s="1"/>
  <c r="AA733" i="4" s="1"/>
  <c r="M734" i="4"/>
  <c r="R734" i="4"/>
  <c r="W734" i="4" s="1"/>
  <c r="N734" i="4"/>
  <c r="S734" i="4"/>
  <c r="X734" i="4" s="1"/>
  <c r="O734" i="4"/>
  <c r="T734" i="4" s="1"/>
  <c r="Y734" i="4" s="1"/>
  <c r="P734" i="4"/>
  <c r="U734" i="4" s="1"/>
  <c r="Z734" i="4" s="1"/>
  <c r="Q734" i="4"/>
  <c r="V734" i="4"/>
  <c r="AA734" i="4" s="1"/>
  <c r="M735" i="4"/>
  <c r="R735" i="4"/>
  <c r="W735" i="4" s="1"/>
  <c r="N735" i="4"/>
  <c r="S735" i="4" s="1"/>
  <c r="X735" i="4" s="1"/>
  <c r="O735" i="4"/>
  <c r="T735" i="4" s="1"/>
  <c r="Y735" i="4" s="1"/>
  <c r="P735" i="4"/>
  <c r="U735" i="4"/>
  <c r="Z735" i="4" s="1"/>
  <c r="Q735" i="4"/>
  <c r="V735" i="4"/>
  <c r="AA735" i="4" s="1"/>
  <c r="M736" i="4"/>
  <c r="R736" i="4" s="1"/>
  <c r="W736" i="4" s="1"/>
  <c r="N736" i="4"/>
  <c r="S736" i="4" s="1"/>
  <c r="X736" i="4" s="1"/>
  <c r="O736" i="4"/>
  <c r="T736" i="4"/>
  <c r="Y736" i="4" s="1"/>
  <c r="P736" i="4"/>
  <c r="U736" i="4"/>
  <c r="Z736" i="4" s="1"/>
  <c r="Q736" i="4"/>
  <c r="V736" i="4" s="1"/>
  <c r="AA736" i="4" s="1"/>
  <c r="M737" i="4"/>
  <c r="R737" i="4" s="1"/>
  <c r="W737" i="4" s="1"/>
  <c r="N737" i="4"/>
  <c r="S737" i="4"/>
  <c r="X737" i="4" s="1"/>
  <c r="O737" i="4"/>
  <c r="T737" i="4"/>
  <c r="Y737" i="4" s="1"/>
  <c r="P737" i="4"/>
  <c r="U737" i="4" s="1"/>
  <c r="Z737" i="4" s="1"/>
  <c r="Q737" i="4"/>
  <c r="V737" i="4" s="1"/>
  <c r="AA737" i="4" s="1"/>
  <c r="M738" i="4"/>
  <c r="R738" i="4"/>
  <c r="W738" i="4" s="1"/>
  <c r="N738" i="4"/>
  <c r="S738" i="4"/>
  <c r="X738" i="4" s="1"/>
  <c r="O738" i="4"/>
  <c r="T738" i="4" s="1"/>
  <c r="Y738" i="4" s="1"/>
  <c r="P738" i="4"/>
  <c r="U738" i="4" s="1"/>
  <c r="Z738" i="4" s="1"/>
  <c r="Q738" i="4"/>
  <c r="V738" i="4"/>
  <c r="AA738" i="4" s="1"/>
  <c r="M739" i="4"/>
  <c r="R739" i="4"/>
  <c r="W739" i="4" s="1"/>
  <c r="N739" i="4"/>
  <c r="S739" i="4" s="1"/>
  <c r="X739" i="4" s="1"/>
  <c r="O739" i="4"/>
  <c r="T739" i="4" s="1"/>
  <c r="Y739" i="4" s="1"/>
  <c r="P739" i="4"/>
  <c r="U739" i="4"/>
  <c r="Z739" i="4" s="1"/>
  <c r="Q739" i="4"/>
  <c r="V739" i="4"/>
  <c r="AA739" i="4" s="1"/>
  <c r="M740" i="4"/>
  <c r="R740" i="4" s="1"/>
  <c r="W740" i="4" s="1"/>
  <c r="N740" i="4"/>
  <c r="S740" i="4" s="1"/>
  <c r="X740" i="4" s="1"/>
  <c r="O740" i="4"/>
  <c r="T740" i="4"/>
  <c r="Y740" i="4" s="1"/>
  <c r="P740" i="4"/>
  <c r="U740" i="4"/>
  <c r="Z740" i="4" s="1"/>
  <c r="Q740" i="4"/>
  <c r="V740" i="4" s="1"/>
  <c r="AA740" i="4" s="1"/>
  <c r="M741" i="4"/>
  <c r="R741" i="4" s="1"/>
  <c r="W741" i="4" s="1"/>
  <c r="N741" i="4"/>
  <c r="S741" i="4"/>
  <c r="X741" i="4" s="1"/>
  <c r="O741" i="4"/>
  <c r="T741" i="4"/>
  <c r="Y741" i="4" s="1"/>
  <c r="P741" i="4"/>
  <c r="U741" i="4" s="1"/>
  <c r="Z741" i="4" s="1"/>
  <c r="Q741" i="4"/>
  <c r="V741" i="4" s="1"/>
  <c r="AA741" i="4" s="1"/>
  <c r="M742" i="4"/>
  <c r="R742" i="4"/>
  <c r="W742" i="4" s="1"/>
  <c r="N742" i="4"/>
  <c r="S742" i="4"/>
  <c r="X742" i="4" s="1"/>
  <c r="O742" i="4"/>
  <c r="T742" i="4" s="1"/>
  <c r="Y742" i="4" s="1"/>
  <c r="P742" i="4"/>
  <c r="U742" i="4" s="1"/>
  <c r="Z742" i="4" s="1"/>
  <c r="Q742" i="4"/>
  <c r="V742" i="4"/>
  <c r="AA742" i="4" s="1"/>
  <c r="M743" i="4"/>
  <c r="R743" i="4"/>
  <c r="W743" i="4" s="1"/>
  <c r="N743" i="4"/>
  <c r="S743" i="4" s="1"/>
  <c r="X743" i="4" s="1"/>
  <c r="O743" i="4"/>
  <c r="T743" i="4" s="1"/>
  <c r="Y743" i="4" s="1"/>
  <c r="P743" i="4"/>
  <c r="U743" i="4"/>
  <c r="Z743" i="4" s="1"/>
  <c r="Q743" i="4"/>
  <c r="V743" i="4"/>
  <c r="AA743" i="4" s="1"/>
  <c r="M744" i="4"/>
  <c r="R744" i="4" s="1"/>
  <c r="W744" i="4" s="1"/>
  <c r="N744" i="4"/>
  <c r="S744" i="4" s="1"/>
  <c r="X744" i="4" s="1"/>
  <c r="O744" i="4"/>
  <c r="T744" i="4"/>
  <c r="Y744" i="4" s="1"/>
  <c r="P744" i="4"/>
  <c r="U744" i="4"/>
  <c r="Z744" i="4" s="1"/>
  <c r="Q744" i="4"/>
  <c r="V744" i="4" s="1"/>
  <c r="AA744" i="4" s="1"/>
  <c r="M745" i="4"/>
  <c r="R745" i="4" s="1"/>
  <c r="W745" i="4" s="1"/>
  <c r="N745" i="4"/>
  <c r="S745" i="4"/>
  <c r="X745" i="4" s="1"/>
  <c r="O745" i="4"/>
  <c r="T745" i="4"/>
  <c r="Y745" i="4" s="1"/>
  <c r="P745" i="4"/>
  <c r="U745" i="4" s="1"/>
  <c r="Z745" i="4" s="1"/>
  <c r="Q745" i="4"/>
  <c r="V745" i="4" s="1"/>
  <c r="AA745" i="4" s="1"/>
  <c r="M746" i="4"/>
  <c r="R746" i="4"/>
  <c r="W746" i="4" s="1"/>
  <c r="N746" i="4"/>
  <c r="S746" i="4"/>
  <c r="X746" i="4" s="1"/>
  <c r="O746" i="4"/>
  <c r="T746" i="4" s="1"/>
  <c r="Y746" i="4" s="1"/>
  <c r="P746" i="4"/>
  <c r="U746" i="4" s="1"/>
  <c r="Z746" i="4" s="1"/>
  <c r="Q746" i="4"/>
  <c r="V746" i="4"/>
  <c r="AA746" i="4" s="1"/>
  <c r="M747" i="4"/>
  <c r="R747" i="4"/>
  <c r="W747" i="4" s="1"/>
  <c r="N747" i="4"/>
  <c r="S747" i="4" s="1"/>
  <c r="X747" i="4" s="1"/>
  <c r="O747" i="4"/>
  <c r="T747" i="4" s="1"/>
  <c r="Y747" i="4" s="1"/>
  <c r="P747" i="4"/>
  <c r="U747" i="4"/>
  <c r="Z747" i="4" s="1"/>
  <c r="Q747" i="4"/>
  <c r="V747" i="4"/>
  <c r="AA747" i="4" s="1"/>
  <c r="M748" i="4"/>
  <c r="R748" i="4" s="1"/>
  <c r="W748" i="4" s="1"/>
  <c r="N748" i="4"/>
  <c r="S748" i="4" s="1"/>
  <c r="X748" i="4" s="1"/>
  <c r="O748" i="4"/>
  <c r="T748" i="4"/>
  <c r="Y748" i="4" s="1"/>
  <c r="P748" i="4"/>
  <c r="U748" i="4"/>
  <c r="Z748" i="4" s="1"/>
  <c r="Q748" i="4"/>
  <c r="V748" i="4" s="1"/>
  <c r="AA748" i="4" s="1"/>
  <c r="M749" i="4"/>
  <c r="R749" i="4" s="1"/>
  <c r="W749" i="4" s="1"/>
  <c r="N749" i="4"/>
  <c r="S749" i="4"/>
  <c r="X749" i="4" s="1"/>
  <c r="O749" i="4"/>
  <c r="T749" i="4"/>
  <c r="Y749" i="4" s="1"/>
  <c r="P749" i="4"/>
  <c r="U749" i="4" s="1"/>
  <c r="Z749" i="4" s="1"/>
  <c r="Q749" i="4"/>
  <c r="V749" i="4" s="1"/>
  <c r="AA749" i="4" s="1"/>
  <c r="M750" i="4"/>
  <c r="R750" i="4"/>
  <c r="W750" i="4" s="1"/>
  <c r="N750" i="4"/>
  <c r="S750" i="4"/>
  <c r="X750" i="4" s="1"/>
  <c r="O750" i="4"/>
  <c r="T750" i="4" s="1"/>
  <c r="Y750" i="4" s="1"/>
  <c r="P750" i="4"/>
  <c r="U750" i="4" s="1"/>
  <c r="Z750" i="4" s="1"/>
  <c r="Q750" i="4"/>
  <c r="V750" i="4"/>
  <c r="AA750" i="4" s="1"/>
  <c r="M751" i="4"/>
  <c r="R751" i="4"/>
  <c r="W751" i="4" s="1"/>
  <c r="N751" i="4"/>
  <c r="S751" i="4" s="1"/>
  <c r="X751" i="4" s="1"/>
  <c r="O751" i="4"/>
  <c r="T751" i="4" s="1"/>
  <c r="Y751" i="4" s="1"/>
  <c r="P751" i="4"/>
  <c r="U751" i="4"/>
  <c r="Z751" i="4" s="1"/>
  <c r="Q751" i="4"/>
  <c r="V751" i="4"/>
  <c r="AA751" i="4" s="1"/>
  <c r="M752" i="4"/>
  <c r="R752" i="4" s="1"/>
  <c r="W752" i="4" s="1"/>
  <c r="N752" i="4"/>
  <c r="S752" i="4" s="1"/>
  <c r="X752" i="4" s="1"/>
  <c r="O752" i="4"/>
  <c r="T752" i="4"/>
  <c r="Y752" i="4" s="1"/>
  <c r="P752" i="4"/>
  <c r="U752" i="4"/>
  <c r="Z752" i="4" s="1"/>
  <c r="Q752" i="4"/>
  <c r="V752" i="4" s="1"/>
  <c r="AA752" i="4" s="1"/>
  <c r="M753" i="4"/>
  <c r="R753" i="4" s="1"/>
  <c r="W753" i="4" s="1"/>
  <c r="N753" i="4"/>
  <c r="S753" i="4"/>
  <c r="X753" i="4" s="1"/>
  <c r="O753" i="4"/>
  <c r="T753" i="4"/>
  <c r="Y753" i="4" s="1"/>
  <c r="P753" i="4"/>
  <c r="U753" i="4" s="1"/>
  <c r="Z753" i="4" s="1"/>
  <c r="Q753" i="4"/>
  <c r="V753" i="4" s="1"/>
  <c r="AA753" i="4" s="1"/>
  <c r="M754" i="4"/>
  <c r="R754" i="4"/>
  <c r="W754" i="4" s="1"/>
  <c r="N754" i="4"/>
  <c r="S754" i="4"/>
  <c r="X754" i="4" s="1"/>
  <c r="O754" i="4"/>
  <c r="T754" i="4" s="1"/>
  <c r="Y754" i="4" s="1"/>
  <c r="P754" i="4"/>
  <c r="U754" i="4" s="1"/>
  <c r="Z754" i="4" s="1"/>
  <c r="Q754" i="4"/>
  <c r="V754" i="4"/>
  <c r="AA754" i="4" s="1"/>
  <c r="M755" i="4"/>
  <c r="R755" i="4"/>
  <c r="W755" i="4" s="1"/>
  <c r="N755" i="4"/>
  <c r="S755" i="4" s="1"/>
  <c r="X755" i="4" s="1"/>
  <c r="O755" i="4"/>
  <c r="T755" i="4" s="1"/>
  <c r="Y755" i="4" s="1"/>
  <c r="P755" i="4"/>
  <c r="U755" i="4"/>
  <c r="Z755" i="4" s="1"/>
  <c r="Q755" i="4"/>
  <c r="V755" i="4"/>
  <c r="AA755" i="4" s="1"/>
  <c r="M756" i="4"/>
  <c r="R756" i="4" s="1"/>
  <c r="W756" i="4" s="1"/>
  <c r="N756" i="4"/>
  <c r="S756" i="4" s="1"/>
  <c r="X756" i="4" s="1"/>
  <c r="O756" i="4"/>
  <c r="T756" i="4"/>
  <c r="Y756" i="4" s="1"/>
  <c r="P756" i="4"/>
  <c r="U756" i="4"/>
  <c r="Z756" i="4" s="1"/>
  <c r="Q756" i="4"/>
  <c r="V756" i="4" s="1"/>
  <c r="AA756" i="4" s="1"/>
  <c r="M757" i="4"/>
  <c r="R757" i="4" s="1"/>
  <c r="W757" i="4" s="1"/>
  <c r="N757" i="4"/>
  <c r="S757" i="4"/>
  <c r="X757" i="4" s="1"/>
  <c r="O757" i="4"/>
  <c r="T757" i="4"/>
  <c r="Y757" i="4" s="1"/>
  <c r="P757" i="4"/>
  <c r="U757" i="4" s="1"/>
  <c r="Z757" i="4" s="1"/>
  <c r="Q757" i="4"/>
  <c r="V757" i="4" s="1"/>
  <c r="AA757" i="4" s="1"/>
  <c r="M758" i="4"/>
  <c r="R758" i="4"/>
  <c r="W758" i="4" s="1"/>
  <c r="N758" i="4"/>
  <c r="S758" i="4"/>
  <c r="X758" i="4" s="1"/>
  <c r="O758" i="4"/>
  <c r="T758" i="4" s="1"/>
  <c r="Y758" i="4" s="1"/>
  <c r="P758" i="4"/>
  <c r="U758" i="4" s="1"/>
  <c r="Z758" i="4" s="1"/>
  <c r="Q758" i="4"/>
  <c r="V758" i="4"/>
  <c r="AA758" i="4" s="1"/>
  <c r="M759" i="4"/>
  <c r="R759" i="4"/>
  <c r="W759" i="4" s="1"/>
  <c r="N759" i="4"/>
  <c r="S759" i="4" s="1"/>
  <c r="X759" i="4" s="1"/>
  <c r="O759" i="4"/>
  <c r="T759" i="4" s="1"/>
  <c r="Y759" i="4" s="1"/>
  <c r="P759" i="4"/>
  <c r="U759" i="4"/>
  <c r="Z759" i="4" s="1"/>
  <c r="Q759" i="4"/>
  <c r="V759" i="4"/>
  <c r="AA759" i="4" s="1"/>
  <c r="M760" i="4"/>
  <c r="R760" i="4" s="1"/>
  <c r="W760" i="4" s="1"/>
  <c r="N760" i="4"/>
  <c r="S760" i="4" s="1"/>
  <c r="X760" i="4" s="1"/>
  <c r="O760" i="4"/>
  <c r="T760" i="4"/>
  <c r="Y760" i="4" s="1"/>
  <c r="P760" i="4"/>
  <c r="U760" i="4"/>
  <c r="Z760" i="4" s="1"/>
  <c r="Q760" i="4"/>
  <c r="V760" i="4" s="1"/>
  <c r="AA760" i="4" s="1"/>
  <c r="M761" i="4"/>
  <c r="R761" i="4" s="1"/>
  <c r="W761" i="4" s="1"/>
  <c r="N761" i="4"/>
  <c r="S761" i="4"/>
  <c r="X761" i="4" s="1"/>
  <c r="O761" i="4"/>
  <c r="T761" i="4"/>
  <c r="Y761" i="4" s="1"/>
  <c r="P761" i="4"/>
  <c r="U761" i="4" s="1"/>
  <c r="Z761" i="4" s="1"/>
  <c r="Q761" i="4"/>
  <c r="V761" i="4" s="1"/>
  <c r="AA761" i="4" s="1"/>
  <c r="M762" i="4"/>
  <c r="R762" i="4"/>
  <c r="W762" i="4" s="1"/>
  <c r="N762" i="4"/>
  <c r="S762" i="4"/>
  <c r="X762" i="4" s="1"/>
  <c r="O762" i="4"/>
  <c r="T762" i="4" s="1"/>
  <c r="Y762" i="4" s="1"/>
  <c r="P762" i="4"/>
  <c r="U762" i="4" s="1"/>
  <c r="Z762" i="4" s="1"/>
  <c r="Q762" i="4"/>
  <c r="V762" i="4"/>
  <c r="AA762" i="4" s="1"/>
  <c r="M763" i="4"/>
  <c r="R763" i="4"/>
  <c r="W763" i="4" s="1"/>
  <c r="N763" i="4"/>
  <c r="S763" i="4" s="1"/>
  <c r="X763" i="4" s="1"/>
  <c r="O763" i="4"/>
  <c r="T763" i="4" s="1"/>
  <c r="Y763" i="4" s="1"/>
  <c r="P763" i="4"/>
  <c r="U763" i="4"/>
  <c r="Z763" i="4" s="1"/>
  <c r="Q763" i="4"/>
  <c r="V763" i="4"/>
  <c r="AA763" i="4" s="1"/>
  <c r="M764" i="4"/>
  <c r="R764" i="4" s="1"/>
  <c r="W764" i="4" s="1"/>
  <c r="N764" i="4"/>
  <c r="S764" i="4" s="1"/>
  <c r="X764" i="4" s="1"/>
  <c r="O764" i="4"/>
  <c r="T764" i="4"/>
  <c r="Y764" i="4" s="1"/>
  <c r="P764" i="4"/>
  <c r="U764" i="4"/>
  <c r="Z764" i="4" s="1"/>
  <c r="Q764" i="4"/>
  <c r="V764" i="4" s="1"/>
  <c r="AA764" i="4" s="1"/>
  <c r="M765" i="4"/>
  <c r="R765" i="4" s="1"/>
  <c r="W765" i="4" s="1"/>
  <c r="N765" i="4"/>
  <c r="S765" i="4"/>
  <c r="X765" i="4" s="1"/>
  <c r="O765" i="4"/>
  <c r="T765" i="4"/>
  <c r="Y765" i="4" s="1"/>
  <c r="P765" i="4"/>
  <c r="U765" i="4" s="1"/>
  <c r="Z765" i="4" s="1"/>
  <c r="Q765" i="4"/>
  <c r="V765" i="4" s="1"/>
  <c r="AA765" i="4" s="1"/>
  <c r="M766" i="4"/>
  <c r="R766" i="4"/>
  <c r="W766" i="4" s="1"/>
  <c r="N766" i="4"/>
  <c r="S766" i="4"/>
  <c r="X766" i="4" s="1"/>
  <c r="O766" i="4"/>
  <c r="T766" i="4" s="1"/>
  <c r="Y766" i="4" s="1"/>
  <c r="P766" i="4"/>
  <c r="U766" i="4" s="1"/>
  <c r="Z766" i="4" s="1"/>
  <c r="Q766" i="4"/>
  <c r="V766" i="4"/>
  <c r="AA766" i="4" s="1"/>
  <c r="M767" i="4"/>
  <c r="R767" i="4"/>
  <c r="W767" i="4" s="1"/>
  <c r="N767" i="4"/>
  <c r="S767" i="4" s="1"/>
  <c r="X767" i="4" s="1"/>
  <c r="O767" i="4"/>
  <c r="T767" i="4" s="1"/>
  <c r="Y767" i="4" s="1"/>
  <c r="P767" i="4"/>
  <c r="U767" i="4"/>
  <c r="Z767" i="4" s="1"/>
  <c r="Q767" i="4"/>
  <c r="V767" i="4"/>
  <c r="AA767" i="4" s="1"/>
  <c r="M768" i="4"/>
  <c r="R768" i="4" s="1"/>
  <c r="W768" i="4" s="1"/>
  <c r="N768" i="4"/>
  <c r="S768" i="4" s="1"/>
  <c r="X768" i="4" s="1"/>
  <c r="O768" i="4"/>
  <c r="T768" i="4"/>
  <c r="Y768" i="4" s="1"/>
  <c r="P768" i="4"/>
  <c r="U768" i="4"/>
  <c r="Z768" i="4" s="1"/>
  <c r="Q768" i="4"/>
  <c r="V768" i="4" s="1"/>
  <c r="AA768" i="4" s="1"/>
  <c r="M769" i="4"/>
  <c r="R769" i="4" s="1"/>
  <c r="W769" i="4" s="1"/>
  <c r="N769" i="4"/>
  <c r="S769" i="4"/>
  <c r="X769" i="4" s="1"/>
  <c r="O769" i="4"/>
  <c r="T769" i="4"/>
  <c r="Y769" i="4" s="1"/>
  <c r="P769" i="4"/>
  <c r="U769" i="4" s="1"/>
  <c r="Z769" i="4" s="1"/>
  <c r="Q769" i="4"/>
  <c r="V769" i="4" s="1"/>
  <c r="AA769" i="4" s="1"/>
  <c r="M770" i="4"/>
  <c r="R770" i="4"/>
  <c r="W770" i="4" s="1"/>
  <c r="N770" i="4"/>
  <c r="S770" i="4"/>
  <c r="X770" i="4" s="1"/>
  <c r="O770" i="4"/>
  <c r="T770" i="4" s="1"/>
  <c r="Y770" i="4" s="1"/>
  <c r="P770" i="4"/>
  <c r="U770" i="4" s="1"/>
  <c r="Z770" i="4" s="1"/>
  <c r="Q770" i="4"/>
  <c r="V770" i="4"/>
  <c r="AA770" i="4" s="1"/>
  <c r="M771" i="4"/>
  <c r="R771" i="4"/>
  <c r="W771" i="4" s="1"/>
  <c r="N771" i="4"/>
  <c r="S771" i="4" s="1"/>
  <c r="X771" i="4" s="1"/>
  <c r="O771" i="4"/>
  <c r="T771" i="4" s="1"/>
  <c r="Y771" i="4" s="1"/>
  <c r="P771" i="4"/>
  <c r="U771" i="4"/>
  <c r="Z771" i="4" s="1"/>
  <c r="Q771" i="4"/>
  <c r="V771" i="4"/>
  <c r="AA771" i="4" s="1"/>
  <c r="M772" i="4"/>
  <c r="R772" i="4" s="1"/>
  <c r="W772" i="4" s="1"/>
  <c r="N772" i="4"/>
  <c r="S772" i="4" s="1"/>
  <c r="X772" i="4" s="1"/>
  <c r="O772" i="4"/>
  <c r="T772" i="4"/>
  <c r="Y772" i="4" s="1"/>
  <c r="P772" i="4"/>
  <c r="U772" i="4"/>
  <c r="Z772" i="4" s="1"/>
  <c r="Q772" i="4"/>
  <c r="V772" i="4" s="1"/>
  <c r="AA772" i="4" s="1"/>
  <c r="M773" i="4"/>
  <c r="R773" i="4" s="1"/>
  <c r="W773" i="4" s="1"/>
  <c r="N773" i="4"/>
  <c r="S773" i="4"/>
  <c r="X773" i="4" s="1"/>
  <c r="O773" i="4"/>
  <c r="T773" i="4"/>
  <c r="Y773" i="4" s="1"/>
  <c r="P773" i="4"/>
  <c r="U773" i="4" s="1"/>
  <c r="Z773" i="4" s="1"/>
  <c r="Q773" i="4"/>
  <c r="V773" i="4" s="1"/>
  <c r="AA773" i="4" s="1"/>
  <c r="M774" i="4"/>
  <c r="R774" i="4"/>
  <c r="W774" i="4" s="1"/>
  <c r="N774" i="4"/>
  <c r="S774" i="4"/>
  <c r="X774" i="4" s="1"/>
  <c r="O774" i="4"/>
  <c r="T774" i="4" s="1"/>
  <c r="Y774" i="4" s="1"/>
  <c r="P774" i="4"/>
  <c r="U774" i="4" s="1"/>
  <c r="Z774" i="4" s="1"/>
  <c r="Q774" i="4"/>
  <c r="V774" i="4"/>
  <c r="AA774" i="4" s="1"/>
  <c r="M775" i="4"/>
  <c r="R775" i="4"/>
  <c r="W775" i="4" s="1"/>
  <c r="N775" i="4"/>
  <c r="S775" i="4" s="1"/>
  <c r="X775" i="4" s="1"/>
  <c r="O775" i="4"/>
  <c r="T775" i="4" s="1"/>
  <c r="Y775" i="4" s="1"/>
  <c r="P775" i="4"/>
  <c r="U775" i="4"/>
  <c r="Z775" i="4" s="1"/>
  <c r="Q775" i="4"/>
  <c r="V775" i="4"/>
  <c r="AA775" i="4" s="1"/>
  <c r="M776" i="4"/>
  <c r="R776" i="4" s="1"/>
  <c r="W776" i="4" s="1"/>
  <c r="N776" i="4"/>
  <c r="S776" i="4" s="1"/>
  <c r="X776" i="4" s="1"/>
  <c r="O776" i="4"/>
  <c r="T776" i="4"/>
  <c r="Y776" i="4" s="1"/>
  <c r="P776" i="4"/>
  <c r="U776" i="4"/>
  <c r="Z776" i="4" s="1"/>
  <c r="Q776" i="4"/>
  <c r="V776" i="4" s="1"/>
  <c r="AA776" i="4" s="1"/>
  <c r="M777" i="4"/>
  <c r="R777" i="4" s="1"/>
  <c r="W777" i="4" s="1"/>
  <c r="N777" i="4"/>
  <c r="S777" i="4"/>
  <c r="X777" i="4" s="1"/>
  <c r="O777" i="4"/>
  <c r="T777" i="4"/>
  <c r="Y777" i="4" s="1"/>
  <c r="P777" i="4"/>
  <c r="U777" i="4" s="1"/>
  <c r="Z777" i="4" s="1"/>
  <c r="Q777" i="4"/>
  <c r="V777" i="4" s="1"/>
  <c r="AA777" i="4" s="1"/>
  <c r="M778" i="4"/>
  <c r="R778" i="4"/>
  <c r="W778" i="4" s="1"/>
  <c r="N778" i="4"/>
  <c r="S778" i="4"/>
  <c r="X778" i="4" s="1"/>
  <c r="O778" i="4"/>
  <c r="T778" i="4" s="1"/>
  <c r="Y778" i="4" s="1"/>
  <c r="P778" i="4"/>
  <c r="U778" i="4" s="1"/>
  <c r="Z778" i="4" s="1"/>
  <c r="Q778" i="4"/>
  <c r="V778" i="4"/>
  <c r="AA778" i="4" s="1"/>
  <c r="M779" i="4"/>
  <c r="R779" i="4"/>
  <c r="W779" i="4" s="1"/>
  <c r="N779" i="4"/>
  <c r="S779" i="4" s="1"/>
  <c r="X779" i="4" s="1"/>
  <c r="O779" i="4"/>
  <c r="T779" i="4" s="1"/>
  <c r="Y779" i="4" s="1"/>
  <c r="P779" i="4"/>
  <c r="U779" i="4"/>
  <c r="Z779" i="4" s="1"/>
  <c r="Q779" i="4"/>
  <c r="V779" i="4"/>
  <c r="AA779" i="4" s="1"/>
  <c r="M780" i="4"/>
  <c r="R780" i="4" s="1"/>
  <c r="W780" i="4" s="1"/>
  <c r="N780" i="4"/>
  <c r="S780" i="4" s="1"/>
  <c r="X780" i="4" s="1"/>
  <c r="O780" i="4"/>
  <c r="T780" i="4"/>
  <c r="Y780" i="4" s="1"/>
  <c r="P780" i="4"/>
  <c r="U780" i="4"/>
  <c r="Z780" i="4" s="1"/>
  <c r="Q780" i="4"/>
  <c r="V780" i="4" s="1"/>
  <c r="AA780" i="4" s="1"/>
  <c r="M781" i="4"/>
  <c r="R781" i="4" s="1"/>
  <c r="W781" i="4" s="1"/>
  <c r="N781" i="4"/>
  <c r="S781" i="4"/>
  <c r="X781" i="4" s="1"/>
  <c r="O781" i="4"/>
  <c r="T781" i="4"/>
  <c r="Y781" i="4" s="1"/>
  <c r="P781" i="4"/>
  <c r="U781" i="4" s="1"/>
  <c r="Z781" i="4" s="1"/>
  <c r="Q781" i="4"/>
  <c r="V781" i="4" s="1"/>
  <c r="AA781" i="4" s="1"/>
  <c r="M782" i="4"/>
  <c r="R782" i="4"/>
  <c r="W782" i="4" s="1"/>
  <c r="N782" i="4"/>
  <c r="S782" i="4"/>
  <c r="X782" i="4" s="1"/>
  <c r="O782" i="4"/>
  <c r="T782" i="4" s="1"/>
  <c r="Y782" i="4" s="1"/>
  <c r="P782" i="4"/>
  <c r="U782" i="4" s="1"/>
  <c r="Z782" i="4" s="1"/>
  <c r="Q782" i="4"/>
  <c r="V782" i="4"/>
  <c r="AA782" i="4" s="1"/>
  <c r="M783" i="4"/>
  <c r="R783" i="4"/>
  <c r="W783" i="4" s="1"/>
  <c r="N783" i="4"/>
  <c r="S783" i="4" s="1"/>
  <c r="X783" i="4" s="1"/>
  <c r="O783" i="4"/>
  <c r="T783" i="4" s="1"/>
  <c r="Y783" i="4" s="1"/>
  <c r="P783" i="4"/>
  <c r="U783" i="4"/>
  <c r="Z783" i="4" s="1"/>
  <c r="Q783" i="4"/>
  <c r="V783" i="4"/>
  <c r="AA783" i="4" s="1"/>
  <c r="M784" i="4"/>
  <c r="R784" i="4" s="1"/>
  <c r="W784" i="4" s="1"/>
  <c r="N784" i="4"/>
  <c r="S784" i="4" s="1"/>
  <c r="X784" i="4" s="1"/>
  <c r="O784" i="4"/>
  <c r="T784" i="4"/>
  <c r="Y784" i="4" s="1"/>
  <c r="P784" i="4"/>
  <c r="U784" i="4"/>
  <c r="Z784" i="4" s="1"/>
  <c r="Q784" i="4"/>
  <c r="V784" i="4" s="1"/>
  <c r="AA784" i="4" s="1"/>
  <c r="M785" i="4"/>
  <c r="R785" i="4" s="1"/>
  <c r="W785" i="4" s="1"/>
  <c r="N785" i="4"/>
  <c r="S785" i="4"/>
  <c r="X785" i="4" s="1"/>
  <c r="O785" i="4"/>
  <c r="T785" i="4"/>
  <c r="Y785" i="4" s="1"/>
  <c r="P785" i="4"/>
  <c r="U785" i="4" s="1"/>
  <c r="Z785" i="4" s="1"/>
  <c r="Q785" i="4"/>
  <c r="V785" i="4" s="1"/>
  <c r="AA785" i="4" s="1"/>
  <c r="M786" i="4"/>
  <c r="R786" i="4"/>
  <c r="W786" i="4" s="1"/>
  <c r="N786" i="4"/>
  <c r="S786" i="4"/>
  <c r="X786" i="4" s="1"/>
  <c r="O786" i="4"/>
  <c r="T786" i="4" s="1"/>
  <c r="Y786" i="4" s="1"/>
  <c r="P786" i="4"/>
  <c r="U786" i="4" s="1"/>
  <c r="Z786" i="4" s="1"/>
  <c r="Q786" i="4"/>
  <c r="V786" i="4"/>
  <c r="AA786" i="4" s="1"/>
  <c r="M787" i="4"/>
  <c r="R787" i="4"/>
  <c r="W787" i="4" s="1"/>
  <c r="N787" i="4"/>
  <c r="S787" i="4" s="1"/>
  <c r="X787" i="4" s="1"/>
  <c r="O787" i="4"/>
  <c r="T787" i="4" s="1"/>
  <c r="Y787" i="4" s="1"/>
  <c r="P787" i="4"/>
  <c r="U787" i="4"/>
  <c r="Z787" i="4" s="1"/>
  <c r="Q787" i="4"/>
  <c r="V787" i="4"/>
  <c r="AA787" i="4" s="1"/>
  <c r="M788" i="4"/>
  <c r="R788" i="4" s="1"/>
  <c r="W788" i="4" s="1"/>
  <c r="N788" i="4"/>
  <c r="S788" i="4" s="1"/>
  <c r="X788" i="4" s="1"/>
  <c r="O788" i="4"/>
  <c r="T788" i="4"/>
  <c r="Y788" i="4" s="1"/>
  <c r="P788" i="4"/>
  <c r="U788" i="4"/>
  <c r="Z788" i="4" s="1"/>
  <c r="Q788" i="4"/>
  <c r="V788" i="4" s="1"/>
  <c r="AA788" i="4" s="1"/>
  <c r="M789" i="4"/>
  <c r="R789" i="4" s="1"/>
  <c r="W789" i="4" s="1"/>
  <c r="N789" i="4"/>
  <c r="S789" i="4"/>
  <c r="X789" i="4" s="1"/>
  <c r="O789" i="4"/>
  <c r="T789" i="4"/>
  <c r="Y789" i="4" s="1"/>
  <c r="P789" i="4"/>
  <c r="U789" i="4" s="1"/>
  <c r="Z789" i="4" s="1"/>
  <c r="Q789" i="4"/>
  <c r="V789" i="4" s="1"/>
  <c r="AA789" i="4" s="1"/>
  <c r="M790" i="4"/>
  <c r="R790" i="4"/>
  <c r="W790" i="4" s="1"/>
  <c r="N790" i="4"/>
  <c r="S790" i="4"/>
  <c r="X790" i="4" s="1"/>
  <c r="O790" i="4"/>
  <c r="T790" i="4" s="1"/>
  <c r="Y790" i="4" s="1"/>
  <c r="P790" i="4"/>
  <c r="U790" i="4" s="1"/>
  <c r="Z790" i="4" s="1"/>
  <c r="Q790" i="4"/>
  <c r="V790" i="4"/>
  <c r="AA790" i="4" s="1"/>
  <c r="M791" i="4"/>
  <c r="R791" i="4"/>
  <c r="W791" i="4" s="1"/>
  <c r="N791" i="4"/>
  <c r="S791" i="4" s="1"/>
  <c r="X791" i="4" s="1"/>
  <c r="O791" i="4"/>
  <c r="T791" i="4" s="1"/>
  <c r="Y791" i="4" s="1"/>
  <c r="P791" i="4"/>
  <c r="U791" i="4"/>
  <c r="Z791" i="4" s="1"/>
  <c r="Q791" i="4"/>
  <c r="V791" i="4"/>
  <c r="AA791" i="4" s="1"/>
  <c r="M792" i="4"/>
  <c r="R792" i="4" s="1"/>
  <c r="W792" i="4" s="1"/>
  <c r="N792" i="4"/>
  <c r="S792" i="4" s="1"/>
  <c r="X792" i="4" s="1"/>
  <c r="O792" i="4"/>
  <c r="T792" i="4"/>
  <c r="Y792" i="4" s="1"/>
  <c r="P792" i="4"/>
  <c r="U792" i="4"/>
  <c r="Z792" i="4" s="1"/>
  <c r="Q792" i="4"/>
  <c r="V792" i="4" s="1"/>
  <c r="AA792" i="4" s="1"/>
  <c r="M793" i="4"/>
  <c r="R793" i="4" s="1"/>
  <c r="W793" i="4" s="1"/>
  <c r="N793" i="4"/>
  <c r="S793" i="4"/>
  <c r="X793" i="4" s="1"/>
  <c r="O793" i="4"/>
  <c r="T793" i="4"/>
  <c r="Y793" i="4" s="1"/>
  <c r="P793" i="4"/>
  <c r="U793" i="4" s="1"/>
  <c r="Z793" i="4" s="1"/>
  <c r="Q793" i="4"/>
  <c r="V793" i="4" s="1"/>
  <c r="AA793" i="4" s="1"/>
  <c r="M794" i="4"/>
  <c r="R794" i="4"/>
  <c r="W794" i="4" s="1"/>
  <c r="N794" i="4"/>
  <c r="S794" i="4"/>
  <c r="X794" i="4" s="1"/>
  <c r="O794" i="4"/>
  <c r="T794" i="4" s="1"/>
  <c r="Y794" i="4" s="1"/>
  <c r="P794" i="4"/>
  <c r="U794" i="4" s="1"/>
  <c r="Z794" i="4" s="1"/>
  <c r="Q794" i="4"/>
  <c r="V794" i="4"/>
  <c r="AA794" i="4" s="1"/>
  <c r="M795" i="4"/>
  <c r="R795" i="4"/>
  <c r="W795" i="4" s="1"/>
  <c r="N795" i="4"/>
  <c r="S795" i="4" s="1"/>
  <c r="X795" i="4" s="1"/>
  <c r="O795" i="4"/>
  <c r="T795" i="4" s="1"/>
  <c r="Y795" i="4" s="1"/>
  <c r="P795" i="4"/>
  <c r="U795" i="4"/>
  <c r="Z795" i="4" s="1"/>
  <c r="Q795" i="4"/>
  <c r="V795" i="4"/>
  <c r="AA795" i="4" s="1"/>
  <c r="M796" i="4"/>
  <c r="R796" i="4" s="1"/>
  <c r="W796" i="4" s="1"/>
  <c r="N796" i="4"/>
  <c r="S796" i="4" s="1"/>
  <c r="X796" i="4" s="1"/>
  <c r="O796" i="4"/>
  <c r="T796" i="4"/>
  <c r="Y796" i="4" s="1"/>
  <c r="P796" i="4"/>
  <c r="U796" i="4"/>
  <c r="Z796" i="4" s="1"/>
  <c r="Q796" i="4"/>
  <c r="V796" i="4" s="1"/>
  <c r="AA796" i="4" s="1"/>
  <c r="M797" i="4"/>
  <c r="R797" i="4" s="1"/>
  <c r="W797" i="4" s="1"/>
  <c r="N797" i="4"/>
  <c r="S797" i="4"/>
  <c r="X797" i="4" s="1"/>
  <c r="O797" i="4"/>
  <c r="T797" i="4"/>
  <c r="Y797" i="4" s="1"/>
  <c r="P797" i="4"/>
  <c r="U797" i="4" s="1"/>
  <c r="Z797" i="4" s="1"/>
  <c r="Q797" i="4"/>
  <c r="V797" i="4" s="1"/>
  <c r="AA797" i="4" s="1"/>
  <c r="M798" i="4"/>
  <c r="R798" i="4"/>
  <c r="W798" i="4" s="1"/>
  <c r="N798" i="4"/>
  <c r="S798" i="4"/>
  <c r="X798" i="4" s="1"/>
  <c r="O798" i="4"/>
  <c r="T798" i="4" s="1"/>
  <c r="Y798" i="4" s="1"/>
  <c r="P798" i="4"/>
  <c r="U798" i="4" s="1"/>
  <c r="Z798" i="4" s="1"/>
  <c r="Q798" i="4"/>
  <c r="V798" i="4"/>
  <c r="AA798" i="4" s="1"/>
  <c r="M799" i="4"/>
  <c r="R799" i="4"/>
  <c r="W799" i="4" s="1"/>
  <c r="N799" i="4"/>
  <c r="S799" i="4" s="1"/>
  <c r="X799" i="4" s="1"/>
  <c r="O799" i="4"/>
  <c r="T799" i="4" s="1"/>
  <c r="Y799" i="4" s="1"/>
  <c r="P799" i="4"/>
  <c r="U799" i="4"/>
  <c r="Z799" i="4" s="1"/>
  <c r="Q799" i="4"/>
  <c r="V799" i="4"/>
  <c r="AA799" i="4" s="1"/>
  <c r="M800" i="4"/>
  <c r="R800" i="4" s="1"/>
  <c r="W800" i="4" s="1"/>
  <c r="N800" i="4"/>
  <c r="S800" i="4" s="1"/>
  <c r="X800" i="4" s="1"/>
  <c r="O800" i="4"/>
  <c r="T800" i="4"/>
  <c r="Y800" i="4" s="1"/>
  <c r="P800" i="4"/>
  <c r="U800" i="4"/>
  <c r="Z800" i="4" s="1"/>
  <c r="Q800" i="4"/>
  <c r="V800" i="4" s="1"/>
  <c r="AA800" i="4" s="1"/>
  <c r="M801" i="4"/>
  <c r="R801" i="4"/>
  <c r="W801" i="4" s="1"/>
  <c r="N801" i="4"/>
  <c r="S801" i="4" s="1"/>
  <c r="X801" i="4" s="1"/>
  <c r="O801" i="4"/>
  <c r="T801" i="4" s="1"/>
  <c r="Y801" i="4" s="1"/>
  <c r="P801" i="4"/>
  <c r="U801" i="4"/>
  <c r="Z801" i="4" s="1"/>
  <c r="Q801" i="4"/>
  <c r="V801" i="4"/>
  <c r="AA801" i="4" s="1"/>
  <c r="M802" i="4"/>
  <c r="R802" i="4" s="1"/>
  <c r="W802" i="4" s="1"/>
  <c r="N802" i="4"/>
  <c r="S802" i="4" s="1"/>
  <c r="X802" i="4" s="1"/>
  <c r="O802" i="4"/>
  <c r="T802" i="4"/>
  <c r="Y802" i="4" s="1"/>
  <c r="P802" i="4"/>
  <c r="U802" i="4"/>
  <c r="Z802" i="4" s="1"/>
  <c r="Q802" i="4"/>
  <c r="V802" i="4" s="1"/>
  <c r="AA802" i="4" s="1"/>
  <c r="M803" i="4"/>
  <c r="R803" i="4" s="1"/>
  <c r="W803" i="4" s="1"/>
  <c r="N803" i="4"/>
  <c r="S803" i="4"/>
  <c r="X803" i="4" s="1"/>
  <c r="O803" i="4"/>
  <c r="T803" i="4"/>
  <c r="Y803" i="4" s="1"/>
  <c r="P803" i="4"/>
  <c r="U803" i="4" s="1"/>
  <c r="Z803" i="4" s="1"/>
  <c r="Q803" i="4"/>
  <c r="V803" i="4" s="1"/>
  <c r="AA803" i="4" s="1"/>
  <c r="M804" i="4"/>
  <c r="R804" i="4"/>
  <c r="W804" i="4" s="1"/>
  <c r="N804" i="4"/>
  <c r="S804" i="4"/>
  <c r="X804" i="4" s="1"/>
  <c r="O804" i="4"/>
  <c r="T804" i="4" s="1"/>
  <c r="Y804" i="4" s="1"/>
  <c r="P804" i="4"/>
  <c r="U804" i="4" s="1"/>
  <c r="Z804" i="4" s="1"/>
  <c r="Q804" i="4"/>
  <c r="V804" i="4"/>
  <c r="AA804" i="4" s="1"/>
  <c r="M805" i="4"/>
  <c r="R805" i="4" s="1"/>
  <c r="W805" i="4" s="1"/>
  <c r="N805" i="4"/>
  <c r="S805" i="4"/>
  <c r="X805" i="4" s="1"/>
  <c r="O805" i="4"/>
  <c r="T805" i="4"/>
  <c r="Y805" i="4" s="1"/>
  <c r="P805" i="4"/>
  <c r="U805" i="4" s="1"/>
  <c r="Z805" i="4" s="1"/>
  <c r="Q805" i="4"/>
  <c r="V805" i="4" s="1"/>
  <c r="AA805" i="4" s="1"/>
  <c r="M806" i="4"/>
  <c r="R806" i="4"/>
  <c r="W806" i="4" s="1"/>
  <c r="N806" i="4"/>
  <c r="S806" i="4"/>
  <c r="X806" i="4" s="1"/>
  <c r="O806" i="4"/>
  <c r="T806" i="4" s="1"/>
  <c r="Y806" i="4" s="1"/>
  <c r="P806" i="4"/>
  <c r="U806" i="4" s="1"/>
  <c r="Z806" i="4" s="1"/>
  <c r="Q806" i="4"/>
  <c r="V806" i="4"/>
  <c r="AA806" i="4" s="1"/>
  <c r="M807" i="4"/>
  <c r="R807" i="4"/>
  <c r="W807" i="4" s="1"/>
  <c r="N807" i="4"/>
  <c r="S807" i="4" s="1"/>
  <c r="X807" i="4" s="1"/>
  <c r="O807" i="4"/>
  <c r="T807" i="4" s="1"/>
  <c r="Y807" i="4" s="1"/>
  <c r="P807" i="4"/>
  <c r="U807" i="4"/>
  <c r="Z807" i="4" s="1"/>
  <c r="Q807" i="4"/>
  <c r="V807" i="4"/>
  <c r="AA807" i="4" s="1"/>
  <c r="M808" i="4"/>
  <c r="R808" i="4" s="1"/>
  <c r="W808" i="4" s="1"/>
  <c r="N808" i="4"/>
  <c r="S808" i="4" s="1"/>
  <c r="X808" i="4" s="1"/>
  <c r="O808" i="4"/>
  <c r="T808" i="4"/>
  <c r="Y808" i="4" s="1"/>
  <c r="P808" i="4"/>
  <c r="U808" i="4"/>
  <c r="Z808" i="4" s="1"/>
  <c r="Q808" i="4"/>
  <c r="V808" i="4" s="1"/>
  <c r="AA808" i="4" s="1"/>
  <c r="M809" i="4"/>
  <c r="R809" i="4"/>
  <c r="W809" i="4" s="1"/>
  <c r="N809" i="4"/>
  <c r="S809" i="4" s="1"/>
  <c r="X809" i="4" s="1"/>
  <c r="O809" i="4"/>
  <c r="T809" i="4" s="1"/>
  <c r="Y809" i="4" s="1"/>
  <c r="P809" i="4"/>
  <c r="U809" i="4"/>
  <c r="Z809" i="4" s="1"/>
  <c r="Q809" i="4"/>
  <c r="V809" i="4"/>
  <c r="AA809" i="4" s="1"/>
  <c r="M810" i="4"/>
  <c r="R810" i="4" s="1"/>
  <c r="W810" i="4" s="1"/>
  <c r="N810" i="4"/>
  <c r="S810" i="4" s="1"/>
  <c r="X810" i="4" s="1"/>
  <c r="O810" i="4"/>
  <c r="T810" i="4"/>
  <c r="Y810" i="4" s="1"/>
  <c r="P810" i="4"/>
  <c r="U810" i="4"/>
  <c r="Z810" i="4" s="1"/>
  <c r="Q810" i="4"/>
  <c r="V810" i="4" s="1"/>
  <c r="AA810" i="4" s="1"/>
  <c r="M811" i="4"/>
  <c r="R811" i="4" s="1"/>
  <c r="W811" i="4" s="1"/>
  <c r="N811" i="4"/>
  <c r="S811" i="4"/>
  <c r="X811" i="4" s="1"/>
  <c r="O811" i="4"/>
  <c r="T811" i="4"/>
  <c r="Y811" i="4" s="1"/>
  <c r="P811" i="4"/>
  <c r="U811" i="4" s="1"/>
  <c r="Z811" i="4" s="1"/>
  <c r="Q811" i="4"/>
  <c r="V811" i="4" s="1"/>
  <c r="AA811" i="4" s="1"/>
  <c r="M812" i="4"/>
  <c r="R812" i="4"/>
  <c r="W812" i="4" s="1"/>
  <c r="N812" i="4"/>
  <c r="S812" i="4"/>
  <c r="X812" i="4" s="1"/>
  <c r="O812" i="4"/>
  <c r="T812" i="4" s="1"/>
  <c r="Y812" i="4" s="1"/>
  <c r="P812" i="4"/>
  <c r="U812" i="4" s="1"/>
  <c r="Z812" i="4" s="1"/>
  <c r="Q812" i="4"/>
  <c r="V812" i="4"/>
  <c r="AA812" i="4" s="1"/>
  <c r="M813" i="4"/>
  <c r="R813" i="4" s="1"/>
  <c r="W813" i="4" s="1"/>
  <c r="N813" i="4"/>
  <c r="S813" i="4"/>
  <c r="X813" i="4" s="1"/>
  <c r="O813" i="4"/>
  <c r="T813" i="4"/>
  <c r="Y813" i="4" s="1"/>
  <c r="P813" i="4"/>
  <c r="U813" i="4" s="1"/>
  <c r="Z813" i="4" s="1"/>
  <c r="Q813" i="4"/>
  <c r="V813" i="4" s="1"/>
  <c r="AA813" i="4" s="1"/>
  <c r="M814" i="4"/>
  <c r="R814" i="4"/>
  <c r="W814" i="4" s="1"/>
  <c r="N814" i="4"/>
  <c r="S814" i="4"/>
  <c r="X814" i="4" s="1"/>
  <c r="O814" i="4"/>
  <c r="T814" i="4" s="1"/>
  <c r="Y814" i="4" s="1"/>
  <c r="P814" i="4"/>
  <c r="U814" i="4" s="1"/>
  <c r="Z814" i="4" s="1"/>
  <c r="Q814" i="4"/>
  <c r="V814" i="4"/>
  <c r="AA814" i="4" s="1"/>
  <c r="M815" i="4"/>
  <c r="R815" i="4"/>
  <c r="W815" i="4" s="1"/>
  <c r="N815" i="4"/>
  <c r="S815" i="4" s="1"/>
  <c r="X815" i="4" s="1"/>
  <c r="O815" i="4"/>
  <c r="T815" i="4" s="1"/>
  <c r="Y815" i="4" s="1"/>
  <c r="P815" i="4"/>
  <c r="U815" i="4"/>
  <c r="Z815" i="4" s="1"/>
  <c r="Q815" i="4"/>
  <c r="V815" i="4"/>
  <c r="AA815" i="4" s="1"/>
  <c r="M816" i="4"/>
  <c r="R816" i="4" s="1"/>
  <c r="W816" i="4" s="1"/>
  <c r="N816" i="4"/>
  <c r="S816" i="4" s="1"/>
  <c r="X816" i="4" s="1"/>
  <c r="O816" i="4"/>
  <c r="T816" i="4"/>
  <c r="Y816" i="4" s="1"/>
  <c r="P816" i="4"/>
  <c r="U816" i="4"/>
  <c r="Z816" i="4" s="1"/>
  <c r="Q816" i="4"/>
  <c r="V816" i="4" s="1"/>
  <c r="AA816" i="4" s="1"/>
  <c r="M817" i="4"/>
  <c r="R817" i="4"/>
  <c r="W817" i="4" s="1"/>
  <c r="N817" i="4"/>
  <c r="S817" i="4" s="1"/>
  <c r="X817" i="4" s="1"/>
  <c r="O817" i="4"/>
  <c r="T817" i="4" s="1"/>
  <c r="Y817" i="4" s="1"/>
  <c r="P817" i="4"/>
  <c r="U817" i="4"/>
  <c r="Z817" i="4" s="1"/>
  <c r="Q817" i="4"/>
  <c r="V817" i="4"/>
  <c r="AA817" i="4" s="1"/>
  <c r="M818" i="4"/>
  <c r="R818" i="4" s="1"/>
  <c r="W818" i="4" s="1"/>
  <c r="N818" i="4"/>
  <c r="S818" i="4" s="1"/>
  <c r="X818" i="4" s="1"/>
  <c r="O818" i="4"/>
  <c r="T818" i="4"/>
  <c r="Y818" i="4" s="1"/>
  <c r="P818" i="4"/>
  <c r="U818" i="4"/>
  <c r="Z818" i="4" s="1"/>
  <c r="Q818" i="4"/>
  <c r="V818" i="4" s="1"/>
  <c r="AA818" i="4" s="1"/>
  <c r="M819" i="4"/>
  <c r="R819" i="4" s="1"/>
  <c r="W819" i="4" s="1"/>
  <c r="N819" i="4"/>
  <c r="S819" i="4"/>
  <c r="X819" i="4" s="1"/>
  <c r="O819" i="4"/>
  <c r="T819" i="4"/>
  <c r="Y819" i="4" s="1"/>
  <c r="P819" i="4"/>
  <c r="U819" i="4" s="1"/>
  <c r="Z819" i="4" s="1"/>
  <c r="Q819" i="4"/>
  <c r="V819" i="4" s="1"/>
  <c r="AA819" i="4" s="1"/>
  <c r="M820" i="4"/>
  <c r="R820" i="4"/>
  <c r="W820" i="4" s="1"/>
  <c r="N820" i="4"/>
  <c r="S820" i="4"/>
  <c r="X820" i="4" s="1"/>
  <c r="O820" i="4"/>
  <c r="T820" i="4" s="1"/>
  <c r="Y820" i="4" s="1"/>
  <c r="P820" i="4"/>
  <c r="U820" i="4" s="1"/>
  <c r="Z820" i="4" s="1"/>
  <c r="Q820" i="4"/>
  <c r="V820" i="4"/>
  <c r="AA820" i="4" s="1"/>
  <c r="M821" i="4"/>
  <c r="R821" i="4" s="1"/>
  <c r="W821" i="4" s="1"/>
  <c r="N821" i="4"/>
  <c r="S821" i="4"/>
  <c r="X821" i="4" s="1"/>
  <c r="O821" i="4"/>
  <c r="T821" i="4"/>
  <c r="Y821" i="4" s="1"/>
  <c r="P821" i="4"/>
  <c r="U821" i="4" s="1"/>
  <c r="Z821" i="4" s="1"/>
  <c r="Q821" i="4"/>
  <c r="V821" i="4" s="1"/>
  <c r="AA821" i="4" s="1"/>
  <c r="M822" i="4"/>
  <c r="R822" i="4"/>
  <c r="W822" i="4" s="1"/>
  <c r="N822" i="4"/>
  <c r="S822" i="4"/>
  <c r="X822" i="4" s="1"/>
  <c r="O822" i="4"/>
  <c r="T822" i="4" s="1"/>
  <c r="Y822" i="4" s="1"/>
  <c r="P822" i="4"/>
  <c r="U822" i="4" s="1"/>
  <c r="Z822" i="4" s="1"/>
  <c r="Q822" i="4"/>
  <c r="V822" i="4"/>
  <c r="AA822" i="4" s="1"/>
  <c r="M823" i="4"/>
  <c r="R823" i="4"/>
  <c r="W823" i="4" s="1"/>
  <c r="N823" i="4"/>
  <c r="S823" i="4" s="1"/>
  <c r="X823" i="4" s="1"/>
  <c r="O823" i="4"/>
  <c r="T823" i="4" s="1"/>
  <c r="Y823" i="4" s="1"/>
  <c r="P823" i="4"/>
  <c r="U823" i="4"/>
  <c r="Z823" i="4" s="1"/>
  <c r="Q823" i="4"/>
  <c r="V823" i="4"/>
  <c r="AA823" i="4" s="1"/>
  <c r="M824" i="4"/>
  <c r="R824" i="4" s="1"/>
  <c r="W824" i="4" s="1"/>
  <c r="N824" i="4"/>
  <c r="S824" i="4" s="1"/>
  <c r="X824" i="4" s="1"/>
  <c r="O824" i="4"/>
  <c r="T824" i="4"/>
  <c r="Y824" i="4" s="1"/>
  <c r="P824" i="4"/>
  <c r="U824" i="4"/>
  <c r="Z824" i="4" s="1"/>
  <c r="Q824" i="4"/>
  <c r="V824" i="4" s="1"/>
  <c r="AA824" i="4" s="1"/>
  <c r="M825" i="4"/>
  <c r="R825" i="4"/>
  <c r="W825" i="4" s="1"/>
  <c r="N825" i="4"/>
  <c r="S825" i="4" s="1"/>
  <c r="X825" i="4" s="1"/>
  <c r="O825" i="4"/>
  <c r="T825" i="4" s="1"/>
  <c r="Y825" i="4" s="1"/>
  <c r="P825" i="4"/>
  <c r="U825" i="4"/>
  <c r="Z825" i="4" s="1"/>
  <c r="Q825" i="4"/>
  <c r="V825" i="4"/>
  <c r="AA825" i="4" s="1"/>
  <c r="M826" i="4"/>
  <c r="R826" i="4" s="1"/>
  <c r="W826" i="4" s="1"/>
  <c r="N826" i="4"/>
  <c r="S826" i="4" s="1"/>
  <c r="X826" i="4" s="1"/>
  <c r="O826" i="4"/>
  <c r="T826" i="4"/>
  <c r="Y826" i="4" s="1"/>
  <c r="P826" i="4"/>
  <c r="U826" i="4"/>
  <c r="Z826" i="4" s="1"/>
  <c r="Q826" i="4"/>
  <c r="V826" i="4" s="1"/>
  <c r="AA826" i="4" s="1"/>
  <c r="M827" i="4"/>
  <c r="R827" i="4" s="1"/>
  <c r="W827" i="4" s="1"/>
  <c r="N827" i="4"/>
  <c r="S827" i="4" s="1"/>
  <c r="X827" i="4" s="1"/>
  <c r="O827" i="4"/>
  <c r="T827" i="4" s="1"/>
  <c r="Y827" i="4" s="1"/>
  <c r="P827" i="4"/>
  <c r="U827" i="4"/>
  <c r="Z827" i="4" s="1"/>
  <c r="Q827" i="4"/>
  <c r="V827" i="4"/>
  <c r="AA827" i="4" s="1"/>
  <c r="M828" i="4"/>
  <c r="R828" i="4" s="1"/>
  <c r="W828" i="4" s="1"/>
  <c r="N828" i="4"/>
  <c r="S828" i="4" s="1"/>
  <c r="X828" i="4" s="1"/>
  <c r="O828" i="4"/>
  <c r="T828" i="4"/>
  <c r="Y828" i="4" s="1"/>
  <c r="P828" i="4"/>
  <c r="U828" i="4"/>
  <c r="Z828" i="4" s="1"/>
  <c r="Q828" i="4"/>
  <c r="V828" i="4" s="1"/>
  <c r="AA828" i="4" s="1"/>
  <c r="M829" i="4"/>
  <c r="R829" i="4"/>
  <c r="W829" i="4" s="1"/>
  <c r="N829" i="4"/>
  <c r="S829" i="4" s="1"/>
  <c r="X829" i="4" s="1"/>
  <c r="O829" i="4"/>
  <c r="T829" i="4" s="1"/>
  <c r="Y829" i="4" s="1"/>
  <c r="P829" i="4"/>
  <c r="U829" i="4"/>
  <c r="Z829" i="4" s="1"/>
  <c r="Q829" i="4"/>
  <c r="V829" i="4"/>
  <c r="AA829" i="4" s="1"/>
  <c r="M830" i="4"/>
  <c r="R830" i="4" s="1"/>
  <c r="W830" i="4" s="1"/>
  <c r="N830" i="4"/>
  <c r="S830" i="4" s="1"/>
  <c r="X830" i="4" s="1"/>
  <c r="O830" i="4"/>
  <c r="T830" i="4"/>
  <c r="Y830" i="4" s="1"/>
  <c r="P830" i="4"/>
  <c r="U830" i="4"/>
  <c r="Z830" i="4" s="1"/>
  <c r="Q830" i="4"/>
  <c r="V830" i="4" s="1"/>
  <c r="AA830" i="4" s="1"/>
  <c r="M831" i="4"/>
  <c r="R831" i="4" s="1"/>
  <c r="W831" i="4" s="1"/>
  <c r="N831" i="4"/>
  <c r="S831" i="4"/>
  <c r="X831" i="4" s="1"/>
  <c r="O831" i="4"/>
  <c r="T831" i="4"/>
  <c r="Y831" i="4" s="1"/>
  <c r="P831" i="4"/>
  <c r="U831" i="4" s="1"/>
  <c r="Z831" i="4" s="1"/>
  <c r="Q831" i="4"/>
  <c r="V831" i="4" s="1"/>
  <c r="AA831" i="4" s="1"/>
  <c r="M832" i="4"/>
  <c r="R832" i="4"/>
  <c r="W832" i="4" s="1"/>
  <c r="N832" i="4"/>
  <c r="S832" i="4"/>
  <c r="X832" i="4" s="1"/>
  <c r="O832" i="4"/>
  <c r="T832" i="4" s="1"/>
  <c r="Y832" i="4" s="1"/>
  <c r="P832" i="4"/>
  <c r="U832" i="4" s="1"/>
  <c r="Z832" i="4" s="1"/>
  <c r="Q832" i="4"/>
  <c r="V832" i="4"/>
  <c r="AA832" i="4" s="1"/>
  <c r="M833" i="4"/>
  <c r="R833" i="4" s="1"/>
  <c r="W833" i="4" s="1"/>
  <c r="N833" i="4"/>
  <c r="S833" i="4"/>
  <c r="X833" i="4" s="1"/>
  <c r="O833" i="4"/>
  <c r="T833" i="4"/>
  <c r="Y833" i="4" s="1"/>
  <c r="P833" i="4"/>
  <c r="U833" i="4" s="1"/>
  <c r="Z833" i="4" s="1"/>
  <c r="Q833" i="4"/>
  <c r="V833" i="4" s="1"/>
  <c r="AA833" i="4" s="1"/>
  <c r="M834" i="4"/>
  <c r="R834" i="4"/>
  <c r="W834" i="4" s="1"/>
  <c r="N834" i="4"/>
  <c r="S834" i="4"/>
  <c r="X834" i="4" s="1"/>
  <c r="O834" i="4"/>
  <c r="T834" i="4" s="1"/>
  <c r="Y834" i="4" s="1"/>
  <c r="P834" i="4"/>
  <c r="U834" i="4" s="1"/>
  <c r="Z834" i="4" s="1"/>
  <c r="Q834" i="4"/>
  <c r="V834" i="4"/>
  <c r="AA834" i="4" s="1"/>
  <c r="M835" i="4"/>
  <c r="R835" i="4"/>
  <c r="W835" i="4" s="1"/>
  <c r="N835" i="4"/>
  <c r="S835" i="4" s="1"/>
  <c r="X835" i="4" s="1"/>
  <c r="O835" i="4"/>
  <c r="T835" i="4" s="1"/>
  <c r="Y835" i="4" s="1"/>
  <c r="P835" i="4"/>
  <c r="U835" i="4"/>
  <c r="Z835" i="4" s="1"/>
  <c r="Q835" i="4"/>
  <c r="V835" i="4"/>
  <c r="AA835" i="4" s="1"/>
  <c r="M836" i="4"/>
  <c r="R836" i="4" s="1"/>
  <c r="W836" i="4" s="1"/>
  <c r="N836" i="4"/>
  <c r="S836" i="4" s="1"/>
  <c r="X836" i="4" s="1"/>
  <c r="O836" i="4"/>
  <c r="T836" i="4"/>
  <c r="Y836" i="4" s="1"/>
  <c r="P836" i="4"/>
  <c r="U836" i="4"/>
  <c r="Z836" i="4" s="1"/>
  <c r="Q836" i="4"/>
  <c r="V836" i="4" s="1"/>
  <c r="AA836" i="4" s="1"/>
  <c r="M837" i="4"/>
  <c r="R837" i="4"/>
  <c r="W837" i="4" s="1"/>
  <c r="N837" i="4"/>
  <c r="S837" i="4" s="1"/>
  <c r="X837" i="4" s="1"/>
  <c r="O837" i="4"/>
  <c r="T837" i="4" s="1"/>
  <c r="Y837" i="4" s="1"/>
  <c r="P837" i="4"/>
  <c r="U837" i="4"/>
  <c r="Z837" i="4" s="1"/>
  <c r="Q837" i="4"/>
  <c r="V837" i="4"/>
  <c r="AA837" i="4" s="1"/>
  <c r="M838" i="4"/>
  <c r="R838" i="4" s="1"/>
  <c r="W838" i="4" s="1"/>
  <c r="N838" i="4"/>
  <c r="S838" i="4" s="1"/>
  <c r="X838" i="4" s="1"/>
  <c r="O838" i="4"/>
  <c r="T838" i="4"/>
  <c r="Y838" i="4" s="1"/>
  <c r="P838" i="4"/>
  <c r="U838" i="4"/>
  <c r="Z838" i="4" s="1"/>
  <c r="Q838" i="4"/>
  <c r="V838" i="4" s="1"/>
  <c r="AA838" i="4" s="1"/>
  <c r="M839" i="4"/>
  <c r="R839" i="4" s="1"/>
  <c r="W839" i="4" s="1"/>
  <c r="N839" i="4"/>
  <c r="S839" i="4"/>
  <c r="X839" i="4" s="1"/>
  <c r="O839" i="4"/>
  <c r="T839" i="4"/>
  <c r="Y839" i="4" s="1"/>
  <c r="P839" i="4"/>
  <c r="U839" i="4" s="1"/>
  <c r="Z839" i="4" s="1"/>
  <c r="Q839" i="4"/>
  <c r="V839" i="4" s="1"/>
  <c r="AA839" i="4" s="1"/>
  <c r="M840" i="4"/>
  <c r="R840" i="4"/>
  <c r="W840" i="4" s="1"/>
  <c r="N840" i="4"/>
  <c r="S840" i="4"/>
  <c r="X840" i="4" s="1"/>
  <c r="O840" i="4"/>
  <c r="T840" i="4" s="1"/>
  <c r="Y840" i="4" s="1"/>
  <c r="P840" i="4"/>
  <c r="U840" i="4" s="1"/>
  <c r="Z840" i="4" s="1"/>
  <c r="Q840" i="4"/>
  <c r="V840" i="4"/>
  <c r="AA840" i="4" s="1"/>
  <c r="M841" i="4"/>
  <c r="R841" i="4" s="1"/>
  <c r="W841" i="4" s="1"/>
  <c r="N841" i="4"/>
  <c r="S841" i="4"/>
  <c r="X841" i="4" s="1"/>
  <c r="O841" i="4"/>
  <c r="T841" i="4"/>
  <c r="Y841" i="4" s="1"/>
  <c r="P841" i="4"/>
  <c r="U841" i="4" s="1"/>
  <c r="Z841" i="4" s="1"/>
  <c r="Q841" i="4"/>
  <c r="V841" i="4" s="1"/>
  <c r="AA841" i="4" s="1"/>
  <c r="M842" i="4"/>
  <c r="R842" i="4"/>
  <c r="W842" i="4" s="1"/>
  <c r="N842" i="4"/>
  <c r="S842" i="4"/>
  <c r="X842" i="4" s="1"/>
  <c r="O842" i="4"/>
  <c r="T842" i="4" s="1"/>
  <c r="Y842" i="4" s="1"/>
  <c r="P842" i="4"/>
  <c r="U842" i="4" s="1"/>
  <c r="Z842" i="4" s="1"/>
  <c r="Q842" i="4"/>
  <c r="V842" i="4"/>
  <c r="AA842" i="4" s="1"/>
  <c r="M843" i="4"/>
  <c r="R843" i="4"/>
  <c r="W843" i="4" s="1"/>
  <c r="N843" i="4"/>
  <c r="S843" i="4" s="1"/>
  <c r="X843" i="4" s="1"/>
  <c r="O843" i="4"/>
  <c r="T843" i="4" s="1"/>
  <c r="Y843" i="4" s="1"/>
  <c r="P843" i="4"/>
  <c r="U843" i="4"/>
  <c r="Z843" i="4" s="1"/>
  <c r="Q843" i="4"/>
  <c r="V843" i="4"/>
  <c r="AA843" i="4" s="1"/>
  <c r="M844" i="4"/>
  <c r="R844" i="4" s="1"/>
  <c r="W844" i="4" s="1"/>
  <c r="N844" i="4"/>
  <c r="S844" i="4" s="1"/>
  <c r="X844" i="4" s="1"/>
  <c r="O844" i="4"/>
  <c r="T844" i="4"/>
  <c r="Y844" i="4" s="1"/>
  <c r="P844" i="4"/>
  <c r="U844" i="4"/>
  <c r="Z844" i="4" s="1"/>
  <c r="Q844" i="4"/>
  <c r="V844" i="4" s="1"/>
  <c r="AA844" i="4" s="1"/>
  <c r="M845" i="4"/>
  <c r="R845" i="4"/>
  <c r="W845" i="4" s="1"/>
  <c r="N845" i="4"/>
  <c r="S845" i="4" s="1"/>
  <c r="X845" i="4" s="1"/>
  <c r="O845" i="4"/>
  <c r="T845" i="4" s="1"/>
  <c r="Y845" i="4" s="1"/>
  <c r="P845" i="4"/>
  <c r="U845" i="4"/>
  <c r="Z845" i="4" s="1"/>
  <c r="Q845" i="4"/>
  <c r="V845" i="4"/>
  <c r="AA845" i="4" s="1"/>
  <c r="M846" i="4"/>
  <c r="R846" i="4" s="1"/>
  <c r="W846" i="4" s="1"/>
  <c r="N846" i="4"/>
  <c r="S846" i="4" s="1"/>
  <c r="X846" i="4" s="1"/>
  <c r="O846" i="4"/>
  <c r="T846" i="4"/>
  <c r="Y846" i="4" s="1"/>
  <c r="P846" i="4"/>
  <c r="U846" i="4"/>
  <c r="Z846" i="4" s="1"/>
  <c r="Q846" i="4"/>
  <c r="V846" i="4" s="1"/>
  <c r="AA846" i="4" s="1"/>
  <c r="M847" i="4"/>
  <c r="R847" i="4" s="1"/>
  <c r="W847" i="4" s="1"/>
  <c r="N847" i="4"/>
  <c r="S847" i="4"/>
  <c r="X847" i="4" s="1"/>
  <c r="O847" i="4"/>
  <c r="T847" i="4"/>
  <c r="Y847" i="4" s="1"/>
  <c r="P847" i="4"/>
  <c r="U847" i="4" s="1"/>
  <c r="Z847" i="4" s="1"/>
  <c r="Q847" i="4"/>
  <c r="V847" i="4" s="1"/>
  <c r="AA847" i="4" s="1"/>
  <c r="M848" i="4"/>
  <c r="R848" i="4"/>
  <c r="W848" i="4" s="1"/>
  <c r="N848" i="4"/>
  <c r="S848" i="4"/>
  <c r="X848" i="4" s="1"/>
  <c r="O848" i="4"/>
  <c r="T848" i="4" s="1"/>
  <c r="Y848" i="4" s="1"/>
  <c r="P848" i="4"/>
  <c r="U848" i="4" s="1"/>
  <c r="Z848" i="4" s="1"/>
  <c r="Q848" i="4"/>
  <c r="V848" i="4"/>
  <c r="AA848" i="4" s="1"/>
  <c r="M849" i="4"/>
  <c r="R849" i="4" s="1"/>
  <c r="W849" i="4" s="1"/>
  <c r="N849" i="4"/>
  <c r="S849" i="4"/>
  <c r="X849" i="4" s="1"/>
  <c r="O849" i="4"/>
  <c r="T849" i="4"/>
  <c r="Y849" i="4" s="1"/>
  <c r="P849" i="4"/>
  <c r="U849" i="4" s="1"/>
  <c r="Z849" i="4" s="1"/>
  <c r="Q849" i="4"/>
  <c r="V849" i="4" s="1"/>
  <c r="AA849" i="4" s="1"/>
  <c r="M850" i="4"/>
  <c r="R850" i="4"/>
  <c r="W850" i="4" s="1"/>
  <c r="N850" i="4"/>
  <c r="S850" i="4"/>
  <c r="X850" i="4" s="1"/>
  <c r="O850" i="4"/>
  <c r="T850" i="4" s="1"/>
  <c r="Y850" i="4" s="1"/>
  <c r="P850" i="4"/>
  <c r="U850" i="4" s="1"/>
  <c r="Z850" i="4" s="1"/>
  <c r="Q850" i="4"/>
  <c r="V850" i="4"/>
  <c r="AA850" i="4" s="1"/>
  <c r="M851" i="4"/>
  <c r="R851" i="4"/>
  <c r="W851" i="4" s="1"/>
  <c r="N851" i="4"/>
  <c r="S851" i="4" s="1"/>
  <c r="X851" i="4" s="1"/>
  <c r="O851" i="4"/>
  <c r="T851" i="4" s="1"/>
  <c r="Y851" i="4" s="1"/>
  <c r="P851" i="4"/>
  <c r="U851" i="4"/>
  <c r="Z851" i="4" s="1"/>
  <c r="Q851" i="4"/>
  <c r="V851" i="4"/>
  <c r="AA851" i="4" s="1"/>
  <c r="M852" i="4"/>
  <c r="R852" i="4" s="1"/>
  <c r="W852" i="4" s="1"/>
  <c r="N852" i="4"/>
  <c r="S852" i="4" s="1"/>
  <c r="X852" i="4" s="1"/>
  <c r="O852" i="4"/>
  <c r="T852" i="4"/>
  <c r="Y852" i="4" s="1"/>
  <c r="P852" i="4"/>
  <c r="U852" i="4"/>
  <c r="Z852" i="4" s="1"/>
  <c r="Q852" i="4"/>
  <c r="V852" i="4" s="1"/>
  <c r="AA852" i="4" s="1"/>
  <c r="M853" i="4"/>
  <c r="R853" i="4"/>
  <c r="W853" i="4" s="1"/>
  <c r="N853" i="4"/>
  <c r="S853" i="4" s="1"/>
  <c r="X853" i="4" s="1"/>
  <c r="O853" i="4"/>
  <c r="T853" i="4" s="1"/>
  <c r="Y853" i="4" s="1"/>
  <c r="P853" i="4"/>
  <c r="U853" i="4"/>
  <c r="Z853" i="4" s="1"/>
  <c r="Q853" i="4"/>
  <c r="V853" i="4"/>
  <c r="AA853" i="4" s="1"/>
  <c r="M854" i="4"/>
  <c r="R854" i="4" s="1"/>
  <c r="W854" i="4" s="1"/>
  <c r="N854" i="4"/>
  <c r="S854" i="4" s="1"/>
  <c r="X854" i="4" s="1"/>
  <c r="O854" i="4"/>
  <c r="T854" i="4"/>
  <c r="Y854" i="4" s="1"/>
  <c r="P854" i="4"/>
  <c r="U854" i="4"/>
  <c r="Z854" i="4" s="1"/>
  <c r="Q854" i="4"/>
  <c r="V854" i="4" s="1"/>
  <c r="AA854" i="4" s="1"/>
  <c r="M855" i="4"/>
  <c r="R855" i="4" s="1"/>
  <c r="W855" i="4" s="1"/>
  <c r="N855" i="4"/>
  <c r="S855" i="4"/>
  <c r="X855" i="4" s="1"/>
  <c r="O855" i="4"/>
  <c r="T855" i="4"/>
  <c r="Y855" i="4" s="1"/>
  <c r="P855" i="4"/>
  <c r="U855" i="4" s="1"/>
  <c r="Z855" i="4" s="1"/>
  <c r="Q855" i="4"/>
  <c r="V855" i="4" s="1"/>
  <c r="AA855" i="4" s="1"/>
  <c r="M856" i="4"/>
  <c r="R856" i="4"/>
  <c r="W856" i="4" s="1"/>
  <c r="N856" i="4"/>
  <c r="S856" i="4"/>
  <c r="X856" i="4" s="1"/>
  <c r="O856" i="4"/>
  <c r="T856" i="4" s="1"/>
  <c r="Y856" i="4" s="1"/>
  <c r="P856" i="4"/>
  <c r="U856" i="4" s="1"/>
  <c r="Z856" i="4" s="1"/>
  <c r="Q856" i="4"/>
  <c r="V856" i="4"/>
  <c r="AA856" i="4" s="1"/>
  <c r="M857" i="4"/>
  <c r="R857" i="4" s="1"/>
  <c r="W857" i="4" s="1"/>
  <c r="N857" i="4"/>
  <c r="S857" i="4"/>
  <c r="X857" i="4" s="1"/>
  <c r="O857" i="4"/>
  <c r="T857" i="4"/>
  <c r="Y857" i="4" s="1"/>
  <c r="P857" i="4"/>
  <c r="U857" i="4" s="1"/>
  <c r="Z857" i="4" s="1"/>
  <c r="Q857" i="4"/>
  <c r="V857" i="4" s="1"/>
  <c r="AA857" i="4" s="1"/>
  <c r="M858" i="4"/>
  <c r="R858" i="4"/>
  <c r="W858" i="4" s="1"/>
  <c r="N858" i="4"/>
  <c r="S858" i="4"/>
  <c r="X858" i="4" s="1"/>
  <c r="O858" i="4"/>
  <c r="T858" i="4" s="1"/>
  <c r="Y858" i="4" s="1"/>
  <c r="P858" i="4"/>
  <c r="U858" i="4" s="1"/>
  <c r="Z858" i="4" s="1"/>
  <c r="Q858" i="4"/>
  <c r="V858" i="4"/>
  <c r="AA858" i="4" s="1"/>
  <c r="M859" i="4"/>
  <c r="R859" i="4"/>
  <c r="W859" i="4" s="1"/>
  <c r="N859" i="4"/>
  <c r="S859" i="4" s="1"/>
  <c r="X859" i="4" s="1"/>
  <c r="O859" i="4"/>
  <c r="T859" i="4" s="1"/>
  <c r="Y859" i="4" s="1"/>
  <c r="P859" i="4"/>
  <c r="U859" i="4"/>
  <c r="Z859" i="4" s="1"/>
  <c r="Q859" i="4"/>
  <c r="V859" i="4"/>
  <c r="AA859" i="4" s="1"/>
  <c r="M860" i="4"/>
  <c r="R860" i="4" s="1"/>
  <c r="W860" i="4" s="1"/>
  <c r="N860" i="4"/>
  <c r="S860" i="4" s="1"/>
  <c r="X860" i="4" s="1"/>
  <c r="O860" i="4"/>
  <c r="T860" i="4"/>
  <c r="Y860" i="4" s="1"/>
  <c r="P860" i="4"/>
  <c r="U860" i="4"/>
  <c r="Z860" i="4" s="1"/>
  <c r="Q860" i="4"/>
  <c r="V860" i="4" s="1"/>
  <c r="AA860" i="4" s="1"/>
  <c r="M861" i="4"/>
  <c r="R861" i="4"/>
  <c r="W861" i="4" s="1"/>
  <c r="N861" i="4"/>
  <c r="S861" i="4" s="1"/>
  <c r="X861" i="4" s="1"/>
  <c r="O861" i="4"/>
  <c r="T861" i="4" s="1"/>
  <c r="Y861" i="4" s="1"/>
  <c r="P861" i="4"/>
  <c r="U861" i="4"/>
  <c r="Z861" i="4" s="1"/>
  <c r="Q861" i="4"/>
  <c r="V861" i="4"/>
  <c r="AA861" i="4" s="1"/>
  <c r="M862" i="4"/>
  <c r="R862" i="4" s="1"/>
  <c r="W862" i="4" s="1"/>
  <c r="N862" i="4"/>
  <c r="S862" i="4" s="1"/>
  <c r="X862" i="4" s="1"/>
  <c r="O862" i="4"/>
  <c r="T862" i="4"/>
  <c r="Y862" i="4" s="1"/>
  <c r="P862" i="4"/>
  <c r="U862" i="4"/>
  <c r="Z862" i="4" s="1"/>
  <c r="Q862" i="4"/>
  <c r="V862" i="4" s="1"/>
  <c r="AA862" i="4" s="1"/>
  <c r="M863" i="4"/>
  <c r="R863" i="4" s="1"/>
  <c r="W863" i="4" s="1"/>
  <c r="N863" i="4"/>
  <c r="S863" i="4"/>
  <c r="X863" i="4" s="1"/>
  <c r="O863" i="4"/>
  <c r="T863" i="4"/>
  <c r="Y863" i="4" s="1"/>
  <c r="P863" i="4"/>
  <c r="U863" i="4" s="1"/>
  <c r="Z863" i="4" s="1"/>
  <c r="Q863" i="4"/>
  <c r="V863" i="4" s="1"/>
  <c r="AA863" i="4" s="1"/>
  <c r="M864" i="4"/>
  <c r="R864" i="4"/>
  <c r="W864" i="4" s="1"/>
  <c r="N864" i="4"/>
  <c r="S864" i="4"/>
  <c r="X864" i="4" s="1"/>
  <c r="O864" i="4"/>
  <c r="T864" i="4" s="1"/>
  <c r="Y864" i="4" s="1"/>
  <c r="P864" i="4"/>
  <c r="U864" i="4" s="1"/>
  <c r="Z864" i="4" s="1"/>
  <c r="Q864" i="4"/>
  <c r="V864" i="4"/>
  <c r="AA864" i="4" s="1"/>
  <c r="M865" i="4"/>
  <c r="R865" i="4" s="1"/>
  <c r="W865" i="4" s="1"/>
  <c r="N865" i="4"/>
  <c r="S865" i="4"/>
  <c r="X865" i="4" s="1"/>
  <c r="O865" i="4"/>
  <c r="T865" i="4"/>
  <c r="Y865" i="4" s="1"/>
  <c r="P865" i="4"/>
  <c r="U865" i="4" s="1"/>
  <c r="Z865" i="4" s="1"/>
  <c r="Q865" i="4"/>
  <c r="V865" i="4" s="1"/>
  <c r="AA865" i="4" s="1"/>
  <c r="M866" i="4"/>
  <c r="R866" i="4"/>
  <c r="W866" i="4" s="1"/>
  <c r="N866" i="4"/>
  <c r="S866" i="4"/>
  <c r="X866" i="4" s="1"/>
  <c r="O866" i="4"/>
  <c r="T866" i="4" s="1"/>
  <c r="Y866" i="4" s="1"/>
  <c r="P866" i="4"/>
  <c r="U866" i="4" s="1"/>
  <c r="Z866" i="4" s="1"/>
  <c r="Q866" i="4"/>
  <c r="V866" i="4"/>
  <c r="AA866" i="4" s="1"/>
  <c r="M867" i="4"/>
  <c r="R867" i="4"/>
  <c r="W867" i="4" s="1"/>
  <c r="N867" i="4"/>
  <c r="S867" i="4" s="1"/>
  <c r="X867" i="4" s="1"/>
  <c r="O867" i="4"/>
  <c r="T867" i="4" s="1"/>
  <c r="Y867" i="4" s="1"/>
  <c r="P867" i="4"/>
  <c r="U867" i="4"/>
  <c r="Z867" i="4" s="1"/>
  <c r="Q867" i="4"/>
  <c r="V867" i="4"/>
  <c r="AA867" i="4" s="1"/>
  <c r="M868" i="4"/>
  <c r="R868" i="4" s="1"/>
  <c r="W868" i="4" s="1"/>
  <c r="N868" i="4"/>
  <c r="S868" i="4" s="1"/>
  <c r="X868" i="4" s="1"/>
  <c r="O868" i="4"/>
  <c r="T868" i="4"/>
  <c r="Y868" i="4" s="1"/>
  <c r="P868" i="4"/>
  <c r="U868" i="4"/>
  <c r="Z868" i="4" s="1"/>
  <c r="Q868" i="4"/>
  <c r="V868" i="4" s="1"/>
  <c r="AA868" i="4" s="1"/>
  <c r="M869" i="4"/>
  <c r="R869" i="4"/>
  <c r="W869" i="4" s="1"/>
  <c r="N869" i="4"/>
  <c r="S869" i="4" s="1"/>
  <c r="X869" i="4" s="1"/>
  <c r="O869" i="4"/>
  <c r="T869" i="4" s="1"/>
  <c r="Y869" i="4" s="1"/>
  <c r="P869" i="4"/>
  <c r="U869" i="4"/>
  <c r="Z869" i="4" s="1"/>
  <c r="Q869" i="4"/>
  <c r="V869" i="4"/>
  <c r="AA869" i="4" s="1"/>
  <c r="M870" i="4"/>
  <c r="R870" i="4" s="1"/>
  <c r="W870" i="4" s="1"/>
  <c r="N870" i="4"/>
  <c r="S870" i="4" s="1"/>
  <c r="X870" i="4" s="1"/>
  <c r="O870" i="4"/>
  <c r="T870" i="4"/>
  <c r="Y870" i="4" s="1"/>
  <c r="P870" i="4"/>
  <c r="U870" i="4"/>
  <c r="Z870" i="4" s="1"/>
  <c r="Q870" i="4"/>
  <c r="V870" i="4" s="1"/>
  <c r="AA870" i="4" s="1"/>
  <c r="M871" i="4"/>
  <c r="R871" i="4" s="1"/>
  <c r="W871" i="4" s="1"/>
  <c r="N871" i="4"/>
  <c r="S871" i="4"/>
  <c r="X871" i="4" s="1"/>
  <c r="O871" i="4"/>
  <c r="T871" i="4"/>
  <c r="Y871" i="4" s="1"/>
  <c r="P871" i="4"/>
  <c r="U871" i="4" s="1"/>
  <c r="Z871" i="4" s="1"/>
  <c r="Q871" i="4"/>
  <c r="V871" i="4" s="1"/>
  <c r="AA871" i="4" s="1"/>
  <c r="M872" i="4"/>
  <c r="R872" i="4"/>
  <c r="W872" i="4" s="1"/>
  <c r="N872" i="4"/>
  <c r="S872" i="4"/>
  <c r="X872" i="4" s="1"/>
  <c r="O872" i="4"/>
  <c r="T872" i="4" s="1"/>
  <c r="Y872" i="4" s="1"/>
  <c r="P872" i="4"/>
  <c r="U872" i="4" s="1"/>
  <c r="Z872" i="4" s="1"/>
  <c r="Q872" i="4"/>
  <c r="V872" i="4"/>
  <c r="AA872" i="4" s="1"/>
  <c r="M873" i="4"/>
  <c r="R873" i="4" s="1"/>
  <c r="W873" i="4" s="1"/>
  <c r="N873" i="4"/>
  <c r="S873" i="4"/>
  <c r="X873" i="4" s="1"/>
  <c r="O873" i="4"/>
  <c r="T873" i="4"/>
  <c r="Y873" i="4" s="1"/>
  <c r="P873" i="4"/>
  <c r="U873" i="4" s="1"/>
  <c r="Z873" i="4" s="1"/>
  <c r="Q873" i="4"/>
  <c r="V873" i="4" s="1"/>
  <c r="AA873" i="4" s="1"/>
  <c r="M874" i="4"/>
  <c r="R874" i="4"/>
  <c r="W874" i="4" s="1"/>
  <c r="N874" i="4"/>
  <c r="S874" i="4"/>
  <c r="X874" i="4" s="1"/>
  <c r="O874" i="4"/>
  <c r="T874" i="4" s="1"/>
  <c r="Y874" i="4" s="1"/>
  <c r="P874" i="4"/>
  <c r="U874" i="4" s="1"/>
  <c r="Z874" i="4" s="1"/>
  <c r="Q874" i="4"/>
  <c r="V874" i="4"/>
  <c r="AA874" i="4" s="1"/>
  <c r="M875" i="4"/>
  <c r="R875" i="4"/>
  <c r="W875" i="4" s="1"/>
  <c r="N875" i="4"/>
  <c r="S875" i="4" s="1"/>
  <c r="X875" i="4" s="1"/>
  <c r="O875" i="4"/>
  <c r="T875" i="4" s="1"/>
  <c r="Y875" i="4" s="1"/>
  <c r="P875" i="4"/>
  <c r="U875" i="4"/>
  <c r="Z875" i="4" s="1"/>
  <c r="Q875" i="4"/>
  <c r="V875" i="4"/>
  <c r="AA875" i="4" s="1"/>
  <c r="M876" i="4"/>
  <c r="R876" i="4" s="1"/>
  <c r="W876" i="4" s="1"/>
  <c r="N876" i="4"/>
  <c r="S876" i="4" s="1"/>
  <c r="X876" i="4" s="1"/>
  <c r="O876" i="4"/>
  <c r="T876" i="4"/>
  <c r="Y876" i="4" s="1"/>
  <c r="P876" i="4"/>
  <c r="U876" i="4"/>
  <c r="Z876" i="4" s="1"/>
  <c r="Q876" i="4"/>
  <c r="V876" i="4" s="1"/>
  <c r="AA876" i="4" s="1"/>
  <c r="M877" i="4"/>
  <c r="R877" i="4"/>
  <c r="W877" i="4" s="1"/>
  <c r="N877" i="4"/>
  <c r="S877" i="4" s="1"/>
  <c r="X877" i="4" s="1"/>
  <c r="O877" i="4"/>
  <c r="T877" i="4" s="1"/>
  <c r="Y877" i="4" s="1"/>
  <c r="P877" i="4"/>
  <c r="U877" i="4"/>
  <c r="Z877" i="4" s="1"/>
  <c r="Q877" i="4"/>
  <c r="V877" i="4"/>
  <c r="AA877" i="4" s="1"/>
  <c r="M878" i="4"/>
  <c r="R878" i="4" s="1"/>
  <c r="W878" i="4" s="1"/>
  <c r="N878" i="4"/>
  <c r="S878" i="4" s="1"/>
  <c r="X878" i="4" s="1"/>
  <c r="O878" i="4"/>
  <c r="T878" i="4"/>
  <c r="Y878" i="4" s="1"/>
  <c r="P878" i="4"/>
  <c r="U878" i="4"/>
  <c r="Z878" i="4" s="1"/>
  <c r="Q878" i="4"/>
  <c r="V878" i="4" s="1"/>
  <c r="AA878" i="4" s="1"/>
  <c r="M879" i="4"/>
  <c r="R879" i="4" s="1"/>
  <c r="W879" i="4" s="1"/>
  <c r="N879" i="4"/>
  <c r="S879" i="4"/>
  <c r="X879" i="4" s="1"/>
  <c r="O879" i="4"/>
  <c r="T879" i="4"/>
  <c r="Y879" i="4" s="1"/>
  <c r="P879" i="4"/>
  <c r="U879" i="4" s="1"/>
  <c r="Z879" i="4" s="1"/>
  <c r="Q879" i="4"/>
  <c r="V879" i="4" s="1"/>
  <c r="AA879" i="4" s="1"/>
  <c r="M880" i="4"/>
  <c r="R880" i="4"/>
  <c r="W880" i="4" s="1"/>
  <c r="N880" i="4"/>
  <c r="S880" i="4"/>
  <c r="X880" i="4" s="1"/>
  <c r="O880" i="4"/>
  <c r="T880" i="4" s="1"/>
  <c r="Y880" i="4" s="1"/>
  <c r="P880" i="4"/>
  <c r="U880" i="4" s="1"/>
  <c r="Z880" i="4" s="1"/>
  <c r="Q880" i="4"/>
  <c r="V880" i="4"/>
  <c r="AA880" i="4" s="1"/>
  <c r="M881" i="4"/>
  <c r="R881" i="4" s="1"/>
  <c r="W881" i="4" s="1"/>
  <c r="N881" i="4"/>
  <c r="S881" i="4"/>
  <c r="X881" i="4" s="1"/>
  <c r="O881" i="4"/>
  <c r="T881" i="4"/>
  <c r="Y881" i="4" s="1"/>
  <c r="P881" i="4"/>
  <c r="U881" i="4" s="1"/>
  <c r="Z881" i="4" s="1"/>
  <c r="Q881" i="4"/>
  <c r="V881" i="4" s="1"/>
  <c r="AA881" i="4" s="1"/>
  <c r="M882" i="4"/>
  <c r="R882" i="4"/>
  <c r="W882" i="4" s="1"/>
  <c r="N882" i="4"/>
  <c r="S882" i="4"/>
  <c r="X882" i="4" s="1"/>
  <c r="O882" i="4"/>
  <c r="T882" i="4" s="1"/>
  <c r="Y882" i="4" s="1"/>
  <c r="P882" i="4"/>
  <c r="U882" i="4" s="1"/>
  <c r="Z882" i="4" s="1"/>
  <c r="Q882" i="4"/>
  <c r="V882" i="4"/>
  <c r="AA882" i="4" s="1"/>
  <c r="M883" i="4"/>
  <c r="R883" i="4"/>
  <c r="W883" i="4" s="1"/>
  <c r="N883" i="4"/>
  <c r="S883" i="4" s="1"/>
  <c r="X883" i="4" s="1"/>
  <c r="O883" i="4"/>
  <c r="T883" i="4" s="1"/>
  <c r="Y883" i="4" s="1"/>
  <c r="P883" i="4"/>
  <c r="U883" i="4"/>
  <c r="Z883" i="4" s="1"/>
  <c r="Q883" i="4"/>
  <c r="V883" i="4"/>
  <c r="AA883" i="4" s="1"/>
  <c r="M884" i="4"/>
  <c r="R884" i="4" s="1"/>
  <c r="W884" i="4" s="1"/>
  <c r="N884" i="4"/>
  <c r="S884" i="4" s="1"/>
  <c r="X884" i="4" s="1"/>
  <c r="O884" i="4"/>
  <c r="T884" i="4"/>
  <c r="Y884" i="4" s="1"/>
  <c r="P884" i="4"/>
  <c r="U884" i="4"/>
  <c r="Z884" i="4" s="1"/>
  <c r="Q884" i="4"/>
  <c r="V884" i="4" s="1"/>
  <c r="AA884" i="4" s="1"/>
  <c r="M885" i="4"/>
  <c r="R885" i="4"/>
  <c r="W885" i="4" s="1"/>
  <c r="N885" i="4"/>
  <c r="S885" i="4" s="1"/>
  <c r="X885" i="4" s="1"/>
  <c r="O885" i="4"/>
  <c r="T885" i="4" s="1"/>
  <c r="Y885" i="4" s="1"/>
  <c r="P885" i="4"/>
  <c r="U885" i="4"/>
  <c r="Z885" i="4" s="1"/>
  <c r="Q885" i="4"/>
  <c r="V885" i="4"/>
  <c r="AA885" i="4" s="1"/>
  <c r="M886" i="4"/>
  <c r="R886" i="4" s="1"/>
  <c r="W886" i="4" s="1"/>
  <c r="N886" i="4"/>
  <c r="S886" i="4" s="1"/>
  <c r="X886" i="4" s="1"/>
  <c r="O886" i="4"/>
  <c r="T886" i="4"/>
  <c r="Y886" i="4" s="1"/>
  <c r="P886" i="4"/>
  <c r="U886" i="4"/>
  <c r="Z886" i="4" s="1"/>
  <c r="Q886" i="4"/>
  <c r="V886" i="4" s="1"/>
  <c r="AA886" i="4" s="1"/>
  <c r="M887" i="4"/>
  <c r="R887" i="4" s="1"/>
  <c r="W887" i="4" s="1"/>
  <c r="N887" i="4"/>
  <c r="S887" i="4"/>
  <c r="X887" i="4" s="1"/>
  <c r="O887" i="4"/>
  <c r="T887" i="4"/>
  <c r="Y887" i="4" s="1"/>
  <c r="P887" i="4"/>
  <c r="U887" i="4" s="1"/>
  <c r="Z887" i="4" s="1"/>
  <c r="Q887" i="4"/>
  <c r="V887" i="4" s="1"/>
  <c r="AA887" i="4" s="1"/>
  <c r="M888" i="4"/>
  <c r="R888" i="4"/>
  <c r="W888" i="4" s="1"/>
  <c r="N888" i="4"/>
  <c r="S888" i="4"/>
  <c r="X888" i="4" s="1"/>
  <c r="O888" i="4"/>
  <c r="T888" i="4" s="1"/>
  <c r="Y888" i="4" s="1"/>
  <c r="P888" i="4"/>
  <c r="U888" i="4" s="1"/>
  <c r="Z888" i="4" s="1"/>
  <c r="Q888" i="4"/>
  <c r="V888" i="4"/>
  <c r="AA888" i="4" s="1"/>
  <c r="M889" i="4"/>
  <c r="R889" i="4" s="1"/>
  <c r="W889" i="4" s="1"/>
  <c r="N889" i="4"/>
  <c r="S889" i="4"/>
  <c r="X889" i="4" s="1"/>
  <c r="O889" i="4"/>
  <c r="T889" i="4"/>
  <c r="Y889" i="4" s="1"/>
  <c r="P889" i="4"/>
  <c r="U889" i="4" s="1"/>
  <c r="Z889" i="4" s="1"/>
  <c r="Q889" i="4"/>
  <c r="V889" i="4" s="1"/>
  <c r="AA889" i="4" s="1"/>
  <c r="M890" i="4"/>
  <c r="R890" i="4"/>
  <c r="W890" i="4" s="1"/>
  <c r="N890" i="4"/>
  <c r="S890" i="4"/>
  <c r="X890" i="4" s="1"/>
  <c r="O890" i="4"/>
  <c r="T890" i="4" s="1"/>
  <c r="Y890" i="4" s="1"/>
  <c r="P890" i="4"/>
  <c r="U890" i="4" s="1"/>
  <c r="Z890" i="4" s="1"/>
  <c r="Q890" i="4"/>
  <c r="V890" i="4"/>
  <c r="AA890" i="4" s="1"/>
  <c r="M891" i="4"/>
  <c r="R891" i="4"/>
  <c r="W891" i="4" s="1"/>
  <c r="N891" i="4"/>
  <c r="S891" i="4" s="1"/>
  <c r="X891" i="4" s="1"/>
  <c r="O891" i="4"/>
  <c r="T891" i="4" s="1"/>
  <c r="Y891" i="4" s="1"/>
  <c r="P891" i="4"/>
  <c r="U891" i="4"/>
  <c r="Z891" i="4" s="1"/>
  <c r="Q891" i="4"/>
  <c r="V891" i="4"/>
  <c r="AA891" i="4" s="1"/>
  <c r="M892" i="4"/>
  <c r="R892" i="4" s="1"/>
  <c r="W892" i="4" s="1"/>
  <c r="N892" i="4"/>
  <c r="S892" i="4" s="1"/>
  <c r="X892" i="4" s="1"/>
  <c r="O892" i="4"/>
  <c r="T892" i="4"/>
  <c r="Y892" i="4" s="1"/>
  <c r="P892" i="4"/>
  <c r="U892" i="4"/>
  <c r="Z892" i="4" s="1"/>
  <c r="Q892" i="4"/>
  <c r="V892" i="4" s="1"/>
  <c r="AA892" i="4" s="1"/>
  <c r="M893" i="4"/>
  <c r="R893" i="4"/>
  <c r="W893" i="4" s="1"/>
  <c r="N893" i="4"/>
  <c r="S893" i="4" s="1"/>
  <c r="X893" i="4" s="1"/>
  <c r="O893" i="4"/>
  <c r="T893" i="4" s="1"/>
  <c r="Y893" i="4" s="1"/>
  <c r="P893" i="4"/>
  <c r="U893" i="4"/>
  <c r="Z893" i="4" s="1"/>
  <c r="Q893" i="4"/>
  <c r="V893" i="4"/>
  <c r="AA893" i="4" s="1"/>
  <c r="M894" i="4"/>
  <c r="R894" i="4" s="1"/>
  <c r="W894" i="4" s="1"/>
  <c r="N894" i="4"/>
  <c r="S894" i="4" s="1"/>
  <c r="X894" i="4" s="1"/>
  <c r="O894" i="4"/>
  <c r="T894" i="4"/>
  <c r="Y894" i="4" s="1"/>
  <c r="P894" i="4"/>
  <c r="U894" i="4"/>
  <c r="Z894" i="4" s="1"/>
  <c r="Q894" i="4"/>
  <c r="V894" i="4" s="1"/>
  <c r="AA894" i="4" s="1"/>
  <c r="M895" i="4"/>
  <c r="R895" i="4" s="1"/>
  <c r="W895" i="4" s="1"/>
  <c r="N895" i="4"/>
  <c r="S895" i="4"/>
  <c r="X895" i="4" s="1"/>
  <c r="O895" i="4"/>
  <c r="T895" i="4"/>
  <c r="Y895" i="4" s="1"/>
  <c r="P895" i="4"/>
  <c r="U895" i="4" s="1"/>
  <c r="Z895" i="4" s="1"/>
  <c r="Q895" i="4"/>
  <c r="V895" i="4" s="1"/>
  <c r="AA895" i="4" s="1"/>
  <c r="M896" i="4"/>
  <c r="R896" i="4"/>
  <c r="W896" i="4" s="1"/>
  <c r="N896" i="4"/>
  <c r="S896" i="4"/>
  <c r="X896" i="4" s="1"/>
  <c r="O896" i="4"/>
  <c r="T896" i="4" s="1"/>
  <c r="Y896" i="4" s="1"/>
  <c r="P896" i="4"/>
  <c r="U896" i="4" s="1"/>
  <c r="Z896" i="4" s="1"/>
  <c r="Q896" i="4"/>
  <c r="V896" i="4"/>
  <c r="AA896" i="4" s="1"/>
  <c r="M897" i="4"/>
  <c r="R897" i="4" s="1"/>
  <c r="W897" i="4" s="1"/>
  <c r="N897" i="4"/>
  <c r="S897" i="4"/>
  <c r="X897" i="4" s="1"/>
  <c r="O897" i="4"/>
  <c r="T897" i="4"/>
  <c r="Y897" i="4" s="1"/>
  <c r="P897" i="4"/>
  <c r="U897" i="4" s="1"/>
  <c r="Z897" i="4" s="1"/>
  <c r="Q897" i="4"/>
  <c r="V897" i="4" s="1"/>
  <c r="AA897" i="4" s="1"/>
  <c r="M898" i="4"/>
  <c r="R898" i="4"/>
  <c r="W898" i="4" s="1"/>
  <c r="N898" i="4"/>
  <c r="S898" i="4"/>
  <c r="X898" i="4" s="1"/>
  <c r="O898" i="4"/>
  <c r="T898" i="4" s="1"/>
  <c r="Y898" i="4" s="1"/>
  <c r="P898" i="4"/>
  <c r="U898" i="4" s="1"/>
  <c r="Z898" i="4" s="1"/>
  <c r="Q898" i="4"/>
  <c r="V898" i="4"/>
  <c r="AA898" i="4" s="1"/>
  <c r="M899" i="4"/>
  <c r="R899" i="4"/>
  <c r="W899" i="4" s="1"/>
  <c r="N899" i="4"/>
  <c r="S899" i="4" s="1"/>
  <c r="X899" i="4" s="1"/>
  <c r="O899" i="4"/>
  <c r="T899" i="4" s="1"/>
  <c r="Y899" i="4" s="1"/>
  <c r="P899" i="4"/>
  <c r="U899" i="4"/>
  <c r="Z899" i="4" s="1"/>
  <c r="Q899" i="4"/>
  <c r="V899" i="4"/>
  <c r="AA899" i="4" s="1"/>
  <c r="M900" i="4"/>
  <c r="R900" i="4" s="1"/>
  <c r="W900" i="4" s="1"/>
  <c r="N900" i="4"/>
  <c r="S900" i="4" s="1"/>
  <c r="X900" i="4" s="1"/>
  <c r="O900" i="4"/>
  <c r="T900" i="4"/>
  <c r="Y900" i="4" s="1"/>
  <c r="P900" i="4"/>
  <c r="U900" i="4"/>
  <c r="Z900" i="4" s="1"/>
  <c r="Q900" i="4"/>
  <c r="V900" i="4" s="1"/>
  <c r="AA900" i="4" s="1"/>
  <c r="M901" i="4"/>
  <c r="R901" i="4"/>
  <c r="W901" i="4" s="1"/>
  <c r="N901" i="4"/>
  <c r="S901" i="4" s="1"/>
  <c r="X901" i="4" s="1"/>
  <c r="O901" i="4"/>
  <c r="T901" i="4" s="1"/>
  <c r="Y901" i="4" s="1"/>
  <c r="P901" i="4"/>
  <c r="U901" i="4"/>
  <c r="Z901" i="4" s="1"/>
  <c r="Q901" i="4"/>
  <c r="V901" i="4"/>
  <c r="AA901" i="4" s="1"/>
  <c r="M902" i="4"/>
  <c r="R902" i="4" s="1"/>
  <c r="W902" i="4" s="1"/>
  <c r="N902" i="4"/>
  <c r="S902" i="4" s="1"/>
  <c r="X902" i="4" s="1"/>
  <c r="O902" i="4"/>
  <c r="T902" i="4"/>
  <c r="Y902" i="4" s="1"/>
  <c r="P902" i="4"/>
  <c r="U902" i="4"/>
  <c r="Z902" i="4" s="1"/>
  <c r="Q902" i="4"/>
  <c r="V902" i="4" s="1"/>
  <c r="AA902" i="4" s="1"/>
  <c r="M903" i="4"/>
  <c r="R903" i="4" s="1"/>
  <c r="W903" i="4" s="1"/>
  <c r="N903" i="4"/>
  <c r="S903" i="4"/>
  <c r="X903" i="4" s="1"/>
  <c r="O903" i="4"/>
  <c r="T903" i="4"/>
  <c r="Y903" i="4" s="1"/>
  <c r="P903" i="4"/>
  <c r="U903" i="4" s="1"/>
  <c r="Z903" i="4" s="1"/>
  <c r="Q903" i="4"/>
  <c r="V903" i="4" s="1"/>
  <c r="AA903" i="4" s="1"/>
  <c r="M904" i="4"/>
  <c r="R904" i="4"/>
  <c r="W904" i="4" s="1"/>
  <c r="N904" i="4"/>
  <c r="S904" i="4"/>
  <c r="X904" i="4" s="1"/>
  <c r="O904" i="4"/>
  <c r="T904" i="4" s="1"/>
  <c r="Y904" i="4" s="1"/>
  <c r="P904" i="4"/>
  <c r="U904" i="4" s="1"/>
  <c r="Z904" i="4" s="1"/>
  <c r="Q904" i="4"/>
  <c r="V904" i="4"/>
  <c r="AA904" i="4" s="1"/>
  <c r="M905" i="4"/>
  <c r="R905" i="4" s="1"/>
  <c r="W905" i="4" s="1"/>
  <c r="N905" i="4"/>
  <c r="S905" i="4"/>
  <c r="X905" i="4" s="1"/>
  <c r="O905" i="4"/>
  <c r="T905" i="4"/>
  <c r="Y905" i="4" s="1"/>
  <c r="P905" i="4"/>
  <c r="U905" i="4" s="1"/>
  <c r="Z905" i="4" s="1"/>
  <c r="Q905" i="4"/>
  <c r="V905" i="4" s="1"/>
  <c r="AA905" i="4" s="1"/>
  <c r="M906" i="4"/>
  <c r="R906" i="4"/>
  <c r="W906" i="4" s="1"/>
  <c r="N906" i="4"/>
  <c r="S906" i="4"/>
  <c r="X906" i="4" s="1"/>
  <c r="O906" i="4"/>
  <c r="T906" i="4" s="1"/>
  <c r="Y906" i="4" s="1"/>
  <c r="P906" i="4"/>
  <c r="U906" i="4" s="1"/>
  <c r="Z906" i="4" s="1"/>
  <c r="Q906" i="4"/>
  <c r="V906" i="4"/>
  <c r="AA906" i="4" s="1"/>
  <c r="M907" i="4"/>
  <c r="R907" i="4"/>
  <c r="W907" i="4" s="1"/>
  <c r="N907" i="4"/>
  <c r="S907" i="4" s="1"/>
  <c r="X907" i="4" s="1"/>
  <c r="O907" i="4"/>
  <c r="T907" i="4" s="1"/>
  <c r="Y907" i="4" s="1"/>
  <c r="P907" i="4"/>
  <c r="U907" i="4"/>
  <c r="Z907" i="4" s="1"/>
  <c r="Q907" i="4"/>
  <c r="V907" i="4"/>
  <c r="AA907" i="4" s="1"/>
  <c r="M908" i="4"/>
  <c r="R908" i="4" s="1"/>
  <c r="W908" i="4" s="1"/>
  <c r="N908" i="4"/>
  <c r="S908" i="4" s="1"/>
  <c r="X908" i="4" s="1"/>
  <c r="O908" i="4"/>
  <c r="T908" i="4"/>
  <c r="Y908" i="4" s="1"/>
  <c r="P908" i="4"/>
  <c r="U908" i="4"/>
  <c r="Z908" i="4" s="1"/>
  <c r="Q908" i="4"/>
  <c r="V908" i="4" s="1"/>
  <c r="AA908" i="4" s="1"/>
  <c r="M909" i="4"/>
  <c r="R909" i="4"/>
  <c r="W909" i="4" s="1"/>
  <c r="N909" i="4"/>
  <c r="S909" i="4" s="1"/>
  <c r="X909" i="4" s="1"/>
  <c r="O909" i="4"/>
  <c r="T909" i="4" s="1"/>
  <c r="Y909" i="4" s="1"/>
  <c r="P909" i="4"/>
  <c r="U909" i="4"/>
  <c r="Z909" i="4" s="1"/>
  <c r="Q909" i="4"/>
  <c r="V909" i="4"/>
  <c r="AA909" i="4" s="1"/>
  <c r="M910" i="4"/>
  <c r="R910" i="4" s="1"/>
  <c r="W910" i="4" s="1"/>
  <c r="N910" i="4"/>
  <c r="S910" i="4" s="1"/>
  <c r="X910" i="4" s="1"/>
  <c r="O910" i="4"/>
  <c r="T910" i="4"/>
  <c r="Y910" i="4" s="1"/>
  <c r="P910" i="4"/>
  <c r="U910" i="4"/>
  <c r="Z910" i="4" s="1"/>
  <c r="Q910" i="4"/>
  <c r="V910" i="4" s="1"/>
  <c r="AA910" i="4" s="1"/>
  <c r="M911" i="4"/>
  <c r="R911" i="4" s="1"/>
  <c r="W911" i="4" s="1"/>
  <c r="N911" i="4"/>
  <c r="S911" i="4"/>
  <c r="X911" i="4" s="1"/>
  <c r="O911" i="4"/>
  <c r="T911" i="4"/>
  <c r="Y911" i="4" s="1"/>
  <c r="P911" i="4"/>
  <c r="U911" i="4" s="1"/>
  <c r="Z911" i="4" s="1"/>
  <c r="Q911" i="4"/>
  <c r="V911" i="4" s="1"/>
  <c r="AA911" i="4" s="1"/>
  <c r="M912" i="4"/>
  <c r="R912" i="4"/>
  <c r="W912" i="4" s="1"/>
  <c r="N912" i="4"/>
  <c r="S912" i="4"/>
  <c r="X912" i="4" s="1"/>
  <c r="O912" i="4"/>
  <c r="T912" i="4" s="1"/>
  <c r="Y912" i="4" s="1"/>
  <c r="P912" i="4"/>
  <c r="U912" i="4" s="1"/>
  <c r="Z912" i="4" s="1"/>
  <c r="Q912" i="4"/>
  <c r="V912" i="4"/>
  <c r="AA912" i="4" s="1"/>
  <c r="M913" i="4"/>
  <c r="R913" i="4" s="1"/>
  <c r="W913" i="4" s="1"/>
  <c r="N913" i="4"/>
  <c r="S913" i="4"/>
  <c r="X913" i="4" s="1"/>
  <c r="O913" i="4"/>
  <c r="T913" i="4"/>
  <c r="Y913" i="4" s="1"/>
  <c r="P913" i="4"/>
  <c r="U913" i="4" s="1"/>
  <c r="Z913" i="4" s="1"/>
  <c r="Q913" i="4"/>
  <c r="V913" i="4" s="1"/>
  <c r="AA913" i="4" s="1"/>
  <c r="M914" i="4"/>
  <c r="R914" i="4"/>
  <c r="W914" i="4" s="1"/>
  <c r="N914" i="4"/>
  <c r="S914" i="4"/>
  <c r="X914" i="4" s="1"/>
  <c r="O914" i="4"/>
  <c r="T914" i="4" s="1"/>
  <c r="Y914" i="4" s="1"/>
  <c r="P914" i="4"/>
  <c r="U914" i="4" s="1"/>
  <c r="Z914" i="4" s="1"/>
  <c r="Q914" i="4"/>
  <c r="V914" i="4"/>
  <c r="AA914" i="4" s="1"/>
  <c r="M915" i="4"/>
  <c r="R915" i="4"/>
  <c r="W915" i="4" s="1"/>
  <c r="N915" i="4"/>
  <c r="S915" i="4" s="1"/>
  <c r="X915" i="4" s="1"/>
  <c r="O915" i="4"/>
  <c r="T915" i="4" s="1"/>
  <c r="Y915" i="4" s="1"/>
  <c r="P915" i="4"/>
  <c r="U915" i="4"/>
  <c r="Z915" i="4" s="1"/>
  <c r="Q915" i="4"/>
  <c r="V915" i="4"/>
  <c r="AA915" i="4" s="1"/>
  <c r="M916" i="4"/>
  <c r="R916" i="4" s="1"/>
  <c r="W916" i="4" s="1"/>
  <c r="N916" i="4"/>
  <c r="S916" i="4" s="1"/>
  <c r="X916" i="4" s="1"/>
  <c r="O916" i="4"/>
  <c r="T916" i="4"/>
  <c r="Y916" i="4" s="1"/>
  <c r="P916" i="4"/>
  <c r="U916" i="4"/>
  <c r="Z916" i="4" s="1"/>
  <c r="Q916" i="4"/>
  <c r="V916" i="4" s="1"/>
  <c r="AA916" i="4" s="1"/>
  <c r="M917" i="4"/>
  <c r="R917" i="4"/>
  <c r="W917" i="4" s="1"/>
  <c r="N917" i="4"/>
  <c r="S917" i="4" s="1"/>
  <c r="X917" i="4" s="1"/>
  <c r="O917" i="4"/>
  <c r="T917" i="4" s="1"/>
  <c r="Y917" i="4" s="1"/>
  <c r="P917" i="4"/>
  <c r="U917" i="4"/>
  <c r="Z917" i="4" s="1"/>
  <c r="Q917" i="4"/>
  <c r="V917" i="4"/>
  <c r="AA917" i="4" s="1"/>
  <c r="M918" i="4"/>
  <c r="R918" i="4" s="1"/>
  <c r="W918" i="4" s="1"/>
  <c r="N918" i="4"/>
  <c r="S918" i="4" s="1"/>
  <c r="X918" i="4" s="1"/>
  <c r="O918" i="4"/>
  <c r="T918" i="4"/>
  <c r="Y918" i="4" s="1"/>
  <c r="P918" i="4"/>
  <c r="U918" i="4"/>
  <c r="Z918" i="4" s="1"/>
  <c r="Q918" i="4"/>
  <c r="V918" i="4" s="1"/>
  <c r="AA918" i="4" s="1"/>
  <c r="M919" i="4"/>
  <c r="R919" i="4" s="1"/>
  <c r="W919" i="4" s="1"/>
  <c r="N919" i="4"/>
  <c r="S919" i="4"/>
  <c r="X919" i="4" s="1"/>
  <c r="O919" i="4"/>
  <c r="T919" i="4"/>
  <c r="Y919" i="4" s="1"/>
  <c r="P919" i="4"/>
  <c r="U919" i="4" s="1"/>
  <c r="Z919" i="4" s="1"/>
  <c r="Q919" i="4"/>
  <c r="V919" i="4" s="1"/>
  <c r="AA919" i="4" s="1"/>
  <c r="M920" i="4"/>
  <c r="R920" i="4"/>
  <c r="W920" i="4" s="1"/>
  <c r="N920" i="4"/>
  <c r="S920" i="4"/>
  <c r="X920" i="4" s="1"/>
  <c r="O920" i="4"/>
  <c r="T920" i="4" s="1"/>
  <c r="Y920" i="4" s="1"/>
  <c r="P920" i="4"/>
  <c r="U920" i="4" s="1"/>
  <c r="Z920" i="4" s="1"/>
  <c r="Q920" i="4"/>
  <c r="V920" i="4"/>
  <c r="AA920" i="4" s="1"/>
  <c r="M921" i="4"/>
  <c r="R921" i="4" s="1"/>
  <c r="W921" i="4" s="1"/>
  <c r="N921" i="4"/>
  <c r="S921" i="4"/>
  <c r="X921" i="4" s="1"/>
  <c r="O921" i="4"/>
  <c r="T921" i="4"/>
  <c r="Y921" i="4" s="1"/>
  <c r="P921" i="4"/>
  <c r="U921" i="4" s="1"/>
  <c r="Z921" i="4" s="1"/>
  <c r="Q921" i="4"/>
  <c r="V921" i="4" s="1"/>
  <c r="AA921" i="4" s="1"/>
  <c r="M922" i="4"/>
  <c r="R922" i="4"/>
  <c r="W922" i="4" s="1"/>
  <c r="N922" i="4"/>
  <c r="S922" i="4"/>
  <c r="X922" i="4" s="1"/>
  <c r="O922" i="4"/>
  <c r="T922" i="4" s="1"/>
  <c r="Y922" i="4" s="1"/>
  <c r="P922" i="4"/>
  <c r="U922" i="4" s="1"/>
  <c r="Z922" i="4" s="1"/>
  <c r="Q922" i="4"/>
  <c r="V922" i="4"/>
  <c r="AA922" i="4" s="1"/>
  <c r="M923" i="4"/>
  <c r="R923" i="4"/>
  <c r="W923" i="4" s="1"/>
  <c r="N923" i="4"/>
  <c r="S923" i="4" s="1"/>
  <c r="X923" i="4" s="1"/>
  <c r="O923" i="4"/>
  <c r="T923" i="4" s="1"/>
  <c r="Y923" i="4" s="1"/>
  <c r="P923" i="4"/>
  <c r="U923" i="4"/>
  <c r="Z923" i="4" s="1"/>
  <c r="Q923" i="4"/>
  <c r="V923" i="4"/>
  <c r="AA923" i="4" s="1"/>
  <c r="M924" i="4"/>
  <c r="R924" i="4" s="1"/>
  <c r="W924" i="4" s="1"/>
  <c r="N924" i="4"/>
  <c r="S924" i="4" s="1"/>
  <c r="X924" i="4" s="1"/>
  <c r="O924" i="4"/>
  <c r="T924" i="4"/>
  <c r="Y924" i="4" s="1"/>
  <c r="P924" i="4"/>
  <c r="U924" i="4"/>
  <c r="Z924" i="4" s="1"/>
  <c r="Q924" i="4"/>
  <c r="V924" i="4" s="1"/>
  <c r="AA924" i="4" s="1"/>
  <c r="M925" i="4"/>
  <c r="R925" i="4"/>
  <c r="W925" i="4" s="1"/>
  <c r="N925" i="4"/>
  <c r="S925" i="4" s="1"/>
  <c r="X925" i="4" s="1"/>
  <c r="O925" i="4"/>
  <c r="T925" i="4" s="1"/>
  <c r="Y925" i="4" s="1"/>
  <c r="P925" i="4"/>
  <c r="U925" i="4"/>
  <c r="Z925" i="4" s="1"/>
  <c r="Q925" i="4"/>
  <c r="V925" i="4"/>
  <c r="AA925" i="4" s="1"/>
  <c r="M926" i="4"/>
  <c r="R926" i="4" s="1"/>
  <c r="W926" i="4" s="1"/>
  <c r="N926" i="4"/>
  <c r="S926" i="4" s="1"/>
  <c r="X926" i="4" s="1"/>
  <c r="O926" i="4"/>
  <c r="T926" i="4"/>
  <c r="Y926" i="4" s="1"/>
  <c r="P926" i="4"/>
  <c r="U926" i="4"/>
  <c r="Z926" i="4" s="1"/>
  <c r="Q926" i="4"/>
  <c r="V926" i="4" s="1"/>
  <c r="AA926" i="4" s="1"/>
  <c r="M927" i="4"/>
  <c r="R927" i="4" s="1"/>
  <c r="W927" i="4" s="1"/>
  <c r="N927" i="4"/>
  <c r="S927" i="4"/>
  <c r="X927" i="4" s="1"/>
  <c r="O927" i="4"/>
  <c r="T927" i="4"/>
  <c r="Y927" i="4" s="1"/>
  <c r="P927" i="4"/>
  <c r="U927" i="4" s="1"/>
  <c r="Z927" i="4" s="1"/>
  <c r="Q927" i="4"/>
  <c r="V927" i="4" s="1"/>
  <c r="AA927" i="4" s="1"/>
  <c r="M928" i="4"/>
  <c r="R928" i="4"/>
  <c r="W928" i="4" s="1"/>
  <c r="N928" i="4"/>
  <c r="S928" i="4"/>
  <c r="X928" i="4" s="1"/>
  <c r="O928" i="4"/>
  <c r="T928" i="4" s="1"/>
  <c r="Y928" i="4" s="1"/>
  <c r="P928" i="4"/>
  <c r="U928" i="4" s="1"/>
  <c r="Z928" i="4" s="1"/>
  <c r="Q928" i="4"/>
  <c r="V928" i="4"/>
  <c r="AA928" i="4" s="1"/>
  <c r="M929" i="4"/>
  <c r="R929" i="4" s="1"/>
  <c r="W929" i="4" s="1"/>
  <c r="N929" i="4"/>
  <c r="S929" i="4"/>
  <c r="X929" i="4" s="1"/>
  <c r="O929" i="4"/>
  <c r="T929" i="4"/>
  <c r="Y929" i="4" s="1"/>
  <c r="P929" i="4"/>
  <c r="U929" i="4" s="1"/>
  <c r="Z929" i="4" s="1"/>
  <c r="Q929" i="4"/>
  <c r="V929" i="4" s="1"/>
  <c r="AA929" i="4" s="1"/>
  <c r="M930" i="4"/>
  <c r="R930" i="4"/>
  <c r="W930" i="4" s="1"/>
  <c r="N930" i="4"/>
  <c r="S930" i="4"/>
  <c r="X930" i="4" s="1"/>
  <c r="O930" i="4"/>
  <c r="T930" i="4" s="1"/>
  <c r="Y930" i="4" s="1"/>
  <c r="P930" i="4"/>
  <c r="U930" i="4" s="1"/>
  <c r="Z930" i="4" s="1"/>
  <c r="Q930" i="4"/>
  <c r="V930" i="4"/>
  <c r="AA930" i="4" s="1"/>
  <c r="M931" i="4"/>
  <c r="R931" i="4"/>
  <c r="W931" i="4" s="1"/>
  <c r="N931" i="4"/>
  <c r="S931" i="4" s="1"/>
  <c r="X931" i="4" s="1"/>
  <c r="O931" i="4"/>
  <c r="T931" i="4" s="1"/>
  <c r="Y931" i="4" s="1"/>
  <c r="P931" i="4"/>
  <c r="U931" i="4"/>
  <c r="Z931" i="4" s="1"/>
  <c r="Q931" i="4"/>
  <c r="V931" i="4"/>
  <c r="AA931" i="4" s="1"/>
  <c r="M932" i="4"/>
  <c r="R932" i="4" s="1"/>
  <c r="W932" i="4" s="1"/>
  <c r="N932" i="4"/>
  <c r="S932" i="4" s="1"/>
  <c r="X932" i="4" s="1"/>
  <c r="O932" i="4"/>
  <c r="T932" i="4"/>
  <c r="Y932" i="4" s="1"/>
  <c r="P932" i="4"/>
  <c r="U932" i="4"/>
  <c r="Z932" i="4" s="1"/>
  <c r="Q932" i="4"/>
  <c r="V932" i="4" s="1"/>
  <c r="AA932" i="4" s="1"/>
  <c r="M933" i="4"/>
  <c r="R933" i="4"/>
  <c r="W933" i="4" s="1"/>
  <c r="N933" i="4"/>
  <c r="S933" i="4" s="1"/>
  <c r="X933" i="4" s="1"/>
  <c r="O933" i="4"/>
  <c r="T933" i="4" s="1"/>
  <c r="Y933" i="4" s="1"/>
  <c r="P933" i="4"/>
  <c r="U933" i="4"/>
  <c r="Z933" i="4" s="1"/>
  <c r="Q933" i="4"/>
  <c r="V933" i="4"/>
  <c r="AA933" i="4" s="1"/>
  <c r="M934" i="4"/>
  <c r="R934" i="4" s="1"/>
  <c r="W934" i="4" s="1"/>
  <c r="N934" i="4"/>
  <c r="S934" i="4" s="1"/>
  <c r="X934" i="4" s="1"/>
  <c r="O934" i="4"/>
  <c r="T934" i="4"/>
  <c r="Y934" i="4" s="1"/>
  <c r="P934" i="4"/>
  <c r="U934" i="4"/>
  <c r="Z934" i="4" s="1"/>
  <c r="Q934" i="4"/>
  <c r="V934" i="4" s="1"/>
  <c r="AA934" i="4" s="1"/>
  <c r="M935" i="4"/>
  <c r="R935" i="4" s="1"/>
  <c r="W935" i="4" s="1"/>
  <c r="N935" i="4"/>
  <c r="S935" i="4"/>
  <c r="X935" i="4" s="1"/>
  <c r="O935" i="4"/>
  <c r="T935" i="4"/>
  <c r="Y935" i="4" s="1"/>
  <c r="P935" i="4"/>
  <c r="U935" i="4" s="1"/>
  <c r="Z935" i="4" s="1"/>
  <c r="Q935" i="4"/>
  <c r="V935" i="4" s="1"/>
  <c r="AA935" i="4" s="1"/>
  <c r="M936" i="4"/>
  <c r="R936" i="4"/>
  <c r="W936" i="4" s="1"/>
  <c r="N936" i="4"/>
  <c r="S936" i="4"/>
  <c r="X936" i="4" s="1"/>
  <c r="O936" i="4"/>
  <c r="T936" i="4" s="1"/>
  <c r="Y936" i="4" s="1"/>
  <c r="P936" i="4"/>
  <c r="U936" i="4" s="1"/>
  <c r="Z936" i="4" s="1"/>
  <c r="Q936" i="4"/>
  <c r="V936" i="4"/>
  <c r="AA936" i="4" s="1"/>
  <c r="M937" i="4"/>
  <c r="R937" i="4" s="1"/>
  <c r="W937" i="4" s="1"/>
  <c r="N937" i="4"/>
  <c r="S937" i="4"/>
  <c r="X937" i="4" s="1"/>
  <c r="O937" i="4"/>
  <c r="T937" i="4"/>
  <c r="Y937" i="4" s="1"/>
  <c r="P937" i="4"/>
  <c r="U937" i="4" s="1"/>
  <c r="Z937" i="4" s="1"/>
  <c r="Q937" i="4"/>
  <c r="V937" i="4" s="1"/>
  <c r="AA937" i="4" s="1"/>
  <c r="M938" i="4"/>
  <c r="R938" i="4"/>
  <c r="W938" i="4" s="1"/>
  <c r="N938" i="4"/>
  <c r="S938" i="4"/>
  <c r="X938" i="4" s="1"/>
  <c r="O938" i="4"/>
  <c r="T938" i="4" s="1"/>
  <c r="Y938" i="4" s="1"/>
  <c r="P938" i="4"/>
  <c r="U938" i="4" s="1"/>
  <c r="Z938" i="4" s="1"/>
  <c r="Q938" i="4"/>
  <c r="V938" i="4"/>
  <c r="AA938" i="4" s="1"/>
  <c r="M939" i="4"/>
  <c r="R939" i="4"/>
  <c r="W939" i="4" s="1"/>
  <c r="N939" i="4"/>
  <c r="S939" i="4" s="1"/>
  <c r="X939" i="4" s="1"/>
  <c r="O939" i="4"/>
  <c r="T939" i="4" s="1"/>
  <c r="Y939" i="4" s="1"/>
  <c r="P939" i="4"/>
  <c r="U939" i="4"/>
  <c r="Z939" i="4" s="1"/>
  <c r="Q939" i="4"/>
  <c r="V939" i="4"/>
  <c r="AA939" i="4" s="1"/>
  <c r="M940" i="4"/>
  <c r="R940" i="4" s="1"/>
  <c r="W940" i="4" s="1"/>
  <c r="N940" i="4"/>
  <c r="S940" i="4" s="1"/>
  <c r="X940" i="4" s="1"/>
  <c r="O940" i="4"/>
  <c r="T940" i="4"/>
  <c r="Y940" i="4" s="1"/>
  <c r="P940" i="4"/>
  <c r="U940" i="4"/>
  <c r="Z940" i="4" s="1"/>
  <c r="Q940" i="4"/>
  <c r="V940" i="4" s="1"/>
  <c r="AA940" i="4" s="1"/>
  <c r="M941" i="4"/>
  <c r="R941" i="4" s="1"/>
  <c r="W941" i="4" s="1"/>
  <c r="N941" i="4"/>
  <c r="S941" i="4"/>
  <c r="X941" i="4" s="1"/>
  <c r="O941" i="4"/>
  <c r="T941" i="4"/>
  <c r="Y941" i="4" s="1"/>
  <c r="P941" i="4"/>
  <c r="U941" i="4" s="1"/>
  <c r="Z941" i="4" s="1"/>
  <c r="Q941" i="4"/>
  <c r="V941" i="4" s="1"/>
  <c r="AA941" i="4" s="1"/>
  <c r="M942" i="4"/>
  <c r="R942" i="4"/>
  <c r="W942" i="4" s="1"/>
  <c r="N942" i="4"/>
  <c r="S942" i="4"/>
  <c r="X942" i="4" s="1"/>
  <c r="O942" i="4"/>
  <c r="T942" i="4" s="1"/>
  <c r="Y942" i="4" s="1"/>
  <c r="P942" i="4"/>
  <c r="U942" i="4" s="1"/>
  <c r="Z942" i="4" s="1"/>
  <c r="Q942" i="4"/>
  <c r="V942" i="4"/>
  <c r="AA942" i="4" s="1"/>
  <c r="M943" i="4"/>
  <c r="R943" i="4"/>
  <c r="W943" i="4" s="1"/>
  <c r="N943" i="4"/>
  <c r="S943" i="4" s="1"/>
  <c r="X943" i="4" s="1"/>
  <c r="O943" i="4"/>
  <c r="T943" i="4" s="1"/>
  <c r="Y943" i="4" s="1"/>
  <c r="P943" i="4"/>
  <c r="U943" i="4"/>
  <c r="Z943" i="4" s="1"/>
  <c r="Q943" i="4"/>
  <c r="V943" i="4"/>
  <c r="AA943" i="4" s="1"/>
  <c r="M944" i="4"/>
  <c r="R944" i="4" s="1"/>
  <c r="W944" i="4" s="1"/>
  <c r="N944" i="4"/>
  <c r="S944" i="4" s="1"/>
  <c r="X944" i="4" s="1"/>
  <c r="O944" i="4"/>
  <c r="T944" i="4"/>
  <c r="Y944" i="4" s="1"/>
  <c r="P944" i="4"/>
  <c r="U944" i="4"/>
  <c r="Z944" i="4" s="1"/>
  <c r="Q944" i="4"/>
  <c r="V944" i="4" s="1"/>
  <c r="AA944" i="4" s="1"/>
  <c r="M945" i="4"/>
  <c r="R945" i="4" s="1"/>
  <c r="W945" i="4" s="1"/>
  <c r="N945" i="4"/>
  <c r="S945" i="4"/>
  <c r="X945" i="4" s="1"/>
  <c r="O945" i="4"/>
  <c r="T945" i="4"/>
  <c r="Y945" i="4" s="1"/>
  <c r="P945" i="4"/>
  <c r="U945" i="4" s="1"/>
  <c r="Z945" i="4" s="1"/>
  <c r="Q945" i="4"/>
  <c r="V945" i="4" s="1"/>
  <c r="AA945" i="4" s="1"/>
  <c r="M946" i="4"/>
  <c r="R946" i="4"/>
  <c r="W946" i="4" s="1"/>
  <c r="N946" i="4"/>
  <c r="S946" i="4"/>
  <c r="X946" i="4" s="1"/>
  <c r="O946" i="4"/>
  <c r="T946" i="4" s="1"/>
  <c r="Y946" i="4" s="1"/>
  <c r="P946" i="4"/>
  <c r="U946" i="4" s="1"/>
  <c r="Z946" i="4" s="1"/>
  <c r="Q946" i="4"/>
  <c r="V946" i="4"/>
  <c r="AA946" i="4" s="1"/>
  <c r="M947" i="4"/>
  <c r="R947" i="4"/>
  <c r="W947" i="4" s="1"/>
  <c r="N947" i="4"/>
  <c r="S947" i="4" s="1"/>
  <c r="X947" i="4" s="1"/>
  <c r="O947" i="4"/>
  <c r="T947" i="4" s="1"/>
  <c r="Y947" i="4" s="1"/>
  <c r="P947" i="4"/>
  <c r="U947" i="4"/>
  <c r="Z947" i="4" s="1"/>
  <c r="Q947" i="4"/>
  <c r="V947" i="4"/>
  <c r="AA947" i="4" s="1"/>
  <c r="M948" i="4"/>
  <c r="R948" i="4" s="1"/>
  <c r="W948" i="4" s="1"/>
  <c r="N948" i="4"/>
  <c r="S948" i="4" s="1"/>
  <c r="X948" i="4" s="1"/>
  <c r="O948" i="4"/>
  <c r="T948" i="4"/>
  <c r="Y948" i="4" s="1"/>
  <c r="P948" i="4"/>
  <c r="U948" i="4"/>
  <c r="Z948" i="4" s="1"/>
  <c r="Q948" i="4"/>
  <c r="V948" i="4" s="1"/>
  <c r="AA948" i="4" s="1"/>
  <c r="M949" i="4"/>
  <c r="R949" i="4" s="1"/>
  <c r="W949" i="4" s="1"/>
  <c r="N949" i="4"/>
  <c r="S949" i="4"/>
  <c r="X949" i="4" s="1"/>
  <c r="O949" i="4"/>
  <c r="T949" i="4"/>
  <c r="Y949" i="4" s="1"/>
  <c r="P949" i="4"/>
  <c r="U949" i="4" s="1"/>
  <c r="Z949" i="4" s="1"/>
  <c r="Q949" i="4"/>
  <c r="V949" i="4" s="1"/>
  <c r="AA949" i="4" s="1"/>
  <c r="M950" i="4"/>
  <c r="R950" i="4"/>
  <c r="W950" i="4" s="1"/>
  <c r="N950" i="4"/>
  <c r="S950" i="4"/>
  <c r="X950" i="4" s="1"/>
  <c r="O950" i="4"/>
  <c r="T950" i="4" s="1"/>
  <c r="Y950" i="4" s="1"/>
  <c r="P950" i="4"/>
  <c r="U950" i="4" s="1"/>
  <c r="Z950" i="4" s="1"/>
  <c r="Q950" i="4"/>
  <c r="V950" i="4"/>
  <c r="AA950" i="4" s="1"/>
  <c r="M951" i="4"/>
  <c r="R951" i="4"/>
  <c r="W951" i="4" s="1"/>
  <c r="N951" i="4"/>
  <c r="S951" i="4" s="1"/>
  <c r="X951" i="4" s="1"/>
  <c r="O951" i="4"/>
  <c r="T951" i="4" s="1"/>
  <c r="Y951" i="4" s="1"/>
  <c r="P951" i="4"/>
  <c r="U951" i="4"/>
  <c r="Z951" i="4" s="1"/>
  <c r="Q951" i="4"/>
  <c r="V951" i="4"/>
  <c r="AA951" i="4" s="1"/>
  <c r="M952" i="4"/>
  <c r="R952" i="4" s="1"/>
  <c r="W952" i="4" s="1"/>
  <c r="N952" i="4"/>
  <c r="S952" i="4" s="1"/>
  <c r="X952" i="4" s="1"/>
  <c r="O952" i="4"/>
  <c r="T952" i="4"/>
  <c r="Y952" i="4" s="1"/>
  <c r="P952" i="4"/>
  <c r="U952" i="4"/>
  <c r="Z952" i="4" s="1"/>
  <c r="Q952" i="4"/>
  <c r="V952" i="4" s="1"/>
  <c r="AA952" i="4" s="1"/>
  <c r="M953" i="4"/>
  <c r="R953" i="4" s="1"/>
  <c r="W953" i="4" s="1"/>
  <c r="N953" i="4"/>
  <c r="S953" i="4"/>
  <c r="X953" i="4" s="1"/>
  <c r="O953" i="4"/>
  <c r="T953" i="4"/>
  <c r="Y953" i="4" s="1"/>
  <c r="P953" i="4"/>
  <c r="U953" i="4" s="1"/>
  <c r="Z953" i="4" s="1"/>
  <c r="Q953" i="4"/>
  <c r="V953" i="4" s="1"/>
  <c r="AA953" i="4" s="1"/>
  <c r="M954" i="4"/>
  <c r="R954" i="4"/>
  <c r="W954" i="4" s="1"/>
  <c r="N954" i="4"/>
  <c r="S954" i="4"/>
  <c r="X954" i="4" s="1"/>
  <c r="O954" i="4"/>
  <c r="T954" i="4" s="1"/>
  <c r="Y954" i="4" s="1"/>
  <c r="P954" i="4"/>
  <c r="U954" i="4" s="1"/>
  <c r="Z954" i="4" s="1"/>
  <c r="Q954" i="4"/>
  <c r="V954" i="4"/>
  <c r="AA954" i="4" s="1"/>
  <c r="M955" i="4"/>
  <c r="R955" i="4"/>
  <c r="W955" i="4" s="1"/>
  <c r="N955" i="4"/>
  <c r="S955" i="4" s="1"/>
  <c r="X955" i="4" s="1"/>
  <c r="O955" i="4"/>
  <c r="T955" i="4" s="1"/>
  <c r="Y955" i="4" s="1"/>
  <c r="P955" i="4"/>
  <c r="U955" i="4"/>
  <c r="Z955" i="4" s="1"/>
  <c r="Q955" i="4"/>
  <c r="V955" i="4"/>
  <c r="AA955" i="4" s="1"/>
  <c r="M956" i="4"/>
  <c r="R956" i="4" s="1"/>
  <c r="W956" i="4" s="1"/>
  <c r="N956" i="4"/>
  <c r="S956" i="4" s="1"/>
  <c r="X956" i="4" s="1"/>
  <c r="O956" i="4"/>
  <c r="T956" i="4"/>
  <c r="Y956" i="4" s="1"/>
  <c r="P956" i="4"/>
  <c r="U956" i="4"/>
  <c r="Z956" i="4" s="1"/>
  <c r="Q956" i="4"/>
  <c r="V956" i="4" s="1"/>
  <c r="AA956" i="4" s="1"/>
  <c r="M957" i="4"/>
  <c r="R957" i="4" s="1"/>
  <c r="W957" i="4" s="1"/>
  <c r="N957" i="4"/>
  <c r="S957" i="4"/>
  <c r="X957" i="4" s="1"/>
  <c r="O957" i="4"/>
  <c r="T957" i="4"/>
  <c r="Y957" i="4" s="1"/>
  <c r="P957" i="4"/>
  <c r="U957" i="4" s="1"/>
  <c r="Z957" i="4" s="1"/>
  <c r="Q957" i="4"/>
  <c r="V957" i="4" s="1"/>
  <c r="AA957" i="4" s="1"/>
  <c r="M958" i="4"/>
  <c r="R958" i="4"/>
  <c r="W958" i="4" s="1"/>
  <c r="N958" i="4"/>
  <c r="S958" i="4"/>
  <c r="X958" i="4" s="1"/>
  <c r="O958" i="4"/>
  <c r="T958" i="4" s="1"/>
  <c r="Y958" i="4" s="1"/>
  <c r="P958" i="4"/>
  <c r="U958" i="4" s="1"/>
  <c r="Z958" i="4" s="1"/>
  <c r="Q958" i="4"/>
  <c r="V958" i="4"/>
  <c r="AA958" i="4" s="1"/>
  <c r="M959" i="4"/>
  <c r="R959" i="4"/>
  <c r="W959" i="4" s="1"/>
  <c r="N959" i="4"/>
  <c r="S959" i="4" s="1"/>
  <c r="X959" i="4" s="1"/>
  <c r="O959" i="4"/>
  <c r="T959" i="4" s="1"/>
  <c r="Y959" i="4" s="1"/>
  <c r="P959" i="4"/>
  <c r="U959" i="4"/>
  <c r="Z959" i="4" s="1"/>
  <c r="Q959" i="4"/>
  <c r="V959" i="4"/>
  <c r="AA959" i="4" s="1"/>
  <c r="M960" i="4"/>
  <c r="R960" i="4" s="1"/>
  <c r="W960" i="4" s="1"/>
  <c r="N960" i="4"/>
  <c r="S960" i="4" s="1"/>
  <c r="X960" i="4" s="1"/>
  <c r="O960" i="4"/>
  <c r="T960" i="4"/>
  <c r="Y960" i="4" s="1"/>
  <c r="P960" i="4"/>
  <c r="U960" i="4"/>
  <c r="Z960" i="4" s="1"/>
  <c r="Q960" i="4"/>
  <c r="V960" i="4" s="1"/>
  <c r="AA960" i="4" s="1"/>
  <c r="M961" i="4"/>
  <c r="R961" i="4" s="1"/>
  <c r="W961" i="4" s="1"/>
  <c r="N961" i="4"/>
  <c r="S961" i="4"/>
  <c r="X961" i="4" s="1"/>
  <c r="O961" i="4"/>
  <c r="T961" i="4"/>
  <c r="Y961" i="4" s="1"/>
  <c r="P961" i="4"/>
  <c r="U961" i="4" s="1"/>
  <c r="Z961" i="4" s="1"/>
  <c r="Q961" i="4"/>
  <c r="V961" i="4" s="1"/>
  <c r="AA961" i="4" s="1"/>
  <c r="M962" i="4"/>
  <c r="R962" i="4"/>
  <c r="W962" i="4" s="1"/>
  <c r="N962" i="4"/>
  <c r="S962" i="4"/>
  <c r="X962" i="4" s="1"/>
  <c r="O962" i="4"/>
  <c r="T962" i="4" s="1"/>
  <c r="Y962" i="4" s="1"/>
  <c r="P962" i="4"/>
  <c r="U962" i="4" s="1"/>
  <c r="Z962" i="4" s="1"/>
  <c r="Q962" i="4"/>
  <c r="V962" i="4"/>
  <c r="AA962" i="4" s="1"/>
  <c r="M963" i="4"/>
  <c r="R963" i="4"/>
  <c r="W963" i="4" s="1"/>
  <c r="N963" i="4"/>
  <c r="S963" i="4" s="1"/>
  <c r="X963" i="4" s="1"/>
  <c r="O963" i="4"/>
  <c r="T963" i="4" s="1"/>
  <c r="Y963" i="4" s="1"/>
  <c r="P963" i="4"/>
  <c r="U963" i="4"/>
  <c r="Z963" i="4" s="1"/>
  <c r="Q963" i="4"/>
  <c r="V963" i="4"/>
  <c r="AA963" i="4" s="1"/>
  <c r="M964" i="4"/>
  <c r="R964" i="4" s="1"/>
  <c r="W964" i="4" s="1"/>
  <c r="N964" i="4"/>
  <c r="S964" i="4" s="1"/>
  <c r="X964" i="4" s="1"/>
  <c r="O964" i="4"/>
  <c r="T964" i="4"/>
  <c r="Y964" i="4" s="1"/>
  <c r="P964" i="4"/>
  <c r="U964" i="4"/>
  <c r="Z964" i="4" s="1"/>
  <c r="Q964" i="4"/>
  <c r="V964" i="4" s="1"/>
  <c r="AA964" i="4" s="1"/>
  <c r="M965" i="4"/>
  <c r="R965" i="4" s="1"/>
  <c r="W965" i="4" s="1"/>
  <c r="N965" i="4"/>
  <c r="S965" i="4"/>
  <c r="X965" i="4" s="1"/>
  <c r="O965" i="4"/>
  <c r="T965" i="4"/>
  <c r="Y965" i="4" s="1"/>
  <c r="P965" i="4"/>
  <c r="U965" i="4" s="1"/>
  <c r="Z965" i="4" s="1"/>
  <c r="Q965" i="4"/>
  <c r="V965" i="4" s="1"/>
  <c r="AA965" i="4" s="1"/>
  <c r="M966" i="4"/>
  <c r="R966" i="4"/>
  <c r="W966" i="4" s="1"/>
  <c r="N966" i="4"/>
  <c r="S966" i="4"/>
  <c r="X966" i="4" s="1"/>
  <c r="O966" i="4"/>
  <c r="T966" i="4" s="1"/>
  <c r="Y966" i="4" s="1"/>
  <c r="P966" i="4"/>
  <c r="U966" i="4" s="1"/>
  <c r="Z966" i="4" s="1"/>
  <c r="Q966" i="4"/>
  <c r="V966" i="4"/>
  <c r="AA966" i="4" s="1"/>
  <c r="M967" i="4"/>
  <c r="R967" i="4"/>
  <c r="W967" i="4" s="1"/>
  <c r="N967" i="4"/>
  <c r="S967" i="4" s="1"/>
  <c r="X967" i="4" s="1"/>
  <c r="O967" i="4"/>
  <c r="T967" i="4" s="1"/>
  <c r="Y967" i="4" s="1"/>
  <c r="P967" i="4"/>
  <c r="U967" i="4"/>
  <c r="Z967" i="4" s="1"/>
  <c r="Q967" i="4"/>
  <c r="V967" i="4"/>
  <c r="AA967" i="4" s="1"/>
  <c r="M968" i="4"/>
  <c r="R968" i="4" s="1"/>
  <c r="W968" i="4" s="1"/>
  <c r="N968" i="4"/>
  <c r="S968" i="4" s="1"/>
  <c r="X968" i="4" s="1"/>
  <c r="O968" i="4"/>
  <c r="T968" i="4"/>
  <c r="Y968" i="4" s="1"/>
  <c r="P968" i="4"/>
  <c r="U968" i="4"/>
  <c r="Z968" i="4" s="1"/>
  <c r="Q968" i="4"/>
  <c r="V968" i="4" s="1"/>
  <c r="AA968" i="4" s="1"/>
  <c r="M969" i="4"/>
  <c r="R969" i="4" s="1"/>
  <c r="W969" i="4" s="1"/>
  <c r="N969" i="4"/>
  <c r="S969" i="4"/>
  <c r="X969" i="4" s="1"/>
  <c r="O969" i="4"/>
  <c r="T969" i="4"/>
  <c r="Y969" i="4" s="1"/>
  <c r="P969" i="4"/>
  <c r="U969" i="4" s="1"/>
  <c r="Z969" i="4" s="1"/>
  <c r="Q969" i="4"/>
  <c r="V969" i="4" s="1"/>
  <c r="AA969" i="4" s="1"/>
  <c r="M970" i="4"/>
  <c r="R970" i="4"/>
  <c r="W970" i="4" s="1"/>
  <c r="N970" i="4"/>
  <c r="S970" i="4"/>
  <c r="X970" i="4" s="1"/>
  <c r="O970" i="4"/>
  <c r="T970" i="4" s="1"/>
  <c r="Y970" i="4" s="1"/>
  <c r="P970" i="4"/>
  <c r="U970" i="4" s="1"/>
  <c r="Z970" i="4" s="1"/>
  <c r="Q970" i="4"/>
  <c r="V970" i="4"/>
  <c r="AA970" i="4" s="1"/>
  <c r="M971" i="4"/>
  <c r="R971" i="4"/>
  <c r="W971" i="4" s="1"/>
  <c r="N971" i="4"/>
  <c r="S971" i="4" s="1"/>
  <c r="X971" i="4" s="1"/>
  <c r="O971" i="4"/>
  <c r="T971" i="4" s="1"/>
  <c r="Y971" i="4" s="1"/>
  <c r="P971" i="4"/>
  <c r="U971" i="4"/>
  <c r="Z971" i="4" s="1"/>
  <c r="Q971" i="4"/>
  <c r="V971" i="4"/>
  <c r="AA971" i="4" s="1"/>
  <c r="M972" i="4"/>
  <c r="R972" i="4" s="1"/>
  <c r="W972" i="4" s="1"/>
  <c r="N972" i="4"/>
  <c r="S972" i="4" s="1"/>
  <c r="X972" i="4" s="1"/>
  <c r="O972" i="4"/>
  <c r="T972" i="4"/>
  <c r="Y972" i="4" s="1"/>
  <c r="P972" i="4"/>
  <c r="U972" i="4"/>
  <c r="Z972" i="4" s="1"/>
  <c r="Q972" i="4"/>
  <c r="V972" i="4" s="1"/>
  <c r="AA972" i="4" s="1"/>
  <c r="M973" i="4"/>
  <c r="R973" i="4" s="1"/>
  <c r="W973" i="4" s="1"/>
  <c r="N973" i="4"/>
  <c r="S973" i="4"/>
  <c r="X973" i="4" s="1"/>
  <c r="O973" i="4"/>
  <c r="T973" i="4"/>
  <c r="Y973" i="4" s="1"/>
  <c r="P973" i="4"/>
  <c r="U973" i="4" s="1"/>
  <c r="Z973" i="4" s="1"/>
  <c r="Q973" i="4"/>
  <c r="V973" i="4" s="1"/>
  <c r="AA973" i="4" s="1"/>
  <c r="M974" i="4"/>
  <c r="R974" i="4"/>
  <c r="W974" i="4" s="1"/>
  <c r="N974" i="4"/>
  <c r="S974" i="4"/>
  <c r="X974" i="4" s="1"/>
  <c r="O974" i="4"/>
  <c r="T974" i="4" s="1"/>
  <c r="Y974" i="4" s="1"/>
  <c r="P974" i="4"/>
  <c r="U974" i="4" s="1"/>
  <c r="Z974" i="4" s="1"/>
  <c r="Q974" i="4"/>
  <c r="V974" i="4"/>
  <c r="AA974" i="4" s="1"/>
  <c r="M975" i="4"/>
  <c r="R975" i="4"/>
  <c r="W975" i="4" s="1"/>
  <c r="N975" i="4"/>
  <c r="S975" i="4" s="1"/>
  <c r="X975" i="4" s="1"/>
  <c r="O975" i="4"/>
  <c r="T975" i="4" s="1"/>
  <c r="Y975" i="4" s="1"/>
  <c r="P975" i="4"/>
  <c r="U975" i="4"/>
  <c r="Z975" i="4" s="1"/>
  <c r="Q975" i="4"/>
  <c r="V975" i="4"/>
  <c r="AA975" i="4" s="1"/>
  <c r="M976" i="4"/>
  <c r="R976" i="4" s="1"/>
  <c r="W976" i="4" s="1"/>
  <c r="N976" i="4"/>
  <c r="S976" i="4" s="1"/>
  <c r="X976" i="4" s="1"/>
  <c r="O976" i="4"/>
  <c r="T976" i="4"/>
  <c r="Y976" i="4" s="1"/>
  <c r="P976" i="4"/>
  <c r="U976" i="4"/>
  <c r="Z976" i="4" s="1"/>
  <c r="Q976" i="4"/>
  <c r="V976" i="4" s="1"/>
  <c r="AA976" i="4" s="1"/>
  <c r="M977" i="4"/>
  <c r="R977" i="4" s="1"/>
  <c r="W977" i="4" s="1"/>
  <c r="N977" i="4"/>
  <c r="S977" i="4"/>
  <c r="X977" i="4" s="1"/>
  <c r="O977" i="4"/>
  <c r="T977" i="4"/>
  <c r="Y977" i="4" s="1"/>
  <c r="P977" i="4"/>
  <c r="U977" i="4" s="1"/>
  <c r="Z977" i="4" s="1"/>
  <c r="Q977" i="4"/>
  <c r="V977" i="4" s="1"/>
  <c r="AA977" i="4" s="1"/>
  <c r="M978" i="4"/>
  <c r="R978" i="4" s="1"/>
  <c r="W978" i="4" s="1"/>
  <c r="N978" i="4"/>
  <c r="S978" i="4" s="1"/>
  <c r="X978" i="4" s="1"/>
  <c r="O978" i="4"/>
  <c r="T978" i="4"/>
  <c r="Y978" i="4" s="1"/>
  <c r="P978" i="4"/>
  <c r="U978" i="4"/>
  <c r="Z978" i="4" s="1"/>
  <c r="Q978" i="4"/>
  <c r="V978" i="4" s="1"/>
  <c r="AA978" i="4" s="1"/>
  <c r="M979" i="4"/>
  <c r="R979" i="4" s="1"/>
  <c r="W979" i="4" s="1"/>
  <c r="N979" i="4"/>
  <c r="S979" i="4"/>
  <c r="X979" i="4" s="1"/>
  <c r="O979" i="4"/>
  <c r="T979" i="4"/>
  <c r="Y979" i="4" s="1"/>
  <c r="P979" i="4"/>
  <c r="U979" i="4" s="1"/>
  <c r="Z979" i="4" s="1"/>
  <c r="Q979" i="4"/>
  <c r="V979" i="4" s="1"/>
  <c r="AA979" i="4" s="1"/>
  <c r="M980" i="4"/>
  <c r="R980" i="4"/>
  <c r="W980" i="4" s="1"/>
  <c r="N980" i="4"/>
  <c r="S980" i="4"/>
  <c r="X980" i="4" s="1"/>
  <c r="O980" i="4"/>
  <c r="T980" i="4" s="1"/>
  <c r="Y980" i="4" s="1"/>
  <c r="P980" i="4"/>
  <c r="U980" i="4" s="1"/>
  <c r="Z980" i="4" s="1"/>
  <c r="Q980" i="4"/>
  <c r="V980" i="4"/>
  <c r="AA980" i="4" s="1"/>
  <c r="M981" i="4"/>
  <c r="R981" i="4"/>
  <c r="W981" i="4" s="1"/>
  <c r="N981" i="4"/>
  <c r="S981" i="4" s="1"/>
  <c r="X981" i="4" s="1"/>
  <c r="O981" i="4"/>
  <c r="T981" i="4" s="1"/>
  <c r="Y981" i="4" s="1"/>
  <c r="P981" i="4"/>
  <c r="U981" i="4"/>
  <c r="Z981" i="4" s="1"/>
  <c r="Q981" i="4"/>
  <c r="V981" i="4"/>
  <c r="AA981" i="4" s="1"/>
  <c r="M982" i="4"/>
  <c r="R982" i="4" s="1"/>
  <c r="W982" i="4" s="1"/>
  <c r="N982" i="4"/>
  <c r="S982" i="4" s="1"/>
  <c r="X982" i="4" s="1"/>
  <c r="O982" i="4"/>
  <c r="T982" i="4"/>
  <c r="Y982" i="4" s="1"/>
  <c r="P982" i="4"/>
  <c r="U982" i="4"/>
  <c r="Z982" i="4" s="1"/>
  <c r="Q982" i="4"/>
  <c r="V982" i="4" s="1"/>
  <c r="AA982" i="4" s="1"/>
  <c r="M983" i="4"/>
  <c r="R983" i="4" s="1"/>
  <c r="W983" i="4" s="1"/>
  <c r="N983" i="4"/>
  <c r="S983" i="4"/>
  <c r="X983" i="4" s="1"/>
  <c r="O983" i="4"/>
  <c r="T983" i="4"/>
  <c r="Y983" i="4" s="1"/>
  <c r="P983" i="4"/>
  <c r="U983" i="4" s="1"/>
  <c r="Z983" i="4" s="1"/>
  <c r="Q983" i="4"/>
  <c r="V983" i="4" s="1"/>
  <c r="AA983" i="4" s="1"/>
  <c r="M984" i="4"/>
  <c r="R984" i="4"/>
  <c r="W984" i="4" s="1"/>
  <c r="N984" i="4"/>
  <c r="S984" i="4"/>
  <c r="X984" i="4" s="1"/>
  <c r="O984" i="4"/>
  <c r="T984" i="4" s="1"/>
  <c r="Y984" i="4" s="1"/>
  <c r="P984" i="4"/>
  <c r="U984" i="4" s="1"/>
  <c r="Z984" i="4" s="1"/>
  <c r="Q984" i="4"/>
  <c r="V984" i="4"/>
  <c r="AA984" i="4" s="1"/>
  <c r="M985" i="4"/>
  <c r="R985" i="4"/>
  <c r="W985" i="4" s="1"/>
  <c r="N985" i="4"/>
  <c r="S985" i="4" s="1"/>
  <c r="X985" i="4" s="1"/>
  <c r="O985" i="4"/>
  <c r="T985" i="4" s="1"/>
  <c r="Y985" i="4" s="1"/>
  <c r="P985" i="4"/>
  <c r="U985" i="4"/>
  <c r="Z985" i="4" s="1"/>
  <c r="Q985" i="4"/>
  <c r="V985" i="4"/>
  <c r="AA985" i="4" s="1"/>
  <c r="M986" i="4"/>
  <c r="R986" i="4" s="1"/>
  <c r="W986" i="4" s="1"/>
  <c r="N986" i="4"/>
  <c r="S986" i="4" s="1"/>
  <c r="X986" i="4" s="1"/>
  <c r="O986" i="4"/>
  <c r="T986" i="4"/>
  <c r="Y986" i="4" s="1"/>
  <c r="P986" i="4"/>
  <c r="U986" i="4"/>
  <c r="Z986" i="4" s="1"/>
  <c r="Q986" i="4"/>
  <c r="V986" i="4" s="1"/>
  <c r="AA986" i="4" s="1"/>
  <c r="M987" i="4"/>
  <c r="R987" i="4" s="1"/>
  <c r="W987" i="4" s="1"/>
  <c r="N987" i="4"/>
  <c r="S987" i="4"/>
  <c r="X987" i="4" s="1"/>
  <c r="O987" i="4"/>
  <c r="T987" i="4"/>
  <c r="Y987" i="4" s="1"/>
  <c r="P987" i="4"/>
  <c r="U987" i="4" s="1"/>
  <c r="Z987" i="4" s="1"/>
  <c r="Q987" i="4"/>
  <c r="V987" i="4" s="1"/>
  <c r="AA987" i="4" s="1"/>
  <c r="M988" i="4"/>
  <c r="R988" i="4"/>
  <c r="W988" i="4" s="1"/>
  <c r="N988" i="4"/>
  <c r="S988" i="4"/>
  <c r="X988" i="4" s="1"/>
  <c r="O988" i="4"/>
  <c r="T988" i="4" s="1"/>
  <c r="Y988" i="4" s="1"/>
  <c r="P988" i="4"/>
  <c r="U988" i="4" s="1"/>
  <c r="Z988" i="4" s="1"/>
  <c r="Q988" i="4"/>
  <c r="V988" i="4"/>
  <c r="AA988" i="4" s="1"/>
  <c r="M989" i="4"/>
  <c r="R989" i="4"/>
  <c r="W989" i="4" s="1"/>
  <c r="N989" i="4"/>
  <c r="S989" i="4" s="1"/>
  <c r="X989" i="4" s="1"/>
  <c r="O989" i="4"/>
  <c r="T989" i="4" s="1"/>
  <c r="Y989" i="4" s="1"/>
  <c r="P989" i="4"/>
  <c r="U989" i="4"/>
  <c r="Z989" i="4" s="1"/>
  <c r="Q989" i="4"/>
  <c r="V989" i="4"/>
  <c r="AA989" i="4" s="1"/>
  <c r="M990" i="4"/>
  <c r="R990" i="4" s="1"/>
  <c r="W990" i="4" s="1"/>
  <c r="N990" i="4"/>
  <c r="S990" i="4" s="1"/>
  <c r="X990" i="4" s="1"/>
  <c r="O990" i="4"/>
  <c r="T990" i="4"/>
  <c r="Y990" i="4" s="1"/>
  <c r="P990" i="4"/>
  <c r="U990" i="4"/>
  <c r="Z990" i="4" s="1"/>
  <c r="Q990" i="4"/>
  <c r="V990" i="4" s="1"/>
  <c r="AA990" i="4" s="1"/>
  <c r="M991" i="4"/>
  <c r="R991" i="4" s="1"/>
  <c r="W991" i="4" s="1"/>
  <c r="N991" i="4"/>
  <c r="S991" i="4"/>
  <c r="X991" i="4" s="1"/>
  <c r="O991" i="4"/>
  <c r="T991" i="4"/>
  <c r="Y991" i="4" s="1"/>
  <c r="P991" i="4"/>
  <c r="U991" i="4" s="1"/>
  <c r="Z991" i="4" s="1"/>
  <c r="Q991" i="4"/>
  <c r="V991" i="4" s="1"/>
  <c r="AA991" i="4" s="1"/>
  <c r="M992" i="4"/>
  <c r="R992" i="4"/>
  <c r="W992" i="4" s="1"/>
  <c r="N992" i="4"/>
  <c r="S992" i="4"/>
  <c r="X992" i="4" s="1"/>
  <c r="O992" i="4"/>
  <c r="T992" i="4" s="1"/>
  <c r="Y992" i="4" s="1"/>
  <c r="P992" i="4"/>
  <c r="U992" i="4" s="1"/>
  <c r="Z992" i="4" s="1"/>
  <c r="Q992" i="4"/>
  <c r="V992" i="4"/>
  <c r="AA992" i="4" s="1"/>
  <c r="M993" i="4"/>
  <c r="R993" i="4"/>
  <c r="W993" i="4" s="1"/>
  <c r="N993" i="4"/>
  <c r="S993" i="4" s="1"/>
  <c r="X993" i="4" s="1"/>
  <c r="O993" i="4"/>
  <c r="T993" i="4" s="1"/>
  <c r="Y993" i="4" s="1"/>
  <c r="P993" i="4"/>
  <c r="U993" i="4"/>
  <c r="Z993" i="4" s="1"/>
  <c r="Q993" i="4"/>
  <c r="V993" i="4"/>
  <c r="AA993" i="4" s="1"/>
  <c r="M994" i="4"/>
  <c r="R994" i="4" s="1"/>
  <c r="W994" i="4" s="1"/>
  <c r="N994" i="4"/>
  <c r="S994" i="4" s="1"/>
  <c r="X994" i="4" s="1"/>
  <c r="O994" i="4"/>
  <c r="T994" i="4"/>
  <c r="Y994" i="4" s="1"/>
  <c r="P994" i="4"/>
  <c r="U994" i="4"/>
  <c r="Z994" i="4" s="1"/>
  <c r="Q994" i="4"/>
  <c r="V994" i="4" s="1"/>
  <c r="AA994" i="4" s="1"/>
  <c r="M995" i="4"/>
  <c r="R995" i="4" s="1"/>
  <c r="W995" i="4" s="1"/>
  <c r="N995" i="4"/>
  <c r="S995" i="4"/>
  <c r="X995" i="4" s="1"/>
  <c r="O995" i="4"/>
  <c r="T995" i="4"/>
  <c r="Y995" i="4" s="1"/>
  <c r="P995" i="4"/>
  <c r="U995" i="4" s="1"/>
  <c r="Z995" i="4" s="1"/>
  <c r="Q995" i="4"/>
  <c r="V995" i="4" s="1"/>
  <c r="AA995" i="4" s="1"/>
  <c r="M996" i="4"/>
  <c r="R996" i="4"/>
  <c r="W996" i="4" s="1"/>
  <c r="N996" i="4"/>
  <c r="S996" i="4"/>
  <c r="X996" i="4" s="1"/>
  <c r="O996" i="4"/>
  <c r="T996" i="4" s="1"/>
  <c r="Y996" i="4" s="1"/>
  <c r="P996" i="4"/>
  <c r="U996" i="4" s="1"/>
  <c r="Z996" i="4" s="1"/>
  <c r="Q996" i="4"/>
  <c r="V996" i="4"/>
  <c r="AA996" i="4" s="1"/>
  <c r="M997" i="4"/>
  <c r="R997" i="4"/>
  <c r="W997" i="4" s="1"/>
  <c r="N997" i="4"/>
  <c r="S997" i="4" s="1"/>
  <c r="X997" i="4" s="1"/>
  <c r="O997" i="4"/>
  <c r="T997" i="4" s="1"/>
  <c r="Y997" i="4" s="1"/>
  <c r="P997" i="4"/>
  <c r="U997" i="4"/>
  <c r="Z997" i="4" s="1"/>
  <c r="Q997" i="4"/>
  <c r="V997" i="4"/>
  <c r="AA997" i="4" s="1"/>
  <c r="M998" i="4"/>
  <c r="R998" i="4" s="1"/>
  <c r="W998" i="4" s="1"/>
  <c r="N998" i="4"/>
  <c r="S998" i="4" s="1"/>
  <c r="X998" i="4" s="1"/>
  <c r="O998" i="4"/>
  <c r="T998" i="4"/>
  <c r="Y998" i="4" s="1"/>
  <c r="P998" i="4"/>
  <c r="U998" i="4"/>
  <c r="Z998" i="4" s="1"/>
  <c r="Q998" i="4"/>
  <c r="V998" i="4" s="1"/>
  <c r="AA998" i="4" s="1"/>
  <c r="M999" i="4"/>
  <c r="R999" i="4" s="1"/>
  <c r="W999" i="4" s="1"/>
  <c r="N999" i="4"/>
  <c r="S999" i="4"/>
  <c r="X999" i="4" s="1"/>
  <c r="O999" i="4"/>
  <c r="T999" i="4"/>
  <c r="Y999" i="4" s="1"/>
  <c r="P999" i="4"/>
  <c r="U999" i="4" s="1"/>
  <c r="Z999" i="4" s="1"/>
  <c r="Q999" i="4"/>
  <c r="V999" i="4" s="1"/>
  <c r="AA999" i="4" s="1"/>
  <c r="M1000" i="4"/>
  <c r="R1000" i="4"/>
  <c r="W1000" i="4" s="1"/>
  <c r="N1000" i="4"/>
  <c r="S1000" i="4"/>
  <c r="X1000" i="4" s="1"/>
  <c r="O1000" i="4"/>
  <c r="T1000" i="4" s="1"/>
  <c r="Y1000" i="4" s="1"/>
  <c r="P1000" i="4"/>
  <c r="U1000" i="4" s="1"/>
  <c r="Z1000" i="4" s="1"/>
  <c r="Q1000" i="4"/>
  <c r="V1000" i="4"/>
  <c r="AA1000" i="4" s="1"/>
  <c r="M1001" i="4"/>
  <c r="R1001" i="4"/>
  <c r="W1001" i="4" s="1"/>
  <c r="N1001" i="4"/>
  <c r="S1001" i="4" s="1"/>
  <c r="X1001" i="4" s="1"/>
  <c r="O1001" i="4"/>
  <c r="T1001" i="4" s="1"/>
  <c r="Y1001" i="4" s="1"/>
  <c r="P1001" i="4"/>
  <c r="U1001" i="4"/>
  <c r="Z1001" i="4" s="1"/>
  <c r="Q1001" i="4"/>
  <c r="V1001" i="4"/>
  <c r="AA1001" i="4" s="1"/>
  <c r="M1002" i="4"/>
  <c r="R1002" i="4" s="1"/>
  <c r="W1002" i="4" s="1"/>
  <c r="N1002" i="4"/>
  <c r="S1002" i="4" s="1"/>
  <c r="X1002" i="4" s="1"/>
  <c r="O1002" i="4"/>
  <c r="T1002" i="4"/>
  <c r="Y1002" i="4" s="1"/>
  <c r="P1002" i="4"/>
  <c r="U1002" i="4"/>
  <c r="Z1002" i="4" s="1"/>
  <c r="Q1002" i="4"/>
  <c r="V1002" i="4" s="1"/>
  <c r="AA1002" i="4" s="1"/>
  <c r="M1003" i="4"/>
  <c r="R1003" i="4" s="1"/>
  <c r="W1003" i="4" s="1"/>
  <c r="N1003" i="4"/>
  <c r="S1003" i="4"/>
  <c r="X1003" i="4" s="1"/>
  <c r="O1003" i="4"/>
  <c r="T1003" i="4"/>
  <c r="Y1003" i="4" s="1"/>
  <c r="P1003" i="4"/>
  <c r="U1003" i="4" s="1"/>
  <c r="Z1003" i="4" s="1"/>
  <c r="Q1003" i="4"/>
  <c r="V1003" i="4" s="1"/>
  <c r="AA1003" i="4" s="1"/>
  <c r="M1004" i="4"/>
  <c r="R1004" i="4"/>
  <c r="W1004" i="4" s="1"/>
  <c r="N1004" i="4"/>
  <c r="S1004" i="4"/>
  <c r="X1004" i="4" s="1"/>
  <c r="O1004" i="4"/>
  <c r="T1004" i="4" s="1"/>
  <c r="Y1004" i="4" s="1"/>
  <c r="P1004" i="4"/>
  <c r="U1004" i="4" s="1"/>
  <c r="Z1004" i="4" s="1"/>
  <c r="Q1004" i="4"/>
  <c r="V1004" i="4"/>
  <c r="AA1004" i="4" s="1"/>
  <c r="M1005" i="4"/>
  <c r="R1005" i="4"/>
  <c r="W1005" i="4" s="1"/>
  <c r="N1005" i="4"/>
  <c r="S1005" i="4" s="1"/>
  <c r="X1005" i="4" s="1"/>
  <c r="O1005" i="4"/>
  <c r="T1005" i="4" s="1"/>
  <c r="Y1005" i="4" s="1"/>
  <c r="P1005" i="4"/>
  <c r="U1005" i="4"/>
  <c r="Z1005" i="4" s="1"/>
  <c r="Q1005" i="4"/>
  <c r="V1005" i="4"/>
  <c r="AA1005" i="4" s="1"/>
  <c r="M1006" i="4"/>
  <c r="R1006" i="4" s="1"/>
  <c r="W1006" i="4" s="1"/>
  <c r="N1006" i="4"/>
  <c r="S1006" i="4" s="1"/>
  <c r="X1006" i="4" s="1"/>
  <c r="O1006" i="4"/>
  <c r="T1006" i="4"/>
  <c r="Y1006" i="4" s="1"/>
  <c r="P1006" i="4"/>
  <c r="U1006" i="4"/>
  <c r="Z1006" i="4" s="1"/>
  <c r="Q1006" i="4"/>
  <c r="V1006" i="4" s="1"/>
  <c r="AA1006" i="4" s="1"/>
  <c r="M1007" i="4"/>
  <c r="R1007" i="4" s="1"/>
  <c r="W1007" i="4" s="1"/>
  <c r="N1007" i="4"/>
  <c r="S1007" i="4"/>
  <c r="X1007" i="4" s="1"/>
  <c r="O1007" i="4"/>
  <c r="T1007" i="4"/>
  <c r="Y1007" i="4" s="1"/>
  <c r="P1007" i="4"/>
  <c r="U1007" i="4" s="1"/>
  <c r="Z1007" i="4" s="1"/>
  <c r="Q1007" i="4"/>
  <c r="V1007" i="4" s="1"/>
  <c r="AA1007" i="4" s="1"/>
  <c r="M1008" i="4"/>
  <c r="R1008" i="4"/>
  <c r="W1008" i="4" s="1"/>
  <c r="N1008" i="4"/>
  <c r="S1008" i="4"/>
  <c r="X1008" i="4" s="1"/>
  <c r="O1008" i="4"/>
  <c r="T1008" i="4" s="1"/>
  <c r="Y1008" i="4" s="1"/>
  <c r="P1008" i="4"/>
  <c r="U1008" i="4" s="1"/>
  <c r="Z1008" i="4" s="1"/>
  <c r="Q1008" i="4"/>
  <c r="V1008" i="4"/>
  <c r="AA1008" i="4" s="1"/>
  <c r="M1009" i="4"/>
  <c r="R1009" i="4"/>
  <c r="W1009" i="4" s="1"/>
  <c r="N1009" i="4"/>
  <c r="S1009" i="4" s="1"/>
  <c r="X1009" i="4" s="1"/>
  <c r="O1009" i="4"/>
  <c r="T1009" i="4" s="1"/>
  <c r="Y1009" i="4" s="1"/>
  <c r="P1009" i="4"/>
  <c r="U1009" i="4"/>
  <c r="Z1009" i="4" s="1"/>
  <c r="Q1009" i="4"/>
  <c r="V1009" i="4"/>
  <c r="AA1009" i="4" s="1"/>
  <c r="M1010" i="4"/>
  <c r="R1010" i="4" s="1"/>
  <c r="W1010" i="4" s="1"/>
  <c r="N1010" i="4"/>
  <c r="S1010" i="4" s="1"/>
  <c r="X1010" i="4" s="1"/>
  <c r="O1010" i="4"/>
  <c r="T1010" i="4"/>
  <c r="Y1010" i="4" s="1"/>
  <c r="P1010" i="4"/>
  <c r="U1010" i="4"/>
  <c r="Z1010" i="4" s="1"/>
  <c r="Q1010" i="4"/>
  <c r="V1010" i="4" s="1"/>
  <c r="AA1010" i="4" s="1"/>
  <c r="M1011" i="4"/>
  <c r="R1011" i="4" s="1"/>
  <c r="W1011" i="4" s="1"/>
  <c r="N1011" i="4"/>
  <c r="S1011" i="4"/>
  <c r="X1011" i="4" s="1"/>
  <c r="O1011" i="4"/>
  <c r="T1011" i="4"/>
  <c r="Y1011" i="4" s="1"/>
  <c r="P1011" i="4"/>
  <c r="U1011" i="4" s="1"/>
  <c r="Z1011" i="4" s="1"/>
  <c r="Q1011" i="4"/>
  <c r="V1011" i="4" s="1"/>
  <c r="AA1011" i="4" s="1"/>
  <c r="M1012" i="4"/>
  <c r="R1012" i="4"/>
  <c r="W1012" i="4" s="1"/>
  <c r="N1012" i="4"/>
  <c r="S1012" i="4"/>
  <c r="X1012" i="4" s="1"/>
  <c r="O1012" i="4"/>
  <c r="T1012" i="4" s="1"/>
  <c r="Y1012" i="4" s="1"/>
  <c r="P1012" i="4"/>
  <c r="U1012" i="4" s="1"/>
  <c r="Z1012" i="4" s="1"/>
  <c r="Q1012" i="4"/>
  <c r="V1012" i="4"/>
  <c r="AA1012" i="4" s="1"/>
  <c r="M1013" i="4"/>
  <c r="R1013" i="4"/>
  <c r="W1013" i="4" s="1"/>
  <c r="N1013" i="4"/>
  <c r="S1013" i="4" s="1"/>
  <c r="X1013" i="4" s="1"/>
  <c r="O1013" i="4"/>
  <c r="T1013" i="4" s="1"/>
  <c r="Y1013" i="4" s="1"/>
  <c r="P1013" i="4"/>
  <c r="U1013" i="4"/>
  <c r="Z1013" i="4" s="1"/>
  <c r="Q1013" i="4"/>
  <c r="V1013" i="4"/>
  <c r="AA1013" i="4" s="1"/>
  <c r="M1014" i="4"/>
  <c r="R1014" i="4" s="1"/>
  <c r="W1014" i="4" s="1"/>
  <c r="N1014" i="4"/>
  <c r="S1014" i="4" s="1"/>
  <c r="X1014" i="4" s="1"/>
  <c r="O1014" i="4"/>
  <c r="T1014" i="4"/>
  <c r="Y1014" i="4" s="1"/>
  <c r="P1014" i="4"/>
  <c r="U1014" i="4"/>
  <c r="Z1014" i="4" s="1"/>
  <c r="Q1014" i="4"/>
  <c r="V1014" i="4" s="1"/>
  <c r="AA1014" i="4" s="1"/>
  <c r="M1015" i="4"/>
  <c r="R1015" i="4"/>
  <c r="W1015" i="4" s="1"/>
  <c r="N1015" i="4"/>
  <c r="S1015" i="4" s="1"/>
  <c r="X1015" i="4" s="1"/>
  <c r="O1015" i="4"/>
  <c r="T1015" i="4" s="1"/>
  <c r="Y1015" i="4" s="1"/>
  <c r="P1015" i="4"/>
  <c r="U1015" i="4"/>
  <c r="Z1015" i="4" s="1"/>
  <c r="Q1015" i="4"/>
  <c r="V1015" i="4"/>
  <c r="AA1015" i="4" s="1"/>
  <c r="M1016" i="4"/>
  <c r="R1016" i="4" s="1"/>
  <c r="W1016" i="4" s="1"/>
  <c r="N1016" i="4"/>
  <c r="S1016" i="4" s="1"/>
  <c r="X1016" i="4" s="1"/>
  <c r="O1016" i="4"/>
  <c r="T1016" i="4"/>
  <c r="Y1016" i="4" s="1"/>
  <c r="P1016" i="4"/>
  <c r="U1016" i="4"/>
  <c r="Z1016" i="4" s="1"/>
  <c r="Q1016" i="4"/>
  <c r="V1016" i="4" s="1"/>
  <c r="AA1016" i="4" s="1"/>
  <c r="M1017" i="4"/>
  <c r="R1017" i="4" s="1"/>
  <c r="W1017" i="4" s="1"/>
  <c r="N1017" i="4"/>
  <c r="S1017" i="4"/>
  <c r="X1017" i="4" s="1"/>
  <c r="O1017" i="4"/>
  <c r="T1017" i="4"/>
  <c r="Y1017" i="4" s="1"/>
  <c r="P1017" i="4"/>
  <c r="U1017" i="4" s="1"/>
  <c r="Z1017" i="4" s="1"/>
  <c r="Q1017" i="4"/>
  <c r="V1017" i="4" s="1"/>
  <c r="AA1017" i="4" s="1"/>
  <c r="M1018" i="4"/>
  <c r="R1018" i="4"/>
  <c r="W1018" i="4" s="1"/>
  <c r="N1018" i="4"/>
  <c r="S1018" i="4"/>
  <c r="X1018" i="4" s="1"/>
  <c r="O1018" i="4"/>
  <c r="T1018" i="4" s="1"/>
  <c r="Y1018" i="4" s="1"/>
  <c r="P1018" i="4"/>
  <c r="U1018" i="4" s="1"/>
  <c r="Z1018" i="4" s="1"/>
  <c r="Q1018" i="4"/>
  <c r="V1018" i="4"/>
  <c r="AA1018" i="4" s="1"/>
  <c r="M1019" i="4"/>
  <c r="R1019" i="4" s="1"/>
  <c r="W1019" i="4" s="1"/>
  <c r="N1019" i="4"/>
  <c r="S1019" i="4"/>
  <c r="X1019" i="4" s="1"/>
  <c r="O1019" i="4"/>
  <c r="T1019" i="4"/>
  <c r="Y1019" i="4" s="1"/>
  <c r="P1019" i="4"/>
  <c r="U1019" i="4" s="1"/>
  <c r="Z1019" i="4" s="1"/>
  <c r="Q1019" i="4"/>
  <c r="V1019" i="4" s="1"/>
  <c r="AA1019" i="4" s="1"/>
  <c r="M1020" i="4"/>
  <c r="R1020" i="4"/>
  <c r="W1020" i="4" s="1"/>
  <c r="N1020" i="4"/>
  <c r="S1020" i="4"/>
  <c r="X1020" i="4" s="1"/>
  <c r="O1020" i="4"/>
  <c r="T1020" i="4" s="1"/>
  <c r="Y1020" i="4" s="1"/>
  <c r="P1020" i="4"/>
  <c r="U1020" i="4" s="1"/>
  <c r="Z1020" i="4" s="1"/>
  <c r="Q1020" i="4"/>
  <c r="V1020" i="4"/>
  <c r="AA1020" i="4" s="1"/>
  <c r="M1021" i="4"/>
  <c r="R1021" i="4"/>
  <c r="W1021" i="4" s="1"/>
  <c r="N1021" i="4"/>
  <c r="S1021" i="4" s="1"/>
  <c r="X1021" i="4" s="1"/>
  <c r="O1021" i="4"/>
  <c r="T1021" i="4" s="1"/>
  <c r="Y1021" i="4" s="1"/>
  <c r="P1021" i="4"/>
  <c r="U1021" i="4"/>
  <c r="Z1021" i="4" s="1"/>
  <c r="Q1021" i="4"/>
  <c r="V1021" i="4"/>
  <c r="AA1021" i="4" s="1"/>
  <c r="M1022" i="4"/>
  <c r="R1022" i="4" s="1"/>
  <c r="W1022" i="4" s="1"/>
  <c r="N1022" i="4"/>
  <c r="S1022" i="4" s="1"/>
  <c r="X1022" i="4" s="1"/>
  <c r="O1022" i="4"/>
  <c r="T1022" i="4"/>
  <c r="Y1022" i="4" s="1"/>
  <c r="P1022" i="4"/>
  <c r="U1022" i="4"/>
  <c r="Z1022" i="4" s="1"/>
  <c r="Q1022" i="4"/>
  <c r="V1022" i="4" s="1"/>
  <c r="AA1022" i="4" s="1"/>
  <c r="M1023" i="4"/>
  <c r="R1023" i="4"/>
  <c r="W1023" i="4" s="1"/>
  <c r="N1023" i="4"/>
  <c r="S1023" i="4" s="1"/>
  <c r="X1023" i="4" s="1"/>
  <c r="O1023" i="4"/>
  <c r="T1023" i="4" s="1"/>
  <c r="Y1023" i="4" s="1"/>
  <c r="P1023" i="4"/>
  <c r="U1023" i="4"/>
  <c r="Z1023" i="4" s="1"/>
  <c r="Q1023" i="4"/>
  <c r="V1023" i="4"/>
  <c r="AA1023" i="4" s="1"/>
  <c r="M1024" i="4"/>
  <c r="R1024" i="4" s="1"/>
  <c r="W1024" i="4" s="1"/>
  <c r="N1024" i="4"/>
  <c r="S1024" i="4"/>
  <c r="X1024" i="4" s="1"/>
  <c r="O1024" i="4"/>
  <c r="T1024" i="4" s="1"/>
  <c r="Y1024" i="4" s="1"/>
  <c r="P1024" i="4"/>
  <c r="U1024" i="4" s="1"/>
  <c r="Z1024" i="4" s="1"/>
  <c r="Q1024" i="4"/>
  <c r="V1024" i="4"/>
  <c r="AA1024" i="4" s="1"/>
  <c r="M1025" i="4"/>
  <c r="R1025" i="4"/>
  <c r="W1025" i="4" s="1"/>
  <c r="N1025" i="4"/>
  <c r="S1025" i="4" s="1"/>
  <c r="X1025" i="4" s="1"/>
  <c r="O1025" i="4"/>
  <c r="T1025" i="4" s="1"/>
  <c r="Y1025" i="4" s="1"/>
  <c r="P1025" i="4"/>
  <c r="U1025" i="4"/>
  <c r="Z1025" i="4" s="1"/>
  <c r="Q1025" i="4"/>
  <c r="V1025" i="4"/>
  <c r="AA1025" i="4" s="1"/>
  <c r="M1026" i="4"/>
  <c r="R1026" i="4" s="1"/>
  <c r="W1026" i="4" s="1"/>
  <c r="N1026" i="4"/>
  <c r="S1026" i="4" s="1"/>
  <c r="X1026" i="4" s="1"/>
  <c r="O1026" i="4"/>
  <c r="T1026" i="4"/>
  <c r="Y1026" i="4" s="1"/>
  <c r="P1026" i="4"/>
  <c r="U1026" i="4"/>
  <c r="Z1026" i="4" s="1"/>
  <c r="Q1026" i="4"/>
  <c r="V1026" i="4" s="1"/>
  <c r="AA1026" i="4" s="1"/>
  <c r="M1027" i="4"/>
  <c r="R1027" i="4"/>
  <c r="W1027" i="4" s="1"/>
  <c r="N1027" i="4"/>
  <c r="S1027" i="4" s="1"/>
  <c r="X1027" i="4" s="1"/>
  <c r="O1027" i="4"/>
  <c r="T1027" i="4" s="1"/>
  <c r="Y1027" i="4" s="1"/>
  <c r="P1027" i="4"/>
  <c r="U1027" i="4"/>
  <c r="Z1027" i="4" s="1"/>
  <c r="Q1027" i="4"/>
  <c r="V1027" i="4"/>
  <c r="AA1027" i="4" s="1"/>
  <c r="M1028" i="4"/>
  <c r="R1028" i="4" s="1"/>
  <c r="W1028" i="4" s="1"/>
  <c r="N1028" i="4"/>
  <c r="S1028" i="4" s="1"/>
  <c r="X1028" i="4" s="1"/>
  <c r="O1028" i="4"/>
  <c r="T1028" i="4"/>
  <c r="Y1028" i="4" s="1"/>
  <c r="P1028" i="4"/>
  <c r="U1028" i="4"/>
  <c r="Z1028" i="4" s="1"/>
  <c r="Q1028" i="4"/>
  <c r="V1028" i="4" s="1"/>
  <c r="AA1028" i="4" s="1"/>
  <c r="M1029" i="4"/>
  <c r="R1029" i="4" s="1"/>
  <c r="W1029" i="4" s="1"/>
  <c r="N1029" i="4"/>
  <c r="S1029" i="4"/>
  <c r="X1029" i="4" s="1"/>
  <c r="O1029" i="4"/>
  <c r="T1029" i="4"/>
  <c r="Y1029" i="4" s="1"/>
  <c r="P1029" i="4"/>
  <c r="U1029" i="4" s="1"/>
  <c r="Z1029" i="4" s="1"/>
  <c r="Q1029" i="4"/>
  <c r="V1029" i="4" s="1"/>
  <c r="AA1029" i="4" s="1"/>
  <c r="M1030" i="4"/>
  <c r="R1030" i="4"/>
  <c r="W1030" i="4" s="1"/>
  <c r="N1030" i="4"/>
  <c r="S1030" i="4"/>
  <c r="X1030" i="4" s="1"/>
  <c r="O1030" i="4"/>
  <c r="T1030" i="4" s="1"/>
  <c r="Y1030" i="4" s="1"/>
  <c r="P1030" i="4"/>
  <c r="U1030" i="4" s="1"/>
  <c r="Z1030" i="4" s="1"/>
  <c r="Q1030" i="4"/>
  <c r="V1030" i="4"/>
  <c r="AA1030" i="4" s="1"/>
  <c r="M1031" i="4"/>
  <c r="R1031" i="4" s="1"/>
  <c r="W1031" i="4" s="1"/>
  <c r="N1031" i="4"/>
  <c r="S1031" i="4"/>
  <c r="X1031" i="4" s="1"/>
  <c r="O1031" i="4"/>
  <c r="T1031" i="4"/>
  <c r="Y1031" i="4" s="1"/>
  <c r="P1031" i="4"/>
  <c r="U1031" i="4" s="1"/>
  <c r="Z1031" i="4" s="1"/>
  <c r="Q1031" i="4"/>
  <c r="V1031" i="4" s="1"/>
  <c r="AA1031" i="4" s="1"/>
  <c r="M1032" i="4"/>
  <c r="R1032" i="4"/>
  <c r="W1032" i="4" s="1"/>
  <c r="N1032" i="4"/>
  <c r="S1032" i="4"/>
  <c r="X1032" i="4" s="1"/>
  <c r="O1032" i="4"/>
  <c r="T1032" i="4" s="1"/>
  <c r="Y1032" i="4" s="1"/>
  <c r="P1032" i="4"/>
  <c r="U1032" i="4" s="1"/>
  <c r="Z1032" i="4" s="1"/>
  <c r="Q1032" i="4"/>
  <c r="V1032" i="4"/>
  <c r="AA1032" i="4" s="1"/>
  <c r="M1033" i="4"/>
  <c r="R1033" i="4"/>
  <c r="W1033" i="4" s="1"/>
  <c r="N1033" i="4"/>
  <c r="S1033" i="4" s="1"/>
  <c r="X1033" i="4" s="1"/>
  <c r="O1033" i="4"/>
  <c r="T1033" i="4" s="1"/>
  <c r="Y1033" i="4" s="1"/>
  <c r="P1033" i="4"/>
  <c r="U1033" i="4"/>
  <c r="Z1033" i="4" s="1"/>
  <c r="Q1033" i="4"/>
  <c r="V1033" i="4"/>
  <c r="AA1033" i="4" s="1"/>
  <c r="M1034" i="4"/>
  <c r="R1034" i="4" s="1"/>
  <c r="W1034" i="4" s="1"/>
  <c r="N1034" i="4"/>
  <c r="S1034" i="4" s="1"/>
  <c r="X1034" i="4" s="1"/>
  <c r="O1034" i="4"/>
  <c r="T1034" i="4"/>
  <c r="Y1034" i="4" s="1"/>
  <c r="P1034" i="4"/>
  <c r="U1034" i="4"/>
  <c r="Z1034" i="4" s="1"/>
  <c r="Q1034" i="4"/>
  <c r="V1034" i="4" s="1"/>
  <c r="AA1034" i="4" s="1"/>
  <c r="M1035" i="4"/>
  <c r="R1035" i="4"/>
  <c r="W1035" i="4" s="1"/>
  <c r="N1035" i="4"/>
  <c r="S1035" i="4" s="1"/>
  <c r="X1035" i="4" s="1"/>
  <c r="O1035" i="4"/>
  <c r="T1035" i="4" s="1"/>
  <c r="Y1035" i="4" s="1"/>
  <c r="P1035" i="4"/>
  <c r="U1035" i="4"/>
  <c r="Z1035" i="4" s="1"/>
  <c r="Q1035" i="4"/>
  <c r="V1035" i="4"/>
  <c r="AA1035" i="4" s="1"/>
  <c r="M1036" i="4"/>
  <c r="R1036" i="4" s="1"/>
  <c r="W1036" i="4" s="1"/>
  <c r="N1036" i="4"/>
  <c r="S1036" i="4" s="1"/>
  <c r="X1036" i="4" s="1"/>
  <c r="O1036" i="4"/>
  <c r="T1036" i="4"/>
  <c r="Y1036" i="4" s="1"/>
  <c r="P1036" i="4"/>
  <c r="U1036" i="4"/>
  <c r="Z1036" i="4" s="1"/>
  <c r="Q1036" i="4"/>
  <c r="V1036" i="4" s="1"/>
  <c r="AA1036" i="4" s="1"/>
  <c r="M1037" i="4"/>
  <c r="R1037" i="4" s="1"/>
  <c r="W1037" i="4" s="1"/>
  <c r="N1037" i="4"/>
  <c r="S1037" i="4"/>
  <c r="X1037" i="4" s="1"/>
  <c r="O1037" i="4"/>
  <c r="T1037" i="4"/>
  <c r="Y1037" i="4" s="1"/>
  <c r="P1037" i="4"/>
  <c r="U1037" i="4" s="1"/>
  <c r="Z1037" i="4" s="1"/>
  <c r="Q1037" i="4"/>
  <c r="V1037" i="4" s="1"/>
  <c r="AA1037" i="4" s="1"/>
  <c r="M1038" i="4"/>
  <c r="R1038" i="4"/>
  <c r="W1038" i="4" s="1"/>
  <c r="N1038" i="4"/>
  <c r="S1038" i="4"/>
  <c r="X1038" i="4" s="1"/>
  <c r="O1038" i="4"/>
  <c r="T1038" i="4" s="1"/>
  <c r="Y1038" i="4" s="1"/>
  <c r="P1038" i="4"/>
  <c r="U1038" i="4" s="1"/>
  <c r="Z1038" i="4" s="1"/>
  <c r="Q1038" i="4"/>
  <c r="V1038" i="4"/>
  <c r="AA1038" i="4" s="1"/>
  <c r="M1039" i="4"/>
  <c r="R1039" i="4" s="1"/>
  <c r="W1039" i="4" s="1"/>
  <c r="N1039" i="4"/>
  <c r="S1039" i="4"/>
  <c r="X1039" i="4" s="1"/>
  <c r="O1039" i="4"/>
  <c r="T1039" i="4"/>
  <c r="Y1039" i="4" s="1"/>
  <c r="P1039" i="4"/>
  <c r="U1039" i="4" s="1"/>
  <c r="Z1039" i="4" s="1"/>
  <c r="Q1039" i="4"/>
  <c r="V1039" i="4" s="1"/>
  <c r="AA1039" i="4" s="1"/>
  <c r="M1040" i="4"/>
  <c r="R1040" i="4"/>
  <c r="W1040" i="4" s="1"/>
  <c r="N1040" i="4"/>
  <c r="S1040" i="4"/>
  <c r="X1040" i="4" s="1"/>
  <c r="O1040" i="4"/>
  <c r="T1040" i="4" s="1"/>
  <c r="Y1040" i="4" s="1"/>
  <c r="P1040" i="4"/>
  <c r="U1040" i="4" s="1"/>
  <c r="Z1040" i="4" s="1"/>
  <c r="Q1040" i="4"/>
  <c r="V1040" i="4"/>
  <c r="AA1040" i="4" s="1"/>
  <c r="M1041" i="4"/>
  <c r="R1041" i="4"/>
  <c r="W1041" i="4" s="1"/>
  <c r="N1041" i="4"/>
  <c r="S1041" i="4" s="1"/>
  <c r="X1041" i="4" s="1"/>
  <c r="O1041" i="4"/>
  <c r="T1041" i="4" s="1"/>
  <c r="Y1041" i="4" s="1"/>
  <c r="P1041" i="4"/>
  <c r="U1041" i="4"/>
  <c r="Z1041" i="4" s="1"/>
  <c r="Q1041" i="4"/>
  <c r="V1041" i="4"/>
  <c r="AA1041" i="4" s="1"/>
  <c r="M1042" i="4"/>
  <c r="R1042" i="4" s="1"/>
  <c r="W1042" i="4" s="1"/>
  <c r="N1042" i="4"/>
  <c r="S1042" i="4" s="1"/>
  <c r="X1042" i="4" s="1"/>
  <c r="O1042" i="4"/>
  <c r="T1042" i="4"/>
  <c r="Y1042" i="4" s="1"/>
  <c r="P1042" i="4"/>
  <c r="U1042" i="4"/>
  <c r="Z1042" i="4" s="1"/>
  <c r="Q1042" i="4"/>
  <c r="V1042" i="4" s="1"/>
  <c r="AA1042" i="4" s="1"/>
  <c r="M1043" i="4"/>
  <c r="R1043" i="4"/>
  <c r="W1043" i="4" s="1"/>
  <c r="N1043" i="4"/>
  <c r="S1043" i="4" s="1"/>
  <c r="X1043" i="4" s="1"/>
  <c r="O1043" i="4"/>
  <c r="T1043" i="4" s="1"/>
  <c r="Y1043" i="4" s="1"/>
  <c r="P1043" i="4"/>
  <c r="U1043" i="4"/>
  <c r="Z1043" i="4" s="1"/>
  <c r="Q1043" i="4"/>
  <c r="V1043" i="4"/>
  <c r="AA1043" i="4" s="1"/>
  <c r="M1044" i="4"/>
  <c r="R1044" i="4" s="1"/>
  <c r="W1044" i="4" s="1"/>
  <c r="N1044" i="4"/>
  <c r="S1044" i="4" s="1"/>
  <c r="X1044" i="4" s="1"/>
  <c r="O1044" i="4"/>
  <c r="T1044" i="4"/>
  <c r="Y1044" i="4" s="1"/>
  <c r="P1044" i="4"/>
  <c r="U1044" i="4"/>
  <c r="Z1044" i="4" s="1"/>
  <c r="Q1044" i="4"/>
  <c r="V1044" i="4" s="1"/>
  <c r="AA1044" i="4" s="1"/>
  <c r="M1045" i="4"/>
  <c r="R1045" i="4" s="1"/>
  <c r="W1045" i="4" s="1"/>
  <c r="N1045" i="4"/>
  <c r="S1045" i="4"/>
  <c r="X1045" i="4" s="1"/>
  <c r="O1045" i="4"/>
  <c r="T1045" i="4"/>
  <c r="Y1045" i="4" s="1"/>
  <c r="P1045" i="4"/>
  <c r="U1045" i="4" s="1"/>
  <c r="Z1045" i="4" s="1"/>
  <c r="Q1045" i="4"/>
  <c r="V1045" i="4" s="1"/>
  <c r="AA1045" i="4" s="1"/>
  <c r="M1046" i="4"/>
  <c r="R1046" i="4"/>
  <c r="W1046" i="4" s="1"/>
  <c r="N1046" i="4"/>
  <c r="S1046" i="4"/>
  <c r="X1046" i="4" s="1"/>
  <c r="O1046" i="4"/>
  <c r="T1046" i="4" s="1"/>
  <c r="Y1046" i="4" s="1"/>
  <c r="P1046" i="4"/>
  <c r="U1046" i="4" s="1"/>
  <c r="Z1046" i="4" s="1"/>
  <c r="Q1046" i="4"/>
  <c r="V1046" i="4"/>
  <c r="AA1046" i="4" s="1"/>
  <c r="M1047" i="4"/>
  <c r="R1047" i="4" s="1"/>
  <c r="W1047" i="4" s="1"/>
  <c r="N1047" i="4"/>
  <c r="S1047" i="4"/>
  <c r="X1047" i="4" s="1"/>
  <c r="O1047" i="4"/>
  <c r="T1047" i="4"/>
  <c r="Y1047" i="4" s="1"/>
  <c r="P1047" i="4"/>
  <c r="U1047" i="4" s="1"/>
  <c r="Z1047" i="4" s="1"/>
  <c r="Q1047" i="4"/>
  <c r="V1047" i="4" s="1"/>
  <c r="AA1047" i="4" s="1"/>
  <c r="M1048" i="4"/>
  <c r="R1048" i="4"/>
  <c r="W1048" i="4" s="1"/>
  <c r="N1048" i="4"/>
  <c r="S1048" i="4"/>
  <c r="X1048" i="4" s="1"/>
  <c r="O1048" i="4"/>
  <c r="T1048" i="4" s="1"/>
  <c r="Y1048" i="4" s="1"/>
  <c r="P1048" i="4"/>
  <c r="U1048" i="4" s="1"/>
  <c r="Z1048" i="4" s="1"/>
  <c r="Q1048" i="4"/>
  <c r="V1048" i="4"/>
  <c r="AA1048" i="4" s="1"/>
  <c r="M1049" i="4"/>
  <c r="R1049" i="4"/>
  <c r="W1049" i="4" s="1"/>
  <c r="N1049" i="4"/>
  <c r="S1049" i="4" s="1"/>
  <c r="X1049" i="4" s="1"/>
  <c r="O1049" i="4"/>
  <c r="T1049" i="4" s="1"/>
  <c r="Y1049" i="4" s="1"/>
  <c r="P1049" i="4"/>
  <c r="U1049" i="4"/>
  <c r="Z1049" i="4" s="1"/>
  <c r="Q1049" i="4"/>
  <c r="V1049" i="4"/>
  <c r="AA1049" i="4" s="1"/>
  <c r="M1050" i="4"/>
  <c r="R1050" i="4" s="1"/>
  <c r="W1050" i="4" s="1"/>
  <c r="N1050" i="4"/>
  <c r="S1050" i="4" s="1"/>
  <c r="X1050" i="4" s="1"/>
  <c r="O1050" i="4"/>
  <c r="T1050" i="4"/>
  <c r="Y1050" i="4" s="1"/>
  <c r="P1050" i="4"/>
  <c r="U1050" i="4"/>
  <c r="Z1050" i="4" s="1"/>
  <c r="Q1050" i="4"/>
  <c r="V1050" i="4" s="1"/>
  <c r="AA1050" i="4" s="1"/>
  <c r="M1051" i="4"/>
  <c r="R1051" i="4"/>
  <c r="W1051" i="4" s="1"/>
  <c r="N1051" i="4"/>
  <c r="S1051" i="4" s="1"/>
  <c r="X1051" i="4" s="1"/>
  <c r="O1051" i="4"/>
  <c r="T1051" i="4" s="1"/>
  <c r="Y1051" i="4" s="1"/>
  <c r="P1051" i="4"/>
  <c r="U1051" i="4"/>
  <c r="Z1051" i="4" s="1"/>
  <c r="Q1051" i="4"/>
  <c r="V1051" i="4"/>
  <c r="AA1051" i="4" s="1"/>
  <c r="M1052" i="4"/>
  <c r="R1052" i="4" s="1"/>
  <c r="W1052" i="4" s="1"/>
  <c r="N1052" i="4"/>
  <c r="S1052" i="4" s="1"/>
  <c r="X1052" i="4" s="1"/>
  <c r="O1052" i="4"/>
  <c r="T1052" i="4"/>
  <c r="Y1052" i="4" s="1"/>
  <c r="P1052" i="4"/>
  <c r="U1052" i="4"/>
  <c r="Z1052" i="4" s="1"/>
  <c r="Q1052" i="4"/>
  <c r="V1052" i="4" s="1"/>
  <c r="AA1052" i="4" s="1"/>
  <c r="M1053" i="4"/>
  <c r="R1053" i="4" s="1"/>
  <c r="W1053" i="4" s="1"/>
  <c r="N1053" i="4"/>
  <c r="S1053" i="4"/>
  <c r="X1053" i="4" s="1"/>
  <c r="O1053" i="4"/>
  <c r="T1053" i="4"/>
  <c r="Y1053" i="4" s="1"/>
  <c r="P1053" i="4"/>
  <c r="U1053" i="4" s="1"/>
  <c r="Z1053" i="4" s="1"/>
  <c r="Q1053" i="4"/>
  <c r="V1053" i="4" s="1"/>
  <c r="AA1053" i="4" s="1"/>
  <c r="M1054" i="4"/>
  <c r="R1054" i="4"/>
  <c r="W1054" i="4" s="1"/>
  <c r="N1054" i="4"/>
  <c r="S1054" i="4"/>
  <c r="X1054" i="4" s="1"/>
  <c r="O1054" i="4"/>
  <c r="T1054" i="4" s="1"/>
  <c r="Y1054" i="4" s="1"/>
  <c r="P1054" i="4"/>
  <c r="U1054" i="4" s="1"/>
  <c r="Z1054" i="4" s="1"/>
  <c r="Q1054" i="4"/>
  <c r="V1054" i="4"/>
  <c r="AA1054" i="4" s="1"/>
  <c r="M1055" i="4"/>
  <c r="R1055" i="4" s="1"/>
  <c r="W1055" i="4" s="1"/>
  <c r="N1055" i="4"/>
  <c r="S1055" i="4"/>
  <c r="X1055" i="4" s="1"/>
  <c r="O1055" i="4"/>
  <c r="T1055" i="4"/>
  <c r="Y1055" i="4" s="1"/>
  <c r="P1055" i="4"/>
  <c r="U1055" i="4" s="1"/>
  <c r="Z1055" i="4" s="1"/>
  <c r="Q1055" i="4"/>
  <c r="V1055" i="4" s="1"/>
  <c r="AA1055" i="4" s="1"/>
  <c r="M1056" i="4"/>
  <c r="R1056" i="4"/>
  <c r="W1056" i="4" s="1"/>
  <c r="N1056" i="4"/>
  <c r="S1056" i="4"/>
  <c r="X1056" i="4" s="1"/>
  <c r="O1056" i="4"/>
  <c r="T1056" i="4" s="1"/>
  <c r="Y1056" i="4" s="1"/>
  <c r="P1056" i="4"/>
  <c r="U1056" i="4" s="1"/>
  <c r="Z1056" i="4" s="1"/>
  <c r="Q1056" i="4"/>
  <c r="V1056" i="4"/>
  <c r="AA1056" i="4" s="1"/>
  <c r="M1057" i="4"/>
  <c r="R1057" i="4"/>
  <c r="W1057" i="4" s="1"/>
  <c r="N1057" i="4"/>
  <c r="S1057" i="4" s="1"/>
  <c r="X1057" i="4" s="1"/>
  <c r="O1057" i="4"/>
  <c r="T1057" i="4" s="1"/>
  <c r="Y1057" i="4" s="1"/>
  <c r="P1057" i="4"/>
  <c r="U1057" i="4"/>
  <c r="Z1057" i="4" s="1"/>
  <c r="Q1057" i="4"/>
  <c r="V1057" i="4"/>
  <c r="AA1057" i="4" s="1"/>
  <c r="M1058" i="4"/>
  <c r="R1058" i="4" s="1"/>
  <c r="W1058" i="4" s="1"/>
  <c r="N1058" i="4"/>
  <c r="S1058" i="4" s="1"/>
  <c r="X1058" i="4" s="1"/>
  <c r="O1058" i="4"/>
  <c r="T1058" i="4"/>
  <c r="Y1058" i="4" s="1"/>
  <c r="P1058" i="4"/>
  <c r="U1058" i="4"/>
  <c r="Z1058" i="4" s="1"/>
  <c r="Q1058" i="4"/>
  <c r="V1058" i="4" s="1"/>
  <c r="AA1058" i="4" s="1"/>
  <c r="M1059" i="4"/>
  <c r="R1059" i="4"/>
  <c r="W1059" i="4" s="1"/>
  <c r="N1059" i="4"/>
  <c r="S1059" i="4" s="1"/>
  <c r="X1059" i="4" s="1"/>
  <c r="O1059" i="4"/>
  <c r="T1059" i="4" s="1"/>
  <c r="Y1059" i="4" s="1"/>
  <c r="P1059" i="4"/>
  <c r="U1059" i="4"/>
  <c r="Z1059" i="4" s="1"/>
  <c r="Q1059" i="4"/>
  <c r="V1059" i="4"/>
  <c r="AA1059" i="4" s="1"/>
  <c r="M1060" i="4"/>
  <c r="R1060" i="4" s="1"/>
  <c r="W1060" i="4" s="1"/>
  <c r="N1060" i="4"/>
  <c r="S1060" i="4" s="1"/>
  <c r="X1060" i="4" s="1"/>
  <c r="O1060" i="4"/>
  <c r="T1060" i="4"/>
  <c r="Y1060" i="4" s="1"/>
  <c r="P1060" i="4"/>
  <c r="U1060" i="4"/>
  <c r="Z1060" i="4" s="1"/>
  <c r="Q1060" i="4"/>
  <c r="V1060" i="4" s="1"/>
  <c r="AA1060" i="4" s="1"/>
  <c r="M1061" i="4"/>
  <c r="R1061" i="4" s="1"/>
  <c r="W1061" i="4" s="1"/>
  <c r="N1061" i="4"/>
  <c r="S1061" i="4"/>
  <c r="X1061" i="4" s="1"/>
  <c r="O1061" i="4"/>
  <c r="T1061" i="4"/>
  <c r="Y1061" i="4" s="1"/>
  <c r="P1061" i="4"/>
  <c r="U1061" i="4" s="1"/>
  <c r="Z1061" i="4" s="1"/>
  <c r="Q1061" i="4"/>
  <c r="V1061" i="4" s="1"/>
  <c r="AA1061" i="4" s="1"/>
  <c r="M1062" i="4"/>
  <c r="R1062" i="4"/>
  <c r="W1062" i="4" s="1"/>
  <c r="N1062" i="4"/>
  <c r="S1062" i="4"/>
  <c r="X1062" i="4" s="1"/>
  <c r="O1062" i="4"/>
  <c r="T1062" i="4" s="1"/>
  <c r="Y1062" i="4" s="1"/>
  <c r="P1062" i="4"/>
  <c r="U1062" i="4" s="1"/>
  <c r="Z1062" i="4" s="1"/>
  <c r="Q1062" i="4"/>
  <c r="V1062" i="4"/>
  <c r="AA1062" i="4" s="1"/>
  <c r="M1063" i="4"/>
  <c r="R1063" i="4" s="1"/>
  <c r="W1063" i="4" s="1"/>
  <c r="N1063" i="4"/>
  <c r="S1063" i="4"/>
  <c r="X1063" i="4" s="1"/>
  <c r="O1063" i="4"/>
  <c r="T1063" i="4"/>
  <c r="Y1063" i="4" s="1"/>
  <c r="P1063" i="4"/>
  <c r="U1063" i="4" s="1"/>
  <c r="Z1063" i="4" s="1"/>
  <c r="Q1063" i="4"/>
  <c r="V1063" i="4" s="1"/>
  <c r="AA1063" i="4" s="1"/>
  <c r="M1064" i="4"/>
  <c r="R1064" i="4"/>
  <c r="W1064" i="4" s="1"/>
  <c r="N1064" i="4"/>
  <c r="S1064" i="4"/>
  <c r="X1064" i="4" s="1"/>
  <c r="O1064" i="4"/>
  <c r="T1064" i="4" s="1"/>
  <c r="Y1064" i="4" s="1"/>
  <c r="P1064" i="4"/>
  <c r="U1064" i="4" s="1"/>
  <c r="Z1064" i="4" s="1"/>
  <c r="Q1064" i="4"/>
  <c r="V1064" i="4"/>
  <c r="AA1064" i="4" s="1"/>
  <c r="M1065" i="4"/>
  <c r="R1065" i="4"/>
  <c r="W1065" i="4" s="1"/>
  <c r="N1065" i="4"/>
  <c r="S1065" i="4" s="1"/>
  <c r="X1065" i="4" s="1"/>
  <c r="O1065" i="4"/>
  <c r="T1065" i="4" s="1"/>
  <c r="Y1065" i="4" s="1"/>
  <c r="P1065" i="4"/>
  <c r="U1065" i="4"/>
  <c r="Z1065" i="4" s="1"/>
  <c r="Q1065" i="4"/>
  <c r="V1065" i="4"/>
  <c r="AA1065" i="4" s="1"/>
  <c r="M1066" i="4"/>
  <c r="R1066" i="4" s="1"/>
  <c r="W1066" i="4" s="1"/>
  <c r="N1066" i="4"/>
  <c r="S1066" i="4" s="1"/>
  <c r="X1066" i="4" s="1"/>
  <c r="O1066" i="4"/>
  <c r="T1066" i="4"/>
  <c r="Y1066" i="4" s="1"/>
  <c r="P1066" i="4"/>
  <c r="U1066" i="4"/>
  <c r="Z1066" i="4" s="1"/>
  <c r="Q1066" i="4"/>
  <c r="V1066" i="4" s="1"/>
  <c r="AA1066" i="4" s="1"/>
  <c r="M1067" i="4"/>
  <c r="R1067" i="4"/>
  <c r="W1067" i="4" s="1"/>
  <c r="N1067" i="4"/>
  <c r="S1067" i="4" s="1"/>
  <c r="X1067" i="4" s="1"/>
  <c r="O1067" i="4"/>
  <c r="T1067" i="4" s="1"/>
  <c r="Y1067" i="4" s="1"/>
  <c r="P1067" i="4"/>
  <c r="U1067" i="4"/>
  <c r="Z1067" i="4" s="1"/>
  <c r="Q1067" i="4"/>
  <c r="V1067" i="4"/>
  <c r="AA1067" i="4" s="1"/>
  <c r="M1068" i="4"/>
  <c r="R1068" i="4" s="1"/>
  <c r="W1068" i="4" s="1"/>
  <c r="N1068" i="4"/>
  <c r="S1068" i="4" s="1"/>
  <c r="X1068" i="4" s="1"/>
  <c r="O1068" i="4"/>
  <c r="T1068" i="4"/>
  <c r="Y1068" i="4" s="1"/>
  <c r="P1068" i="4"/>
  <c r="U1068" i="4"/>
  <c r="Z1068" i="4" s="1"/>
  <c r="Q1068" i="4"/>
  <c r="V1068" i="4" s="1"/>
  <c r="AA1068" i="4" s="1"/>
  <c r="M1069" i="4"/>
  <c r="R1069" i="4" s="1"/>
  <c r="W1069" i="4" s="1"/>
  <c r="N1069" i="4"/>
  <c r="S1069" i="4"/>
  <c r="X1069" i="4" s="1"/>
  <c r="O1069" i="4"/>
  <c r="T1069" i="4"/>
  <c r="Y1069" i="4" s="1"/>
  <c r="P1069" i="4"/>
  <c r="U1069" i="4" s="1"/>
  <c r="Z1069" i="4" s="1"/>
  <c r="Q1069" i="4"/>
  <c r="V1069" i="4" s="1"/>
  <c r="AA1069" i="4" s="1"/>
  <c r="M1070" i="4"/>
  <c r="R1070" i="4"/>
  <c r="W1070" i="4" s="1"/>
  <c r="N1070" i="4"/>
  <c r="S1070" i="4" s="1"/>
  <c r="X1070" i="4" s="1"/>
  <c r="O1070" i="4"/>
  <c r="T1070" i="4" s="1"/>
  <c r="Y1070" i="4" s="1"/>
  <c r="P1070" i="4"/>
  <c r="U1070" i="4"/>
  <c r="Z1070" i="4" s="1"/>
  <c r="Q1070" i="4"/>
  <c r="V1070" i="4"/>
  <c r="AA1070" i="4" s="1"/>
  <c r="M1071" i="4"/>
  <c r="R1071" i="4" s="1"/>
  <c r="W1071" i="4" s="1"/>
  <c r="N1071" i="4"/>
  <c r="S1071" i="4" s="1"/>
  <c r="X1071" i="4" s="1"/>
  <c r="O1071" i="4"/>
  <c r="T1071" i="4"/>
  <c r="Y1071" i="4" s="1"/>
  <c r="P1071" i="4"/>
  <c r="U1071" i="4"/>
  <c r="Z1071" i="4" s="1"/>
  <c r="Q1071" i="4"/>
  <c r="V1071" i="4" s="1"/>
  <c r="AA1071" i="4" s="1"/>
  <c r="M1072" i="4"/>
  <c r="R1072" i="4" s="1"/>
  <c r="W1072" i="4" s="1"/>
  <c r="N1072" i="4"/>
  <c r="S1072" i="4"/>
  <c r="X1072" i="4" s="1"/>
  <c r="O1072" i="4"/>
  <c r="T1072" i="4"/>
  <c r="Y1072" i="4" s="1"/>
  <c r="P1072" i="4"/>
  <c r="U1072" i="4" s="1"/>
  <c r="Z1072" i="4" s="1"/>
  <c r="Q1072" i="4"/>
  <c r="V1072" i="4" s="1"/>
  <c r="AA1072" i="4" s="1"/>
  <c r="M1073" i="4"/>
  <c r="R1073" i="4"/>
  <c r="W1073" i="4" s="1"/>
  <c r="N1073" i="4"/>
  <c r="S1073" i="4"/>
  <c r="X1073" i="4" s="1"/>
  <c r="O1073" i="4"/>
  <c r="T1073" i="4" s="1"/>
  <c r="Y1073" i="4" s="1"/>
  <c r="P1073" i="4"/>
  <c r="U1073" i="4" s="1"/>
  <c r="Z1073" i="4" s="1"/>
  <c r="Q1073" i="4"/>
  <c r="V1073" i="4"/>
  <c r="AA1073" i="4" s="1"/>
  <c r="M1074" i="4"/>
  <c r="R1074" i="4"/>
  <c r="W1074" i="4" s="1"/>
  <c r="N1074" i="4"/>
  <c r="S1074" i="4" s="1"/>
  <c r="X1074" i="4" s="1"/>
  <c r="O1074" i="4"/>
  <c r="T1074" i="4" s="1"/>
  <c r="Y1074" i="4" s="1"/>
  <c r="P1074" i="4"/>
  <c r="U1074" i="4"/>
  <c r="Z1074" i="4" s="1"/>
  <c r="Q1074" i="4"/>
  <c r="V1074" i="4"/>
  <c r="AA1074" i="4" s="1"/>
  <c r="M1075" i="4"/>
  <c r="R1075" i="4" s="1"/>
  <c r="W1075" i="4" s="1"/>
  <c r="N1075" i="4"/>
  <c r="S1075" i="4" s="1"/>
  <c r="X1075" i="4" s="1"/>
  <c r="O1075" i="4"/>
  <c r="T1075" i="4"/>
  <c r="Y1075" i="4" s="1"/>
  <c r="P1075" i="4"/>
  <c r="U1075" i="4"/>
  <c r="Z1075" i="4" s="1"/>
  <c r="Q1075" i="4"/>
  <c r="V1075" i="4" s="1"/>
  <c r="AA1075" i="4" s="1"/>
  <c r="M1076" i="4"/>
  <c r="R1076" i="4" s="1"/>
  <c r="W1076" i="4" s="1"/>
  <c r="N1076" i="4"/>
  <c r="S1076" i="4"/>
  <c r="X1076" i="4" s="1"/>
  <c r="O1076" i="4"/>
  <c r="T1076" i="4"/>
  <c r="Y1076" i="4" s="1"/>
  <c r="P1076" i="4"/>
  <c r="U1076" i="4" s="1"/>
  <c r="Z1076" i="4" s="1"/>
  <c r="Q1076" i="4"/>
  <c r="V1076" i="4" s="1"/>
  <c r="AA1076" i="4" s="1"/>
  <c r="M1077" i="4"/>
  <c r="R1077" i="4"/>
  <c r="W1077" i="4" s="1"/>
  <c r="N1077" i="4"/>
  <c r="S1077" i="4"/>
  <c r="X1077" i="4" s="1"/>
  <c r="O1077" i="4"/>
  <c r="T1077" i="4" s="1"/>
  <c r="Y1077" i="4" s="1"/>
  <c r="P1077" i="4"/>
  <c r="U1077" i="4" s="1"/>
  <c r="Z1077" i="4" s="1"/>
  <c r="Q1077" i="4"/>
  <c r="V1077" i="4"/>
  <c r="AA1077" i="4" s="1"/>
  <c r="M1078" i="4"/>
  <c r="R1078" i="4"/>
  <c r="W1078" i="4" s="1"/>
  <c r="N1078" i="4"/>
  <c r="S1078" i="4" s="1"/>
  <c r="X1078" i="4" s="1"/>
  <c r="O1078" i="4"/>
  <c r="T1078" i="4" s="1"/>
  <c r="Y1078" i="4" s="1"/>
  <c r="P1078" i="4"/>
  <c r="U1078" i="4"/>
  <c r="Z1078" i="4" s="1"/>
  <c r="Q1078" i="4"/>
  <c r="V1078" i="4"/>
  <c r="AA1078" i="4" s="1"/>
  <c r="M1079" i="4"/>
  <c r="R1079" i="4" s="1"/>
  <c r="W1079" i="4" s="1"/>
  <c r="N1079" i="4"/>
  <c r="S1079" i="4" s="1"/>
  <c r="X1079" i="4" s="1"/>
  <c r="O1079" i="4"/>
  <c r="T1079" i="4"/>
  <c r="Y1079" i="4" s="1"/>
  <c r="P1079" i="4"/>
  <c r="U1079" i="4"/>
  <c r="Z1079" i="4" s="1"/>
  <c r="Q1079" i="4"/>
  <c r="V1079" i="4" s="1"/>
  <c r="AA1079" i="4" s="1"/>
  <c r="M1080" i="4"/>
  <c r="R1080" i="4" s="1"/>
  <c r="W1080" i="4" s="1"/>
  <c r="N1080" i="4"/>
  <c r="S1080" i="4"/>
  <c r="X1080" i="4" s="1"/>
  <c r="O1080" i="4"/>
  <c r="T1080" i="4"/>
  <c r="Y1080" i="4" s="1"/>
  <c r="P1080" i="4"/>
  <c r="U1080" i="4" s="1"/>
  <c r="Z1080" i="4" s="1"/>
  <c r="Q1080" i="4"/>
  <c r="V1080" i="4" s="1"/>
  <c r="AA1080" i="4" s="1"/>
  <c r="M1081" i="4"/>
  <c r="R1081" i="4"/>
  <c r="W1081" i="4" s="1"/>
  <c r="N1081" i="4"/>
  <c r="S1081" i="4"/>
  <c r="X1081" i="4" s="1"/>
  <c r="O1081" i="4"/>
  <c r="T1081" i="4" s="1"/>
  <c r="Y1081" i="4" s="1"/>
  <c r="P1081" i="4"/>
  <c r="U1081" i="4" s="1"/>
  <c r="Z1081" i="4" s="1"/>
  <c r="Q1081" i="4"/>
  <c r="V1081" i="4"/>
  <c r="AA1081" i="4" s="1"/>
  <c r="M1082" i="4"/>
  <c r="R1082" i="4"/>
  <c r="W1082" i="4" s="1"/>
  <c r="N1082" i="4"/>
  <c r="S1082" i="4" s="1"/>
  <c r="X1082" i="4" s="1"/>
  <c r="O1082" i="4"/>
  <c r="T1082" i="4" s="1"/>
  <c r="Y1082" i="4" s="1"/>
  <c r="P1082" i="4"/>
  <c r="U1082" i="4"/>
  <c r="Z1082" i="4" s="1"/>
  <c r="Q1082" i="4"/>
  <c r="V1082" i="4"/>
  <c r="AA1082" i="4" s="1"/>
  <c r="M1083" i="4"/>
  <c r="R1083" i="4" s="1"/>
  <c r="W1083" i="4" s="1"/>
  <c r="N1083" i="4"/>
  <c r="S1083" i="4" s="1"/>
  <c r="X1083" i="4" s="1"/>
  <c r="O1083" i="4"/>
  <c r="T1083" i="4"/>
  <c r="Y1083" i="4" s="1"/>
  <c r="P1083" i="4"/>
  <c r="U1083" i="4"/>
  <c r="Z1083" i="4" s="1"/>
  <c r="Q1083" i="4"/>
  <c r="V1083" i="4" s="1"/>
  <c r="AA1083" i="4" s="1"/>
  <c r="M1084" i="4"/>
  <c r="R1084" i="4" s="1"/>
  <c r="W1084" i="4" s="1"/>
  <c r="N1084" i="4"/>
  <c r="S1084" i="4"/>
  <c r="X1084" i="4" s="1"/>
  <c r="O1084" i="4"/>
  <c r="T1084" i="4"/>
  <c r="Y1084" i="4" s="1"/>
  <c r="P1084" i="4"/>
  <c r="U1084" i="4" s="1"/>
  <c r="Z1084" i="4" s="1"/>
  <c r="Q1084" i="4"/>
  <c r="V1084" i="4" s="1"/>
  <c r="AA1084" i="4" s="1"/>
  <c r="M1085" i="4"/>
  <c r="R1085" i="4"/>
  <c r="W1085" i="4" s="1"/>
  <c r="N1085" i="4"/>
  <c r="S1085" i="4"/>
  <c r="X1085" i="4" s="1"/>
  <c r="O1085" i="4"/>
  <c r="T1085" i="4" s="1"/>
  <c r="Y1085" i="4" s="1"/>
  <c r="P1085" i="4"/>
  <c r="U1085" i="4" s="1"/>
  <c r="Z1085" i="4" s="1"/>
  <c r="Q1085" i="4"/>
  <c r="V1085" i="4"/>
  <c r="AA1085" i="4" s="1"/>
  <c r="M1086" i="4"/>
  <c r="R1086" i="4"/>
  <c r="W1086" i="4" s="1"/>
  <c r="N1086" i="4"/>
  <c r="S1086" i="4" s="1"/>
  <c r="X1086" i="4" s="1"/>
  <c r="O1086" i="4"/>
  <c r="T1086" i="4" s="1"/>
  <c r="Y1086" i="4" s="1"/>
  <c r="P1086" i="4"/>
  <c r="U1086" i="4"/>
  <c r="Z1086" i="4" s="1"/>
  <c r="Q1086" i="4"/>
  <c r="V1086" i="4"/>
  <c r="AA1086" i="4" s="1"/>
  <c r="M1087" i="4"/>
  <c r="R1087" i="4" s="1"/>
  <c r="W1087" i="4" s="1"/>
  <c r="N1087" i="4"/>
  <c r="S1087" i="4" s="1"/>
  <c r="X1087" i="4" s="1"/>
  <c r="O1087" i="4"/>
  <c r="T1087" i="4"/>
  <c r="Y1087" i="4" s="1"/>
  <c r="P1087" i="4"/>
  <c r="U1087" i="4"/>
  <c r="Z1087" i="4" s="1"/>
  <c r="Q1087" i="4"/>
  <c r="V1087" i="4" s="1"/>
  <c r="AA1087" i="4" s="1"/>
  <c r="M1088" i="4"/>
  <c r="R1088" i="4" s="1"/>
  <c r="W1088" i="4" s="1"/>
  <c r="N1088" i="4"/>
  <c r="S1088" i="4"/>
  <c r="X1088" i="4" s="1"/>
  <c r="O1088" i="4"/>
  <c r="T1088" i="4"/>
  <c r="Y1088" i="4" s="1"/>
  <c r="P1088" i="4"/>
  <c r="U1088" i="4" s="1"/>
  <c r="Z1088" i="4" s="1"/>
  <c r="Q1088" i="4"/>
  <c r="V1088" i="4" s="1"/>
  <c r="AA1088" i="4" s="1"/>
  <c r="M1089" i="4"/>
  <c r="R1089" i="4"/>
  <c r="W1089" i="4" s="1"/>
  <c r="N1089" i="4"/>
  <c r="S1089" i="4"/>
  <c r="X1089" i="4" s="1"/>
  <c r="O1089" i="4"/>
  <c r="T1089" i="4" s="1"/>
  <c r="Y1089" i="4" s="1"/>
  <c r="P1089" i="4"/>
  <c r="U1089" i="4" s="1"/>
  <c r="Z1089" i="4" s="1"/>
  <c r="Q1089" i="4"/>
  <c r="V1089" i="4"/>
  <c r="AA1089" i="4" s="1"/>
  <c r="M1090" i="4"/>
  <c r="R1090" i="4"/>
  <c r="W1090" i="4" s="1"/>
  <c r="N1090" i="4"/>
  <c r="S1090" i="4" s="1"/>
  <c r="X1090" i="4" s="1"/>
  <c r="O1090" i="4"/>
  <c r="T1090" i="4" s="1"/>
  <c r="Y1090" i="4" s="1"/>
  <c r="P1090" i="4"/>
  <c r="U1090" i="4"/>
  <c r="Z1090" i="4" s="1"/>
  <c r="Q1090" i="4"/>
  <c r="V1090" i="4"/>
  <c r="AA1090" i="4" s="1"/>
  <c r="M1091" i="4"/>
  <c r="R1091" i="4" s="1"/>
  <c r="W1091" i="4" s="1"/>
  <c r="N1091" i="4"/>
  <c r="S1091" i="4" s="1"/>
  <c r="X1091" i="4" s="1"/>
  <c r="O1091" i="4"/>
  <c r="T1091" i="4"/>
  <c r="Y1091" i="4" s="1"/>
  <c r="P1091" i="4"/>
  <c r="U1091" i="4"/>
  <c r="Z1091" i="4" s="1"/>
  <c r="Q1091" i="4"/>
  <c r="V1091" i="4" s="1"/>
  <c r="AA1091" i="4" s="1"/>
  <c r="M1092" i="4"/>
  <c r="R1092" i="4" s="1"/>
  <c r="W1092" i="4" s="1"/>
  <c r="N1092" i="4"/>
  <c r="S1092" i="4"/>
  <c r="X1092" i="4" s="1"/>
  <c r="O1092" i="4"/>
  <c r="T1092" i="4"/>
  <c r="Y1092" i="4" s="1"/>
  <c r="P1092" i="4"/>
  <c r="U1092" i="4" s="1"/>
  <c r="Z1092" i="4" s="1"/>
  <c r="Q1092" i="4"/>
  <c r="V1092" i="4" s="1"/>
  <c r="AA1092" i="4" s="1"/>
  <c r="M1093" i="4"/>
  <c r="R1093" i="4"/>
  <c r="W1093" i="4" s="1"/>
  <c r="N1093" i="4"/>
  <c r="S1093" i="4"/>
  <c r="X1093" i="4" s="1"/>
  <c r="O1093" i="4"/>
  <c r="T1093" i="4" s="1"/>
  <c r="Y1093" i="4" s="1"/>
  <c r="P1093" i="4"/>
  <c r="U1093" i="4" s="1"/>
  <c r="Z1093" i="4" s="1"/>
  <c r="Q1093" i="4"/>
  <c r="V1093" i="4"/>
  <c r="AA1093" i="4" s="1"/>
  <c r="M1094" i="4"/>
  <c r="R1094" i="4"/>
  <c r="W1094" i="4" s="1"/>
  <c r="N1094" i="4"/>
  <c r="S1094" i="4" s="1"/>
  <c r="X1094" i="4" s="1"/>
  <c r="O1094" i="4"/>
  <c r="T1094" i="4" s="1"/>
  <c r="Y1094" i="4" s="1"/>
  <c r="P1094" i="4"/>
  <c r="U1094" i="4"/>
  <c r="Z1094" i="4" s="1"/>
  <c r="Q1094" i="4"/>
  <c r="V1094" i="4"/>
  <c r="AA1094" i="4" s="1"/>
  <c r="M1095" i="4"/>
  <c r="R1095" i="4" s="1"/>
  <c r="W1095" i="4" s="1"/>
  <c r="N1095" i="4"/>
  <c r="S1095" i="4" s="1"/>
  <c r="X1095" i="4" s="1"/>
  <c r="O1095" i="4"/>
  <c r="T1095" i="4"/>
  <c r="Y1095" i="4" s="1"/>
  <c r="P1095" i="4"/>
  <c r="U1095" i="4"/>
  <c r="Z1095" i="4" s="1"/>
  <c r="Q1095" i="4"/>
  <c r="V1095" i="4" s="1"/>
  <c r="AA1095" i="4" s="1"/>
  <c r="M1096" i="4"/>
  <c r="R1096" i="4" s="1"/>
  <c r="W1096" i="4" s="1"/>
  <c r="N1096" i="4"/>
  <c r="S1096" i="4"/>
  <c r="X1096" i="4" s="1"/>
  <c r="O1096" i="4"/>
  <c r="T1096" i="4"/>
  <c r="Y1096" i="4" s="1"/>
  <c r="P1096" i="4"/>
  <c r="U1096" i="4" s="1"/>
  <c r="Z1096" i="4" s="1"/>
  <c r="Q1096" i="4"/>
  <c r="V1096" i="4" s="1"/>
  <c r="AA1096" i="4" s="1"/>
  <c r="M1097" i="4"/>
  <c r="R1097" i="4"/>
  <c r="W1097" i="4" s="1"/>
  <c r="N1097" i="4"/>
  <c r="S1097" i="4"/>
  <c r="X1097" i="4" s="1"/>
  <c r="O1097" i="4"/>
  <c r="T1097" i="4" s="1"/>
  <c r="Y1097" i="4" s="1"/>
  <c r="P1097" i="4"/>
  <c r="U1097" i="4" s="1"/>
  <c r="Z1097" i="4" s="1"/>
  <c r="Q1097" i="4"/>
  <c r="V1097" i="4"/>
  <c r="AA1097" i="4" s="1"/>
  <c r="M1098" i="4"/>
  <c r="R1098" i="4"/>
  <c r="W1098" i="4" s="1"/>
  <c r="N1098" i="4"/>
  <c r="S1098" i="4" s="1"/>
  <c r="X1098" i="4" s="1"/>
  <c r="O1098" i="4"/>
  <c r="T1098" i="4" s="1"/>
  <c r="Y1098" i="4" s="1"/>
  <c r="P1098" i="4"/>
  <c r="U1098" i="4"/>
  <c r="Z1098" i="4" s="1"/>
  <c r="Q1098" i="4"/>
  <c r="V1098" i="4"/>
  <c r="AA1098" i="4" s="1"/>
  <c r="M1099" i="4"/>
  <c r="R1099" i="4" s="1"/>
  <c r="W1099" i="4" s="1"/>
  <c r="N1099" i="4"/>
  <c r="S1099" i="4" s="1"/>
  <c r="X1099" i="4" s="1"/>
  <c r="O1099" i="4"/>
  <c r="T1099" i="4"/>
  <c r="Y1099" i="4" s="1"/>
  <c r="P1099" i="4"/>
  <c r="U1099" i="4"/>
  <c r="Z1099" i="4" s="1"/>
  <c r="Q1099" i="4"/>
  <c r="V1099" i="4" s="1"/>
  <c r="AA1099" i="4" s="1"/>
  <c r="M1100" i="4"/>
  <c r="R1100" i="4" s="1"/>
  <c r="W1100" i="4" s="1"/>
  <c r="N1100" i="4"/>
  <c r="S1100" i="4"/>
  <c r="X1100" i="4" s="1"/>
  <c r="O1100" i="4"/>
  <c r="T1100" i="4"/>
  <c r="Y1100" i="4" s="1"/>
  <c r="P1100" i="4"/>
  <c r="U1100" i="4" s="1"/>
  <c r="Z1100" i="4" s="1"/>
  <c r="Q1100" i="4"/>
  <c r="V1100" i="4" s="1"/>
  <c r="AA1100" i="4" s="1"/>
  <c r="M1101" i="4"/>
  <c r="R1101" i="4"/>
  <c r="W1101" i="4" s="1"/>
  <c r="N1101" i="4"/>
  <c r="S1101" i="4"/>
  <c r="X1101" i="4" s="1"/>
  <c r="O1101" i="4"/>
  <c r="T1101" i="4" s="1"/>
  <c r="Y1101" i="4" s="1"/>
  <c r="P1101" i="4"/>
  <c r="U1101" i="4" s="1"/>
  <c r="Z1101" i="4" s="1"/>
  <c r="Q1101" i="4"/>
  <c r="V1101" i="4"/>
  <c r="AA1101" i="4" s="1"/>
  <c r="M1102" i="4"/>
  <c r="R1102" i="4"/>
  <c r="W1102" i="4" s="1"/>
  <c r="N1102" i="4"/>
  <c r="S1102" i="4" s="1"/>
  <c r="X1102" i="4" s="1"/>
  <c r="O1102" i="4"/>
  <c r="T1102" i="4" s="1"/>
  <c r="Y1102" i="4" s="1"/>
  <c r="P1102" i="4"/>
  <c r="U1102" i="4"/>
  <c r="Z1102" i="4" s="1"/>
  <c r="Q1102" i="4"/>
  <c r="V1102" i="4"/>
  <c r="AA1102" i="4" s="1"/>
  <c r="M1103" i="4"/>
  <c r="R1103" i="4" s="1"/>
  <c r="W1103" i="4" s="1"/>
  <c r="N1103" i="4"/>
  <c r="S1103" i="4" s="1"/>
  <c r="X1103" i="4" s="1"/>
  <c r="O1103" i="4"/>
  <c r="T1103" i="4"/>
  <c r="Y1103" i="4" s="1"/>
  <c r="P1103" i="4"/>
  <c r="U1103" i="4"/>
  <c r="Z1103" i="4" s="1"/>
  <c r="Q1103" i="4"/>
  <c r="V1103" i="4" s="1"/>
  <c r="AA1103" i="4" s="1"/>
  <c r="M1104" i="4"/>
  <c r="R1104" i="4" s="1"/>
  <c r="W1104" i="4" s="1"/>
  <c r="N1104" i="4"/>
  <c r="S1104" i="4"/>
  <c r="X1104" i="4" s="1"/>
  <c r="O1104" i="4"/>
  <c r="T1104" i="4"/>
  <c r="Y1104" i="4" s="1"/>
  <c r="P1104" i="4"/>
  <c r="U1104" i="4" s="1"/>
  <c r="Z1104" i="4" s="1"/>
  <c r="Q1104" i="4"/>
  <c r="V1104" i="4" s="1"/>
  <c r="AA1104" i="4" s="1"/>
  <c r="M1105" i="4"/>
  <c r="R1105" i="4"/>
  <c r="W1105" i="4" s="1"/>
  <c r="N1105" i="4"/>
  <c r="S1105" i="4"/>
  <c r="X1105" i="4" s="1"/>
  <c r="O1105" i="4"/>
  <c r="T1105" i="4" s="1"/>
  <c r="Y1105" i="4" s="1"/>
  <c r="P1105" i="4"/>
  <c r="U1105" i="4" s="1"/>
  <c r="Z1105" i="4" s="1"/>
  <c r="Q1105" i="4"/>
  <c r="V1105" i="4"/>
  <c r="AA1105" i="4" s="1"/>
  <c r="M1106" i="4"/>
  <c r="R1106" i="4"/>
  <c r="W1106" i="4" s="1"/>
  <c r="N1106" i="4"/>
  <c r="S1106" i="4" s="1"/>
  <c r="X1106" i="4" s="1"/>
  <c r="O1106" i="4"/>
  <c r="T1106" i="4" s="1"/>
  <c r="Y1106" i="4" s="1"/>
  <c r="P1106" i="4"/>
  <c r="U1106" i="4"/>
  <c r="Z1106" i="4" s="1"/>
  <c r="Q1106" i="4"/>
  <c r="V1106" i="4"/>
  <c r="AA1106" i="4" s="1"/>
  <c r="M1107" i="4"/>
  <c r="R1107" i="4" s="1"/>
  <c r="W1107" i="4" s="1"/>
  <c r="N1107" i="4"/>
  <c r="S1107" i="4" s="1"/>
  <c r="X1107" i="4" s="1"/>
  <c r="O1107" i="4"/>
  <c r="T1107" i="4"/>
  <c r="Y1107" i="4" s="1"/>
  <c r="P1107" i="4"/>
  <c r="U1107" i="4"/>
  <c r="Z1107" i="4" s="1"/>
  <c r="Q1107" i="4"/>
  <c r="V1107" i="4" s="1"/>
  <c r="AA1107" i="4" s="1"/>
  <c r="M1108" i="4"/>
  <c r="R1108" i="4" s="1"/>
  <c r="W1108" i="4" s="1"/>
  <c r="N1108" i="4"/>
  <c r="S1108" i="4"/>
  <c r="X1108" i="4" s="1"/>
  <c r="O1108" i="4"/>
  <c r="T1108" i="4"/>
  <c r="Y1108" i="4" s="1"/>
  <c r="P1108" i="4"/>
  <c r="U1108" i="4" s="1"/>
  <c r="Z1108" i="4" s="1"/>
  <c r="Q1108" i="4"/>
  <c r="V1108" i="4" s="1"/>
  <c r="AA1108" i="4" s="1"/>
  <c r="M1109" i="4"/>
  <c r="R1109" i="4"/>
  <c r="W1109" i="4" s="1"/>
  <c r="N1109" i="4"/>
  <c r="S1109" i="4"/>
  <c r="X1109" i="4" s="1"/>
  <c r="O1109" i="4"/>
  <c r="T1109" i="4" s="1"/>
  <c r="Y1109" i="4" s="1"/>
  <c r="P1109" i="4"/>
  <c r="U1109" i="4" s="1"/>
  <c r="Z1109" i="4" s="1"/>
  <c r="Q1109" i="4"/>
  <c r="V1109" i="4"/>
  <c r="AA1109" i="4" s="1"/>
  <c r="M1110" i="4"/>
  <c r="R1110" i="4"/>
  <c r="W1110" i="4" s="1"/>
  <c r="N1110" i="4"/>
  <c r="S1110" i="4" s="1"/>
  <c r="X1110" i="4" s="1"/>
  <c r="O1110" i="4"/>
  <c r="T1110" i="4" s="1"/>
  <c r="Y1110" i="4" s="1"/>
  <c r="P1110" i="4"/>
  <c r="U1110" i="4"/>
  <c r="Z1110" i="4" s="1"/>
  <c r="Q1110" i="4"/>
  <c r="V1110" i="4"/>
  <c r="AA1110" i="4" s="1"/>
  <c r="M1111" i="4"/>
  <c r="R1111" i="4" s="1"/>
  <c r="W1111" i="4" s="1"/>
  <c r="N1111" i="4"/>
  <c r="S1111" i="4" s="1"/>
  <c r="X1111" i="4" s="1"/>
  <c r="O1111" i="4"/>
  <c r="T1111" i="4"/>
  <c r="Y1111" i="4" s="1"/>
  <c r="P1111" i="4"/>
  <c r="U1111" i="4"/>
  <c r="Z1111" i="4" s="1"/>
  <c r="Q1111" i="4"/>
  <c r="V1111" i="4" s="1"/>
  <c r="AA1111" i="4" s="1"/>
  <c r="M1112" i="4"/>
  <c r="R1112" i="4" s="1"/>
  <c r="W1112" i="4" s="1"/>
  <c r="N1112" i="4"/>
  <c r="S1112" i="4"/>
  <c r="X1112" i="4" s="1"/>
  <c r="O1112" i="4"/>
  <c r="T1112" i="4"/>
  <c r="Y1112" i="4" s="1"/>
  <c r="P1112" i="4"/>
  <c r="U1112" i="4" s="1"/>
  <c r="Z1112" i="4" s="1"/>
  <c r="Q1112" i="4"/>
  <c r="V1112" i="4" s="1"/>
  <c r="AA1112" i="4" s="1"/>
  <c r="M1113" i="4"/>
  <c r="R1113" i="4"/>
  <c r="W1113" i="4" s="1"/>
  <c r="N1113" i="4"/>
  <c r="S1113" i="4"/>
  <c r="X1113" i="4" s="1"/>
  <c r="O1113" i="4"/>
  <c r="T1113" i="4" s="1"/>
  <c r="Y1113" i="4" s="1"/>
  <c r="P1113" i="4"/>
  <c r="U1113" i="4" s="1"/>
  <c r="Z1113" i="4" s="1"/>
  <c r="Q1113" i="4"/>
  <c r="V1113" i="4"/>
  <c r="AA1113" i="4" s="1"/>
  <c r="M1114" i="4"/>
  <c r="R1114" i="4"/>
  <c r="W1114" i="4" s="1"/>
  <c r="N1114" i="4"/>
  <c r="S1114" i="4" s="1"/>
  <c r="X1114" i="4" s="1"/>
  <c r="O1114" i="4"/>
  <c r="T1114" i="4" s="1"/>
  <c r="Y1114" i="4" s="1"/>
  <c r="P1114" i="4"/>
  <c r="U1114" i="4"/>
  <c r="Z1114" i="4" s="1"/>
  <c r="Q1114" i="4"/>
  <c r="V1114" i="4"/>
  <c r="AA1114" i="4" s="1"/>
  <c r="M1115" i="4"/>
  <c r="R1115" i="4" s="1"/>
  <c r="W1115" i="4" s="1"/>
  <c r="N1115" i="4"/>
  <c r="S1115" i="4" s="1"/>
  <c r="X1115" i="4" s="1"/>
  <c r="O1115" i="4"/>
  <c r="T1115" i="4"/>
  <c r="Y1115" i="4" s="1"/>
  <c r="P1115" i="4"/>
  <c r="U1115" i="4"/>
  <c r="Z1115" i="4" s="1"/>
  <c r="Q1115" i="4"/>
  <c r="V1115" i="4" s="1"/>
  <c r="AA1115" i="4" s="1"/>
  <c r="M1116" i="4"/>
  <c r="R1116" i="4" s="1"/>
  <c r="W1116" i="4" s="1"/>
  <c r="N1116" i="4"/>
  <c r="S1116" i="4"/>
  <c r="X1116" i="4" s="1"/>
  <c r="O1116" i="4"/>
  <c r="T1116" i="4"/>
  <c r="Y1116" i="4" s="1"/>
  <c r="P1116" i="4"/>
  <c r="U1116" i="4" s="1"/>
  <c r="Z1116" i="4" s="1"/>
  <c r="Q1116" i="4"/>
  <c r="V1116" i="4" s="1"/>
  <c r="AA1116" i="4" s="1"/>
  <c r="M1117" i="4"/>
  <c r="R1117" i="4"/>
  <c r="W1117" i="4" s="1"/>
  <c r="N1117" i="4"/>
  <c r="S1117" i="4"/>
  <c r="X1117" i="4" s="1"/>
  <c r="O1117" i="4"/>
  <c r="T1117" i="4" s="1"/>
  <c r="Y1117" i="4" s="1"/>
  <c r="P1117" i="4"/>
  <c r="U1117" i="4" s="1"/>
  <c r="Z1117" i="4" s="1"/>
  <c r="Q1117" i="4"/>
  <c r="V1117" i="4"/>
  <c r="AA1117" i="4" s="1"/>
  <c r="M1118" i="4"/>
  <c r="R1118" i="4"/>
  <c r="W1118" i="4" s="1"/>
  <c r="N1118" i="4"/>
  <c r="S1118" i="4" s="1"/>
  <c r="X1118" i="4" s="1"/>
  <c r="O1118" i="4"/>
  <c r="T1118" i="4" s="1"/>
  <c r="Y1118" i="4" s="1"/>
  <c r="P1118" i="4"/>
  <c r="U1118" i="4"/>
  <c r="Z1118" i="4" s="1"/>
  <c r="Q1118" i="4"/>
  <c r="V1118" i="4"/>
  <c r="AA1118" i="4" s="1"/>
  <c r="M1119" i="4"/>
  <c r="R1119" i="4" s="1"/>
  <c r="W1119" i="4" s="1"/>
  <c r="N1119" i="4"/>
  <c r="S1119" i="4" s="1"/>
  <c r="X1119" i="4" s="1"/>
  <c r="O1119" i="4"/>
  <c r="T1119" i="4"/>
  <c r="Y1119" i="4" s="1"/>
  <c r="P1119" i="4"/>
  <c r="U1119" i="4"/>
  <c r="Z1119" i="4" s="1"/>
  <c r="Q1119" i="4"/>
  <c r="V1119" i="4" s="1"/>
  <c r="AA1119" i="4" s="1"/>
  <c r="M1120" i="4"/>
  <c r="R1120" i="4" s="1"/>
  <c r="W1120" i="4" s="1"/>
  <c r="N1120" i="4"/>
  <c r="S1120" i="4"/>
  <c r="X1120" i="4" s="1"/>
  <c r="O1120" i="4"/>
  <c r="T1120" i="4"/>
  <c r="Y1120" i="4" s="1"/>
  <c r="P1120" i="4"/>
  <c r="U1120" i="4" s="1"/>
  <c r="Z1120" i="4" s="1"/>
  <c r="Q1120" i="4"/>
  <c r="V1120" i="4" s="1"/>
  <c r="AA1120" i="4" s="1"/>
  <c r="M1121" i="4"/>
  <c r="R1121" i="4"/>
  <c r="W1121" i="4" s="1"/>
  <c r="N1121" i="4"/>
  <c r="S1121" i="4"/>
  <c r="X1121" i="4" s="1"/>
  <c r="O1121" i="4"/>
  <c r="T1121" i="4" s="1"/>
  <c r="Y1121" i="4" s="1"/>
  <c r="P1121" i="4"/>
  <c r="U1121" i="4" s="1"/>
  <c r="Z1121" i="4" s="1"/>
  <c r="Q1121" i="4"/>
  <c r="V1121" i="4"/>
  <c r="AA1121" i="4" s="1"/>
  <c r="M1122" i="4"/>
  <c r="R1122" i="4"/>
  <c r="W1122" i="4" s="1"/>
  <c r="N1122" i="4"/>
  <c r="S1122" i="4" s="1"/>
  <c r="X1122" i="4" s="1"/>
  <c r="O1122" i="4"/>
  <c r="T1122" i="4" s="1"/>
  <c r="Y1122" i="4" s="1"/>
  <c r="P1122" i="4"/>
  <c r="U1122" i="4"/>
  <c r="Z1122" i="4" s="1"/>
  <c r="Q1122" i="4"/>
  <c r="V1122" i="4"/>
  <c r="AA1122" i="4" s="1"/>
  <c r="M1123" i="4"/>
  <c r="R1123" i="4" s="1"/>
  <c r="W1123" i="4" s="1"/>
  <c r="N1123" i="4"/>
  <c r="S1123" i="4" s="1"/>
  <c r="X1123" i="4" s="1"/>
  <c r="O1123" i="4"/>
  <c r="T1123" i="4"/>
  <c r="Y1123" i="4" s="1"/>
  <c r="P1123" i="4"/>
  <c r="U1123" i="4"/>
  <c r="Z1123" i="4" s="1"/>
  <c r="Q1123" i="4"/>
  <c r="V1123" i="4" s="1"/>
  <c r="AA1123" i="4" s="1"/>
  <c r="M1124" i="4"/>
  <c r="R1124" i="4" s="1"/>
  <c r="W1124" i="4" s="1"/>
  <c r="N1124" i="4"/>
  <c r="S1124" i="4"/>
  <c r="X1124" i="4" s="1"/>
  <c r="O1124" i="4"/>
  <c r="T1124" i="4"/>
  <c r="Y1124" i="4" s="1"/>
  <c r="P1124" i="4"/>
  <c r="U1124" i="4" s="1"/>
  <c r="Z1124" i="4" s="1"/>
  <c r="Q1124" i="4"/>
  <c r="V1124" i="4" s="1"/>
  <c r="AA1124" i="4" s="1"/>
  <c r="M1125" i="4"/>
  <c r="R1125" i="4"/>
  <c r="W1125" i="4" s="1"/>
  <c r="N1125" i="4"/>
  <c r="S1125" i="4"/>
  <c r="X1125" i="4" s="1"/>
  <c r="O1125" i="4"/>
  <c r="T1125" i="4" s="1"/>
  <c r="Y1125" i="4" s="1"/>
  <c r="P1125" i="4"/>
  <c r="U1125" i="4" s="1"/>
  <c r="Z1125" i="4" s="1"/>
  <c r="Q1125" i="4"/>
  <c r="V1125" i="4"/>
  <c r="AA1125" i="4" s="1"/>
  <c r="M1126" i="4"/>
  <c r="R1126" i="4"/>
  <c r="W1126" i="4" s="1"/>
  <c r="N1126" i="4"/>
  <c r="S1126" i="4" s="1"/>
  <c r="X1126" i="4" s="1"/>
  <c r="O1126" i="4"/>
  <c r="T1126" i="4" s="1"/>
  <c r="Y1126" i="4" s="1"/>
  <c r="P1126" i="4"/>
  <c r="U1126" i="4"/>
  <c r="Z1126" i="4" s="1"/>
  <c r="Q1126" i="4"/>
  <c r="V1126" i="4"/>
  <c r="AA1126" i="4" s="1"/>
  <c r="M1127" i="4"/>
  <c r="R1127" i="4" s="1"/>
  <c r="W1127" i="4" s="1"/>
  <c r="N1127" i="4"/>
  <c r="S1127" i="4" s="1"/>
  <c r="X1127" i="4" s="1"/>
  <c r="O1127" i="4"/>
  <c r="T1127" i="4"/>
  <c r="Y1127" i="4" s="1"/>
  <c r="P1127" i="4"/>
  <c r="U1127" i="4"/>
  <c r="Z1127" i="4" s="1"/>
  <c r="Q1127" i="4"/>
  <c r="V1127" i="4" s="1"/>
  <c r="AA1127" i="4" s="1"/>
  <c r="M1128" i="4"/>
  <c r="R1128" i="4" s="1"/>
  <c r="W1128" i="4" s="1"/>
  <c r="N1128" i="4"/>
  <c r="S1128" i="4"/>
  <c r="X1128" i="4" s="1"/>
  <c r="O1128" i="4"/>
  <c r="T1128" i="4"/>
  <c r="Y1128" i="4" s="1"/>
  <c r="P1128" i="4"/>
  <c r="U1128" i="4" s="1"/>
  <c r="Z1128" i="4" s="1"/>
  <c r="Q1128" i="4"/>
  <c r="V1128" i="4" s="1"/>
  <c r="AA1128" i="4" s="1"/>
  <c r="M1129" i="4"/>
  <c r="R1129" i="4"/>
  <c r="W1129" i="4" s="1"/>
  <c r="N1129" i="4"/>
  <c r="S1129" i="4"/>
  <c r="X1129" i="4" s="1"/>
  <c r="O1129" i="4"/>
  <c r="T1129" i="4" s="1"/>
  <c r="Y1129" i="4" s="1"/>
  <c r="P1129" i="4"/>
  <c r="U1129" i="4" s="1"/>
  <c r="Z1129" i="4" s="1"/>
  <c r="Q1129" i="4"/>
  <c r="V1129" i="4"/>
  <c r="AA1129" i="4" s="1"/>
  <c r="M1130" i="4"/>
  <c r="R1130" i="4"/>
  <c r="W1130" i="4" s="1"/>
  <c r="N1130" i="4"/>
  <c r="S1130" i="4" s="1"/>
  <c r="X1130" i="4" s="1"/>
  <c r="O1130" i="4"/>
  <c r="T1130" i="4" s="1"/>
  <c r="Y1130" i="4" s="1"/>
  <c r="P1130" i="4"/>
  <c r="U1130" i="4"/>
  <c r="Z1130" i="4" s="1"/>
  <c r="Q1130" i="4"/>
  <c r="V1130" i="4"/>
  <c r="AA1130" i="4" s="1"/>
  <c r="M1131" i="4"/>
  <c r="R1131" i="4" s="1"/>
  <c r="W1131" i="4" s="1"/>
  <c r="N1131" i="4"/>
  <c r="S1131" i="4" s="1"/>
  <c r="X1131" i="4" s="1"/>
  <c r="O1131" i="4"/>
  <c r="T1131" i="4"/>
  <c r="Y1131" i="4" s="1"/>
  <c r="P1131" i="4"/>
  <c r="U1131" i="4"/>
  <c r="Z1131" i="4" s="1"/>
  <c r="Q1131" i="4"/>
  <c r="V1131" i="4" s="1"/>
  <c r="AA1131" i="4" s="1"/>
  <c r="M1132" i="4"/>
  <c r="R1132" i="4" s="1"/>
  <c r="W1132" i="4" s="1"/>
  <c r="N1132" i="4"/>
  <c r="S1132" i="4"/>
  <c r="X1132" i="4" s="1"/>
  <c r="O1132" i="4"/>
  <c r="T1132" i="4"/>
  <c r="Y1132" i="4" s="1"/>
  <c r="P1132" i="4"/>
  <c r="U1132" i="4" s="1"/>
  <c r="Z1132" i="4" s="1"/>
  <c r="Q1132" i="4"/>
  <c r="V1132" i="4" s="1"/>
  <c r="AA1132" i="4" s="1"/>
  <c r="M1133" i="4"/>
  <c r="R1133" i="4"/>
  <c r="W1133" i="4" s="1"/>
  <c r="N1133" i="4"/>
  <c r="S1133" i="4"/>
  <c r="X1133" i="4" s="1"/>
  <c r="O1133" i="4"/>
  <c r="T1133" i="4" s="1"/>
  <c r="Y1133" i="4" s="1"/>
  <c r="P1133" i="4"/>
  <c r="U1133" i="4" s="1"/>
  <c r="Z1133" i="4" s="1"/>
  <c r="Q1133" i="4"/>
  <c r="V1133" i="4"/>
  <c r="AA1133" i="4" s="1"/>
  <c r="M1134" i="4"/>
  <c r="R1134" i="4"/>
  <c r="W1134" i="4" s="1"/>
  <c r="N1134" i="4"/>
  <c r="S1134" i="4" s="1"/>
  <c r="X1134" i="4" s="1"/>
  <c r="O1134" i="4"/>
  <c r="T1134" i="4" s="1"/>
  <c r="Y1134" i="4" s="1"/>
  <c r="P1134" i="4"/>
  <c r="U1134" i="4"/>
  <c r="Z1134" i="4" s="1"/>
  <c r="Q1134" i="4"/>
  <c r="V1134" i="4"/>
  <c r="AA1134" i="4" s="1"/>
  <c r="M1135" i="4"/>
  <c r="R1135" i="4" s="1"/>
  <c r="W1135" i="4" s="1"/>
  <c r="N1135" i="4"/>
  <c r="S1135" i="4" s="1"/>
  <c r="X1135" i="4" s="1"/>
  <c r="O1135" i="4"/>
  <c r="T1135" i="4"/>
  <c r="Y1135" i="4" s="1"/>
  <c r="P1135" i="4"/>
  <c r="U1135" i="4"/>
  <c r="Z1135" i="4" s="1"/>
  <c r="Q1135" i="4"/>
  <c r="V1135" i="4" s="1"/>
  <c r="AA1135" i="4" s="1"/>
  <c r="M1136" i="4"/>
  <c r="R1136" i="4" s="1"/>
  <c r="W1136" i="4" s="1"/>
  <c r="N1136" i="4"/>
  <c r="S1136" i="4"/>
  <c r="X1136" i="4" s="1"/>
  <c r="O1136" i="4"/>
  <c r="T1136" i="4"/>
  <c r="Y1136" i="4" s="1"/>
  <c r="P1136" i="4"/>
  <c r="U1136" i="4" s="1"/>
  <c r="Z1136" i="4" s="1"/>
  <c r="Q1136" i="4"/>
  <c r="V1136" i="4" s="1"/>
  <c r="AA1136" i="4" s="1"/>
  <c r="M1137" i="4"/>
  <c r="R1137" i="4"/>
  <c r="W1137" i="4" s="1"/>
  <c r="N1137" i="4"/>
  <c r="S1137" i="4"/>
  <c r="X1137" i="4" s="1"/>
  <c r="O1137" i="4"/>
  <c r="T1137" i="4" s="1"/>
  <c r="Y1137" i="4" s="1"/>
  <c r="P1137" i="4"/>
  <c r="U1137" i="4" s="1"/>
  <c r="Z1137" i="4" s="1"/>
  <c r="Q1137" i="4"/>
  <c r="V1137" i="4"/>
  <c r="AA1137" i="4" s="1"/>
  <c r="M1138" i="4"/>
  <c r="R1138" i="4"/>
  <c r="W1138" i="4" s="1"/>
  <c r="N1138" i="4"/>
  <c r="S1138" i="4" s="1"/>
  <c r="X1138" i="4" s="1"/>
  <c r="O1138" i="4"/>
  <c r="T1138" i="4" s="1"/>
  <c r="Y1138" i="4" s="1"/>
  <c r="P1138" i="4"/>
  <c r="U1138" i="4"/>
  <c r="Z1138" i="4" s="1"/>
  <c r="Q1138" i="4"/>
  <c r="V1138" i="4"/>
  <c r="AA1138" i="4" s="1"/>
  <c r="M1139" i="4"/>
  <c r="R1139" i="4" s="1"/>
  <c r="W1139" i="4" s="1"/>
  <c r="N1139" i="4"/>
  <c r="S1139" i="4" s="1"/>
  <c r="X1139" i="4" s="1"/>
  <c r="O1139" i="4"/>
  <c r="T1139" i="4"/>
  <c r="Y1139" i="4" s="1"/>
  <c r="P1139" i="4"/>
  <c r="U1139" i="4"/>
  <c r="Z1139" i="4" s="1"/>
  <c r="Q1139" i="4"/>
  <c r="V1139" i="4" s="1"/>
  <c r="AA1139" i="4" s="1"/>
  <c r="M1140" i="4"/>
  <c r="R1140" i="4" s="1"/>
  <c r="W1140" i="4" s="1"/>
  <c r="N1140" i="4"/>
  <c r="S1140" i="4"/>
  <c r="X1140" i="4" s="1"/>
  <c r="O1140" i="4"/>
  <c r="T1140" i="4"/>
  <c r="Y1140" i="4" s="1"/>
  <c r="P1140" i="4"/>
  <c r="U1140" i="4" s="1"/>
  <c r="Z1140" i="4" s="1"/>
  <c r="Q1140" i="4"/>
  <c r="V1140" i="4" s="1"/>
  <c r="AA1140" i="4" s="1"/>
  <c r="M1141" i="4"/>
  <c r="R1141" i="4"/>
  <c r="W1141" i="4" s="1"/>
  <c r="N1141" i="4"/>
  <c r="S1141" i="4"/>
  <c r="X1141" i="4" s="1"/>
  <c r="O1141" i="4"/>
  <c r="T1141" i="4" s="1"/>
  <c r="Y1141" i="4" s="1"/>
  <c r="P1141" i="4"/>
  <c r="U1141" i="4" s="1"/>
  <c r="Z1141" i="4" s="1"/>
  <c r="Q1141" i="4"/>
  <c r="V1141" i="4"/>
  <c r="AA1141" i="4" s="1"/>
  <c r="M1142" i="4"/>
  <c r="R1142" i="4"/>
  <c r="W1142" i="4" s="1"/>
  <c r="N1142" i="4"/>
  <c r="S1142" i="4" s="1"/>
  <c r="X1142" i="4" s="1"/>
  <c r="O1142" i="4"/>
  <c r="T1142" i="4" s="1"/>
  <c r="Y1142" i="4" s="1"/>
  <c r="P1142" i="4"/>
  <c r="U1142" i="4"/>
  <c r="Z1142" i="4" s="1"/>
  <c r="Q1142" i="4"/>
  <c r="V1142" i="4"/>
  <c r="AA1142" i="4" s="1"/>
  <c r="M1143" i="4"/>
  <c r="R1143" i="4" s="1"/>
  <c r="W1143" i="4" s="1"/>
  <c r="N1143" i="4"/>
  <c r="S1143" i="4" s="1"/>
  <c r="X1143" i="4" s="1"/>
  <c r="O1143" i="4"/>
  <c r="T1143" i="4"/>
  <c r="Y1143" i="4" s="1"/>
  <c r="P1143" i="4"/>
  <c r="U1143" i="4"/>
  <c r="Z1143" i="4" s="1"/>
  <c r="Q1143" i="4"/>
  <c r="V1143" i="4" s="1"/>
  <c r="AA1143" i="4" s="1"/>
  <c r="M1144" i="4"/>
  <c r="R1144" i="4" s="1"/>
  <c r="W1144" i="4" s="1"/>
  <c r="N1144" i="4"/>
  <c r="S1144" i="4"/>
  <c r="X1144" i="4" s="1"/>
  <c r="O1144" i="4"/>
  <c r="T1144" i="4"/>
  <c r="Y1144" i="4" s="1"/>
  <c r="P1144" i="4"/>
  <c r="U1144" i="4" s="1"/>
  <c r="Z1144" i="4" s="1"/>
  <c r="Q1144" i="4"/>
  <c r="V1144" i="4" s="1"/>
  <c r="AA1144" i="4" s="1"/>
  <c r="M1145" i="4"/>
  <c r="R1145" i="4"/>
  <c r="W1145" i="4" s="1"/>
  <c r="N1145" i="4"/>
  <c r="S1145" i="4"/>
  <c r="X1145" i="4" s="1"/>
  <c r="O1145" i="4"/>
  <c r="T1145" i="4" s="1"/>
  <c r="Y1145" i="4" s="1"/>
  <c r="P1145" i="4"/>
  <c r="U1145" i="4" s="1"/>
  <c r="Z1145" i="4" s="1"/>
  <c r="Q1145" i="4"/>
  <c r="V1145" i="4"/>
  <c r="AA1145" i="4" s="1"/>
  <c r="M1146" i="4"/>
  <c r="R1146" i="4"/>
  <c r="W1146" i="4" s="1"/>
  <c r="N1146" i="4"/>
  <c r="S1146" i="4" s="1"/>
  <c r="X1146" i="4" s="1"/>
  <c r="O1146" i="4"/>
  <c r="T1146" i="4" s="1"/>
  <c r="Y1146" i="4" s="1"/>
  <c r="P1146" i="4"/>
  <c r="U1146" i="4"/>
  <c r="Z1146" i="4" s="1"/>
  <c r="Q1146" i="4"/>
  <c r="V1146" i="4"/>
  <c r="AA1146" i="4" s="1"/>
  <c r="M1147" i="4"/>
  <c r="R1147" i="4" s="1"/>
  <c r="W1147" i="4" s="1"/>
  <c r="N1147" i="4"/>
  <c r="S1147" i="4" s="1"/>
  <c r="X1147" i="4" s="1"/>
  <c r="O1147" i="4"/>
  <c r="T1147" i="4"/>
  <c r="Y1147" i="4" s="1"/>
  <c r="P1147" i="4"/>
  <c r="U1147" i="4"/>
  <c r="Z1147" i="4" s="1"/>
  <c r="Q1147" i="4"/>
  <c r="V1147" i="4" s="1"/>
  <c r="AA1147" i="4" s="1"/>
  <c r="M1148" i="4"/>
  <c r="R1148" i="4" s="1"/>
  <c r="W1148" i="4" s="1"/>
  <c r="N1148" i="4"/>
  <c r="S1148" i="4"/>
  <c r="X1148" i="4" s="1"/>
  <c r="O1148" i="4"/>
  <c r="T1148" i="4"/>
  <c r="Y1148" i="4" s="1"/>
  <c r="P1148" i="4"/>
  <c r="U1148" i="4" s="1"/>
  <c r="Z1148" i="4" s="1"/>
  <c r="Q1148" i="4"/>
  <c r="V1148" i="4" s="1"/>
  <c r="AA1148" i="4" s="1"/>
  <c r="M1149" i="4"/>
  <c r="R1149" i="4"/>
  <c r="W1149" i="4" s="1"/>
  <c r="N1149" i="4"/>
  <c r="S1149" i="4"/>
  <c r="X1149" i="4" s="1"/>
  <c r="O1149" i="4"/>
  <c r="T1149" i="4" s="1"/>
  <c r="Y1149" i="4" s="1"/>
  <c r="P1149" i="4"/>
  <c r="U1149" i="4" s="1"/>
  <c r="Z1149" i="4" s="1"/>
  <c r="Q1149" i="4"/>
  <c r="V1149" i="4"/>
  <c r="AA1149" i="4" s="1"/>
  <c r="M1150" i="4"/>
  <c r="R1150" i="4"/>
  <c r="W1150" i="4" s="1"/>
  <c r="N1150" i="4"/>
  <c r="S1150" i="4" s="1"/>
  <c r="X1150" i="4" s="1"/>
  <c r="O1150" i="4"/>
  <c r="T1150" i="4" s="1"/>
  <c r="Y1150" i="4" s="1"/>
  <c r="P1150" i="4"/>
  <c r="U1150" i="4"/>
  <c r="Z1150" i="4" s="1"/>
  <c r="Q1150" i="4"/>
  <c r="V1150" i="4"/>
  <c r="AA1150" i="4" s="1"/>
  <c r="M1151" i="4"/>
  <c r="R1151" i="4" s="1"/>
  <c r="W1151" i="4" s="1"/>
  <c r="N1151" i="4"/>
  <c r="S1151" i="4" s="1"/>
  <c r="X1151" i="4" s="1"/>
  <c r="O1151" i="4"/>
  <c r="T1151" i="4"/>
  <c r="Y1151" i="4" s="1"/>
  <c r="P1151" i="4"/>
  <c r="U1151" i="4"/>
  <c r="Z1151" i="4" s="1"/>
  <c r="Q1151" i="4"/>
  <c r="V1151" i="4" s="1"/>
  <c r="AA1151" i="4" s="1"/>
  <c r="M1152" i="4"/>
  <c r="R1152" i="4" s="1"/>
  <c r="W1152" i="4" s="1"/>
  <c r="N1152" i="4"/>
  <c r="S1152" i="4"/>
  <c r="X1152" i="4" s="1"/>
  <c r="O1152" i="4"/>
  <c r="T1152" i="4"/>
  <c r="Y1152" i="4" s="1"/>
  <c r="P1152" i="4"/>
  <c r="U1152" i="4" s="1"/>
  <c r="Z1152" i="4" s="1"/>
  <c r="Q1152" i="4"/>
  <c r="V1152" i="4" s="1"/>
  <c r="AA1152" i="4" s="1"/>
  <c r="M1153" i="4"/>
  <c r="R1153" i="4"/>
  <c r="W1153" i="4" s="1"/>
  <c r="N1153" i="4"/>
  <c r="S1153" i="4"/>
  <c r="X1153" i="4" s="1"/>
  <c r="O1153" i="4"/>
  <c r="T1153" i="4" s="1"/>
  <c r="Y1153" i="4" s="1"/>
  <c r="P1153" i="4"/>
  <c r="U1153" i="4" s="1"/>
  <c r="Z1153" i="4" s="1"/>
  <c r="Q1153" i="4"/>
  <c r="V1153" i="4"/>
  <c r="AA1153" i="4" s="1"/>
  <c r="M1154" i="4"/>
  <c r="R1154" i="4"/>
  <c r="W1154" i="4" s="1"/>
  <c r="N1154" i="4"/>
  <c r="S1154" i="4" s="1"/>
  <c r="X1154" i="4" s="1"/>
  <c r="O1154" i="4"/>
  <c r="T1154" i="4" s="1"/>
  <c r="Y1154" i="4" s="1"/>
  <c r="P1154" i="4"/>
  <c r="U1154" i="4"/>
  <c r="Z1154" i="4" s="1"/>
  <c r="Q1154" i="4"/>
  <c r="V1154" i="4"/>
  <c r="AA1154" i="4" s="1"/>
  <c r="M1155" i="4"/>
  <c r="R1155" i="4" s="1"/>
  <c r="W1155" i="4" s="1"/>
  <c r="N1155" i="4"/>
  <c r="S1155" i="4" s="1"/>
  <c r="X1155" i="4" s="1"/>
  <c r="O1155" i="4"/>
  <c r="T1155" i="4"/>
  <c r="Y1155" i="4" s="1"/>
  <c r="P1155" i="4"/>
  <c r="U1155" i="4"/>
  <c r="Z1155" i="4" s="1"/>
  <c r="Q1155" i="4"/>
  <c r="V1155" i="4" s="1"/>
  <c r="AA1155" i="4" s="1"/>
  <c r="M1156" i="4"/>
  <c r="R1156" i="4" s="1"/>
  <c r="W1156" i="4" s="1"/>
  <c r="N1156" i="4"/>
  <c r="S1156" i="4"/>
  <c r="X1156" i="4" s="1"/>
  <c r="O1156" i="4"/>
  <c r="T1156" i="4"/>
  <c r="Y1156" i="4" s="1"/>
  <c r="P1156" i="4"/>
  <c r="U1156" i="4" s="1"/>
  <c r="Z1156" i="4" s="1"/>
  <c r="Q1156" i="4"/>
  <c r="V1156" i="4" s="1"/>
  <c r="AA1156" i="4" s="1"/>
  <c r="M1157" i="4"/>
  <c r="R1157" i="4"/>
  <c r="W1157" i="4" s="1"/>
  <c r="N1157" i="4"/>
  <c r="S1157" i="4"/>
  <c r="X1157" i="4" s="1"/>
  <c r="O1157" i="4"/>
  <c r="T1157" i="4" s="1"/>
  <c r="Y1157" i="4" s="1"/>
  <c r="P1157" i="4"/>
  <c r="U1157" i="4" s="1"/>
  <c r="Z1157" i="4" s="1"/>
  <c r="Q1157" i="4"/>
  <c r="V1157" i="4"/>
  <c r="AA1157" i="4" s="1"/>
  <c r="M1158" i="4"/>
  <c r="R1158" i="4"/>
  <c r="W1158" i="4" s="1"/>
  <c r="N1158" i="4"/>
  <c r="S1158" i="4" s="1"/>
  <c r="X1158" i="4" s="1"/>
  <c r="O1158" i="4"/>
  <c r="T1158" i="4" s="1"/>
  <c r="Y1158" i="4" s="1"/>
  <c r="P1158" i="4"/>
  <c r="U1158" i="4"/>
  <c r="Z1158" i="4" s="1"/>
  <c r="Q1158" i="4"/>
  <c r="V1158" i="4"/>
  <c r="AA1158" i="4" s="1"/>
  <c r="M1159" i="4"/>
  <c r="R1159" i="4" s="1"/>
  <c r="W1159" i="4" s="1"/>
  <c r="N1159" i="4"/>
  <c r="S1159" i="4" s="1"/>
  <c r="X1159" i="4" s="1"/>
  <c r="O1159" i="4"/>
  <c r="T1159" i="4"/>
  <c r="Y1159" i="4" s="1"/>
  <c r="P1159" i="4"/>
  <c r="U1159" i="4"/>
  <c r="Z1159" i="4" s="1"/>
  <c r="Q1159" i="4"/>
  <c r="V1159" i="4" s="1"/>
  <c r="AA1159" i="4" s="1"/>
  <c r="M1160" i="4"/>
  <c r="R1160" i="4" s="1"/>
  <c r="W1160" i="4" s="1"/>
  <c r="N1160" i="4"/>
  <c r="S1160" i="4"/>
  <c r="X1160" i="4" s="1"/>
  <c r="O1160" i="4"/>
  <c r="T1160" i="4"/>
  <c r="Y1160" i="4" s="1"/>
  <c r="P1160" i="4"/>
  <c r="U1160" i="4" s="1"/>
  <c r="Z1160" i="4" s="1"/>
  <c r="Q1160" i="4"/>
  <c r="V1160" i="4" s="1"/>
  <c r="AA1160" i="4" s="1"/>
  <c r="M1161" i="4"/>
  <c r="R1161" i="4"/>
  <c r="W1161" i="4" s="1"/>
  <c r="N1161" i="4"/>
  <c r="S1161" i="4"/>
  <c r="X1161" i="4" s="1"/>
  <c r="O1161" i="4"/>
  <c r="T1161" i="4" s="1"/>
  <c r="Y1161" i="4" s="1"/>
  <c r="P1161" i="4"/>
  <c r="U1161" i="4" s="1"/>
  <c r="Z1161" i="4" s="1"/>
  <c r="Q1161" i="4"/>
  <c r="V1161" i="4"/>
  <c r="AA1161" i="4" s="1"/>
  <c r="M1162" i="4"/>
  <c r="R1162" i="4"/>
  <c r="W1162" i="4" s="1"/>
  <c r="N1162" i="4"/>
  <c r="S1162" i="4" s="1"/>
  <c r="X1162" i="4" s="1"/>
  <c r="O1162" i="4"/>
  <c r="T1162" i="4" s="1"/>
  <c r="Y1162" i="4" s="1"/>
  <c r="P1162" i="4"/>
  <c r="U1162" i="4"/>
  <c r="Z1162" i="4" s="1"/>
  <c r="Q1162" i="4"/>
  <c r="V1162" i="4"/>
  <c r="AA1162" i="4" s="1"/>
  <c r="M1163" i="4"/>
  <c r="R1163" i="4" s="1"/>
  <c r="W1163" i="4" s="1"/>
  <c r="N1163" i="4"/>
  <c r="S1163" i="4" s="1"/>
  <c r="X1163" i="4" s="1"/>
  <c r="O1163" i="4"/>
  <c r="T1163" i="4"/>
  <c r="Y1163" i="4" s="1"/>
  <c r="P1163" i="4"/>
  <c r="U1163" i="4"/>
  <c r="Z1163" i="4" s="1"/>
  <c r="Q1163" i="4"/>
  <c r="V1163" i="4" s="1"/>
  <c r="AA1163" i="4" s="1"/>
  <c r="M1164" i="4"/>
  <c r="R1164" i="4" s="1"/>
  <c r="W1164" i="4" s="1"/>
  <c r="N1164" i="4"/>
  <c r="S1164" i="4"/>
  <c r="X1164" i="4" s="1"/>
  <c r="O1164" i="4"/>
  <c r="T1164" i="4"/>
  <c r="Y1164" i="4" s="1"/>
  <c r="P1164" i="4"/>
  <c r="U1164" i="4" s="1"/>
  <c r="Z1164" i="4" s="1"/>
  <c r="Q1164" i="4"/>
  <c r="V1164" i="4" s="1"/>
  <c r="AA1164" i="4" s="1"/>
  <c r="M1165" i="4"/>
  <c r="R1165" i="4"/>
  <c r="W1165" i="4" s="1"/>
  <c r="N1165" i="4"/>
  <c r="S1165" i="4"/>
  <c r="X1165" i="4" s="1"/>
  <c r="O1165" i="4"/>
  <c r="T1165" i="4" s="1"/>
  <c r="Y1165" i="4" s="1"/>
  <c r="P1165" i="4"/>
  <c r="U1165" i="4" s="1"/>
  <c r="Z1165" i="4" s="1"/>
  <c r="Q1165" i="4"/>
  <c r="V1165" i="4"/>
  <c r="AA1165" i="4" s="1"/>
  <c r="M1166" i="4"/>
  <c r="R1166" i="4"/>
  <c r="W1166" i="4" s="1"/>
  <c r="N1166" i="4"/>
  <c r="S1166" i="4" s="1"/>
  <c r="X1166" i="4" s="1"/>
  <c r="O1166" i="4"/>
  <c r="T1166" i="4" s="1"/>
  <c r="Y1166" i="4" s="1"/>
  <c r="P1166" i="4"/>
  <c r="U1166" i="4"/>
  <c r="Z1166" i="4" s="1"/>
  <c r="Q1166" i="4"/>
  <c r="V1166" i="4"/>
  <c r="AA1166" i="4" s="1"/>
  <c r="M1167" i="4"/>
  <c r="R1167" i="4" s="1"/>
  <c r="W1167" i="4" s="1"/>
  <c r="N1167" i="4"/>
  <c r="S1167" i="4" s="1"/>
  <c r="X1167" i="4" s="1"/>
  <c r="O1167" i="4"/>
  <c r="T1167" i="4"/>
  <c r="Y1167" i="4" s="1"/>
  <c r="P1167" i="4"/>
  <c r="U1167" i="4"/>
  <c r="Z1167" i="4" s="1"/>
  <c r="Q1167" i="4"/>
  <c r="V1167" i="4" s="1"/>
  <c r="AA1167" i="4" s="1"/>
  <c r="M1168" i="4"/>
  <c r="R1168" i="4" s="1"/>
  <c r="W1168" i="4" s="1"/>
  <c r="N1168" i="4"/>
  <c r="S1168" i="4"/>
  <c r="X1168" i="4" s="1"/>
  <c r="O1168" i="4"/>
  <c r="T1168" i="4"/>
  <c r="Y1168" i="4" s="1"/>
  <c r="P1168" i="4"/>
  <c r="U1168" i="4" s="1"/>
  <c r="Z1168" i="4" s="1"/>
  <c r="Q1168" i="4"/>
  <c r="V1168" i="4" s="1"/>
  <c r="AA1168" i="4" s="1"/>
  <c r="M1169" i="4"/>
  <c r="R1169" i="4"/>
  <c r="W1169" i="4" s="1"/>
  <c r="N1169" i="4"/>
  <c r="S1169" i="4"/>
  <c r="X1169" i="4" s="1"/>
  <c r="O1169" i="4"/>
  <c r="T1169" i="4" s="1"/>
  <c r="Y1169" i="4" s="1"/>
  <c r="P1169" i="4"/>
  <c r="U1169" i="4" s="1"/>
  <c r="Z1169" i="4" s="1"/>
  <c r="Q1169" i="4"/>
  <c r="V1169" i="4"/>
  <c r="AA1169" i="4" s="1"/>
  <c r="M1170" i="4"/>
  <c r="R1170" i="4"/>
  <c r="W1170" i="4" s="1"/>
  <c r="N1170" i="4"/>
  <c r="S1170" i="4" s="1"/>
  <c r="X1170" i="4" s="1"/>
  <c r="O1170" i="4"/>
  <c r="T1170" i="4" s="1"/>
  <c r="Y1170" i="4" s="1"/>
  <c r="P1170" i="4"/>
  <c r="U1170" i="4"/>
  <c r="Z1170" i="4" s="1"/>
  <c r="Q1170" i="4"/>
  <c r="V1170" i="4"/>
  <c r="AA1170" i="4" s="1"/>
  <c r="M1171" i="4"/>
  <c r="R1171" i="4" s="1"/>
  <c r="W1171" i="4" s="1"/>
  <c r="N1171" i="4"/>
  <c r="S1171" i="4" s="1"/>
  <c r="X1171" i="4" s="1"/>
  <c r="O1171" i="4"/>
  <c r="T1171" i="4"/>
  <c r="Y1171" i="4" s="1"/>
  <c r="P1171" i="4"/>
  <c r="U1171" i="4"/>
  <c r="Z1171" i="4" s="1"/>
  <c r="Q1171" i="4"/>
  <c r="V1171" i="4" s="1"/>
  <c r="AA1171" i="4" s="1"/>
  <c r="M1172" i="4"/>
  <c r="R1172" i="4" s="1"/>
  <c r="W1172" i="4" s="1"/>
  <c r="N1172" i="4"/>
  <c r="S1172" i="4"/>
  <c r="X1172" i="4" s="1"/>
  <c r="O1172" i="4"/>
  <c r="T1172" i="4"/>
  <c r="Y1172" i="4" s="1"/>
  <c r="P1172" i="4"/>
  <c r="U1172" i="4" s="1"/>
  <c r="Z1172" i="4" s="1"/>
  <c r="Q1172" i="4"/>
  <c r="V1172" i="4" s="1"/>
  <c r="AA1172" i="4" s="1"/>
  <c r="M1173" i="4"/>
  <c r="R1173" i="4"/>
  <c r="W1173" i="4" s="1"/>
  <c r="N1173" i="4"/>
  <c r="S1173" i="4"/>
  <c r="X1173" i="4" s="1"/>
  <c r="O1173" i="4"/>
  <c r="T1173" i="4" s="1"/>
  <c r="Y1173" i="4" s="1"/>
  <c r="P1173" i="4"/>
  <c r="U1173" i="4" s="1"/>
  <c r="Z1173" i="4" s="1"/>
  <c r="Q1173" i="4"/>
  <c r="V1173" i="4"/>
  <c r="AA1173" i="4" s="1"/>
  <c r="M1174" i="4"/>
  <c r="R1174" i="4"/>
  <c r="W1174" i="4" s="1"/>
  <c r="N1174" i="4"/>
  <c r="S1174" i="4" s="1"/>
  <c r="X1174" i="4" s="1"/>
  <c r="O1174" i="4"/>
  <c r="T1174" i="4" s="1"/>
  <c r="Y1174" i="4" s="1"/>
  <c r="P1174" i="4"/>
  <c r="U1174" i="4"/>
  <c r="Z1174" i="4" s="1"/>
  <c r="Q1174" i="4"/>
  <c r="V1174" i="4"/>
  <c r="AA1174" i="4" s="1"/>
  <c r="M1175" i="4"/>
  <c r="R1175" i="4" s="1"/>
  <c r="W1175" i="4" s="1"/>
  <c r="N1175" i="4"/>
  <c r="S1175" i="4" s="1"/>
  <c r="X1175" i="4" s="1"/>
  <c r="O1175" i="4"/>
  <c r="T1175" i="4"/>
  <c r="Y1175" i="4" s="1"/>
  <c r="P1175" i="4"/>
  <c r="U1175" i="4"/>
  <c r="Z1175" i="4" s="1"/>
  <c r="Q1175" i="4"/>
  <c r="V1175" i="4" s="1"/>
  <c r="AA1175" i="4" s="1"/>
  <c r="M1176" i="4"/>
  <c r="R1176" i="4" s="1"/>
  <c r="W1176" i="4" s="1"/>
  <c r="N1176" i="4"/>
  <c r="S1176" i="4"/>
  <c r="X1176" i="4" s="1"/>
  <c r="O1176" i="4"/>
  <c r="T1176" i="4"/>
  <c r="Y1176" i="4" s="1"/>
  <c r="P1176" i="4"/>
  <c r="U1176" i="4" s="1"/>
  <c r="Z1176" i="4" s="1"/>
  <c r="Q1176" i="4"/>
  <c r="V1176" i="4" s="1"/>
  <c r="AA1176" i="4" s="1"/>
  <c r="M1177" i="4"/>
  <c r="R1177" i="4"/>
  <c r="W1177" i="4" s="1"/>
  <c r="N1177" i="4"/>
  <c r="S1177" i="4"/>
  <c r="X1177" i="4" s="1"/>
  <c r="O1177" i="4"/>
  <c r="T1177" i="4" s="1"/>
  <c r="Y1177" i="4" s="1"/>
  <c r="P1177" i="4"/>
  <c r="U1177" i="4" s="1"/>
  <c r="Z1177" i="4" s="1"/>
  <c r="Q1177" i="4"/>
  <c r="V1177" i="4"/>
  <c r="AA1177" i="4" s="1"/>
  <c r="M1178" i="4"/>
  <c r="R1178" i="4"/>
  <c r="W1178" i="4" s="1"/>
  <c r="N1178" i="4"/>
  <c r="S1178" i="4" s="1"/>
  <c r="X1178" i="4" s="1"/>
  <c r="O1178" i="4"/>
  <c r="T1178" i="4" s="1"/>
  <c r="Y1178" i="4" s="1"/>
  <c r="P1178" i="4"/>
  <c r="U1178" i="4"/>
  <c r="Z1178" i="4" s="1"/>
  <c r="Q1178" i="4"/>
  <c r="V1178" i="4"/>
  <c r="AA1178" i="4" s="1"/>
  <c r="M1179" i="4"/>
  <c r="R1179" i="4" s="1"/>
  <c r="W1179" i="4" s="1"/>
  <c r="N1179" i="4"/>
  <c r="S1179" i="4" s="1"/>
  <c r="X1179" i="4" s="1"/>
  <c r="O1179" i="4"/>
  <c r="T1179" i="4"/>
  <c r="Y1179" i="4" s="1"/>
  <c r="P1179" i="4"/>
  <c r="U1179" i="4"/>
  <c r="Z1179" i="4" s="1"/>
  <c r="Q1179" i="4"/>
  <c r="V1179" i="4" s="1"/>
  <c r="AA1179" i="4" s="1"/>
  <c r="M1180" i="4"/>
  <c r="R1180" i="4" s="1"/>
  <c r="W1180" i="4" s="1"/>
  <c r="N1180" i="4"/>
  <c r="S1180" i="4"/>
  <c r="X1180" i="4" s="1"/>
  <c r="O1180" i="4"/>
  <c r="T1180" i="4"/>
  <c r="Y1180" i="4" s="1"/>
  <c r="P1180" i="4"/>
  <c r="U1180" i="4" s="1"/>
  <c r="Z1180" i="4" s="1"/>
  <c r="Q1180" i="4"/>
  <c r="V1180" i="4" s="1"/>
  <c r="AA1180" i="4" s="1"/>
  <c r="M1181" i="4"/>
  <c r="R1181" i="4"/>
  <c r="W1181" i="4" s="1"/>
  <c r="N1181" i="4"/>
  <c r="S1181" i="4"/>
  <c r="X1181" i="4" s="1"/>
  <c r="O1181" i="4"/>
  <c r="T1181" i="4" s="1"/>
  <c r="Y1181" i="4" s="1"/>
  <c r="P1181" i="4"/>
  <c r="U1181" i="4" s="1"/>
  <c r="Z1181" i="4" s="1"/>
  <c r="Q1181" i="4"/>
  <c r="V1181" i="4"/>
  <c r="AA1181" i="4" s="1"/>
  <c r="M1182" i="4"/>
  <c r="R1182" i="4"/>
  <c r="W1182" i="4" s="1"/>
  <c r="N1182" i="4"/>
  <c r="S1182" i="4" s="1"/>
  <c r="X1182" i="4" s="1"/>
  <c r="O1182" i="4"/>
  <c r="T1182" i="4" s="1"/>
  <c r="Y1182" i="4" s="1"/>
  <c r="P1182" i="4"/>
  <c r="U1182" i="4"/>
  <c r="Z1182" i="4" s="1"/>
  <c r="Q1182" i="4"/>
  <c r="V1182" i="4"/>
  <c r="AA1182" i="4" s="1"/>
  <c r="M1183" i="4"/>
  <c r="R1183" i="4" s="1"/>
  <c r="W1183" i="4" s="1"/>
  <c r="N1183" i="4"/>
  <c r="S1183" i="4" s="1"/>
  <c r="X1183" i="4" s="1"/>
  <c r="O1183" i="4"/>
  <c r="T1183" i="4"/>
  <c r="Y1183" i="4" s="1"/>
  <c r="P1183" i="4"/>
  <c r="U1183" i="4"/>
  <c r="Z1183" i="4" s="1"/>
  <c r="Q1183" i="4"/>
  <c r="V1183" i="4" s="1"/>
  <c r="AA1183" i="4" s="1"/>
  <c r="M1184" i="4"/>
  <c r="R1184" i="4" s="1"/>
  <c r="W1184" i="4" s="1"/>
  <c r="N1184" i="4"/>
  <c r="S1184" i="4"/>
  <c r="X1184" i="4" s="1"/>
  <c r="O1184" i="4"/>
  <c r="T1184" i="4"/>
  <c r="Y1184" i="4" s="1"/>
  <c r="P1184" i="4"/>
  <c r="U1184" i="4" s="1"/>
  <c r="Z1184" i="4" s="1"/>
  <c r="Q1184" i="4"/>
  <c r="V1184" i="4" s="1"/>
  <c r="AA1184" i="4" s="1"/>
  <c r="M1185" i="4"/>
  <c r="R1185" i="4"/>
  <c r="W1185" i="4" s="1"/>
  <c r="N1185" i="4"/>
  <c r="S1185" i="4"/>
  <c r="X1185" i="4" s="1"/>
  <c r="O1185" i="4"/>
  <c r="T1185" i="4" s="1"/>
  <c r="Y1185" i="4" s="1"/>
  <c r="P1185" i="4"/>
  <c r="U1185" i="4" s="1"/>
  <c r="Z1185" i="4" s="1"/>
  <c r="Q1185" i="4"/>
  <c r="V1185" i="4"/>
  <c r="AA1185" i="4" s="1"/>
  <c r="M1186" i="4"/>
  <c r="R1186" i="4"/>
  <c r="W1186" i="4" s="1"/>
  <c r="N1186" i="4"/>
  <c r="S1186" i="4" s="1"/>
  <c r="X1186" i="4" s="1"/>
  <c r="O1186" i="4"/>
  <c r="T1186" i="4" s="1"/>
  <c r="Y1186" i="4" s="1"/>
  <c r="P1186" i="4"/>
  <c r="U1186" i="4"/>
  <c r="Z1186" i="4" s="1"/>
  <c r="Q1186" i="4"/>
  <c r="V1186" i="4"/>
  <c r="AA1186" i="4" s="1"/>
  <c r="M1187" i="4"/>
  <c r="R1187" i="4" s="1"/>
  <c r="W1187" i="4" s="1"/>
  <c r="N1187" i="4"/>
  <c r="S1187" i="4" s="1"/>
  <c r="X1187" i="4" s="1"/>
  <c r="O1187" i="4"/>
  <c r="T1187" i="4"/>
  <c r="Y1187" i="4" s="1"/>
  <c r="P1187" i="4"/>
  <c r="U1187" i="4"/>
  <c r="Z1187" i="4" s="1"/>
  <c r="Q1187" i="4"/>
  <c r="V1187" i="4" s="1"/>
  <c r="AA1187" i="4" s="1"/>
  <c r="M1188" i="4"/>
  <c r="R1188" i="4" s="1"/>
  <c r="W1188" i="4" s="1"/>
  <c r="N1188" i="4"/>
  <c r="S1188" i="4"/>
  <c r="X1188" i="4" s="1"/>
  <c r="O1188" i="4"/>
  <c r="T1188" i="4"/>
  <c r="Y1188" i="4" s="1"/>
  <c r="P1188" i="4"/>
  <c r="U1188" i="4" s="1"/>
  <c r="Z1188" i="4" s="1"/>
  <c r="Q1188" i="4"/>
  <c r="V1188" i="4" s="1"/>
  <c r="AA1188" i="4" s="1"/>
  <c r="M1189" i="4"/>
  <c r="R1189" i="4"/>
  <c r="W1189" i="4" s="1"/>
  <c r="N1189" i="4"/>
  <c r="S1189" i="4"/>
  <c r="X1189" i="4" s="1"/>
  <c r="O1189" i="4"/>
  <c r="T1189" i="4" s="1"/>
  <c r="Y1189" i="4" s="1"/>
  <c r="P1189" i="4"/>
  <c r="U1189" i="4" s="1"/>
  <c r="Z1189" i="4" s="1"/>
  <c r="Q1189" i="4"/>
  <c r="V1189" i="4"/>
  <c r="AA1189" i="4" s="1"/>
  <c r="M1190" i="4"/>
  <c r="R1190" i="4"/>
  <c r="W1190" i="4" s="1"/>
  <c r="N1190" i="4"/>
  <c r="S1190" i="4" s="1"/>
  <c r="X1190" i="4" s="1"/>
  <c r="O1190" i="4"/>
  <c r="T1190" i="4" s="1"/>
  <c r="Y1190" i="4" s="1"/>
  <c r="P1190" i="4"/>
  <c r="U1190" i="4"/>
  <c r="Z1190" i="4" s="1"/>
  <c r="Q1190" i="4"/>
  <c r="V1190" i="4"/>
  <c r="AA1190" i="4" s="1"/>
  <c r="M1191" i="4"/>
  <c r="R1191" i="4" s="1"/>
  <c r="W1191" i="4" s="1"/>
  <c r="N1191" i="4"/>
  <c r="S1191" i="4" s="1"/>
  <c r="X1191" i="4" s="1"/>
  <c r="O1191" i="4"/>
  <c r="T1191" i="4"/>
  <c r="Y1191" i="4" s="1"/>
  <c r="P1191" i="4"/>
  <c r="U1191" i="4"/>
  <c r="Z1191" i="4" s="1"/>
  <c r="Q1191" i="4"/>
  <c r="V1191" i="4" s="1"/>
  <c r="AA1191" i="4" s="1"/>
  <c r="M1192" i="4"/>
  <c r="R1192" i="4" s="1"/>
  <c r="W1192" i="4" s="1"/>
  <c r="N1192" i="4"/>
  <c r="S1192" i="4"/>
  <c r="X1192" i="4" s="1"/>
  <c r="O1192" i="4"/>
  <c r="T1192" i="4"/>
  <c r="Y1192" i="4" s="1"/>
  <c r="P1192" i="4"/>
  <c r="U1192" i="4" s="1"/>
  <c r="Z1192" i="4" s="1"/>
  <c r="Q1192" i="4"/>
  <c r="V1192" i="4" s="1"/>
  <c r="AA1192" i="4" s="1"/>
  <c r="M1193" i="4"/>
  <c r="R1193" i="4"/>
  <c r="W1193" i="4" s="1"/>
  <c r="N1193" i="4"/>
  <c r="S1193" i="4"/>
  <c r="X1193" i="4" s="1"/>
  <c r="O1193" i="4"/>
  <c r="T1193" i="4" s="1"/>
  <c r="Y1193" i="4" s="1"/>
  <c r="P1193" i="4"/>
  <c r="U1193" i="4" s="1"/>
  <c r="Z1193" i="4" s="1"/>
  <c r="Q1193" i="4"/>
  <c r="V1193" i="4"/>
  <c r="AA1193" i="4" s="1"/>
  <c r="M1194" i="4"/>
  <c r="R1194" i="4"/>
  <c r="W1194" i="4" s="1"/>
  <c r="N1194" i="4"/>
  <c r="S1194" i="4" s="1"/>
  <c r="X1194" i="4" s="1"/>
  <c r="O1194" i="4"/>
  <c r="T1194" i="4" s="1"/>
  <c r="Y1194" i="4" s="1"/>
  <c r="P1194" i="4"/>
  <c r="U1194" i="4"/>
  <c r="Z1194" i="4" s="1"/>
  <c r="Q1194" i="4"/>
  <c r="V1194" i="4"/>
  <c r="AA1194" i="4" s="1"/>
  <c r="M1195" i="4"/>
  <c r="R1195" i="4" s="1"/>
  <c r="W1195" i="4" s="1"/>
  <c r="N1195" i="4"/>
  <c r="S1195" i="4" s="1"/>
  <c r="X1195" i="4" s="1"/>
  <c r="O1195" i="4"/>
  <c r="T1195" i="4"/>
  <c r="Y1195" i="4" s="1"/>
  <c r="P1195" i="4"/>
  <c r="U1195" i="4"/>
  <c r="Z1195" i="4" s="1"/>
  <c r="Q1195" i="4"/>
  <c r="V1195" i="4" s="1"/>
  <c r="AA1195" i="4" s="1"/>
  <c r="M1196" i="4"/>
  <c r="R1196" i="4" s="1"/>
  <c r="W1196" i="4" s="1"/>
  <c r="N1196" i="4"/>
  <c r="S1196" i="4"/>
  <c r="X1196" i="4" s="1"/>
  <c r="O1196" i="4"/>
  <c r="T1196" i="4"/>
  <c r="Y1196" i="4" s="1"/>
  <c r="P1196" i="4"/>
  <c r="U1196" i="4" s="1"/>
  <c r="Z1196" i="4" s="1"/>
  <c r="Q1196" i="4"/>
  <c r="V1196" i="4" s="1"/>
  <c r="AA1196" i="4" s="1"/>
  <c r="M1197" i="4"/>
  <c r="R1197" i="4"/>
  <c r="W1197" i="4" s="1"/>
  <c r="N1197" i="4"/>
  <c r="S1197" i="4"/>
  <c r="X1197" i="4" s="1"/>
  <c r="O1197" i="4"/>
  <c r="T1197" i="4" s="1"/>
  <c r="Y1197" i="4" s="1"/>
  <c r="P1197" i="4"/>
  <c r="U1197" i="4" s="1"/>
  <c r="Z1197" i="4" s="1"/>
  <c r="Q1197" i="4"/>
  <c r="V1197" i="4"/>
  <c r="AA1197" i="4" s="1"/>
  <c r="M1198" i="4"/>
  <c r="R1198" i="4"/>
  <c r="W1198" i="4" s="1"/>
  <c r="N1198" i="4"/>
  <c r="S1198" i="4" s="1"/>
  <c r="X1198" i="4" s="1"/>
  <c r="O1198" i="4"/>
  <c r="T1198" i="4" s="1"/>
  <c r="Y1198" i="4" s="1"/>
  <c r="P1198" i="4"/>
  <c r="U1198" i="4"/>
  <c r="Z1198" i="4" s="1"/>
  <c r="Q1198" i="4"/>
  <c r="V1198" i="4"/>
  <c r="AA1198" i="4" s="1"/>
  <c r="M1199" i="4"/>
  <c r="R1199" i="4" s="1"/>
  <c r="W1199" i="4" s="1"/>
  <c r="N1199" i="4"/>
  <c r="S1199" i="4" s="1"/>
  <c r="X1199" i="4" s="1"/>
  <c r="O1199" i="4"/>
  <c r="T1199" i="4"/>
  <c r="Y1199" i="4" s="1"/>
  <c r="P1199" i="4"/>
  <c r="U1199" i="4"/>
  <c r="Z1199" i="4" s="1"/>
  <c r="Q1199" i="4"/>
  <c r="V1199" i="4" s="1"/>
  <c r="AA1199" i="4" s="1"/>
  <c r="M1200" i="4"/>
  <c r="R1200" i="4" s="1"/>
  <c r="W1200" i="4" s="1"/>
  <c r="N1200" i="4"/>
  <c r="S1200" i="4"/>
  <c r="X1200" i="4" s="1"/>
  <c r="O1200" i="4"/>
  <c r="T1200" i="4"/>
  <c r="Y1200" i="4" s="1"/>
  <c r="P1200" i="4"/>
  <c r="U1200" i="4" s="1"/>
  <c r="Z1200" i="4" s="1"/>
  <c r="Q1200" i="4"/>
  <c r="V1200" i="4" s="1"/>
  <c r="AA1200" i="4" s="1"/>
  <c r="M1201" i="4"/>
  <c r="R1201" i="4"/>
  <c r="W1201" i="4" s="1"/>
  <c r="N1201" i="4"/>
  <c r="S1201" i="4"/>
  <c r="X1201" i="4" s="1"/>
  <c r="O1201" i="4"/>
  <c r="T1201" i="4" s="1"/>
  <c r="Y1201" i="4" s="1"/>
  <c r="P1201" i="4"/>
  <c r="U1201" i="4" s="1"/>
  <c r="Z1201" i="4" s="1"/>
  <c r="Q1201" i="4"/>
  <c r="V1201" i="4"/>
  <c r="AA1201" i="4" s="1"/>
  <c r="M1202" i="4"/>
  <c r="R1202" i="4"/>
  <c r="W1202" i="4" s="1"/>
  <c r="N1202" i="4"/>
  <c r="S1202" i="4" s="1"/>
  <c r="X1202" i="4" s="1"/>
  <c r="O1202" i="4"/>
  <c r="T1202" i="4" s="1"/>
  <c r="Y1202" i="4" s="1"/>
  <c r="P1202" i="4"/>
  <c r="U1202" i="4"/>
  <c r="Z1202" i="4" s="1"/>
  <c r="Q1202" i="4"/>
  <c r="V1202" i="4"/>
  <c r="AA1202" i="4" s="1"/>
  <c r="M1203" i="4"/>
  <c r="R1203" i="4" s="1"/>
  <c r="W1203" i="4" s="1"/>
  <c r="N1203" i="4"/>
  <c r="S1203" i="4" s="1"/>
  <c r="X1203" i="4" s="1"/>
  <c r="O1203" i="4"/>
  <c r="T1203" i="4"/>
  <c r="Y1203" i="4" s="1"/>
  <c r="P1203" i="4"/>
  <c r="U1203" i="4"/>
  <c r="Z1203" i="4" s="1"/>
  <c r="Q1203" i="4"/>
  <c r="V1203" i="4" s="1"/>
  <c r="AA1203" i="4" s="1"/>
  <c r="M1204" i="4"/>
  <c r="R1204" i="4" s="1"/>
  <c r="W1204" i="4" s="1"/>
  <c r="N1204" i="4"/>
  <c r="S1204" i="4"/>
  <c r="X1204" i="4" s="1"/>
  <c r="O1204" i="4"/>
  <c r="T1204" i="4"/>
  <c r="Y1204" i="4" s="1"/>
  <c r="P1204" i="4"/>
  <c r="U1204" i="4" s="1"/>
  <c r="Z1204" i="4" s="1"/>
  <c r="Q1204" i="4"/>
  <c r="V1204" i="4" s="1"/>
  <c r="AA1204" i="4" s="1"/>
  <c r="M1205" i="4"/>
  <c r="R1205" i="4"/>
  <c r="W1205" i="4" s="1"/>
  <c r="N1205" i="4"/>
  <c r="S1205" i="4"/>
  <c r="X1205" i="4" s="1"/>
  <c r="O1205" i="4"/>
  <c r="T1205" i="4" s="1"/>
  <c r="Y1205" i="4" s="1"/>
  <c r="P1205" i="4"/>
  <c r="U1205" i="4" s="1"/>
  <c r="Z1205" i="4" s="1"/>
  <c r="Q1205" i="4"/>
  <c r="V1205" i="4"/>
  <c r="AA1205" i="4" s="1"/>
  <c r="M1206" i="4"/>
  <c r="R1206" i="4"/>
  <c r="W1206" i="4" s="1"/>
  <c r="N1206" i="4"/>
  <c r="S1206" i="4" s="1"/>
  <c r="X1206" i="4" s="1"/>
  <c r="O1206" i="4"/>
  <c r="T1206" i="4" s="1"/>
  <c r="Y1206" i="4" s="1"/>
  <c r="P1206" i="4"/>
  <c r="U1206" i="4"/>
  <c r="Z1206" i="4" s="1"/>
  <c r="Q1206" i="4"/>
  <c r="V1206" i="4"/>
  <c r="AA1206" i="4" s="1"/>
  <c r="M1207" i="4"/>
  <c r="R1207" i="4" s="1"/>
  <c r="W1207" i="4" s="1"/>
  <c r="N1207" i="4"/>
  <c r="S1207" i="4" s="1"/>
  <c r="X1207" i="4" s="1"/>
  <c r="O1207" i="4"/>
  <c r="T1207" i="4"/>
  <c r="Y1207" i="4" s="1"/>
  <c r="P1207" i="4"/>
  <c r="U1207" i="4"/>
  <c r="Z1207" i="4" s="1"/>
  <c r="Q1207" i="4"/>
  <c r="V1207" i="4" s="1"/>
  <c r="AA1207" i="4" s="1"/>
  <c r="M1208" i="4"/>
  <c r="R1208" i="4" s="1"/>
  <c r="W1208" i="4" s="1"/>
  <c r="N1208" i="4"/>
  <c r="S1208" i="4"/>
  <c r="X1208" i="4" s="1"/>
  <c r="O1208" i="4"/>
  <c r="T1208" i="4"/>
  <c r="Y1208" i="4" s="1"/>
  <c r="P1208" i="4"/>
  <c r="U1208" i="4" s="1"/>
  <c r="Z1208" i="4" s="1"/>
  <c r="Q1208" i="4"/>
  <c r="V1208" i="4" s="1"/>
  <c r="AA1208" i="4" s="1"/>
  <c r="M1209" i="4"/>
  <c r="R1209" i="4"/>
  <c r="W1209" i="4" s="1"/>
  <c r="N1209" i="4"/>
  <c r="S1209" i="4"/>
  <c r="X1209" i="4" s="1"/>
  <c r="O1209" i="4"/>
  <c r="T1209" i="4" s="1"/>
  <c r="Y1209" i="4" s="1"/>
  <c r="P1209" i="4"/>
  <c r="U1209" i="4" s="1"/>
  <c r="Z1209" i="4" s="1"/>
  <c r="Q1209" i="4"/>
  <c r="V1209" i="4"/>
  <c r="AA1209" i="4" s="1"/>
  <c r="M1210" i="4"/>
  <c r="R1210" i="4"/>
  <c r="W1210" i="4" s="1"/>
  <c r="N1210" i="4"/>
  <c r="S1210" i="4" s="1"/>
  <c r="X1210" i="4" s="1"/>
  <c r="O1210" i="4"/>
  <c r="T1210" i="4" s="1"/>
  <c r="Y1210" i="4" s="1"/>
  <c r="P1210" i="4"/>
  <c r="U1210" i="4"/>
  <c r="Z1210" i="4" s="1"/>
  <c r="Q1210" i="4"/>
  <c r="V1210" i="4"/>
  <c r="AA1210" i="4" s="1"/>
  <c r="M1211" i="4"/>
  <c r="R1211" i="4" s="1"/>
  <c r="W1211" i="4" s="1"/>
  <c r="N1211" i="4"/>
  <c r="S1211" i="4" s="1"/>
  <c r="X1211" i="4" s="1"/>
  <c r="O1211" i="4"/>
  <c r="T1211" i="4"/>
  <c r="Y1211" i="4" s="1"/>
  <c r="P1211" i="4"/>
  <c r="U1211" i="4"/>
  <c r="Z1211" i="4" s="1"/>
  <c r="Q1211" i="4"/>
  <c r="V1211" i="4" s="1"/>
  <c r="AA1211" i="4" s="1"/>
  <c r="M1212" i="4"/>
  <c r="R1212" i="4" s="1"/>
  <c r="W1212" i="4" s="1"/>
  <c r="N1212" i="4"/>
  <c r="S1212" i="4"/>
  <c r="X1212" i="4" s="1"/>
  <c r="O1212" i="4"/>
  <c r="T1212" i="4"/>
  <c r="Y1212" i="4" s="1"/>
  <c r="P1212" i="4"/>
  <c r="U1212" i="4" s="1"/>
  <c r="Z1212" i="4" s="1"/>
  <c r="Q1212" i="4"/>
  <c r="V1212" i="4" s="1"/>
  <c r="AA1212" i="4" s="1"/>
  <c r="M1213" i="4"/>
  <c r="R1213" i="4"/>
  <c r="W1213" i="4" s="1"/>
  <c r="N1213" i="4"/>
  <c r="S1213" i="4"/>
  <c r="X1213" i="4" s="1"/>
  <c r="O1213" i="4"/>
  <c r="T1213" i="4" s="1"/>
  <c r="Y1213" i="4" s="1"/>
  <c r="P1213" i="4"/>
  <c r="U1213" i="4" s="1"/>
  <c r="Z1213" i="4" s="1"/>
  <c r="Q1213" i="4"/>
  <c r="V1213" i="4"/>
  <c r="AA1213" i="4" s="1"/>
  <c r="M1214" i="4"/>
  <c r="R1214" i="4"/>
  <c r="W1214" i="4" s="1"/>
  <c r="N1214" i="4"/>
  <c r="S1214" i="4" s="1"/>
  <c r="X1214" i="4" s="1"/>
  <c r="O1214" i="4"/>
  <c r="T1214" i="4" s="1"/>
  <c r="Y1214" i="4" s="1"/>
  <c r="P1214" i="4"/>
  <c r="U1214" i="4"/>
  <c r="Z1214" i="4" s="1"/>
  <c r="Q1214" i="4"/>
  <c r="V1214" i="4"/>
  <c r="AA1214" i="4" s="1"/>
  <c r="M1215" i="4"/>
  <c r="R1215" i="4" s="1"/>
  <c r="W1215" i="4" s="1"/>
  <c r="N1215" i="4"/>
  <c r="S1215" i="4" s="1"/>
  <c r="X1215" i="4" s="1"/>
  <c r="O1215" i="4"/>
  <c r="T1215" i="4"/>
  <c r="Y1215" i="4" s="1"/>
  <c r="P1215" i="4"/>
  <c r="U1215" i="4"/>
  <c r="Z1215" i="4" s="1"/>
  <c r="Q1215" i="4"/>
  <c r="V1215" i="4" s="1"/>
  <c r="AA1215" i="4" s="1"/>
  <c r="M1216" i="4"/>
  <c r="R1216" i="4" s="1"/>
  <c r="W1216" i="4" s="1"/>
  <c r="N1216" i="4"/>
  <c r="S1216" i="4"/>
  <c r="X1216" i="4" s="1"/>
  <c r="O1216" i="4"/>
  <c r="T1216" i="4"/>
  <c r="Y1216" i="4" s="1"/>
  <c r="P1216" i="4"/>
  <c r="U1216" i="4" s="1"/>
  <c r="Z1216" i="4" s="1"/>
  <c r="Q1216" i="4"/>
  <c r="V1216" i="4" s="1"/>
  <c r="AA1216" i="4" s="1"/>
  <c r="M1217" i="4"/>
  <c r="R1217" i="4"/>
  <c r="W1217" i="4" s="1"/>
  <c r="N1217" i="4"/>
  <c r="S1217" i="4"/>
  <c r="X1217" i="4" s="1"/>
  <c r="O1217" i="4"/>
  <c r="T1217" i="4" s="1"/>
  <c r="Y1217" i="4" s="1"/>
  <c r="P1217" i="4"/>
  <c r="U1217" i="4" s="1"/>
  <c r="Z1217" i="4" s="1"/>
  <c r="Q1217" i="4"/>
  <c r="V1217" i="4"/>
  <c r="AA1217" i="4" s="1"/>
  <c r="M1218" i="4"/>
  <c r="R1218" i="4"/>
  <c r="W1218" i="4" s="1"/>
  <c r="N1218" i="4"/>
  <c r="S1218" i="4" s="1"/>
  <c r="X1218" i="4" s="1"/>
  <c r="O1218" i="4"/>
  <c r="T1218" i="4" s="1"/>
  <c r="Y1218" i="4" s="1"/>
  <c r="P1218" i="4"/>
  <c r="U1218" i="4"/>
  <c r="Z1218" i="4" s="1"/>
  <c r="Q1218" i="4"/>
  <c r="V1218" i="4"/>
  <c r="AA1218" i="4" s="1"/>
  <c r="M1219" i="4"/>
  <c r="R1219" i="4" s="1"/>
  <c r="W1219" i="4" s="1"/>
  <c r="N1219" i="4"/>
  <c r="S1219" i="4" s="1"/>
  <c r="X1219" i="4" s="1"/>
  <c r="O1219" i="4"/>
  <c r="T1219" i="4"/>
  <c r="Y1219" i="4" s="1"/>
  <c r="P1219" i="4"/>
  <c r="U1219" i="4"/>
  <c r="Z1219" i="4" s="1"/>
  <c r="Q1219" i="4"/>
  <c r="V1219" i="4" s="1"/>
  <c r="AA1219" i="4" s="1"/>
  <c r="M1220" i="4"/>
  <c r="R1220" i="4" s="1"/>
  <c r="W1220" i="4" s="1"/>
  <c r="N1220" i="4"/>
  <c r="S1220" i="4"/>
  <c r="X1220" i="4" s="1"/>
  <c r="O1220" i="4"/>
  <c r="T1220" i="4"/>
  <c r="Y1220" i="4" s="1"/>
  <c r="P1220" i="4"/>
  <c r="U1220" i="4" s="1"/>
  <c r="Z1220" i="4" s="1"/>
  <c r="Q1220" i="4"/>
  <c r="V1220" i="4" s="1"/>
  <c r="AA1220" i="4" s="1"/>
  <c r="M1221" i="4"/>
  <c r="R1221" i="4"/>
  <c r="W1221" i="4" s="1"/>
  <c r="N1221" i="4"/>
  <c r="S1221" i="4"/>
  <c r="X1221" i="4" s="1"/>
  <c r="O1221" i="4"/>
  <c r="T1221" i="4" s="1"/>
  <c r="Y1221" i="4" s="1"/>
  <c r="P1221" i="4"/>
  <c r="U1221" i="4" s="1"/>
  <c r="Z1221" i="4" s="1"/>
  <c r="Q1221" i="4"/>
  <c r="V1221" i="4"/>
  <c r="AA1221" i="4" s="1"/>
  <c r="M1222" i="4"/>
  <c r="R1222" i="4"/>
  <c r="W1222" i="4" s="1"/>
  <c r="N1222" i="4"/>
  <c r="S1222" i="4" s="1"/>
  <c r="X1222" i="4" s="1"/>
  <c r="O1222" i="4"/>
  <c r="T1222" i="4" s="1"/>
  <c r="Y1222" i="4" s="1"/>
  <c r="P1222" i="4"/>
  <c r="U1222" i="4"/>
  <c r="Z1222" i="4" s="1"/>
  <c r="Q1222" i="4"/>
  <c r="V1222" i="4"/>
  <c r="AA1222" i="4" s="1"/>
  <c r="M1223" i="4"/>
  <c r="R1223" i="4" s="1"/>
  <c r="W1223" i="4" s="1"/>
  <c r="N1223" i="4"/>
  <c r="S1223" i="4" s="1"/>
  <c r="X1223" i="4" s="1"/>
  <c r="O1223" i="4"/>
  <c r="T1223" i="4"/>
  <c r="Y1223" i="4" s="1"/>
  <c r="P1223" i="4"/>
  <c r="U1223" i="4"/>
  <c r="Z1223" i="4" s="1"/>
  <c r="Q1223" i="4"/>
  <c r="V1223" i="4" s="1"/>
  <c r="AA1223" i="4" s="1"/>
  <c r="M1224" i="4"/>
  <c r="R1224" i="4" s="1"/>
  <c r="W1224" i="4" s="1"/>
  <c r="N1224" i="4"/>
  <c r="S1224" i="4"/>
  <c r="X1224" i="4" s="1"/>
  <c r="O1224" i="4"/>
  <c r="T1224" i="4"/>
  <c r="Y1224" i="4" s="1"/>
  <c r="P1224" i="4"/>
  <c r="U1224" i="4" s="1"/>
  <c r="Z1224" i="4" s="1"/>
  <c r="Q1224" i="4"/>
  <c r="V1224" i="4" s="1"/>
  <c r="AA1224" i="4" s="1"/>
  <c r="M1225" i="4"/>
  <c r="R1225" i="4"/>
  <c r="W1225" i="4" s="1"/>
  <c r="N1225" i="4"/>
  <c r="S1225" i="4"/>
  <c r="X1225" i="4" s="1"/>
  <c r="O1225" i="4"/>
  <c r="T1225" i="4" s="1"/>
  <c r="Y1225" i="4" s="1"/>
  <c r="P1225" i="4"/>
  <c r="U1225" i="4" s="1"/>
  <c r="Z1225" i="4" s="1"/>
  <c r="Q1225" i="4"/>
  <c r="V1225" i="4"/>
  <c r="AA1225" i="4" s="1"/>
  <c r="M1226" i="4"/>
  <c r="R1226" i="4"/>
  <c r="W1226" i="4" s="1"/>
  <c r="N1226" i="4"/>
  <c r="S1226" i="4" s="1"/>
  <c r="X1226" i="4" s="1"/>
  <c r="O1226" i="4"/>
  <c r="T1226" i="4" s="1"/>
  <c r="Y1226" i="4" s="1"/>
  <c r="P1226" i="4"/>
  <c r="U1226" i="4"/>
  <c r="Z1226" i="4" s="1"/>
  <c r="Q1226" i="4"/>
  <c r="V1226" i="4"/>
  <c r="AA1226" i="4" s="1"/>
  <c r="M1227" i="4"/>
  <c r="R1227" i="4" s="1"/>
  <c r="W1227" i="4" s="1"/>
  <c r="N1227" i="4"/>
  <c r="S1227" i="4" s="1"/>
  <c r="X1227" i="4" s="1"/>
  <c r="O1227" i="4"/>
  <c r="T1227" i="4"/>
  <c r="Y1227" i="4" s="1"/>
  <c r="P1227" i="4"/>
  <c r="U1227" i="4"/>
  <c r="Z1227" i="4" s="1"/>
  <c r="Q1227" i="4"/>
  <c r="V1227" i="4" s="1"/>
  <c r="AA1227" i="4" s="1"/>
  <c r="M1228" i="4"/>
  <c r="R1228" i="4" s="1"/>
  <c r="W1228" i="4" s="1"/>
  <c r="N1228" i="4"/>
  <c r="S1228" i="4"/>
  <c r="X1228" i="4" s="1"/>
  <c r="O1228" i="4"/>
  <c r="T1228" i="4"/>
  <c r="Y1228" i="4" s="1"/>
  <c r="P1228" i="4"/>
  <c r="U1228" i="4" s="1"/>
  <c r="Z1228" i="4" s="1"/>
  <c r="Q1228" i="4"/>
  <c r="V1228" i="4" s="1"/>
  <c r="AA1228" i="4" s="1"/>
  <c r="M1229" i="4"/>
  <c r="R1229" i="4"/>
  <c r="W1229" i="4" s="1"/>
  <c r="N1229" i="4"/>
  <c r="S1229" i="4"/>
  <c r="X1229" i="4" s="1"/>
  <c r="O1229" i="4"/>
  <c r="T1229" i="4" s="1"/>
  <c r="Y1229" i="4" s="1"/>
  <c r="P1229" i="4"/>
  <c r="U1229" i="4" s="1"/>
  <c r="Z1229" i="4" s="1"/>
  <c r="Q1229" i="4"/>
  <c r="V1229" i="4"/>
  <c r="AA1229" i="4" s="1"/>
  <c r="M1230" i="4"/>
  <c r="R1230" i="4"/>
  <c r="W1230" i="4" s="1"/>
  <c r="N1230" i="4"/>
  <c r="S1230" i="4" s="1"/>
  <c r="X1230" i="4" s="1"/>
  <c r="O1230" i="4"/>
  <c r="T1230" i="4" s="1"/>
  <c r="Y1230" i="4" s="1"/>
  <c r="P1230" i="4"/>
  <c r="U1230" i="4"/>
  <c r="Z1230" i="4" s="1"/>
  <c r="Q1230" i="4"/>
  <c r="V1230" i="4"/>
  <c r="AA1230" i="4" s="1"/>
  <c r="M1231" i="4"/>
  <c r="R1231" i="4" s="1"/>
  <c r="W1231" i="4" s="1"/>
  <c r="N1231" i="4"/>
  <c r="S1231" i="4" s="1"/>
  <c r="X1231" i="4" s="1"/>
  <c r="O1231" i="4"/>
  <c r="T1231" i="4"/>
  <c r="Y1231" i="4" s="1"/>
  <c r="P1231" i="4"/>
  <c r="U1231" i="4"/>
  <c r="Z1231" i="4" s="1"/>
  <c r="Q1231" i="4"/>
  <c r="V1231" i="4" s="1"/>
  <c r="AA1231" i="4" s="1"/>
  <c r="M1232" i="4"/>
  <c r="R1232" i="4" s="1"/>
  <c r="W1232" i="4" s="1"/>
  <c r="N1232" i="4"/>
  <c r="S1232" i="4"/>
  <c r="X1232" i="4" s="1"/>
  <c r="O1232" i="4"/>
  <c r="T1232" i="4"/>
  <c r="Y1232" i="4" s="1"/>
  <c r="P1232" i="4"/>
  <c r="U1232" i="4" s="1"/>
  <c r="Z1232" i="4" s="1"/>
  <c r="Q1232" i="4"/>
  <c r="V1232" i="4" s="1"/>
  <c r="AA1232" i="4" s="1"/>
  <c r="M1233" i="4"/>
  <c r="R1233" i="4"/>
  <c r="W1233" i="4" s="1"/>
  <c r="N1233" i="4"/>
  <c r="S1233" i="4"/>
  <c r="X1233" i="4" s="1"/>
  <c r="O1233" i="4"/>
  <c r="T1233" i="4" s="1"/>
  <c r="Y1233" i="4" s="1"/>
  <c r="P1233" i="4"/>
  <c r="U1233" i="4" s="1"/>
  <c r="Z1233" i="4" s="1"/>
  <c r="Q1233" i="4"/>
  <c r="V1233" i="4"/>
  <c r="AA1233" i="4" s="1"/>
  <c r="M1234" i="4"/>
  <c r="R1234" i="4"/>
  <c r="W1234" i="4" s="1"/>
  <c r="N1234" i="4"/>
  <c r="S1234" i="4" s="1"/>
  <c r="X1234" i="4" s="1"/>
  <c r="O1234" i="4"/>
  <c r="T1234" i="4" s="1"/>
  <c r="Y1234" i="4" s="1"/>
  <c r="P1234" i="4"/>
  <c r="U1234" i="4"/>
  <c r="Z1234" i="4" s="1"/>
  <c r="Q1234" i="4"/>
  <c r="V1234" i="4"/>
  <c r="AA1234" i="4" s="1"/>
  <c r="M1235" i="4"/>
  <c r="R1235" i="4" s="1"/>
  <c r="W1235" i="4" s="1"/>
  <c r="N1235" i="4"/>
  <c r="S1235" i="4" s="1"/>
  <c r="X1235" i="4" s="1"/>
  <c r="O1235" i="4"/>
  <c r="T1235" i="4"/>
  <c r="Y1235" i="4" s="1"/>
  <c r="P1235" i="4"/>
  <c r="U1235" i="4"/>
  <c r="Z1235" i="4" s="1"/>
  <c r="Q1235" i="4"/>
  <c r="V1235" i="4" s="1"/>
  <c r="AA1235" i="4" s="1"/>
  <c r="M1236" i="4"/>
  <c r="R1236" i="4" s="1"/>
  <c r="W1236" i="4" s="1"/>
  <c r="N1236" i="4"/>
  <c r="S1236" i="4"/>
  <c r="X1236" i="4" s="1"/>
  <c r="O1236" i="4"/>
  <c r="T1236" i="4"/>
  <c r="Y1236" i="4" s="1"/>
  <c r="P1236" i="4"/>
  <c r="U1236" i="4" s="1"/>
  <c r="Z1236" i="4" s="1"/>
  <c r="Q1236" i="4"/>
  <c r="V1236" i="4" s="1"/>
  <c r="AA1236" i="4" s="1"/>
  <c r="M1237" i="4"/>
  <c r="R1237" i="4"/>
  <c r="W1237" i="4" s="1"/>
  <c r="N1237" i="4"/>
  <c r="S1237" i="4"/>
  <c r="X1237" i="4" s="1"/>
  <c r="O1237" i="4"/>
  <c r="T1237" i="4" s="1"/>
  <c r="Y1237" i="4" s="1"/>
  <c r="P1237" i="4"/>
  <c r="U1237" i="4" s="1"/>
  <c r="Z1237" i="4" s="1"/>
  <c r="Q1237" i="4"/>
  <c r="V1237" i="4"/>
  <c r="AA1237" i="4" s="1"/>
  <c r="M1238" i="4"/>
  <c r="R1238" i="4"/>
  <c r="W1238" i="4" s="1"/>
  <c r="N1238" i="4"/>
  <c r="S1238" i="4" s="1"/>
  <c r="X1238" i="4" s="1"/>
  <c r="O1238" i="4"/>
  <c r="T1238" i="4" s="1"/>
  <c r="Y1238" i="4" s="1"/>
  <c r="P1238" i="4"/>
  <c r="U1238" i="4"/>
  <c r="Z1238" i="4" s="1"/>
  <c r="Q1238" i="4"/>
  <c r="V1238" i="4"/>
  <c r="AA1238" i="4" s="1"/>
  <c r="M1239" i="4"/>
  <c r="R1239" i="4" s="1"/>
  <c r="W1239" i="4" s="1"/>
  <c r="N1239" i="4"/>
  <c r="S1239" i="4" s="1"/>
  <c r="X1239" i="4" s="1"/>
  <c r="O1239" i="4"/>
  <c r="T1239" i="4"/>
  <c r="Y1239" i="4" s="1"/>
  <c r="P1239" i="4"/>
  <c r="U1239" i="4"/>
  <c r="Z1239" i="4" s="1"/>
  <c r="Q1239" i="4"/>
  <c r="V1239" i="4" s="1"/>
  <c r="AA1239" i="4" s="1"/>
  <c r="M1240" i="4"/>
  <c r="R1240" i="4" s="1"/>
  <c r="W1240" i="4" s="1"/>
  <c r="N1240" i="4"/>
  <c r="S1240" i="4"/>
  <c r="X1240" i="4" s="1"/>
  <c r="O1240" i="4"/>
  <c r="T1240" i="4"/>
  <c r="Y1240" i="4" s="1"/>
  <c r="P1240" i="4"/>
  <c r="U1240" i="4" s="1"/>
  <c r="Z1240" i="4" s="1"/>
  <c r="Q1240" i="4"/>
  <c r="V1240" i="4" s="1"/>
  <c r="AA1240" i="4" s="1"/>
  <c r="M1241" i="4"/>
  <c r="R1241" i="4"/>
  <c r="W1241" i="4" s="1"/>
  <c r="N1241" i="4"/>
  <c r="S1241" i="4"/>
  <c r="X1241" i="4" s="1"/>
  <c r="O1241" i="4"/>
  <c r="T1241" i="4" s="1"/>
  <c r="Y1241" i="4" s="1"/>
  <c r="P1241" i="4"/>
  <c r="U1241" i="4" s="1"/>
  <c r="Z1241" i="4" s="1"/>
  <c r="Q1241" i="4"/>
  <c r="V1241" i="4"/>
  <c r="AA1241" i="4" s="1"/>
  <c r="M1242" i="4"/>
  <c r="R1242" i="4"/>
  <c r="W1242" i="4" s="1"/>
  <c r="N1242" i="4"/>
  <c r="S1242" i="4" s="1"/>
  <c r="X1242" i="4" s="1"/>
  <c r="O1242" i="4"/>
  <c r="T1242" i="4" s="1"/>
  <c r="Y1242" i="4" s="1"/>
  <c r="P1242" i="4"/>
  <c r="U1242" i="4"/>
  <c r="Z1242" i="4" s="1"/>
  <c r="Q1242" i="4"/>
  <c r="V1242" i="4"/>
  <c r="AA1242" i="4" s="1"/>
  <c r="M1243" i="4"/>
  <c r="R1243" i="4" s="1"/>
  <c r="W1243" i="4" s="1"/>
  <c r="N1243" i="4"/>
  <c r="S1243" i="4" s="1"/>
  <c r="X1243" i="4" s="1"/>
  <c r="O1243" i="4"/>
  <c r="T1243" i="4"/>
  <c r="Y1243" i="4" s="1"/>
  <c r="P1243" i="4"/>
  <c r="U1243" i="4"/>
  <c r="Z1243" i="4" s="1"/>
  <c r="Q1243" i="4"/>
  <c r="V1243" i="4" s="1"/>
  <c r="AA1243" i="4" s="1"/>
  <c r="M1244" i="4"/>
  <c r="R1244" i="4" s="1"/>
  <c r="W1244" i="4" s="1"/>
  <c r="N1244" i="4"/>
  <c r="S1244" i="4"/>
  <c r="X1244" i="4" s="1"/>
  <c r="O1244" i="4"/>
  <c r="T1244" i="4"/>
  <c r="Y1244" i="4" s="1"/>
  <c r="P1244" i="4"/>
  <c r="U1244" i="4" s="1"/>
  <c r="Z1244" i="4" s="1"/>
  <c r="Q1244" i="4"/>
  <c r="V1244" i="4" s="1"/>
  <c r="AA1244" i="4" s="1"/>
  <c r="M1245" i="4"/>
  <c r="R1245" i="4"/>
  <c r="W1245" i="4" s="1"/>
  <c r="N1245" i="4"/>
  <c r="S1245" i="4"/>
  <c r="X1245" i="4" s="1"/>
  <c r="O1245" i="4"/>
  <c r="T1245" i="4" s="1"/>
  <c r="Y1245" i="4" s="1"/>
  <c r="P1245" i="4"/>
  <c r="U1245" i="4" s="1"/>
  <c r="Z1245" i="4" s="1"/>
  <c r="Q1245" i="4"/>
  <c r="V1245" i="4"/>
  <c r="AA1245" i="4" s="1"/>
  <c r="M1246" i="4"/>
  <c r="R1246" i="4"/>
  <c r="W1246" i="4" s="1"/>
  <c r="N1246" i="4"/>
  <c r="S1246" i="4" s="1"/>
  <c r="X1246" i="4" s="1"/>
  <c r="O1246" i="4"/>
  <c r="T1246" i="4" s="1"/>
  <c r="Y1246" i="4" s="1"/>
  <c r="P1246" i="4"/>
  <c r="U1246" i="4"/>
  <c r="Z1246" i="4" s="1"/>
  <c r="Q1246" i="4"/>
  <c r="V1246" i="4"/>
  <c r="AA1246" i="4" s="1"/>
  <c r="M1247" i="4"/>
  <c r="R1247" i="4" s="1"/>
  <c r="W1247" i="4" s="1"/>
  <c r="N1247" i="4"/>
  <c r="S1247" i="4" s="1"/>
  <c r="X1247" i="4" s="1"/>
  <c r="O1247" i="4"/>
  <c r="T1247" i="4"/>
  <c r="Y1247" i="4" s="1"/>
  <c r="P1247" i="4"/>
  <c r="U1247" i="4"/>
  <c r="Z1247" i="4" s="1"/>
  <c r="Q1247" i="4"/>
  <c r="V1247" i="4" s="1"/>
  <c r="AA1247" i="4" s="1"/>
  <c r="M1248" i="4"/>
  <c r="R1248" i="4" s="1"/>
  <c r="W1248" i="4" s="1"/>
  <c r="N1248" i="4"/>
  <c r="S1248" i="4"/>
  <c r="X1248" i="4" s="1"/>
  <c r="O1248" i="4"/>
  <c r="T1248" i="4"/>
  <c r="Y1248" i="4" s="1"/>
  <c r="P1248" i="4"/>
  <c r="U1248" i="4" s="1"/>
  <c r="Z1248" i="4" s="1"/>
  <c r="Q1248" i="4"/>
  <c r="V1248" i="4" s="1"/>
  <c r="AA1248" i="4" s="1"/>
  <c r="M1249" i="4"/>
  <c r="R1249" i="4"/>
  <c r="W1249" i="4" s="1"/>
  <c r="N1249" i="4"/>
  <c r="S1249" i="4"/>
  <c r="X1249" i="4" s="1"/>
  <c r="O1249" i="4"/>
  <c r="T1249" i="4" s="1"/>
  <c r="Y1249" i="4" s="1"/>
  <c r="P1249" i="4"/>
  <c r="U1249" i="4" s="1"/>
  <c r="Z1249" i="4" s="1"/>
  <c r="Q1249" i="4"/>
  <c r="V1249" i="4"/>
  <c r="AA1249" i="4" s="1"/>
  <c r="M1250" i="4"/>
  <c r="R1250" i="4"/>
  <c r="W1250" i="4" s="1"/>
  <c r="N1250" i="4"/>
  <c r="S1250" i="4" s="1"/>
  <c r="X1250" i="4" s="1"/>
  <c r="O1250" i="4"/>
  <c r="T1250" i="4" s="1"/>
  <c r="Y1250" i="4" s="1"/>
  <c r="P1250" i="4"/>
  <c r="U1250" i="4"/>
  <c r="Z1250" i="4" s="1"/>
  <c r="Q1250" i="4"/>
  <c r="V1250" i="4"/>
  <c r="AA1250" i="4" s="1"/>
  <c r="M1251" i="4"/>
  <c r="R1251" i="4" s="1"/>
  <c r="W1251" i="4" s="1"/>
  <c r="N1251" i="4"/>
  <c r="S1251" i="4" s="1"/>
  <c r="X1251" i="4" s="1"/>
  <c r="O1251" i="4"/>
  <c r="T1251" i="4"/>
  <c r="Y1251" i="4" s="1"/>
  <c r="P1251" i="4"/>
  <c r="U1251" i="4"/>
  <c r="Z1251" i="4" s="1"/>
  <c r="Q1251" i="4"/>
  <c r="V1251" i="4" s="1"/>
  <c r="AA1251" i="4" s="1"/>
  <c r="M1252" i="4"/>
  <c r="R1252" i="4" s="1"/>
  <c r="W1252" i="4" s="1"/>
  <c r="N1252" i="4"/>
  <c r="S1252" i="4"/>
  <c r="X1252" i="4" s="1"/>
  <c r="O1252" i="4"/>
  <c r="T1252" i="4"/>
  <c r="Y1252" i="4" s="1"/>
  <c r="P1252" i="4"/>
  <c r="U1252" i="4" s="1"/>
  <c r="Z1252" i="4" s="1"/>
  <c r="Q1252" i="4"/>
  <c r="V1252" i="4" s="1"/>
  <c r="AA1252" i="4" s="1"/>
  <c r="M1253" i="4"/>
  <c r="R1253" i="4"/>
  <c r="W1253" i="4" s="1"/>
  <c r="N1253" i="4"/>
  <c r="S1253" i="4"/>
  <c r="X1253" i="4" s="1"/>
  <c r="O1253" i="4"/>
  <c r="T1253" i="4" s="1"/>
  <c r="Y1253" i="4" s="1"/>
  <c r="P1253" i="4"/>
  <c r="U1253" i="4" s="1"/>
  <c r="Z1253" i="4" s="1"/>
  <c r="Q1253" i="4"/>
  <c r="V1253" i="4"/>
  <c r="AA1253" i="4" s="1"/>
  <c r="M1254" i="4"/>
  <c r="R1254" i="4"/>
  <c r="W1254" i="4" s="1"/>
  <c r="N1254" i="4"/>
  <c r="S1254" i="4" s="1"/>
  <c r="X1254" i="4" s="1"/>
  <c r="O1254" i="4"/>
  <c r="T1254" i="4" s="1"/>
  <c r="Y1254" i="4" s="1"/>
  <c r="P1254" i="4"/>
  <c r="U1254" i="4"/>
  <c r="Z1254" i="4" s="1"/>
  <c r="Q1254" i="4"/>
  <c r="V1254" i="4"/>
  <c r="AA1254" i="4" s="1"/>
  <c r="M1255" i="4"/>
  <c r="R1255" i="4" s="1"/>
  <c r="W1255" i="4" s="1"/>
  <c r="N1255" i="4"/>
  <c r="S1255" i="4" s="1"/>
  <c r="X1255" i="4" s="1"/>
  <c r="O1255" i="4"/>
  <c r="T1255" i="4"/>
  <c r="Y1255" i="4" s="1"/>
  <c r="P1255" i="4"/>
  <c r="U1255" i="4"/>
  <c r="Z1255" i="4" s="1"/>
  <c r="Q1255" i="4"/>
  <c r="V1255" i="4" s="1"/>
  <c r="AA1255" i="4" s="1"/>
  <c r="M1256" i="4"/>
  <c r="R1256" i="4" s="1"/>
  <c r="W1256" i="4" s="1"/>
  <c r="N1256" i="4"/>
  <c r="S1256" i="4"/>
  <c r="X1256" i="4" s="1"/>
  <c r="O1256" i="4"/>
  <c r="T1256" i="4"/>
  <c r="Y1256" i="4" s="1"/>
  <c r="P1256" i="4"/>
  <c r="U1256" i="4" s="1"/>
  <c r="Z1256" i="4" s="1"/>
  <c r="Q1256" i="4"/>
  <c r="V1256" i="4" s="1"/>
  <c r="AA1256" i="4" s="1"/>
  <c r="M1257" i="4"/>
  <c r="R1257" i="4"/>
  <c r="W1257" i="4" s="1"/>
  <c r="N1257" i="4"/>
  <c r="S1257" i="4"/>
  <c r="X1257" i="4" s="1"/>
  <c r="O1257" i="4"/>
  <c r="T1257" i="4" s="1"/>
  <c r="Y1257" i="4" s="1"/>
  <c r="P1257" i="4"/>
  <c r="U1257" i="4" s="1"/>
  <c r="Z1257" i="4" s="1"/>
  <c r="Q1257" i="4"/>
  <c r="V1257" i="4"/>
  <c r="AA1257" i="4" s="1"/>
  <c r="M1258" i="4"/>
  <c r="R1258" i="4"/>
  <c r="W1258" i="4" s="1"/>
  <c r="N1258" i="4"/>
  <c r="S1258" i="4" s="1"/>
  <c r="X1258" i="4" s="1"/>
  <c r="O1258" i="4"/>
  <c r="T1258" i="4" s="1"/>
  <c r="Y1258" i="4" s="1"/>
  <c r="P1258" i="4"/>
  <c r="U1258" i="4"/>
  <c r="Z1258" i="4" s="1"/>
  <c r="Q1258" i="4"/>
  <c r="V1258" i="4"/>
  <c r="AA1258" i="4" s="1"/>
  <c r="M1259" i="4"/>
  <c r="R1259" i="4" s="1"/>
  <c r="W1259" i="4" s="1"/>
  <c r="N1259" i="4"/>
  <c r="S1259" i="4" s="1"/>
  <c r="X1259" i="4" s="1"/>
  <c r="O1259" i="4"/>
  <c r="T1259" i="4"/>
  <c r="Y1259" i="4" s="1"/>
  <c r="P1259" i="4"/>
  <c r="U1259" i="4"/>
  <c r="Z1259" i="4" s="1"/>
  <c r="Q1259" i="4"/>
  <c r="V1259" i="4" s="1"/>
  <c r="AA1259" i="4" s="1"/>
  <c r="M1260" i="4"/>
  <c r="R1260" i="4" s="1"/>
  <c r="W1260" i="4" s="1"/>
  <c r="N1260" i="4"/>
  <c r="S1260" i="4"/>
  <c r="X1260" i="4" s="1"/>
  <c r="O1260" i="4"/>
  <c r="T1260" i="4"/>
  <c r="Y1260" i="4" s="1"/>
  <c r="P1260" i="4"/>
  <c r="U1260" i="4" s="1"/>
  <c r="Z1260" i="4" s="1"/>
  <c r="Q1260" i="4"/>
  <c r="V1260" i="4" s="1"/>
  <c r="AA1260" i="4" s="1"/>
  <c r="M1261" i="4"/>
  <c r="R1261" i="4"/>
  <c r="W1261" i="4" s="1"/>
  <c r="N1261" i="4"/>
  <c r="S1261" i="4"/>
  <c r="X1261" i="4" s="1"/>
  <c r="O1261" i="4"/>
  <c r="T1261" i="4" s="1"/>
  <c r="Y1261" i="4" s="1"/>
  <c r="P1261" i="4"/>
  <c r="U1261" i="4" s="1"/>
  <c r="Z1261" i="4" s="1"/>
  <c r="Q1261" i="4"/>
  <c r="V1261" i="4"/>
  <c r="AA1261" i="4" s="1"/>
  <c r="M1262" i="4"/>
  <c r="R1262" i="4"/>
  <c r="W1262" i="4" s="1"/>
  <c r="N1262" i="4"/>
  <c r="S1262" i="4" s="1"/>
  <c r="X1262" i="4" s="1"/>
  <c r="O1262" i="4"/>
  <c r="T1262" i="4" s="1"/>
  <c r="Y1262" i="4" s="1"/>
  <c r="P1262" i="4"/>
  <c r="U1262" i="4"/>
  <c r="Z1262" i="4" s="1"/>
  <c r="Q1262" i="4"/>
  <c r="V1262" i="4"/>
  <c r="AA1262" i="4" s="1"/>
  <c r="M1263" i="4"/>
  <c r="R1263" i="4" s="1"/>
  <c r="W1263" i="4" s="1"/>
  <c r="N1263" i="4"/>
  <c r="S1263" i="4" s="1"/>
  <c r="X1263" i="4" s="1"/>
  <c r="O1263" i="4"/>
  <c r="T1263" i="4"/>
  <c r="Y1263" i="4" s="1"/>
  <c r="P1263" i="4"/>
  <c r="U1263" i="4"/>
  <c r="Z1263" i="4" s="1"/>
  <c r="Q1263" i="4"/>
  <c r="V1263" i="4" s="1"/>
  <c r="AA1263" i="4" s="1"/>
  <c r="M1264" i="4"/>
  <c r="R1264" i="4" s="1"/>
  <c r="W1264" i="4" s="1"/>
  <c r="N1264" i="4"/>
  <c r="S1264" i="4"/>
  <c r="X1264" i="4" s="1"/>
  <c r="O1264" i="4"/>
  <c r="T1264" i="4"/>
  <c r="Y1264" i="4" s="1"/>
  <c r="P1264" i="4"/>
  <c r="U1264" i="4" s="1"/>
  <c r="Z1264" i="4" s="1"/>
  <c r="Q1264" i="4"/>
  <c r="V1264" i="4" s="1"/>
  <c r="AA1264" i="4" s="1"/>
  <c r="M1265" i="4"/>
  <c r="R1265" i="4"/>
  <c r="W1265" i="4" s="1"/>
  <c r="N1265" i="4"/>
  <c r="S1265" i="4"/>
  <c r="X1265" i="4" s="1"/>
  <c r="O1265" i="4"/>
  <c r="T1265" i="4" s="1"/>
  <c r="Y1265" i="4" s="1"/>
  <c r="P1265" i="4"/>
  <c r="U1265" i="4" s="1"/>
  <c r="Z1265" i="4" s="1"/>
  <c r="Q1265" i="4"/>
  <c r="V1265" i="4"/>
  <c r="AA1265" i="4" s="1"/>
  <c r="M1266" i="4"/>
  <c r="R1266" i="4"/>
  <c r="W1266" i="4" s="1"/>
  <c r="N1266" i="4"/>
  <c r="S1266" i="4" s="1"/>
  <c r="X1266" i="4" s="1"/>
  <c r="O1266" i="4"/>
  <c r="T1266" i="4" s="1"/>
  <c r="Y1266" i="4" s="1"/>
  <c r="P1266" i="4"/>
  <c r="U1266" i="4"/>
  <c r="Z1266" i="4" s="1"/>
  <c r="Q1266" i="4"/>
  <c r="V1266" i="4"/>
  <c r="AA1266" i="4" s="1"/>
  <c r="M1267" i="4"/>
  <c r="R1267" i="4" s="1"/>
  <c r="W1267" i="4" s="1"/>
  <c r="N1267" i="4"/>
  <c r="S1267" i="4" s="1"/>
  <c r="X1267" i="4" s="1"/>
  <c r="O1267" i="4"/>
  <c r="T1267" i="4"/>
  <c r="Y1267" i="4" s="1"/>
  <c r="P1267" i="4"/>
  <c r="U1267" i="4"/>
  <c r="Z1267" i="4" s="1"/>
  <c r="Q1267" i="4"/>
  <c r="V1267" i="4" s="1"/>
  <c r="AA1267" i="4" s="1"/>
  <c r="M1268" i="4"/>
  <c r="R1268" i="4" s="1"/>
  <c r="W1268" i="4" s="1"/>
  <c r="N1268" i="4"/>
  <c r="S1268" i="4"/>
  <c r="X1268" i="4" s="1"/>
  <c r="O1268" i="4"/>
  <c r="T1268" i="4"/>
  <c r="Y1268" i="4" s="1"/>
  <c r="P1268" i="4"/>
  <c r="U1268" i="4" s="1"/>
  <c r="Z1268" i="4" s="1"/>
  <c r="Q1268" i="4"/>
  <c r="V1268" i="4" s="1"/>
  <c r="AA1268" i="4" s="1"/>
  <c r="M1269" i="4"/>
  <c r="R1269" i="4"/>
  <c r="W1269" i="4" s="1"/>
  <c r="N1269" i="4"/>
  <c r="S1269" i="4"/>
  <c r="X1269" i="4" s="1"/>
  <c r="O1269" i="4"/>
  <c r="T1269" i="4" s="1"/>
  <c r="Y1269" i="4" s="1"/>
  <c r="P1269" i="4"/>
  <c r="U1269" i="4" s="1"/>
  <c r="Z1269" i="4" s="1"/>
  <c r="Q1269" i="4"/>
  <c r="V1269" i="4"/>
  <c r="AA1269" i="4" s="1"/>
  <c r="M1270" i="4"/>
  <c r="R1270" i="4"/>
  <c r="W1270" i="4" s="1"/>
  <c r="N1270" i="4"/>
  <c r="S1270" i="4" s="1"/>
  <c r="X1270" i="4" s="1"/>
  <c r="O1270" i="4"/>
  <c r="T1270" i="4" s="1"/>
  <c r="Y1270" i="4" s="1"/>
  <c r="P1270" i="4"/>
  <c r="U1270" i="4"/>
  <c r="Z1270" i="4" s="1"/>
  <c r="Q1270" i="4"/>
  <c r="V1270" i="4"/>
  <c r="AA1270" i="4" s="1"/>
  <c r="M1271" i="4"/>
  <c r="R1271" i="4" s="1"/>
  <c r="W1271" i="4" s="1"/>
  <c r="N1271" i="4"/>
  <c r="S1271" i="4" s="1"/>
  <c r="X1271" i="4" s="1"/>
  <c r="O1271" i="4"/>
  <c r="T1271" i="4"/>
  <c r="Y1271" i="4" s="1"/>
  <c r="P1271" i="4"/>
  <c r="U1271" i="4"/>
  <c r="Z1271" i="4" s="1"/>
  <c r="Q1271" i="4"/>
  <c r="V1271" i="4" s="1"/>
  <c r="AA1271" i="4" s="1"/>
  <c r="M1272" i="4"/>
  <c r="R1272" i="4" s="1"/>
  <c r="W1272" i="4" s="1"/>
  <c r="N1272" i="4"/>
  <c r="S1272" i="4"/>
  <c r="X1272" i="4" s="1"/>
  <c r="O1272" i="4"/>
  <c r="T1272" i="4"/>
  <c r="Y1272" i="4" s="1"/>
  <c r="P1272" i="4"/>
  <c r="U1272" i="4" s="1"/>
  <c r="Z1272" i="4" s="1"/>
  <c r="Q1272" i="4"/>
  <c r="V1272" i="4" s="1"/>
  <c r="AA1272" i="4" s="1"/>
  <c r="M1273" i="4"/>
  <c r="R1273" i="4"/>
  <c r="W1273" i="4" s="1"/>
  <c r="N1273" i="4"/>
  <c r="S1273" i="4"/>
  <c r="X1273" i="4" s="1"/>
  <c r="O1273" i="4"/>
  <c r="T1273" i="4" s="1"/>
  <c r="Y1273" i="4" s="1"/>
  <c r="P1273" i="4"/>
  <c r="U1273" i="4" s="1"/>
  <c r="Z1273" i="4" s="1"/>
  <c r="Q1273" i="4"/>
  <c r="V1273" i="4"/>
  <c r="AA1273" i="4" s="1"/>
  <c r="M1274" i="4"/>
  <c r="R1274" i="4"/>
  <c r="W1274" i="4" s="1"/>
  <c r="N1274" i="4"/>
  <c r="S1274" i="4" s="1"/>
  <c r="X1274" i="4" s="1"/>
  <c r="O1274" i="4"/>
  <c r="T1274" i="4" s="1"/>
  <c r="Y1274" i="4" s="1"/>
  <c r="P1274" i="4"/>
  <c r="U1274" i="4"/>
  <c r="Z1274" i="4" s="1"/>
  <c r="Q1274" i="4"/>
  <c r="V1274" i="4"/>
  <c r="AA1274" i="4" s="1"/>
  <c r="M1275" i="4"/>
  <c r="R1275" i="4" s="1"/>
  <c r="W1275" i="4" s="1"/>
  <c r="N1275" i="4"/>
  <c r="S1275" i="4" s="1"/>
  <c r="X1275" i="4" s="1"/>
  <c r="O1275" i="4"/>
  <c r="T1275" i="4"/>
  <c r="Y1275" i="4" s="1"/>
  <c r="P1275" i="4"/>
  <c r="U1275" i="4"/>
  <c r="Z1275" i="4" s="1"/>
  <c r="Q1275" i="4"/>
  <c r="V1275" i="4" s="1"/>
  <c r="AA1275" i="4" s="1"/>
  <c r="M1276" i="4"/>
  <c r="R1276" i="4" s="1"/>
  <c r="W1276" i="4" s="1"/>
  <c r="N1276" i="4"/>
  <c r="S1276" i="4"/>
  <c r="X1276" i="4" s="1"/>
  <c r="O1276" i="4"/>
  <c r="T1276" i="4"/>
  <c r="Y1276" i="4" s="1"/>
  <c r="P1276" i="4"/>
  <c r="U1276" i="4" s="1"/>
  <c r="Z1276" i="4" s="1"/>
  <c r="Q1276" i="4"/>
  <c r="V1276" i="4" s="1"/>
  <c r="AA1276" i="4" s="1"/>
  <c r="M1277" i="4"/>
  <c r="R1277" i="4"/>
  <c r="W1277" i="4" s="1"/>
  <c r="N1277" i="4"/>
  <c r="S1277" i="4"/>
  <c r="X1277" i="4" s="1"/>
  <c r="O1277" i="4"/>
  <c r="T1277" i="4" s="1"/>
  <c r="Y1277" i="4" s="1"/>
  <c r="P1277" i="4"/>
  <c r="U1277" i="4" s="1"/>
  <c r="Z1277" i="4" s="1"/>
  <c r="Q1277" i="4"/>
  <c r="V1277" i="4"/>
  <c r="AA1277" i="4" s="1"/>
  <c r="M1278" i="4"/>
  <c r="R1278" i="4"/>
  <c r="W1278" i="4" s="1"/>
  <c r="N1278" i="4"/>
  <c r="S1278" i="4" s="1"/>
  <c r="X1278" i="4" s="1"/>
  <c r="O1278" i="4"/>
  <c r="T1278" i="4" s="1"/>
  <c r="Y1278" i="4" s="1"/>
  <c r="P1278" i="4"/>
  <c r="U1278" i="4"/>
  <c r="Z1278" i="4" s="1"/>
  <c r="Q1278" i="4"/>
  <c r="V1278" i="4"/>
  <c r="AA1278" i="4" s="1"/>
  <c r="M1279" i="4"/>
  <c r="R1279" i="4" s="1"/>
  <c r="W1279" i="4" s="1"/>
  <c r="N1279" i="4"/>
  <c r="S1279" i="4" s="1"/>
  <c r="X1279" i="4" s="1"/>
  <c r="O1279" i="4"/>
  <c r="T1279" i="4"/>
  <c r="Y1279" i="4" s="1"/>
  <c r="P1279" i="4"/>
  <c r="U1279" i="4"/>
  <c r="Z1279" i="4" s="1"/>
  <c r="Q1279" i="4"/>
  <c r="V1279" i="4" s="1"/>
  <c r="AA1279" i="4" s="1"/>
  <c r="M1280" i="4"/>
  <c r="R1280" i="4" s="1"/>
  <c r="W1280" i="4" s="1"/>
  <c r="N1280" i="4"/>
  <c r="S1280" i="4"/>
  <c r="X1280" i="4" s="1"/>
  <c r="O1280" i="4"/>
  <c r="T1280" i="4"/>
  <c r="Y1280" i="4" s="1"/>
  <c r="P1280" i="4"/>
  <c r="U1280" i="4" s="1"/>
  <c r="Z1280" i="4" s="1"/>
  <c r="Q1280" i="4"/>
  <c r="V1280" i="4" s="1"/>
  <c r="AA1280" i="4" s="1"/>
  <c r="M1281" i="4"/>
  <c r="R1281" i="4"/>
  <c r="W1281" i="4" s="1"/>
  <c r="N1281" i="4"/>
  <c r="S1281" i="4"/>
  <c r="X1281" i="4" s="1"/>
  <c r="O1281" i="4"/>
  <c r="T1281" i="4" s="1"/>
  <c r="Y1281" i="4" s="1"/>
  <c r="P1281" i="4"/>
  <c r="U1281" i="4" s="1"/>
  <c r="Z1281" i="4" s="1"/>
  <c r="Q1281" i="4"/>
  <c r="V1281" i="4"/>
  <c r="AA1281" i="4" s="1"/>
  <c r="M1282" i="4"/>
  <c r="R1282" i="4"/>
  <c r="W1282" i="4" s="1"/>
  <c r="N1282" i="4"/>
  <c r="S1282" i="4" s="1"/>
  <c r="X1282" i="4" s="1"/>
  <c r="O1282" i="4"/>
  <c r="T1282" i="4" s="1"/>
  <c r="Y1282" i="4" s="1"/>
  <c r="P1282" i="4"/>
  <c r="U1282" i="4"/>
  <c r="Z1282" i="4" s="1"/>
  <c r="Q1282" i="4"/>
  <c r="V1282" i="4"/>
  <c r="AA1282" i="4" s="1"/>
  <c r="M1283" i="4"/>
  <c r="R1283" i="4" s="1"/>
  <c r="W1283" i="4" s="1"/>
  <c r="N1283" i="4"/>
  <c r="S1283" i="4" s="1"/>
  <c r="X1283" i="4" s="1"/>
  <c r="O1283" i="4"/>
  <c r="T1283" i="4"/>
  <c r="Y1283" i="4" s="1"/>
  <c r="P1283" i="4"/>
  <c r="U1283" i="4"/>
  <c r="Z1283" i="4" s="1"/>
  <c r="Q1283" i="4"/>
  <c r="V1283" i="4" s="1"/>
  <c r="AA1283" i="4" s="1"/>
  <c r="M1284" i="4"/>
  <c r="R1284" i="4"/>
  <c r="W1284" i="4" s="1"/>
  <c r="N1284" i="4"/>
  <c r="S1284" i="4" s="1"/>
  <c r="X1284" i="4" s="1"/>
  <c r="O1284" i="4"/>
  <c r="T1284" i="4" s="1"/>
  <c r="Y1284" i="4" s="1"/>
  <c r="P1284" i="4"/>
  <c r="U1284" i="4"/>
  <c r="Z1284" i="4" s="1"/>
  <c r="Q1284" i="4"/>
  <c r="V1284" i="4"/>
  <c r="AA1284" i="4" s="1"/>
  <c r="M1285" i="4"/>
  <c r="R1285" i="4" s="1"/>
  <c r="W1285" i="4" s="1"/>
  <c r="N1285" i="4"/>
  <c r="S1285" i="4" s="1"/>
  <c r="X1285" i="4" s="1"/>
  <c r="O1285" i="4"/>
  <c r="T1285" i="4"/>
  <c r="Y1285" i="4" s="1"/>
  <c r="P1285" i="4"/>
  <c r="U1285" i="4"/>
  <c r="Z1285" i="4" s="1"/>
  <c r="Q1285" i="4"/>
  <c r="V1285" i="4" s="1"/>
  <c r="AA1285" i="4" s="1"/>
  <c r="M1286" i="4"/>
  <c r="R1286" i="4" s="1"/>
  <c r="W1286" i="4" s="1"/>
  <c r="N1286" i="4"/>
  <c r="S1286" i="4"/>
  <c r="X1286" i="4" s="1"/>
  <c r="O1286" i="4"/>
  <c r="T1286" i="4"/>
  <c r="Y1286" i="4" s="1"/>
  <c r="P1286" i="4"/>
  <c r="U1286" i="4" s="1"/>
  <c r="Z1286" i="4" s="1"/>
  <c r="Q1286" i="4"/>
  <c r="V1286" i="4" s="1"/>
  <c r="AA1286" i="4" s="1"/>
  <c r="M1287" i="4"/>
  <c r="R1287" i="4"/>
  <c r="W1287" i="4" s="1"/>
  <c r="N1287" i="4"/>
  <c r="S1287" i="4"/>
  <c r="X1287" i="4" s="1"/>
  <c r="O1287" i="4"/>
  <c r="T1287" i="4" s="1"/>
  <c r="Y1287" i="4" s="1"/>
  <c r="P1287" i="4"/>
  <c r="U1287" i="4" s="1"/>
  <c r="Z1287" i="4" s="1"/>
  <c r="Q1287" i="4"/>
  <c r="V1287" i="4"/>
  <c r="AA1287" i="4" s="1"/>
  <c r="M1288" i="4"/>
  <c r="R1288" i="4" s="1"/>
  <c r="W1288" i="4" s="1"/>
  <c r="N1288" i="4"/>
  <c r="S1288" i="4"/>
  <c r="X1288" i="4" s="1"/>
  <c r="O1288" i="4"/>
  <c r="T1288" i="4"/>
  <c r="Y1288" i="4" s="1"/>
  <c r="P1288" i="4"/>
  <c r="U1288" i="4" s="1"/>
  <c r="Z1288" i="4" s="1"/>
  <c r="Q1288" i="4"/>
  <c r="V1288" i="4" s="1"/>
  <c r="AA1288" i="4" s="1"/>
  <c r="M1289" i="4"/>
  <c r="R1289" i="4"/>
  <c r="W1289" i="4" s="1"/>
  <c r="N1289" i="4"/>
  <c r="S1289" i="4"/>
  <c r="X1289" i="4" s="1"/>
  <c r="O1289" i="4"/>
  <c r="T1289" i="4" s="1"/>
  <c r="Y1289" i="4" s="1"/>
  <c r="P1289" i="4"/>
  <c r="U1289" i="4" s="1"/>
  <c r="Z1289" i="4" s="1"/>
  <c r="Q1289" i="4"/>
  <c r="V1289" i="4"/>
  <c r="AA1289" i="4" s="1"/>
  <c r="M1290" i="4"/>
  <c r="R1290" i="4"/>
  <c r="W1290" i="4" s="1"/>
  <c r="N1290" i="4"/>
  <c r="S1290" i="4" s="1"/>
  <c r="X1290" i="4" s="1"/>
  <c r="O1290" i="4"/>
  <c r="T1290" i="4" s="1"/>
  <c r="Y1290" i="4" s="1"/>
  <c r="P1290" i="4"/>
  <c r="U1290" i="4"/>
  <c r="Z1290" i="4" s="1"/>
  <c r="Q1290" i="4"/>
  <c r="V1290" i="4"/>
  <c r="AA1290" i="4" s="1"/>
  <c r="M1291" i="4"/>
  <c r="R1291" i="4" s="1"/>
  <c r="W1291" i="4" s="1"/>
  <c r="N1291" i="4"/>
  <c r="S1291" i="4" s="1"/>
  <c r="X1291" i="4" s="1"/>
  <c r="O1291" i="4"/>
  <c r="T1291" i="4"/>
  <c r="Y1291" i="4" s="1"/>
  <c r="P1291" i="4"/>
  <c r="U1291" i="4"/>
  <c r="Z1291" i="4" s="1"/>
  <c r="Q1291" i="4"/>
  <c r="V1291" i="4" s="1"/>
  <c r="AA1291" i="4" s="1"/>
  <c r="M1292" i="4"/>
  <c r="R1292" i="4"/>
  <c r="W1292" i="4" s="1"/>
  <c r="N1292" i="4"/>
  <c r="S1292" i="4" s="1"/>
  <c r="X1292" i="4" s="1"/>
  <c r="O1292" i="4"/>
  <c r="T1292" i="4" s="1"/>
  <c r="Y1292" i="4" s="1"/>
  <c r="P1292" i="4"/>
  <c r="U1292" i="4"/>
  <c r="Z1292" i="4" s="1"/>
  <c r="Q1292" i="4"/>
  <c r="V1292" i="4"/>
  <c r="AA1292" i="4" s="1"/>
  <c r="M1293" i="4"/>
  <c r="R1293" i="4" s="1"/>
  <c r="W1293" i="4" s="1"/>
  <c r="N1293" i="4"/>
  <c r="S1293" i="4" s="1"/>
  <c r="X1293" i="4" s="1"/>
  <c r="O1293" i="4"/>
  <c r="T1293" i="4"/>
  <c r="Y1293" i="4" s="1"/>
  <c r="P1293" i="4"/>
  <c r="U1293" i="4"/>
  <c r="Z1293" i="4" s="1"/>
  <c r="Q1293" i="4"/>
  <c r="V1293" i="4" s="1"/>
  <c r="AA1293" i="4" s="1"/>
  <c r="M1294" i="4"/>
  <c r="R1294" i="4" s="1"/>
  <c r="W1294" i="4" s="1"/>
  <c r="N1294" i="4"/>
  <c r="S1294" i="4"/>
  <c r="X1294" i="4" s="1"/>
  <c r="O1294" i="4"/>
  <c r="T1294" i="4"/>
  <c r="Y1294" i="4" s="1"/>
  <c r="P1294" i="4"/>
  <c r="U1294" i="4" s="1"/>
  <c r="Z1294" i="4" s="1"/>
  <c r="Q1294" i="4"/>
  <c r="V1294" i="4" s="1"/>
  <c r="AA1294" i="4" s="1"/>
  <c r="M1295" i="4"/>
  <c r="R1295" i="4"/>
  <c r="W1295" i="4" s="1"/>
  <c r="N1295" i="4"/>
  <c r="S1295" i="4"/>
  <c r="X1295" i="4" s="1"/>
  <c r="O1295" i="4"/>
  <c r="T1295" i="4" s="1"/>
  <c r="Y1295" i="4" s="1"/>
  <c r="P1295" i="4"/>
  <c r="U1295" i="4" s="1"/>
  <c r="Z1295" i="4" s="1"/>
  <c r="Q1295" i="4"/>
  <c r="V1295" i="4"/>
  <c r="AA1295" i="4" s="1"/>
  <c r="M1296" i="4"/>
  <c r="R1296" i="4" s="1"/>
  <c r="W1296" i="4" s="1"/>
  <c r="N1296" i="4"/>
  <c r="S1296" i="4"/>
  <c r="X1296" i="4" s="1"/>
  <c r="O1296" i="4"/>
  <c r="T1296" i="4"/>
  <c r="Y1296" i="4" s="1"/>
  <c r="P1296" i="4"/>
  <c r="U1296" i="4" s="1"/>
  <c r="Z1296" i="4" s="1"/>
  <c r="Q1296" i="4"/>
  <c r="V1296" i="4" s="1"/>
  <c r="AA1296" i="4" s="1"/>
  <c r="M1297" i="4"/>
  <c r="R1297" i="4"/>
  <c r="W1297" i="4" s="1"/>
  <c r="N1297" i="4"/>
  <c r="S1297" i="4"/>
  <c r="X1297" i="4" s="1"/>
  <c r="O1297" i="4"/>
  <c r="T1297" i="4" s="1"/>
  <c r="Y1297" i="4" s="1"/>
  <c r="P1297" i="4"/>
  <c r="U1297" i="4" s="1"/>
  <c r="Z1297" i="4" s="1"/>
  <c r="Q1297" i="4"/>
  <c r="V1297" i="4"/>
  <c r="AA1297" i="4" s="1"/>
  <c r="M1298" i="4"/>
  <c r="R1298" i="4"/>
  <c r="W1298" i="4" s="1"/>
  <c r="N1298" i="4"/>
  <c r="S1298" i="4" s="1"/>
  <c r="X1298" i="4" s="1"/>
  <c r="O1298" i="4"/>
  <c r="T1298" i="4" s="1"/>
  <c r="Y1298" i="4" s="1"/>
  <c r="P1298" i="4"/>
  <c r="U1298" i="4"/>
  <c r="Z1298" i="4" s="1"/>
  <c r="Q1298" i="4"/>
  <c r="V1298" i="4"/>
  <c r="AA1298" i="4" s="1"/>
  <c r="M1299" i="4"/>
  <c r="R1299" i="4" s="1"/>
  <c r="W1299" i="4" s="1"/>
  <c r="N1299" i="4"/>
  <c r="S1299" i="4" s="1"/>
  <c r="X1299" i="4" s="1"/>
  <c r="O1299" i="4"/>
  <c r="T1299" i="4"/>
  <c r="Y1299" i="4" s="1"/>
  <c r="P1299" i="4"/>
  <c r="U1299" i="4"/>
  <c r="Z1299" i="4" s="1"/>
  <c r="Q1299" i="4"/>
  <c r="V1299" i="4" s="1"/>
  <c r="AA1299" i="4" s="1"/>
  <c r="M1300" i="4"/>
  <c r="R1300" i="4"/>
  <c r="W1300" i="4" s="1"/>
  <c r="N1300" i="4"/>
  <c r="S1300" i="4" s="1"/>
  <c r="X1300" i="4" s="1"/>
  <c r="O1300" i="4"/>
  <c r="T1300" i="4" s="1"/>
  <c r="Y1300" i="4" s="1"/>
  <c r="P1300" i="4"/>
  <c r="U1300" i="4"/>
  <c r="Z1300" i="4" s="1"/>
  <c r="Q1300" i="4"/>
  <c r="V1300" i="4"/>
  <c r="AA1300" i="4" s="1"/>
  <c r="M1301" i="4"/>
  <c r="R1301" i="4" s="1"/>
  <c r="W1301" i="4" s="1"/>
  <c r="N1301" i="4"/>
  <c r="S1301" i="4" s="1"/>
  <c r="X1301" i="4" s="1"/>
  <c r="O1301" i="4"/>
  <c r="T1301" i="4"/>
  <c r="Y1301" i="4" s="1"/>
  <c r="P1301" i="4"/>
  <c r="U1301" i="4"/>
  <c r="Z1301" i="4" s="1"/>
  <c r="Q1301" i="4"/>
  <c r="V1301" i="4" s="1"/>
  <c r="AA1301" i="4" s="1"/>
  <c r="M1302" i="4"/>
  <c r="R1302" i="4" s="1"/>
  <c r="W1302" i="4" s="1"/>
  <c r="N1302" i="4"/>
  <c r="S1302" i="4"/>
  <c r="X1302" i="4" s="1"/>
  <c r="O1302" i="4"/>
  <c r="T1302" i="4"/>
  <c r="Y1302" i="4" s="1"/>
  <c r="P1302" i="4"/>
  <c r="U1302" i="4" s="1"/>
  <c r="Z1302" i="4" s="1"/>
  <c r="Q1302" i="4"/>
  <c r="V1302" i="4" s="1"/>
  <c r="AA1302" i="4" s="1"/>
  <c r="M1303" i="4"/>
  <c r="R1303" i="4"/>
  <c r="W1303" i="4" s="1"/>
  <c r="N1303" i="4"/>
  <c r="S1303" i="4"/>
  <c r="X1303" i="4" s="1"/>
  <c r="O1303" i="4"/>
  <c r="T1303" i="4" s="1"/>
  <c r="Y1303" i="4" s="1"/>
  <c r="P1303" i="4"/>
  <c r="U1303" i="4" s="1"/>
  <c r="Z1303" i="4" s="1"/>
  <c r="Q1303" i="4"/>
  <c r="V1303" i="4"/>
  <c r="AA1303" i="4" s="1"/>
  <c r="M1304" i="4"/>
  <c r="R1304" i="4" s="1"/>
  <c r="W1304" i="4" s="1"/>
  <c r="N1304" i="4"/>
  <c r="S1304" i="4"/>
  <c r="X1304" i="4" s="1"/>
  <c r="O1304" i="4"/>
  <c r="T1304" i="4"/>
  <c r="Y1304" i="4" s="1"/>
  <c r="P1304" i="4"/>
  <c r="U1304" i="4" s="1"/>
  <c r="Z1304" i="4" s="1"/>
  <c r="Q1304" i="4"/>
  <c r="V1304" i="4" s="1"/>
  <c r="AA1304" i="4" s="1"/>
  <c r="M1305" i="4"/>
  <c r="R1305" i="4"/>
  <c r="W1305" i="4" s="1"/>
  <c r="N1305" i="4"/>
  <c r="S1305" i="4"/>
  <c r="X1305" i="4" s="1"/>
  <c r="O1305" i="4"/>
  <c r="T1305" i="4" s="1"/>
  <c r="Y1305" i="4" s="1"/>
  <c r="P1305" i="4"/>
  <c r="U1305" i="4" s="1"/>
  <c r="Z1305" i="4" s="1"/>
  <c r="Q1305" i="4"/>
  <c r="V1305" i="4"/>
  <c r="AA1305" i="4" s="1"/>
  <c r="M1306" i="4"/>
  <c r="R1306" i="4"/>
  <c r="W1306" i="4" s="1"/>
  <c r="N1306" i="4"/>
  <c r="S1306" i="4" s="1"/>
  <c r="X1306" i="4" s="1"/>
  <c r="O1306" i="4"/>
  <c r="T1306" i="4" s="1"/>
  <c r="Y1306" i="4" s="1"/>
  <c r="P1306" i="4"/>
  <c r="U1306" i="4"/>
  <c r="Z1306" i="4" s="1"/>
  <c r="Q1306" i="4"/>
  <c r="V1306" i="4"/>
  <c r="AA1306" i="4" s="1"/>
  <c r="M1307" i="4"/>
  <c r="R1307" i="4" s="1"/>
  <c r="W1307" i="4" s="1"/>
  <c r="N1307" i="4"/>
  <c r="S1307" i="4" s="1"/>
  <c r="X1307" i="4" s="1"/>
  <c r="O1307" i="4"/>
  <c r="T1307" i="4"/>
  <c r="Y1307" i="4" s="1"/>
  <c r="P1307" i="4"/>
  <c r="U1307" i="4"/>
  <c r="Z1307" i="4" s="1"/>
  <c r="Q1307" i="4"/>
  <c r="V1307" i="4" s="1"/>
  <c r="AA1307" i="4" s="1"/>
  <c r="M1308" i="4"/>
  <c r="R1308" i="4"/>
  <c r="W1308" i="4" s="1"/>
  <c r="N1308" i="4"/>
  <c r="S1308" i="4" s="1"/>
  <c r="X1308" i="4" s="1"/>
  <c r="O1308" i="4"/>
  <c r="T1308" i="4" s="1"/>
  <c r="Y1308" i="4" s="1"/>
  <c r="P1308" i="4"/>
  <c r="U1308" i="4"/>
  <c r="Z1308" i="4" s="1"/>
  <c r="Q1308" i="4"/>
  <c r="V1308" i="4"/>
  <c r="AA1308" i="4" s="1"/>
  <c r="M1309" i="4"/>
  <c r="R1309" i="4" s="1"/>
  <c r="W1309" i="4" s="1"/>
  <c r="N1309" i="4"/>
  <c r="S1309" i="4" s="1"/>
  <c r="X1309" i="4" s="1"/>
  <c r="O1309" i="4"/>
  <c r="T1309" i="4"/>
  <c r="Y1309" i="4" s="1"/>
  <c r="P1309" i="4"/>
  <c r="U1309" i="4"/>
  <c r="Z1309" i="4" s="1"/>
  <c r="Q1309" i="4"/>
  <c r="V1309" i="4" s="1"/>
  <c r="AA1309" i="4" s="1"/>
  <c r="M1310" i="4"/>
  <c r="R1310" i="4" s="1"/>
  <c r="W1310" i="4" s="1"/>
  <c r="N1310" i="4"/>
  <c r="S1310" i="4"/>
  <c r="X1310" i="4" s="1"/>
  <c r="O1310" i="4"/>
  <c r="T1310" i="4"/>
  <c r="Y1310" i="4" s="1"/>
  <c r="P1310" i="4"/>
  <c r="U1310" i="4" s="1"/>
  <c r="Z1310" i="4" s="1"/>
  <c r="Q1310" i="4"/>
  <c r="V1310" i="4" s="1"/>
  <c r="AA1310" i="4" s="1"/>
  <c r="M1311" i="4"/>
  <c r="R1311" i="4"/>
  <c r="W1311" i="4" s="1"/>
  <c r="N1311" i="4"/>
  <c r="S1311" i="4"/>
  <c r="X1311" i="4" s="1"/>
  <c r="O1311" i="4"/>
  <c r="T1311" i="4" s="1"/>
  <c r="Y1311" i="4" s="1"/>
  <c r="P1311" i="4"/>
  <c r="U1311" i="4" s="1"/>
  <c r="Z1311" i="4" s="1"/>
  <c r="Q1311" i="4"/>
  <c r="V1311" i="4"/>
  <c r="AA1311" i="4" s="1"/>
  <c r="M1312" i="4"/>
  <c r="R1312" i="4" s="1"/>
  <c r="W1312" i="4" s="1"/>
  <c r="N1312" i="4"/>
  <c r="S1312" i="4"/>
  <c r="X1312" i="4" s="1"/>
  <c r="O1312" i="4"/>
  <c r="T1312" i="4"/>
  <c r="Y1312" i="4" s="1"/>
  <c r="P1312" i="4"/>
  <c r="U1312" i="4" s="1"/>
  <c r="Z1312" i="4" s="1"/>
  <c r="Q1312" i="4"/>
  <c r="V1312" i="4" s="1"/>
  <c r="AA1312" i="4" s="1"/>
  <c r="M1313" i="4"/>
  <c r="R1313" i="4"/>
  <c r="W1313" i="4" s="1"/>
  <c r="N1313" i="4"/>
  <c r="S1313" i="4"/>
  <c r="X1313" i="4" s="1"/>
  <c r="O1313" i="4"/>
  <c r="T1313" i="4" s="1"/>
  <c r="Y1313" i="4" s="1"/>
  <c r="P1313" i="4"/>
  <c r="U1313" i="4" s="1"/>
  <c r="Z1313" i="4" s="1"/>
  <c r="Q1313" i="4"/>
  <c r="V1313" i="4"/>
  <c r="AA1313" i="4" s="1"/>
  <c r="M1314" i="4"/>
  <c r="R1314" i="4"/>
  <c r="W1314" i="4" s="1"/>
  <c r="N1314" i="4"/>
  <c r="S1314" i="4" s="1"/>
  <c r="X1314" i="4" s="1"/>
  <c r="O1314" i="4"/>
  <c r="T1314" i="4" s="1"/>
  <c r="Y1314" i="4" s="1"/>
  <c r="P1314" i="4"/>
  <c r="U1314" i="4"/>
  <c r="Z1314" i="4" s="1"/>
  <c r="Q1314" i="4"/>
  <c r="V1314" i="4"/>
  <c r="AA1314" i="4" s="1"/>
  <c r="M1315" i="4"/>
  <c r="R1315" i="4" s="1"/>
  <c r="W1315" i="4" s="1"/>
  <c r="N1315" i="4"/>
  <c r="S1315" i="4" s="1"/>
  <c r="X1315" i="4" s="1"/>
  <c r="O1315" i="4"/>
  <c r="T1315" i="4"/>
  <c r="Y1315" i="4" s="1"/>
  <c r="P1315" i="4"/>
  <c r="U1315" i="4"/>
  <c r="Z1315" i="4" s="1"/>
  <c r="Q1315" i="4"/>
  <c r="V1315" i="4" s="1"/>
  <c r="AA1315" i="4" s="1"/>
  <c r="M1316" i="4"/>
  <c r="R1316" i="4"/>
  <c r="W1316" i="4" s="1"/>
  <c r="N1316" i="4"/>
  <c r="S1316" i="4" s="1"/>
  <c r="X1316" i="4" s="1"/>
  <c r="O1316" i="4"/>
  <c r="T1316" i="4" s="1"/>
  <c r="Y1316" i="4" s="1"/>
  <c r="P1316" i="4"/>
  <c r="U1316" i="4"/>
  <c r="Z1316" i="4" s="1"/>
  <c r="Q1316" i="4"/>
  <c r="V1316" i="4"/>
  <c r="AA1316" i="4" s="1"/>
  <c r="M1317" i="4"/>
  <c r="R1317" i="4" s="1"/>
  <c r="W1317" i="4" s="1"/>
  <c r="N1317" i="4"/>
  <c r="S1317" i="4" s="1"/>
  <c r="X1317" i="4" s="1"/>
  <c r="O1317" i="4"/>
  <c r="T1317" i="4"/>
  <c r="Y1317" i="4" s="1"/>
  <c r="P1317" i="4"/>
  <c r="U1317" i="4"/>
  <c r="Z1317" i="4" s="1"/>
  <c r="Q1317" i="4"/>
  <c r="V1317" i="4" s="1"/>
  <c r="AA1317" i="4" s="1"/>
  <c r="M1318" i="4"/>
  <c r="R1318" i="4" s="1"/>
  <c r="W1318" i="4" s="1"/>
  <c r="N1318" i="4"/>
  <c r="S1318" i="4"/>
  <c r="X1318" i="4" s="1"/>
  <c r="O1318" i="4"/>
  <c r="T1318" i="4"/>
  <c r="Y1318" i="4" s="1"/>
  <c r="P1318" i="4"/>
  <c r="U1318" i="4" s="1"/>
  <c r="Z1318" i="4" s="1"/>
  <c r="Q1318" i="4"/>
  <c r="V1318" i="4" s="1"/>
  <c r="AA1318" i="4" s="1"/>
  <c r="M1319" i="4"/>
  <c r="R1319" i="4"/>
  <c r="W1319" i="4" s="1"/>
  <c r="N1319" i="4"/>
  <c r="S1319" i="4"/>
  <c r="X1319" i="4" s="1"/>
  <c r="O1319" i="4"/>
  <c r="T1319" i="4" s="1"/>
  <c r="Y1319" i="4" s="1"/>
  <c r="P1319" i="4"/>
  <c r="U1319" i="4" s="1"/>
  <c r="Z1319" i="4" s="1"/>
  <c r="Q1319" i="4"/>
  <c r="V1319" i="4"/>
  <c r="AA1319" i="4" s="1"/>
  <c r="M1320" i="4"/>
  <c r="R1320" i="4" s="1"/>
  <c r="W1320" i="4" s="1"/>
  <c r="N1320" i="4"/>
  <c r="S1320" i="4"/>
  <c r="X1320" i="4" s="1"/>
  <c r="O1320" i="4"/>
  <c r="T1320" i="4"/>
  <c r="Y1320" i="4" s="1"/>
  <c r="P1320" i="4"/>
  <c r="U1320" i="4" s="1"/>
  <c r="Z1320" i="4" s="1"/>
  <c r="Q1320" i="4"/>
  <c r="V1320" i="4" s="1"/>
  <c r="AA1320" i="4" s="1"/>
  <c r="M1321" i="4"/>
  <c r="R1321" i="4"/>
  <c r="W1321" i="4" s="1"/>
  <c r="N1321" i="4"/>
  <c r="S1321" i="4"/>
  <c r="X1321" i="4" s="1"/>
  <c r="O1321" i="4"/>
  <c r="T1321" i="4" s="1"/>
  <c r="Y1321" i="4" s="1"/>
  <c r="P1321" i="4"/>
  <c r="U1321" i="4" s="1"/>
  <c r="Z1321" i="4" s="1"/>
  <c r="Q1321" i="4"/>
  <c r="V1321" i="4"/>
  <c r="AA1321" i="4" s="1"/>
  <c r="M1322" i="4"/>
  <c r="R1322" i="4"/>
  <c r="W1322" i="4" s="1"/>
  <c r="N1322" i="4"/>
  <c r="S1322" i="4" s="1"/>
  <c r="X1322" i="4" s="1"/>
  <c r="O1322" i="4"/>
  <c r="T1322" i="4" s="1"/>
  <c r="Y1322" i="4" s="1"/>
  <c r="P1322" i="4"/>
  <c r="U1322" i="4"/>
  <c r="Z1322" i="4" s="1"/>
  <c r="Q1322" i="4"/>
  <c r="V1322" i="4"/>
  <c r="AA1322" i="4" s="1"/>
  <c r="M1323" i="4"/>
  <c r="R1323" i="4" s="1"/>
  <c r="W1323" i="4" s="1"/>
  <c r="N1323" i="4"/>
  <c r="S1323" i="4" s="1"/>
  <c r="X1323" i="4" s="1"/>
  <c r="O1323" i="4"/>
  <c r="T1323" i="4"/>
  <c r="Y1323" i="4" s="1"/>
  <c r="P1323" i="4"/>
  <c r="U1323" i="4"/>
  <c r="Z1323" i="4" s="1"/>
  <c r="Q1323" i="4"/>
  <c r="V1323" i="4" s="1"/>
  <c r="AA1323" i="4" s="1"/>
  <c r="M1324" i="4"/>
  <c r="R1324" i="4"/>
  <c r="W1324" i="4" s="1"/>
  <c r="N1324" i="4"/>
  <c r="S1324" i="4" s="1"/>
  <c r="X1324" i="4" s="1"/>
  <c r="O1324" i="4"/>
  <c r="T1324" i="4" s="1"/>
  <c r="Y1324" i="4" s="1"/>
  <c r="P1324" i="4"/>
  <c r="U1324" i="4"/>
  <c r="Z1324" i="4" s="1"/>
  <c r="Q1324" i="4"/>
  <c r="V1324" i="4"/>
  <c r="AA1324" i="4" s="1"/>
  <c r="M1325" i="4"/>
  <c r="R1325" i="4" s="1"/>
  <c r="W1325" i="4" s="1"/>
  <c r="N1325" i="4"/>
  <c r="S1325" i="4" s="1"/>
  <c r="X1325" i="4" s="1"/>
  <c r="O1325" i="4"/>
  <c r="T1325" i="4"/>
  <c r="Y1325" i="4" s="1"/>
  <c r="P1325" i="4"/>
  <c r="U1325" i="4"/>
  <c r="Z1325" i="4" s="1"/>
  <c r="Q1325" i="4"/>
  <c r="V1325" i="4" s="1"/>
  <c r="AA1325" i="4" s="1"/>
  <c r="M1326" i="4"/>
  <c r="R1326" i="4" s="1"/>
  <c r="W1326" i="4" s="1"/>
  <c r="N1326" i="4"/>
  <c r="S1326" i="4"/>
  <c r="X1326" i="4" s="1"/>
  <c r="O1326" i="4"/>
  <c r="T1326" i="4"/>
  <c r="Y1326" i="4" s="1"/>
  <c r="P1326" i="4"/>
  <c r="U1326" i="4" s="1"/>
  <c r="Z1326" i="4" s="1"/>
  <c r="Q1326" i="4"/>
  <c r="V1326" i="4" s="1"/>
  <c r="AA1326" i="4" s="1"/>
  <c r="M1327" i="4"/>
  <c r="R1327" i="4"/>
  <c r="W1327" i="4" s="1"/>
  <c r="N1327" i="4"/>
  <c r="S1327" i="4"/>
  <c r="X1327" i="4" s="1"/>
  <c r="O1327" i="4"/>
  <c r="T1327" i="4" s="1"/>
  <c r="Y1327" i="4" s="1"/>
  <c r="P1327" i="4"/>
  <c r="U1327" i="4" s="1"/>
  <c r="Z1327" i="4" s="1"/>
  <c r="Q1327" i="4"/>
  <c r="V1327" i="4"/>
  <c r="AA1327" i="4" s="1"/>
  <c r="M1328" i="4"/>
  <c r="R1328" i="4" s="1"/>
  <c r="W1328" i="4" s="1"/>
  <c r="N1328" i="4"/>
  <c r="S1328" i="4"/>
  <c r="X1328" i="4" s="1"/>
  <c r="O1328" i="4"/>
  <c r="T1328" i="4"/>
  <c r="Y1328" i="4" s="1"/>
  <c r="P1328" i="4"/>
  <c r="U1328" i="4" s="1"/>
  <c r="Z1328" i="4" s="1"/>
  <c r="Q1328" i="4"/>
  <c r="V1328" i="4" s="1"/>
  <c r="AA1328" i="4" s="1"/>
  <c r="M1329" i="4"/>
  <c r="R1329" i="4"/>
  <c r="W1329" i="4" s="1"/>
  <c r="N1329" i="4"/>
  <c r="S1329" i="4"/>
  <c r="X1329" i="4" s="1"/>
  <c r="O1329" i="4"/>
  <c r="T1329" i="4" s="1"/>
  <c r="Y1329" i="4" s="1"/>
  <c r="P1329" i="4"/>
  <c r="U1329" i="4" s="1"/>
  <c r="Z1329" i="4" s="1"/>
  <c r="Q1329" i="4"/>
  <c r="V1329" i="4"/>
  <c r="AA1329" i="4" s="1"/>
  <c r="M1330" i="4"/>
  <c r="R1330" i="4"/>
  <c r="W1330" i="4" s="1"/>
  <c r="N1330" i="4"/>
  <c r="S1330" i="4" s="1"/>
  <c r="X1330" i="4" s="1"/>
  <c r="O1330" i="4"/>
  <c r="T1330" i="4" s="1"/>
  <c r="Y1330" i="4" s="1"/>
  <c r="P1330" i="4"/>
  <c r="U1330" i="4"/>
  <c r="Z1330" i="4" s="1"/>
  <c r="Q1330" i="4"/>
  <c r="V1330" i="4"/>
  <c r="AA1330" i="4" s="1"/>
  <c r="M1331" i="4"/>
  <c r="R1331" i="4" s="1"/>
  <c r="W1331" i="4" s="1"/>
  <c r="N1331" i="4"/>
  <c r="S1331" i="4" s="1"/>
  <c r="X1331" i="4" s="1"/>
  <c r="O1331" i="4"/>
  <c r="T1331" i="4"/>
  <c r="Y1331" i="4" s="1"/>
  <c r="P1331" i="4"/>
  <c r="U1331" i="4"/>
  <c r="Z1331" i="4" s="1"/>
  <c r="Q1331" i="4"/>
  <c r="V1331" i="4" s="1"/>
  <c r="AA1331" i="4" s="1"/>
  <c r="M1332" i="4"/>
  <c r="R1332" i="4"/>
  <c r="W1332" i="4" s="1"/>
  <c r="N1332" i="4"/>
  <c r="S1332" i="4" s="1"/>
  <c r="X1332" i="4" s="1"/>
  <c r="O1332" i="4"/>
  <c r="T1332" i="4" s="1"/>
  <c r="Y1332" i="4" s="1"/>
  <c r="P1332" i="4"/>
  <c r="U1332" i="4"/>
  <c r="Z1332" i="4" s="1"/>
  <c r="Q1332" i="4"/>
  <c r="V1332" i="4"/>
  <c r="AA1332" i="4" s="1"/>
  <c r="M1333" i="4"/>
  <c r="R1333" i="4" s="1"/>
  <c r="W1333" i="4" s="1"/>
  <c r="N1333" i="4"/>
  <c r="S1333" i="4" s="1"/>
  <c r="X1333" i="4" s="1"/>
  <c r="O1333" i="4"/>
  <c r="T1333" i="4"/>
  <c r="Y1333" i="4" s="1"/>
  <c r="P1333" i="4"/>
  <c r="U1333" i="4"/>
  <c r="Z1333" i="4" s="1"/>
  <c r="Q1333" i="4"/>
  <c r="V1333" i="4" s="1"/>
  <c r="AA1333" i="4" s="1"/>
  <c r="M1334" i="4"/>
  <c r="R1334" i="4" s="1"/>
  <c r="W1334" i="4" s="1"/>
  <c r="N1334" i="4"/>
  <c r="S1334" i="4"/>
  <c r="X1334" i="4" s="1"/>
  <c r="O1334" i="4"/>
  <c r="T1334" i="4"/>
  <c r="Y1334" i="4" s="1"/>
  <c r="P1334" i="4"/>
  <c r="U1334" i="4" s="1"/>
  <c r="Z1334" i="4" s="1"/>
  <c r="Q1334" i="4"/>
  <c r="V1334" i="4" s="1"/>
  <c r="AA1334" i="4" s="1"/>
  <c r="M1335" i="4"/>
  <c r="R1335" i="4"/>
  <c r="W1335" i="4" s="1"/>
  <c r="N1335" i="4"/>
  <c r="S1335" i="4"/>
  <c r="X1335" i="4" s="1"/>
  <c r="O1335" i="4"/>
  <c r="T1335" i="4" s="1"/>
  <c r="Y1335" i="4" s="1"/>
  <c r="P1335" i="4"/>
  <c r="U1335" i="4" s="1"/>
  <c r="Z1335" i="4" s="1"/>
  <c r="Q1335" i="4"/>
  <c r="V1335" i="4"/>
  <c r="AA1335" i="4" s="1"/>
  <c r="M1336" i="4"/>
  <c r="R1336" i="4" s="1"/>
  <c r="W1336" i="4" s="1"/>
  <c r="N1336" i="4"/>
  <c r="S1336" i="4"/>
  <c r="X1336" i="4" s="1"/>
  <c r="O1336" i="4"/>
  <c r="T1336" i="4"/>
  <c r="Y1336" i="4" s="1"/>
  <c r="P1336" i="4"/>
  <c r="U1336" i="4" s="1"/>
  <c r="Z1336" i="4" s="1"/>
  <c r="Q1336" i="4"/>
  <c r="V1336" i="4" s="1"/>
  <c r="AA1336" i="4" s="1"/>
  <c r="M1337" i="4"/>
  <c r="R1337" i="4"/>
  <c r="W1337" i="4" s="1"/>
  <c r="N1337" i="4"/>
  <c r="S1337" i="4"/>
  <c r="X1337" i="4" s="1"/>
  <c r="O1337" i="4"/>
  <c r="T1337" i="4" s="1"/>
  <c r="Y1337" i="4" s="1"/>
  <c r="P1337" i="4"/>
  <c r="U1337" i="4" s="1"/>
  <c r="Z1337" i="4" s="1"/>
  <c r="Q1337" i="4"/>
  <c r="V1337" i="4"/>
  <c r="AA1337" i="4" s="1"/>
  <c r="M1338" i="4"/>
  <c r="R1338" i="4"/>
  <c r="W1338" i="4" s="1"/>
  <c r="N1338" i="4"/>
  <c r="S1338" i="4" s="1"/>
  <c r="X1338" i="4" s="1"/>
  <c r="O1338" i="4"/>
  <c r="T1338" i="4" s="1"/>
  <c r="Y1338" i="4" s="1"/>
  <c r="P1338" i="4"/>
  <c r="U1338" i="4"/>
  <c r="Z1338" i="4" s="1"/>
  <c r="Q1338" i="4"/>
  <c r="V1338" i="4"/>
  <c r="AA1338" i="4" s="1"/>
  <c r="M1339" i="4"/>
  <c r="R1339" i="4" s="1"/>
  <c r="W1339" i="4" s="1"/>
  <c r="N1339" i="4"/>
  <c r="S1339" i="4" s="1"/>
  <c r="X1339" i="4" s="1"/>
  <c r="O1339" i="4"/>
  <c r="T1339" i="4"/>
  <c r="Y1339" i="4" s="1"/>
  <c r="P1339" i="4"/>
  <c r="U1339" i="4"/>
  <c r="Z1339" i="4" s="1"/>
  <c r="Q1339" i="4"/>
  <c r="V1339" i="4" s="1"/>
  <c r="AA1339" i="4" s="1"/>
  <c r="M1340" i="4"/>
  <c r="R1340" i="4"/>
  <c r="W1340" i="4" s="1"/>
  <c r="N1340" i="4"/>
  <c r="S1340" i="4" s="1"/>
  <c r="X1340" i="4" s="1"/>
  <c r="O1340" i="4"/>
  <c r="T1340" i="4" s="1"/>
  <c r="Y1340" i="4" s="1"/>
  <c r="P1340" i="4"/>
  <c r="U1340" i="4"/>
  <c r="Z1340" i="4" s="1"/>
  <c r="Q1340" i="4"/>
  <c r="V1340" i="4"/>
  <c r="AA1340" i="4" s="1"/>
  <c r="M1341" i="4"/>
  <c r="R1341" i="4" s="1"/>
  <c r="W1341" i="4" s="1"/>
  <c r="N1341" i="4"/>
  <c r="S1341" i="4" s="1"/>
  <c r="X1341" i="4" s="1"/>
  <c r="O1341" i="4"/>
  <c r="T1341" i="4"/>
  <c r="Y1341" i="4" s="1"/>
  <c r="P1341" i="4"/>
  <c r="U1341" i="4"/>
  <c r="Z1341" i="4" s="1"/>
  <c r="Q1341" i="4"/>
  <c r="V1341" i="4" s="1"/>
  <c r="AA1341" i="4" s="1"/>
  <c r="M1342" i="4"/>
  <c r="R1342" i="4" s="1"/>
  <c r="W1342" i="4" s="1"/>
  <c r="N1342" i="4"/>
  <c r="S1342" i="4"/>
  <c r="X1342" i="4" s="1"/>
  <c r="O1342" i="4"/>
  <c r="T1342" i="4"/>
  <c r="Y1342" i="4" s="1"/>
  <c r="P1342" i="4"/>
  <c r="U1342" i="4" s="1"/>
  <c r="Z1342" i="4" s="1"/>
  <c r="Q1342" i="4"/>
  <c r="V1342" i="4" s="1"/>
  <c r="AA1342" i="4" s="1"/>
  <c r="M1343" i="4"/>
  <c r="R1343" i="4"/>
  <c r="W1343" i="4" s="1"/>
  <c r="N1343" i="4"/>
  <c r="S1343" i="4"/>
  <c r="X1343" i="4" s="1"/>
  <c r="O1343" i="4"/>
  <c r="T1343" i="4" s="1"/>
  <c r="Y1343" i="4" s="1"/>
  <c r="P1343" i="4"/>
  <c r="U1343" i="4" s="1"/>
  <c r="Z1343" i="4" s="1"/>
  <c r="Q1343" i="4"/>
  <c r="V1343" i="4"/>
  <c r="AA1343" i="4" s="1"/>
  <c r="M1344" i="4"/>
  <c r="R1344" i="4" s="1"/>
  <c r="W1344" i="4" s="1"/>
  <c r="N1344" i="4"/>
  <c r="S1344" i="4"/>
  <c r="X1344" i="4" s="1"/>
  <c r="O1344" i="4"/>
  <c r="T1344" i="4"/>
  <c r="Y1344" i="4" s="1"/>
  <c r="P1344" i="4"/>
  <c r="U1344" i="4" s="1"/>
  <c r="Z1344" i="4" s="1"/>
  <c r="Q1344" i="4"/>
  <c r="V1344" i="4" s="1"/>
  <c r="AA1344" i="4" s="1"/>
  <c r="M1345" i="4"/>
  <c r="R1345" i="4"/>
  <c r="W1345" i="4" s="1"/>
  <c r="N1345" i="4"/>
  <c r="S1345" i="4"/>
  <c r="X1345" i="4" s="1"/>
  <c r="O1345" i="4"/>
  <c r="T1345" i="4" s="1"/>
  <c r="Y1345" i="4" s="1"/>
  <c r="P1345" i="4"/>
  <c r="U1345" i="4" s="1"/>
  <c r="Z1345" i="4" s="1"/>
  <c r="Q1345" i="4"/>
  <c r="V1345" i="4"/>
  <c r="AA1345" i="4" s="1"/>
  <c r="M1346" i="4"/>
  <c r="R1346" i="4"/>
  <c r="W1346" i="4" s="1"/>
  <c r="N1346" i="4"/>
  <c r="S1346" i="4" s="1"/>
  <c r="X1346" i="4" s="1"/>
  <c r="O1346" i="4"/>
  <c r="T1346" i="4" s="1"/>
  <c r="Y1346" i="4" s="1"/>
  <c r="P1346" i="4"/>
  <c r="U1346" i="4"/>
  <c r="Z1346" i="4" s="1"/>
  <c r="Q1346" i="4"/>
  <c r="V1346" i="4"/>
  <c r="AA1346" i="4" s="1"/>
  <c r="M1347" i="4"/>
  <c r="R1347" i="4" s="1"/>
  <c r="W1347" i="4" s="1"/>
  <c r="N1347" i="4"/>
  <c r="S1347" i="4" s="1"/>
  <c r="X1347" i="4" s="1"/>
  <c r="O1347" i="4"/>
  <c r="T1347" i="4"/>
  <c r="Y1347" i="4" s="1"/>
  <c r="P1347" i="4"/>
  <c r="U1347" i="4"/>
  <c r="Z1347" i="4" s="1"/>
  <c r="Q1347" i="4"/>
  <c r="V1347" i="4" s="1"/>
  <c r="AA1347" i="4" s="1"/>
  <c r="M1348" i="4"/>
  <c r="R1348" i="4"/>
  <c r="W1348" i="4" s="1"/>
  <c r="N1348" i="4"/>
  <c r="S1348" i="4" s="1"/>
  <c r="X1348" i="4" s="1"/>
  <c r="O1348" i="4"/>
  <c r="T1348" i="4" s="1"/>
  <c r="Y1348" i="4" s="1"/>
  <c r="P1348" i="4"/>
  <c r="U1348" i="4"/>
  <c r="Z1348" i="4" s="1"/>
  <c r="Q1348" i="4"/>
  <c r="V1348" i="4"/>
  <c r="AA1348" i="4" s="1"/>
  <c r="M1349" i="4"/>
  <c r="R1349" i="4" s="1"/>
  <c r="W1349" i="4" s="1"/>
  <c r="N1349" i="4"/>
  <c r="S1349" i="4" s="1"/>
  <c r="X1349" i="4" s="1"/>
  <c r="O1349" i="4"/>
  <c r="T1349" i="4"/>
  <c r="Y1349" i="4" s="1"/>
  <c r="P1349" i="4"/>
  <c r="U1349" i="4"/>
  <c r="Z1349" i="4" s="1"/>
  <c r="Q1349" i="4"/>
  <c r="V1349" i="4" s="1"/>
  <c r="AA1349" i="4" s="1"/>
  <c r="M1350" i="4"/>
  <c r="R1350" i="4" s="1"/>
  <c r="W1350" i="4" s="1"/>
  <c r="N1350" i="4"/>
  <c r="S1350" i="4"/>
  <c r="X1350" i="4" s="1"/>
  <c r="O1350" i="4"/>
  <c r="T1350" i="4"/>
  <c r="Y1350" i="4" s="1"/>
  <c r="P1350" i="4"/>
  <c r="U1350" i="4" s="1"/>
  <c r="Z1350" i="4" s="1"/>
  <c r="Q1350" i="4"/>
  <c r="V1350" i="4" s="1"/>
  <c r="AA1350" i="4" s="1"/>
  <c r="M1351" i="4"/>
  <c r="R1351" i="4"/>
  <c r="W1351" i="4" s="1"/>
  <c r="N1351" i="4"/>
  <c r="S1351" i="4"/>
  <c r="X1351" i="4" s="1"/>
  <c r="O1351" i="4"/>
  <c r="T1351" i="4" s="1"/>
  <c r="Y1351" i="4" s="1"/>
  <c r="P1351" i="4"/>
  <c r="U1351" i="4" s="1"/>
  <c r="Z1351" i="4" s="1"/>
  <c r="Q1351" i="4"/>
  <c r="V1351" i="4"/>
  <c r="AA1351" i="4" s="1"/>
  <c r="M1352" i="4"/>
  <c r="R1352" i="4" s="1"/>
  <c r="W1352" i="4" s="1"/>
  <c r="N1352" i="4"/>
  <c r="S1352" i="4"/>
  <c r="X1352" i="4" s="1"/>
  <c r="O1352" i="4"/>
  <c r="T1352" i="4"/>
  <c r="Y1352" i="4" s="1"/>
  <c r="P1352" i="4"/>
  <c r="U1352" i="4" s="1"/>
  <c r="Z1352" i="4" s="1"/>
  <c r="Q1352" i="4"/>
  <c r="V1352" i="4" s="1"/>
  <c r="AA1352" i="4" s="1"/>
  <c r="M1353" i="4"/>
  <c r="R1353" i="4"/>
  <c r="W1353" i="4" s="1"/>
  <c r="N1353" i="4"/>
  <c r="S1353" i="4"/>
  <c r="X1353" i="4" s="1"/>
  <c r="O1353" i="4"/>
  <c r="T1353" i="4" s="1"/>
  <c r="Y1353" i="4" s="1"/>
  <c r="P1353" i="4"/>
  <c r="U1353" i="4" s="1"/>
  <c r="Z1353" i="4" s="1"/>
  <c r="Q1353" i="4"/>
  <c r="V1353" i="4"/>
  <c r="AA1353" i="4" s="1"/>
  <c r="M1354" i="4"/>
  <c r="R1354" i="4"/>
  <c r="W1354" i="4" s="1"/>
  <c r="N1354" i="4"/>
  <c r="S1354" i="4" s="1"/>
  <c r="X1354" i="4" s="1"/>
  <c r="O1354" i="4"/>
  <c r="T1354" i="4" s="1"/>
  <c r="Y1354" i="4" s="1"/>
  <c r="P1354" i="4"/>
  <c r="U1354" i="4"/>
  <c r="Z1354" i="4" s="1"/>
  <c r="Q1354" i="4"/>
  <c r="V1354" i="4"/>
  <c r="AA1354" i="4" s="1"/>
  <c r="M1355" i="4"/>
  <c r="R1355" i="4" s="1"/>
  <c r="W1355" i="4" s="1"/>
  <c r="N1355" i="4"/>
  <c r="S1355" i="4" s="1"/>
  <c r="X1355" i="4" s="1"/>
  <c r="O1355" i="4"/>
  <c r="T1355" i="4"/>
  <c r="Y1355" i="4" s="1"/>
  <c r="P1355" i="4"/>
  <c r="U1355" i="4"/>
  <c r="Z1355" i="4" s="1"/>
  <c r="Q1355" i="4"/>
  <c r="V1355" i="4" s="1"/>
  <c r="AA1355" i="4" s="1"/>
  <c r="M1356" i="4"/>
  <c r="R1356" i="4"/>
  <c r="W1356" i="4" s="1"/>
  <c r="N1356" i="4"/>
  <c r="S1356" i="4" s="1"/>
  <c r="X1356" i="4" s="1"/>
  <c r="O1356" i="4"/>
  <c r="T1356" i="4" s="1"/>
  <c r="Y1356" i="4" s="1"/>
  <c r="P1356" i="4"/>
  <c r="U1356" i="4"/>
  <c r="Z1356" i="4" s="1"/>
  <c r="Q1356" i="4"/>
  <c r="V1356" i="4"/>
  <c r="AA1356" i="4" s="1"/>
  <c r="M1357" i="4"/>
  <c r="R1357" i="4" s="1"/>
  <c r="W1357" i="4" s="1"/>
  <c r="N1357" i="4"/>
  <c r="S1357" i="4" s="1"/>
  <c r="X1357" i="4" s="1"/>
  <c r="O1357" i="4"/>
  <c r="T1357" i="4"/>
  <c r="Y1357" i="4" s="1"/>
  <c r="P1357" i="4"/>
  <c r="U1357" i="4"/>
  <c r="Z1357" i="4" s="1"/>
  <c r="Q1357" i="4"/>
  <c r="V1357" i="4" s="1"/>
  <c r="AA1357" i="4" s="1"/>
  <c r="M1358" i="4"/>
  <c r="R1358" i="4" s="1"/>
  <c r="W1358" i="4" s="1"/>
  <c r="N1358" i="4"/>
  <c r="S1358" i="4"/>
  <c r="X1358" i="4" s="1"/>
  <c r="O1358" i="4"/>
  <c r="T1358" i="4"/>
  <c r="Y1358" i="4" s="1"/>
  <c r="P1358" i="4"/>
  <c r="U1358" i="4" s="1"/>
  <c r="Z1358" i="4" s="1"/>
  <c r="Q1358" i="4"/>
  <c r="V1358" i="4" s="1"/>
  <c r="AA1358" i="4" s="1"/>
  <c r="M1359" i="4"/>
  <c r="R1359" i="4"/>
  <c r="W1359" i="4" s="1"/>
  <c r="N1359" i="4"/>
  <c r="S1359" i="4"/>
  <c r="X1359" i="4" s="1"/>
  <c r="O1359" i="4"/>
  <c r="T1359" i="4" s="1"/>
  <c r="Y1359" i="4" s="1"/>
  <c r="P1359" i="4"/>
  <c r="U1359" i="4" s="1"/>
  <c r="Z1359" i="4" s="1"/>
  <c r="Q1359" i="4"/>
  <c r="V1359" i="4"/>
  <c r="AA1359" i="4" s="1"/>
  <c r="M1360" i="4"/>
  <c r="R1360" i="4" s="1"/>
  <c r="W1360" i="4" s="1"/>
  <c r="N1360" i="4"/>
  <c r="S1360" i="4"/>
  <c r="X1360" i="4" s="1"/>
  <c r="O1360" i="4"/>
  <c r="T1360" i="4"/>
  <c r="Y1360" i="4" s="1"/>
  <c r="P1360" i="4"/>
  <c r="U1360" i="4" s="1"/>
  <c r="Z1360" i="4" s="1"/>
  <c r="Q1360" i="4"/>
  <c r="V1360" i="4" s="1"/>
  <c r="AA1360" i="4" s="1"/>
  <c r="M1361" i="4"/>
  <c r="R1361" i="4" s="1"/>
  <c r="W1361" i="4" s="1"/>
  <c r="N1361" i="4"/>
  <c r="S1361" i="4" s="1"/>
  <c r="X1361" i="4" s="1"/>
  <c r="O1361" i="4"/>
  <c r="T1361" i="4"/>
  <c r="Y1361" i="4" s="1"/>
  <c r="P1361" i="4"/>
  <c r="U1361" i="4"/>
  <c r="Z1361" i="4" s="1"/>
  <c r="Q1361" i="4"/>
  <c r="V1361" i="4" s="1"/>
  <c r="AA1361" i="4" s="1"/>
  <c r="M1362" i="4"/>
  <c r="R1362" i="4" s="1"/>
  <c r="W1362" i="4" s="1"/>
  <c r="N1362" i="4"/>
  <c r="S1362" i="4"/>
  <c r="X1362" i="4" s="1"/>
  <c r="O1362" i="4"/>
  <c r="T1362" i="4"/>
  <c r="Y1362" i="4" s="1"/>
  <c r="P1362" i="4"/>
  <c r="U1362" i="4" s="1"/>
  <c r="Z1362" i="4" s="1"/>
  <c r="Q1362" i="4"/>
  <c r="V1362" i="4" s="1"/>
  <c r="AA1362" i="4" s="1"/>
  <c r="M1363" i="4"/>
  <c r="R1363" i="4"/>
  <c r="W1363" i="4" s="1"/>
  <c r="N1363" i="4"/>
  <c r="S1363" i="4"/>
  <c r="X1363" i="4" s="1"/>
  <c r="O1363" i="4"/>
  <c r="T1363" i="4" s="1"/>
  <c r="Y1363" i="4" s="1"/>
  <c r="P1363" i="4"/>
  <c r="U1363" i="4" s="1"/>
  <c r="Z1363" i="4" s="1"/>
  <c r="Q1363" i="4"/>
  <c r="V1363" i="4"/>
  <c r="AA1363" i="4" s="1"/>
  <c r="M1364" i="4"/>
  <c r="R1364" i="4" s="1"/>
  <c r="W1364" i="4" s="1"/>
  <c r="N1364" i="4"/>
  <c r="S1364" i="4"/>
  <c r="X1364" i="4" s="1"/>
  <c r="O1364" i="4"/>
  <c r="T1364" i="4"/>
  <c r="Y1364" i="4" s="1"/>
  <c r="P1364" i="4"/>
  <c r="U1364" i="4" s="1"/>
  <c r="Z1364" i="4" s="1"/>
  <c r="Q1364" i="4"/>
  <c r="V1364" i="4" s="1"/>
  <c r="AA1364" i="4" s="1"/>
  <c r="M1365" i="4"/>
  <c r="R1365" i="4"/>
  <c r="W1365" i="4" s="1"/>
  <c r="N1365" i="4"/>
  <c r="S1365" i="4"/>
  <c r="X1365" i="4" s="1"/>
  <c r="O1365" i="4"/>
  <c r="T1365" i="4" s="1"/>
  <c r="Y1365" i="4" s="1"/>
  <c r="P1365" i="4"/>
  <c r="U1365" i="4" s="1"/>
  <c r="Z1365" i="4" s="1"/>
  <c r="Q1365" i="4"/>
  <c r="V1365" i="4"/>
  <c r="AA1365" i="4" s="1"/>
  <c r="M1366" i="4"/>
  <c r="R1366" i="4"/>
  <c r="W1366" i="4" s="1"/>
  <c r="N1366" i="4"/>
  <c r="S1366" i="4" s="1"/>
  <c r="X1366" i="4" s="1"/>
  <c r="O1366" i="4"/>
  <c r="T1366" i="4" s="1"/>
  <c r="Y1366" i="4" s="1"/>
  <c r="P1366" i="4"/>
  <c r="U1366" i="4"/>
  <c r="Z1366" i="4" s="1"/>
  <c r="Q1366" i="4"/>
  <c r="V1366" i="4"/>
  <c r="AA1366" i="4" s="1"/>
  <c r="M1367" i="4"/>
  <c r="R1367" i="4" s="1"/>
  <c r="W1367" i="4" s="1"/>
  <c r="N1367" i="4"/>
  <c r="S1367" i="4" s="1"/>
  <c r="X1367" i="4" s="1"/>
  <c r="O1367" i="4"/>
  <c r="T1367" i="4"/>
  <c r="Y1367" i="4" s="1"/>
  <c r="P1367" i="4"/>
  <c r="U1367" i="4"/>
  <c r="Z1367" i="4" s="1"/>
  <c r="Q1367" i="4"/>
  <c r="V1367" i="4" s="1"/>
  <c r="AA1367" i="4" s="1"/>
  <c r="M1368" i="4"/>
  <c r="R1368" i="4"/>
  <c r="W1368" i="4" s="1"/>
  <c r="N1368" i="4"/>
  <c r="S1368" i="4" s="1"/>
  <c r="X1368" i="4" s="1"/>
  <c r="O1368" i="4"/>
  <c r="T1368" i="4" s="1"/>
  <c r="Y1368" i="4" s="1"/>
  <c r="P1368" i="4"/>
  <c r="U1368" i="4"/>
  <c r="Z1368" i="4" s="1"/>
  <c r="Q1368" i="4"/>
  <c r="V1368" i="4"/>
  <c r="AA1368" i="4" s="1"/>
  <c r="M1369" i="4"/>
  <c r="R1369" i="4" s="1"/>
  <c r="W1369" i="4" s="1"/>
  <c r="N1369" i="4"/>
  <c r="S1369" i="4" s="1"/>
  <c r="X1369" i="4" s="1"/>
  <c r="O1369" i="4"/>
  <c r="T1369" i="4"/>
  <c r="Y1369" i="4" s="1"/>
  <c r="P1369" i="4"/>
  <c r="U1369" i="4"/>
  <c r="Z1369" i="4" s="1"/>
  <c r="Q1369" i="4"/>
  <c r="V1369" i="4" s="1"/>
  <c r="AA1369" i="4" s="1"/>
  <c r="M1370" i="4"/>
  <c r="R1370" i="4" s="1"/>
  <c r="W1370" i="4" s="1"/>
  <c r="N1370" i="4"/>
  <c r="S1370" i="4"/>
  <c r="X1370" i="4" s="1"/>
  <c r="O1370" i="4"/>
  <c r="T1370" i="4"/>
  <c r="Y1370" i="4" s="1"/>
  <c r="P1370" i="4"/>
  <c r="U1370" i="4" s="1"/>
  <c r="Z1370" i="4" s="1"/>
  <c r="Q1370" i="4"/>
  <c r="V1370" i="4" s="1"/>
  <c r="AA1370" i="4" s="1"/>
  <c r="M1371" i="4"/>
  <c r="R1371" i="4"/>
  <c r="W1371" i="4" s="1"/>
  <c r="N1371" i="4"/>
  <c r="S1371" i="4"/>
  <c r="X1371" i="4" s="1"/>
  <c r="O1371" i="4"/>
  <c r="T1371" i="4" s="1"/>
  <c r="Y1371" i="4" s="1"/>
  <c r="P1371" i="4"/>
  <c r="U1371" i="4" s="1"/>
  <c r="Z1371" i="4" s="1"/>
  <c r="Q1371" i="4"/>
  <c r="V1371" i="4"/>
  <c r="AA1371" i="4" s="1"/>
  <c r="M1372" i="4"/>
  <c r="R1372" i="4" s="1"/>
  <c r="W1372" i="4" s="1"/>
  <c r="N1372" i="4"/>
  <c r="S1372" i="4"/>
  <c r="X1372" i="4" s="1"/>
  <c r="O1372" i="4"/>
  <c r="T1372" i="4"/>
  <c r="Y1372" i="4" s="1"/>
  <c r="P1372" i="4"/>
  <c r="U1372" i="4" s="1"/>
  <c r="Z1372" i="4" s="1"/>
  <c r="Q1372" i="4"/>
  <c r="V1372" i="4" s="1"/>
  <c r="AA1372" i="4" s="1"/>
  <c r="M1373" i="4"/>
  <c r="R1373" i="4"/>
  <c r="W1373" i="4" s="1"/>
  <c r="N1373" i="4"/>
  <c r="S1373" i="4"/>
  <c r="X1373" i="4" s="1"/>
  <c r="O1373" i="4"/>
  <c r="T1373" i="4" s="1"/>
  <c r="Y1373" i="4" s="1"/>
  <c r="P1373" i="4"/>
  <c r="U1373" i="4" s="1"/>
  <c r="Z1373" i="4" s="1"/>
  <c r="Q1373" i="4"/>
  <c r="V1373" i="4"/>
  <c r="AA1373" i="4" s="1"/>
  <c r="M1374" i="4"/>
  <c r="R1374" i="4"/>
  <c r="W1374" i="4" s="1"/>
  <c r="N1374" i="4"/>
  <c r="S1374" i="4" s="1"/>
  <c r="X1374" i="4" s="1"/>
  <c r="O1374" i="4"/>
  <c r="T1374" i="4" s="1"/>
  <c r="Y1374" i="4" s="1"/>
  <c r="P1374" i="4"/>
  <c r="U1374" i="4"/>
  <c r="Z1374" i="4" s="1"/>
  <c r="Q1374" i="4"/>
  <c r="V1374" i="4"/>
  <c r="AA1374" i="4" s="1"/>
  <c r="M1375" i="4"/>
  <c r="R1375" i="4" s="1"/>
  <c r="W1375" i="4" s="1"/>
  <c r="N1375" i="4"/>
  <c r="S1375" i="4" s="1"/>
  <c r="X1375" i="4" s="1"/>
  <c r="O1375" i="4"/>
  <c r="T1375" i="4"/>
  <c r="Y1375" i="4" s="1"/>
  <c r="P1375" i="4"/>
  <c r="U1375" i="4"/>
  <c r="Z1375" i="4" s="1"/>
  <c r="Q1375" i="4"/>
  <c r="V1375" i="4" s="1"/>
  <c r="AA1375" i="4" s="1"/>
  <c r="M1376" i="4"/>
  <c r="R1376" i="4"/>
  <c r="W1376" i="4" s="1"/>
  <c r="N1376" i="4"/>
  <c r="S1376" i="4" s="1"/>
  <c r="X1376" i="4" s="1"/>
  <c r="O1376" i="4"/>
  <c r="T1376" i="4" s="1"/>
  <c r="Y1376" i="4" s="1"/>
  <c r="P1376" i="4"/>
  <c r="U1376" i="4"/>
  <c r="Z1376" i="4" s="1"/>
  <c r="Q1376" i="4"/>
  <c r="V1376" i="4"/>
  <c r="AA1376" i="4" s="1"/>
  <c r="M1377" i="4"/>
  <c r="R1377" i="4" s="1"/>
  <c r="W1377" i="4" s="1"/>
  <c r="N1377" i="4"/>
  <c r="S1377" i="4" s="1"/>
  <c r="X1377" i="4" s="1"/>
  <c r="O1377" i="4"/>
  <c r="T1377" i="4"/>
  <c r="Y1377" i="4" s="1"/>
  <c r="P1377" i="4"/>
  <c r="U1377" i="4"/>
  <c r="Z1377" i="4" s="1"/>
  <c r="Q1377" i="4"/>
  <c r="V1377" i="4" s="1"/>
  <c r="AA1377" i="4" s="1"/>
  <c r="M1378" i="4"/>
  <c r="R1378" i="4" s="1"/>
  <c r="W1378" i="4" s="1"/>
  <c r="N1378" i="4"/>
  <c r="S1378" i="4"/>
  <c r="X1378" i="4" s="1"/>
  <c r="O1378" i="4"/>
  <c r="T1378" i="4"/>
  <c r="Y1378" i="4" s="1"/>
  <c r="P1378" i="4"/>
  <c r="U1378" i="4" s="1"/>
  <c r="Z1378" i="4" s="1"/>
  <c r="Q1378" i="4"/>
  <c r="V1378" i="4" s="1"/>
  <c r="AA1378" i="4" s="1"/>
  <c r="M1379" i="4"/>
  <c r="R1379" i="4"/>
  <c r="W1379" i="4" s="1"/>
  <c r="N1379" i="4"/>
  <c r="S1379" i="4"/>
  <c r="X1379" i="4" s="1"/>
  <c r="O1379" i="4"/>
  <c r="T1379" i="4" s="1"/>
  <c r="Y1379" i="4" s="1"/>
  <c r="P1379" i="4"/>
  <c r="U1379" i="4" s="1"/>
  <c r="Z1379" i="4" s="1"/>
  <c r="Q1379" i="4"/>
  <c r="V1379" i="4"/>
  <c r="AA1379" i="4" s="1"/>
  <c r="M1380" i="4"/>
  <c r="R1380" i="4" s="1"/>
  <c r="W1380" i="4" s="1"/>
  <c r="N1380" i="4"/>
  <c r="S1380" i="4"/>
  <c r="X1380" i="4" s="1"/>
  <c r="O1380" i="4"/>
  <c r="T1380" i="4"/>
  <c r="Y1380" i="4" s="1"/>
  <c r="P1380" i="4"/>
  <c r="U1380" i="4" s="1"/>
  <c r="Z1380" i="4" s="1"/>
  <c r="Q1380" i="4"/>
  <c r="V1380" i="4" s="1"/>
  <c r="AA1380" i="4" s="1"/>
  <c r="M1381" i="4"/>
  <c r="R1381" i="4"/>
  <c r="W1381" i="4" s="1"/>
  <c r="N1381" i="4"/>
  <c r="S1381" i="4"/>
  <c r="X1381" i="4" s="1"/>
  <c r="O1381" i="4"/>
  <c r="T1381" i="4" s="1"/>
  <c r="Y1381" i="4" s="1"/>
  <c r="P1381" i="4"/>
  <c r="U1381" i="4" s="1"/>
  <c r="Z1381" i="4" s="1"/>
  <c r="Q1381" i="4"/>
  <c r="V1381" i="4"/>
  <c r="AA1381" i="4" s="1"/>
  <c r="M1382" i="4"/>
  <c r="R1382" i="4"/>
  <c r="W1382" i="4" s="1"/>
  <c r="N1382" i="4"/>
  <c r="S1382" i="4" s="1"/>
  <c r="X1382" i="4" s="1"/>
  <c r="O1382" i="4"/>
  <c r="T1382" i="4" s="1"/>
  <c r="Y1382" i="4" s="1"/>
  <c r="P1382" i="4"/>
  <c r="U1382" i="4"/>
  <c r="Z1382" i="4" s="1"/>
  <c r="Q1382" i="4"/>
  <c r="V1382" i="4"/>
  <c r="AA1382" i="4" s="1"/>
  <c r="M1383" i="4"/>
  <c r="R1383" i="4" s="1"/>
  <c r="W1383" i="4" s="1"/>
  <c r="N1383" i="4"/>
  <c r="S1383" i="4" s="1"/>
  <c r="X1383" i="4" s="1"/>
  <c r="O1383" i="4"/>
  <c r="T1383" i="4"/>
  <c r="Y1383" i="4" s="1"/>
  <c r="P1383" i="4"/>
  <c r="U1383" i="4"/>
  <c r="Z1383" i="4" s="1"/>
  <c r="Q1383" i="4"/>
  <c r="V1383" i="4" s="1"/>
  <c r="AA1383" i="4" s="1"/>
  <c r="M1384" i="4"/>
  <c r="R1384" i="4"/>
  <c r="W1384" i="4" s="1"/>
  <c r="N1384" i="4"/>
  <c r="S1384" i="4" s="1"/>
  <c r="X1384" i="4" s="1"/>
  <c r="O1384" i="4"/>
  <c r="T1384" i="4" s="1"/>
  <c r="Y1384" i="4" s="1"/>
  <c r="P1384" i="4"/>
  <c r="U1384" i="4"/>
  <c r="Z1384" i="4" s="1"/>
  <c r="Q1384" i="4"/>
  <c r="V1384" i="4"/>
  <c r="AA1384" i="4" s="1"/>
  <c r="M1385" i="4"/>
  <c r="R1385" i="4" s="1"/>
  <c r="W1385" i="4" s="1"/>
  <c r="N1385" i="4"/>
  <c r="S1385" i="4" s="1"/>
  <c r="X1385" i="4" s="1"/>
  <c r="O1385" i="4"/>
  <c r="T1385" i="4"/>
  <c r="Y1385" i="4" s="1"/>
  <c r="P1385" i="4"/>
  <c r="U1385" i="4"/>
  <c r="Z1385" i="4" s="1"/>
  <c r="Q1385" i="4"/>
  <c r="V1385" i="4" s="1"/>
  <c r="AA1385" i="4" s="1"/>
  <c r="M1386" i="4"/>
  <c r="R1386" i="4" s="1"/>
  <c r="W1386" i="4" s="1"/>
  <c r="N1386" i="4"/>
  <c r="S1386" i="4"/>
  <c r="X1386" i="4" s="1"/>
  <c r="O1386" i="4"/>
  <c r="T1386" i="4"/>
  <c r="Y1386" i="4" s="1"/>
  <c r="P1386" i="4"/>
  <c r="U1386" i="4" s="1"/>
  <c r="Z1386" i="4" s="1"/>
  <c r="Q1386" i="4"/>
  <c r="V1386" i="4" s="1"/>
  <c r="AA1386" i="4" s="1"/>
  <c r="M1387" i="4"/>
  <c r="R1387" i="4"/>
  <c r="W1387" i="4" s="1"/>
  <c r="N1387" i="4"/>
  <c r="S1387" i="4"/>
  <c r="X1387" i="4" s="1"/>
  <c r="O1387" i="4"/>
  <c r="T1387" i="4" s="1"/>
  <c r="Y1387" i="4" s="1"/>
  <c r="P1387" i="4"/>
  <c r="U1387" i="4" s="1"/>
  <c r="Z1387" i="4" s="1"/>
  <c r="Q1387" i="4"/>
  <c r="V1387" i="4"/>
  <c r="AA1387" i="4" s="1"/>
  <c r="M1388" i="4"/>
  <c r="R1388" i="4" s="1"/>
  <c r="W1388" i="4" s="1"/>
  <c r="N1388" i="4"/>
  <c r="S1388" i="4"/>
  <c r="X1388" i="4" s="1"/>
  <c r="O1388" i="4"/>
  <c r="T1388" i="4"/>
  <c r="Y1388" i="4" s="1"/>
  <c r="P1388" i="4"/>
  <c r="U1388" i="4" s="1"/>
  <c r="Z1388" i="4" s="1"/>
  <c r="Q1388" i="4"/>
  <c r="V1388" i="4" s="1"/>
  <c r="AA1388" i="4" s="1"/>
  <c r="M1389" i="4"/>
  <c r="R1389" i="4"/>
  <c r="W1389" i="4" s="1"/>
  <c r="N1389" i="4"/>
  <c r="S1389" i="4"/>
  <c r="X1389" i="4" s="1"/>
  <c r="O1389" i="4"/>
  <c r="T1389" i="4" s="1"/>
  <c r="Y1389" i="4" s="1"/>
  <c r="P1389" i="4"/>
  <c r="U1389" i="4" s="1"/>
  <c r="Z1389" i="4" s="1"/>
  <c r="Q1389" i="4"/>
  <c r="V1389" i="4"/>
  <c r="AA1389" i="4" s="1"/>
  <c r="M1390" i="4"/>
  <c r="R1390" i="4"/>
  <c r="W1390" i="4" s="1"/>
  <c r="N1390" i="4"/>
  <c r="S1390" i="4" s="1"/>
  <c r="X1390" i="4" s="1"/>
  <c r="O1390" i="4"/>
  <c r="T1390" i="4" s="1"/>
  <c r="Y1390" i="4" s="1"/>
  <c r="P1390" i="4"/>
  <c r="U1390" i="4"/>
  <c r="Z1390" i="4" s="1"/>
  <c r="Q1390" i="4"/>
  <c r="V1390" i="4"/>
  <c r="AA1390" i="4" s="1"/>
  <c r="M1391" i="4"/>
  <c r="R1391" i="4" s="1"/>
  <c r="W1391" i="4" s="1"/>
  <c r="N1391" i="4"/>
  <c r="S1391" i="4" s="1"/>
  <c r="X1391" i="4" s="1"/>
  <c r="O1391" i="4"/>
  <c r="T1391" i="4"/>
  <c r="Y1391" i="4" s="1"/>
  <c r="P1391" i="4"/>
  <c r="U1391" i="4"/>
  <c r="Z1391" i="4" s="1"/>
  <c r="Q1391" i="4"/>
  <c r="V1391" i="4" s="1"/>
  <c r="AA1391" i="4" s="1"/>
  <c r="M1392" i="4"/>
  <c r="R1392" i="4"/>
  <c r="W1392" i="4" s="1"/>
  <c r="N1392" i="4"/>
  <c r="S1392" i="4" s="1"/>
  <c r="X1392" i="4" s="1"/>
  <c r="O1392" i="4"/>
  <c r="T1392" i="4" s="1"/>
  <c r="Y1392" i="4" s="1"/>
  <c r="P1392" i="4"/>
  <c r="U1392" i="4"/>
  <c r="Z1392" i="4" s="1"/>
  <c r="Q1392" i="4"/>
  <c r="V1392" i="4"/>
  <c r="AA1392" i="4" s="1"/>
  <c r="M1393" i="4"/>
  <c r="R1393" i="4" s="1"/>
  <c r="W1393" i="4" s="1"/>
  <c r="N1393" i="4"/>
  <c r="S1393" i="4" s="1"/>
  <c r="X1393" i="4" s="1"/>
  <c r="O1393" i="4"/>
  <c r="T1393" i="4"/>
  <c r="Y1393" i="4" s="1"/>
  <c r="P1393" i="4"/>
  <c r="U1393" i="4"/>
  <c r="Z1393" i="4" s="1"/>
  <c r="Q1393" i="4"/>
  <c r="V1393" i="4" s="1"/>
  <c r="AA1393" i="4" s="1"/>
  <c r="M1394" i="4"/>
  <c r="R1394" i="4" s="1"/>
  <c r="W1394" i="4" s="1"/>
  <c r="N1394" i="4"/>
  <c r="S1394" i="4"/>
  <c r="X1394" i="4" s="1"/>
  <c r="O1394" i="4"/>
  <c r="T1394" i="4"/>
  <c r="Y1394" i="4" s="1"/>
  <c r="P1394" i="4"/>
  <c r="U1394" i="4" s="1"/>
  <c r="Z1394" i="4" s="1"/>
  <c r="Q1394" i="4"/>
  <c r="V1394" i="4" s="1"/>
  <c r="AA1394" i="4" s="1"/>
  <c r="M1395" i="4"/>
  <c r="R1395" i="4"/>
  <c r="W1395" i="4" s="1"/>
  <c r="N1395" i="4"/>
  <c r="S1395" i="4"/>
  <c r="X1395" i="4" s="1"/>
  <c r="O1395" i="4"/>
  <c r="T1395" i="4" s="1"/>
  <c r="Y1395" i="4" s="1"/>
  <c r="P1395" i="4"/>
  <c r="U1395" i="4" s="1"/>
  <c r="Z1395" i="4" s="1"/>
  <c r="Q1395" i="4"/>
  <c r="V1395" i="4"/>
  <c r="AA1395" i="4" s="1"/>
  <c r="M1396" i="4"/>
  <c r="R1396" i="4" s="1"/>
  <c r="W1396" i="4" s="1"/>
  <c r="N1396" i="4"/>
  <c r="S1396" i="4"/>
  <c r="X1396" i="4" s="1"/>
  <c r="O1396" i="4"/>
  <c r="T1396" i="4"/>
  <c r="Y1396" i="4" s="1"/>
  <c r="P1396" i="4"/>
  <c r="U1396" i="4" s="1"/>
  <c r="Z1396" i="4" s="1"/>
  <c r="Q1396" i="4"/>
  <c r="V1396" i="4" s="1"/>
  <c r="AA1396" i="4" s="1"/>
  <c r="M1397" i="4"/>
  <c r="R1397" i="4"/>
  <c r="W1397" i="4" s="1"/>
  <c r="N1397" i="4"/>
  <c r="S1397" i="4"/>
  <c r="X1397" i="4" s="1"/>
  <c r="O1397" i="4"/>
  <c r="T1397" i="4" s="1"/>
  <c r="Y1397" i="4" s="1"/>
  <c r="P1397" i="4"/>
  <c r="U1397" i="4" s="1"/>
  <c r="Z1397" i="4" s="1"/>
  <c r="Q1397" i="4"/>
  <c r="V1397" i="4"/>
  <c r="AA1397" i="4" s="1"/>
  <c r="M1398" i="4"/>
  <c r="R1398" i="4"/>
  <c r="W1398" i="4" s="1"/>
  <c r="N1398" i="4"/>
  <c r="S1398" i="4" s="1"/>
  <c r="X1398" i="4" s="1"/>
  <c r="O1398" i="4"/>
  <c r="T1398" i="4" s="1"/>
  <c r="Y1398" i="4" s="1"/>
  <c r="P1398" i="4"/>
  <c r="U1398" i="4"/>
  <c r="Z1398" i="4" s="1"/>
  <c r="Q1398" i="4"/>
  <c r="V1398" i="4"/>
  <c r="AA1398" i="4" s="1"/>
  <c r="M1399" i="4"/>
  <c r="R1399" i="4" s="1"/>
  <c r="W1399" i="4" s="1"/>
  <c r="N1399" i="4"/>
  <c r="S1399" i="4" s="1"/>
  <c r="X1399" i="4" s="1"/>
  <c r="O1399" i="4"/>
  <c r="T1399" i="4"/>
  <c r="Y1399" i="4" s="1"/>
  <c r="P1399" i="4"/>
  <c r="U1399" i="4"/>
  <c r="Z1399" i="4" s="1"/>
  <c r="Q1399" i="4"/>
  <c r="V1399" i="4" s="1"/>
  <c r="AA1399" i="4" s="1"/>
  <c r="M1400" i="4"/>
  <c r="R1400" i="4"/>
  <c r="W1400" i="4" s="1"/>
  <c r="N1400" i="4"/>
  <c r="S1400" i="4" s="1"/>
  <c r="X1400" i="4" s="1"/>
  <c r="O1400" i="4"/>
  <c r="T1400" i="4" s="1"/>
  <c r="Y1400" i="4" s="1"/>
  <c r="P1400" i="4"/>
  <c r="U1400" i="4"/>
  <c r="Z1400" i="4" s="1"/>
  <c r="Q1400" i="4"/>
  <c r="V1400" i="4"/>
  <c r="AA1400" i="4" s="1"/>
  <c r="M1401" i="4"/>
  <c r="R1401" i="4" s="1"/>
  <c r="W1401" i="4" s="1"/>
  <c r="N1401" i="4"/>
  <c r="S1401" i="4" s="1"/>
  <c r="X1401" i="4" s="1"/>
  <c r="O1401" i="4"/>
  <c r="T1401" i="4"/>
  <c r="Y1401" i="4" s="1"/>
  <c r="P1401" i="4"/>
  <c r="U1401" i="4"/>
  <c r="Z1401" i="4" s="1"/>
  <c r="Q1401" i="4"/>
  <c r="V1401" i="4" s="1"/>
  <c r="AA1401" i="4" s="1"/>
  <c r="M1402" i="4"/>
  <c r="R1402" i="4" s="1"/>
  <c r="W1402" i="4" s="1"/>
  <c r="N1402" i="4"/>
  <c r="S1402" i="4"/>
  <c r="X1402" i="4" s="1"/>
  <c r="O1402" i="4"/>
  <c r="T1402" i="4"/>
  <c r="Y1402" i="4" s="1"/>
  <c r="P1402" i="4"/>
  <c r="U1402" i="4" s="1"/>
  <c r="Z1402" i="4" s="1"/>
  <c r="Q1402" i="4"/>
  <c r="V1402" i="4" s="1"/>
  <c r="AA1402" i="4" s="1"/>
  <c r="M1403" i="4"/>
  <c r="R1403" i="4"/>
  <c r="W1403" i="4" s="1"/>
  <c r="N1403" i="4"/>
  <c r="S1403" i="4"/>
  <c r="X1403" i="4" s="1"/>
  <c r="O1403" i="4"/>
  <c r="T1403" i="4" s="1"/>
  <c r="Y1403" i="4" s="1"/>
  <c r="P1403" i="4"/>
  <c r="U1403" i="4" s="1"/>
  <c r="Z1403" i="4" s="1"/>
  <c r="Q1403" i="4"/>
  <c r="V1403" i="4"/>
  <c r="AA1403" i="4" s="1"/>
  <c r="M1404" i="4"/>
  <c r="R1404" i="4" s="1"/>
  <c r="W1404" i="4" s="1"/>
  <c r="N1404" i="4"/>
  <c r="S1404" i="4"/>
  <c r="X1404" i="4" s="1"/>
  <c r="O1404" i="4"/>
  <c r="T1404" i="4"/>
  <c r="Y1404" i="4" s="1"/>
  <c r="P1404" i="4"/>
  <c r="U1404" i="4" s="1"/>
  <c r="Z1404" i="4" s="1"/>
  <c r="Q1404" i="4"/>
  <c r="V1404" i="4" s="1"/>
  <c r="AA1404" i="4" s="1"/>
  <c r="M1405" i="4"/>
  <c r="R1405" i="4"/>
  <c r="W1405" i="4" s="1"/>
  <c r="N1405" i="4"/>
  <c r="S1405" i="4"/>
  <c r="X1405" i="4" s="1"/>
  <c r="O1405" i="4"/>
  <c r="T1405" i="4" s="1"/>
  <c r="Y1405" i="4" s="1"/>
  <c r="P1405" i="4"/>
  <c r="U1405" i="4" s="1"/>
  <c r="Z1405" i="4" s="1"/>
  <c r="Q1405" i="4"/>
  <c r="V1405" i="4"/>
  <c r="AA1405" i="4" s="1"/>
  <c r="M1406" i="4"/>
  <c r="R1406" i="4"/>
  <c r="W1406" i="4" s="1"/>
  <c r="N1406" i="4"/>
  <c r="S1406" i="4" s="1"/>
  <c r="X1406" i="4" s="1"/>
  <c r="O1406" i="4"/>
  <c r="T1406" i="4" s="1"/>
  <c r="Y1406" i="4" s="1"/>
  <c r="P1406" i="4"/>
  <c r="U1406" i="4"/>
  <c r="Z1406" i="4" s="1"/>
  <c r="Q1406" i="4"/>
  <c r="V1406" i="4"/>
  <c r="AA1406" i="4" s="1"/>
  <c r="M1407" i="4"/>
  <c r="R1407" i="4" s="1"/>
  <c r="W1407" i="4" s="1"/>
  <c r="N1407" i="4"/>
  <c r="S1407" i="4" s="1"/>
  <c r="X1407" i="4" s="1"/>
  <c r="O1407" i="4"/>
  <c r="T1407" i="4"/>
  <c r="Y1407" i="4" s="1"/>
  <c r="P1407" i="4"/>
  <c r="U1407" i="4"/>
  <c r="Z1407" i="4" s="1"/>
  <c r="Q1407" i="4"/>
  <c r="V1407" i="4" s="1"/>
  <c r="AA1407" i="4" s="1"/>
  <c r="M1408" i="4"/>
  <c r="R1408" i="4"/>
  <c r="W1408" i="4" s="1"/>
  <c r="N1408" i="4"/>
  <c r="S1408" i="4" s="1"/>
  <c r="X1408" i="4" s="1"/>
  <c r="O1408" i="4"/>
  <c r="T1408" i="4" s="1"/>
  <c r="Y1408" i="4" s="1"/>
  <c r="P1408" i="4"/>
  <c r="U1408" i="4"/>
  <c r="Z1408" i="4" s="1"/>
  <c r="Q1408" i="4"/>
  <c r="V1408" i="4"/>
  <c r="AA1408" i="4" s="1"/>
  <c r="M1409" i="4"/>
  <c r="R1409" i="4" s="1"/>
  <c r="W1409" i="4" s="1"/>
  <c r="N1409" i="4"/>
  <c r="S1409" i="4" s="1"/>
  <c r="X1409" i="4" s="1"/>
  <c r="O1409" i="4"/>
  <c r="T1409" i="4"/>
  <c r="Y1409" i="4" s="1"/>
  <c r="P1409" i="4"/>
  <c r="U1409" i="4"/>
  <c r="Z1409" i="4" s="1"/>
  <c r="Q1409" i="4"/>
  <c r="V1409" i="4" s="1"/>
  <c r="AA1409" i="4" s="1"/>
  <c r="M1410" i="4"/>
  <c r="R1410" i="4" s="1"/>
  <c r="W1410" i="4" s="1"/>
  <c r="N1410" i="4"/>
  <c r="S1410" i="4"/>
  <c r="X1410" i="4" s="1"/>
  <c r="O1410" i="4"/>
  <c r="T1410" i="4"/>
  <c r="Y1410" i="4" s="1"/>
  <c r="P1410" i="4"/>
  <c r="U1410" i="4" s="1"/>
  <c r="Z1410" i="4" s="1"/>
  <c r="Q1410" i="4"/>
  <c r="V1410" i="4" s="1"/>
  <c r="AA1410" i="4" s="1"/>
  <c r="M1411" i="4"/>
  <c r="R1411" i="4"/>
  <c r="W1411" i="4" s="1"/>
  <c r="N1411" i="4"/>
  <c r="S1411" i="4"/>
  <c r="X1411" i="4" s="1"/>
  <c r="O1411" i="4"/>
  <c r="T1411" i="4" s="1"/>
  <c r="Y1411" i="4" s="1"/>
  <c r="P1411" i="4"/>
  <c r="U1411" i="4" s="1"/>
  <c r="Z1411" i="4" s="1"/>
  <c r="Q1411" i="4"/>
  <c r="V1411" i="4"/>
  <c r="AA1411" i="4" s="1"/>
  <c r="M1412" i="4"/>
  <c r="R1412" i="4" s="1"/>
  <c r="W1412" i="4" s="1"/>
  <c r="N1412" i="4"/>
  <c r="S1412" i="4"/>
  <c r="X1412" i="4" s="1"/>
  <c r="O1412" i="4"/>
  <c r="T1412" i="4"/>
  <c r="Y1412" i="4" s="1"/>
  <c r="P1412" i="4"/>
  <c r="U1412" i="4" s="1"/>
  <c r="Z1412" i="4" s="1"/>
  <c r="Q1412" i="4"/>
  <c r="V1412" i="4" s="1"/>
  <c r="AA1412" i="4" s="1"/>
  <c r="M1413" i="4"/>
  <c r="R1413" i="4"/>
  <c r="W1413" i="4" s="1"/>
  <c r="N1413" i="4"/>
  <c r="S1413" i="4"/>
  <c r="X1413" i="4" s="1"/>
  <c r="O1413" i="4"/>
  <c r="T1413" i="4" s="1"/>
  <c r="Y1413" i="4" s="1"/>
  <c r="P1413" i="4"/>
  <c r="U1413" i="4" s="1"/>
  <c r="Z1413" i="4" s="1"/>
  <c r="Q1413" i="4"/>
  <c r="V1413" i="4"/>
  <c r="AA1413" i="4" s="1"/>
  <c r="M1414" i="4"/>
  <c r="R1414" i="4"/>
  <c r="W1414" i="4" s="1"/>
  <c r="N1414" i="4"/>
  <c r="S1414" i="4" s="1"/>
  <c r="X1414" i="4" s="1"/>
  <c r="O1414" i="4"/>
  <c r="T1414" i="4" s="1"/>
  <c r="Y1414" i="4" s="1"/>
  <c r="P1414" i="4"/>
  <c r="U1414" i="4"/>
  <c r="Z1414" i="4" s="1"/>
  <c r="Q1414" i="4"/>
  <c r="V1414" i="4"/>
  <c r="AA1414" i="4" s="1"/>
  <c r="M1415" i="4"/>
  <c r="R1415" i="4" s="1"/>
  <c r="W1415" i="4" s="1"/>
  <c r="N1415" i="4"/>
  <c r="S1415" i="4" s="1"/>
  <c r="X1415" i="4" s="1"/>
  <c r="O1415" i="4"/>
  <c r="T1415" i="4"/>
  <c r="Y1415" i="4" s="1"/>
  <c r="P1415" i="4"/>
  <c r="U1415" i="4"/>
  <c r="Z1415" i="4" s="1"/>
  <c r="Q1415" i="4"/>
  <c r="V1415" i="4" s="1"/>
  <c r="AA1415" i="4" s="1"/>
  <c r="M1416" i="4"/>
  <c r="R1416" i="4"/>
  <c r="W1416" i="4" s="1"/>
  <c r="N1416" i="4"/>
  <c r="S1416" i="4" s="1"/>
  <c r="X1416" i="4" s="1"/>
  <c r="O1416" i="4"/>
  <c r="T1416" i="4" s="1"/>
  <c r="Y1416" i="4" s="1"/>
  <c r="P1416" i="4"/>
  <c r="U1416" i="4"/>
  <c r="Z1416" i="4" s="1"/>
  <c r="Q1416" i="4"/>
  <c r="V1416" i="4"/>
  <c r="AA1416" i="4" s="1"/>
  <c r="M1417" i="4"/>
  <c r="R1417" i="4" s="1"/>
  <c r="W1417" i="4" s="1"/>
  <c r="N1417" i="4"/>
  <c r="S1417" i="4" s="1"/>
  <c r="X1417" i="4" s="1"/>
  <c r="O1417" i="4"/>
  <c r="T1417" i="4"/>
  <c r="Y1417" i="4" s="1"/>
  <c r="P1417" i="4"/>
  <c r="U1417" i="4"/>
  <c r="Z1417" i="4" s="1"/>
  <c r="Q1417" i="4"/>
  <c r="V1417" i="4" s="1"/>
  <c r="AA1417" i="4" s="1"/>
  <c r="M1418" i="4"/>
  <c r="R1418" i="4" s="1"/>
  <c r="W1418" i="4" s="1"/>
  <c r="N1418" i="4"/>
  <c r="S1418" i="4"/>
  <c r="X1418" i="4" s="1"/>
  <c r="O1418" i="4"/>
  <c r="T1418" i="4"/>
  <c r="Y1418" i="4" s="1"/>
  <c r="P1418" i="4"/>
  <c r="U1418" i="4" s="1"/>
  <c r="Z1418" i="4" s="1"/>
  <c r="Q1418" i="4"/>
  <c r="V1418" i="4" s="1"/>
  <c r="AA1418" i="4" s="1"/>
  <c r="M1419" i="4"/>
  <c r="R1419" i="4"/>
  <c r="W1419" i="4" s="1"/>
  <c r="N1419" i="4"/>
  <c r="S1419" i="4"/>
  <c r="X1419" i="4" s="1"/>
  <c r="O1419" i="4"/>
  <c r="T1419" i="4" s="1"/>
  <c r="Y1419" i="4" s="1"/>
  <c r="P1419" i="4"/>
  <c r="U1419" i="4" s="1"/>
  <c r="Z1419" i="4" s="1"/>
  <c r="Q1419" i="4"/>
  <c r="V1419" i="4"/>
  <c r="AA1419" i="4" s="1"/>
  <c r="M1420" i="4"/>
  <c r="R1420" i="4" s="1"/>
  <c r="W1420" i="4" s="1"/>
  <c r="N1420" i="4"/>
  <c r="S1420" i="4"/>
  <c r="X1420" i="4" s="1"/>
  <c r="O1420" i="4"/>
  <c r="T1420" i="4"/>
  <c r="Y1420" i="4" s="1"/>
  <c r="P1420" i="4"/>
  <c r="U1420" i="4" s="1"/>
  <c r="Z1420" i="4" s="1"/>
  <c r="Q1420" i="4"/>
  <c r="V1420" i="4" s="1"/>
  <c r="AA1420" i="4" s="1"/>
  <c r="M1421" i="4"/>
  <c r="R1421" i="4"/>
  <c r="W1421" i="4" s="1"/>
  <c r="N1421" i="4"/>
  <c r="S1421" i="4"/>
  <c r="X1421" i="4" s="1"/>
  <c r="O1421" i="4"/>
  <c r="T1421" i="4" s="1"/>
  <c r="Y1421" i="4" s="1"/>
  <c r="P1421" i="4"/>
  <c r="U1421" i="4" s="1"/>
  <c r="Z1421" i="4" s="1"/>
  <c r="Q1421" i="4"/>
  <c r="V1421" i="4"/>
  <c r="AA1421" i="4" s="1"/>
  <c r="M1422" i="4"/>
  <c r="R1422" i="4"/>
  <c r="W1422" i="4" s="1"/>
  <c r="N1422" i="4"/>
  <c r="S1422" i="4" s="1"/>
  <c r="X1422" i="4" s="1"/>
  <c r="O1422" i="4"/>
  <c r="T1422" i="4" s="1"/>
  <c r="Y1422" i="4" s="1"/>
  <c r="P1422" i="4"/>
  <c r="U1422" i="4"/>
  <c r="Z1422" i="4" s="1"/>
  <c r="Q1422" i="4"/>
  <c r="V1422" i="4"/>
  <c r="AA1422" i="4" s="1"/>
  <c r="M1423" i="4"/>
  <c r="R1423" i="4" s="1"/>
  <c r="W1423" i="4" s="1"/>
  <c r="N1423" i="4"/>
  <c r="S1423" i="4" s="1"/>
  <c r="X1423" i="4" s="1"/>
  <c r="O1423" i="4"/>
  <c r="T1423" i="4"/>
  <c r="Y1423" i="4" s="1"/>
  <c r="P1423" i="4"/>
  <c r="U1423" i="4"/>
  <c r="Z1423" i="4" s="1"/>
  <c r="Q1423" i="4"/>
  <c r="V1423" i="4" s="1"/>
  <c r="AA1423" i="4" s="1"/>
  <c r="M1424" i="4"/>
  <c r="R1424" i="4"/>
  <c r="W1424" i="4" s="1"/>
  <c r="N1424" i="4"/>
  <c r="S1424" i="4" s="1"/>
  <c r="X1424" i="4" s="1"/>
  <c r="O1424" i="4"/>
  <c r="T1424" i="4" s="1"/>
  <c r="Y1424" i="4" s="1"/>
  <c r="P1424" i="4"/>
  <c r="U1424" i="4"/>
  <c r="Z1424" i="4" s="1"/>
  <c r="Q1424" i="4"/>
  <c r="V1424" i="4"/>
  <c r="AA1424" i="4" s="1"/>
  <c r="M1425" i="4"/>
  <c r="R1425" i="4" s="1"/>
  <c r="W1425" i="4" s="1"/>
  <c r="N1425" i="4"/>
  <c r="S1425" i="4" s="1"/>
  <c r="X1425" i="4" s="1"/>
  <c r="O1425" i="4"/>
  <c r="T1425" i="4"/>
  <c r="Y1425" i="4" s="1"/>
  <c r="P1425" i="4"/>
  <c r="U1425" i="4"/>
  <c r="Z1425" i="4" s="1"/>
  <c r="Q1425" i="4"/>
  <c r="V1425" i="4" s="1"/>
  <c r="AA1425" i="4" s="1"/>
  <c r="M1426" i="4"/>
  <c r="R1426" i="4" s="1"/>
  <c r="W1426" i="4" s="1"/>
  <c r="N1426" i="4"/>
  <c r="S1426" i="4"/>
  <c r="X1426" i="4" s="1"/>
  <c r="O1426" i="4"/>
  <c r="T1426" i="4"/>
  <c r="Y1426" i="4" s="1"/>
  <c r="P1426" i="4"/>
  <c r="U1426" i="4" s="1"/>
  <c r="Z1426" i="4" s="1"/>
  <c r="Q1426" i="4"/>
  <c r="V1426" i="4" s="1"/>
  <c r="AA1426" i="4" s="1"/>
  <c r="M1427" i="4"/>
  <c r="R1427" i="4"/>
  <c r="W1427" i="4" s="1"/>
  <c r="N1427" i="4"/>
  <c r="S1427" i="4"/>
  <c r="X1427" i="4" s="1"/>
  <c r="O1427" i="4"/>
  <c r="T1427" i="4" s="1"/>
  <c r="Y1427" i="4" s="1"/>
  <c r="P1427" i="4"/>
  <c r="U1427" i="4" s="1"/>
  <c r="Z1427" i="4" s="1"/>
  <c r="Q1427" i="4"/>
  <c r="V1427" i="4"/>
  <c r="AA1427" i="4" s="1"/>
  <c r="M1428" i="4"/>
  <c r="R1428" i="4" s="1"/>
  <c r="W1428" i="4" s="1"/>
  <c r="N1428" i="4"/>
  <c r="S1428" i="4"/>
  <c r="X1428" i="4" s="1"/>
  <c r="O1428" i="4"/>
  <c r="T1428" i="4"/>
  <c r="Y1428" i="4" s="1"/>
  <c r="P1428" i="4"/>
  <c r="U1428" i="4" s="1"/>
  <c r="Z1428" i="4" s="1"/>
  <c r="Q1428" i="4"/>
  <c r="V1428" i="4" s="1"/>
  <c r="AA1428" i="4" s="1"/>
  <c r="M1429" i="4"/>
  <c r="R1429" i="4"/>
  <c r="W1429" i="4" s="1"/>
  <c r="N1429" i="4"/>
  <c r="S1429" i="4"/>
  <c r="X1429" i="4" s="1"/>
  <c r="O1429" i="4"/>
  <c r="T1429" i="4" s="1"/>
  <c r="Y1429" i="4" s="1"/>
  <c r="P1429" i="4"/>
  <c r="U1429" i="4" s="1"/>
  <c r="Z1429" i="4" s="1"/>
  <c r="Q1429" i="4"/>
  <c r="V1429" i="4"/>
  <c r="AA1429" i="4" s="1"/>
  <c r="M1430" i="4"/>
  <c r="R1430" i="4"/>
  <c r="W1430" i="4" s="1"/>
  <c r="N1430" i="4"/>
  <c r="S1430" i="4" s="1"/>
  <c r="X1430" i="4" s="1"/>
  <c r="O1430" i="4"/>
  <c r="T1430" i="4" s="1"/>
  <c r="Y1430" i="4" s="1"/>
  <c r="P1430" i="4"/>
  <c r="U1430" i="4"/>
  <c r="Z1430" i="4" s="1"/>
  <c r="Q1430" i="4"/>
  <c r="V1430" i="4"/>
  <c r="AA1430" i="4" s="1"/>
  <c r="M1431" i="4"/>
  <c r="R1431" i="4" s="1"/>
  <c r="W1431" i="4" s="1"/>
  <c r="N1431" i="4"/>
  <c r="S1431" i="4" s="1"/>
  <c r="X1431" i="4" s="1"/>
  <c r="O1431" i="4"/>
  <c r="T1431" i="4"/>
  <c r="Y1431" i="4" s="1"/>
  <c r="P1431" i="4"/>
  <c r="U1431" i="4"/>
  <c r="Z1431" i="4" s="1"/>
  <c r="Q1431" i="4"/>
  <c r="V1431" i="4" s="1"/>
  <c r="AA1431" i="4" s="1"/>
  <c r="M1432" i="4"/>
  <c r="R1432" i="4"/>
  <c r="W1432" i="4" s="1"/>
  <c r="N1432" i="4"/>
  <c r="S1432" i="4" s="1"/>
  <c r="X1432" i="4" s="1"/>
  <c r="O1432" i="4"/>
  <c r="T1432" i="4" s="1"/>
  <c r="Y1432" i="4" s="1"/>
  <c r="P1432" i="4"/>
  <c r="U1432" i="4"/>
  <c r="Z1432" i="4" s="1"/>
  <c r="Q1432" i="4"/>
  <c r="V1432" i="4"/>
  <c r="AA1432" i="4" s="1"/>
  <c r="M1433" i="4"/>
  <c r="R1433" i="4" s="1"/>
  <c r="W1433" i="4" s="1"/>
  <c r="N1433" i="4"/>
  <c r="S1433" i="4" s="1"/>
  <c r="X1433" i="4" s="1"/>
  <c r="O1433" i="4"/>
  <c r="T1433" i="4"/>
  <c r="Y1433" i="4" s="1"/>
  <c r="P1433" i="4"/>
  <c r="U1433" i="4"/>
  <c r="Z1433" i="4" s="1"/>
  <c r="Q1433" i="4"/>
  <c r="V1433" i="4" s="1"/>
  <c r="AA1433" i="4" s="1"/>
  <c r="M1434" i="4"/>
  <c r="R1434" i="4" s="1"/>
  <c r="W1434" i="4" s="1"/>
  <c r="N1434" i="4"/>
  <c r="S1434" i="4"/>
  <c r="X1434" i="4" s="1"/>
  <c r="O1434" i="4"/>
  <c r="T1434" i="4"/>
  <c r="Y1434" i="4" s="1"/>
  <c r="P1434" i="4"/>
  <c r="U1434" i="4" s="1"/>
  <c r="Z1434" i="4" s="1"/>
  <c r="Q1434" i="4"/>
  <c r="V1434" i="4" s="1"/>
  <c r="AA1434" i="4" s="1"/>
  <c r="M1435" i="4"/>
  <c r="R1435" i="4"/>
  <c r="W1435" i="4" s="1"/>
  <c r="N1435" i="4"/>
  <c r="S1435" i="4"/>
  <c r="X1435" i="4" s="1"/>
  <c r="O1435" i="4"/>
  <c r="T1435" i="4" s="1"/>
  <c r="Y1435" i="4" s="1"/>
  <c r="P1435" i="4"/>
  <c r="U1435" i="4" s="1"/>
  <c r="Z1435" i="4" s="1"/>
  <c r="Q1435" i="4"/>
  <c r="V1435" i="4"/>
  <c r="AA1435" i="4" s="1"/>
  <c r="M1436" i="4"/>
  <c r="R1436" i="4" s="1"/>
  <c r="W1436" i="4" s="1"/>
  <c r="N1436" i="4"/>
  <c r="S1436" i="4"/>
  <c r="X1436" i="4" s="1"/>
  <c r="O1436" i="4"/>
  <c r="T1436" i="4"/>
  <c r="Y1436" i="4" s="1"/>
  <c r="P1436" i="4"/>
  <c r="U1436" i="4" s="1"/>
  <c r="Z1436" i="4" s="1"/>
  <c r="Q1436" i="4"/>
  <c r="V1436" i="4" s="1"/>
  <c r="AA1436" i="4" s="1"/>
  <c r="M1437" i="4"/>
  <c r="R1437" i="4"/>
  <c r="W1437" i="4" s="1"/>
  <c r="N1437" i="4"/>
  <c r="S1437" i="4"/>
  <c r="X1437" i="4" s="1"/>
  <c r="O1437" i="4"/>
  <c r="T1437" i="4"/>
  <c r="Y1437" i="4" s="1"/>
  <c r="P1437" i="4"/>
  <c r="U1437" i="4" s="1"/>
  <c r="Z1437" i="4" s="1"/>
  <c r="Q1437" i="4"/>
  <c r="V1437" i="4" s="1"/>
  <c r="AA1437" i="4" s="1"/>
  <c r="M1438" i="4"/>
  <c r="R1438" i="4"/>
  <c r="W1438" i="4" s="1"/>
  <c r="N1438" i="4"/>
  <c r="S1438" i="4"/>
  <c r="X1438" i="4" s="1"/>
  <c r="O1438" i="4"/>
  <c r="T1438" i="4" s="1"/>
  <c r="Y1438" i="4" s="1"/>
  <c r="P1438" i="4"/>
  <c r="U1438" i="4" s="1"/>
  <c r="Z1438" i="4" s="1"/>
  <c r="Q1438" i="4"/>
  <c r="V1438" i="4"/>
  <c r="AA1438" i="4" s="1"/>
  <c r="M1439" i="4"/>
  <c r="R1439" i="4"/>
  <c r="W1439" i="4" s="1"/>
  <c r="N1439" i="4"/>
  <c r="S1439" i="4" s="1"/>
  <c r="X1439" i="4" s="1"/>
  <c r="O1439" i="4"/>
  <c r="T1439" i="4" s="1"/>
  <c r="Y1439" i="4" s="1"/>
  <c r="P1439" i="4"/>
  <c r="U1439" i="4"/>
  <c r="Z1439" i="4" s="1"/>
  <c r="Q1439" i="4"/>
  <c r="V1439" i="4"/>
  <c r="AA1439" i="4" s="1"/>
  <c r="M1440" i="4"/>
  <c r="R1440" i="4" s="1"/>
  <c r="W1440" i="4" s="1"/>
  <c r="N1440" i="4"/>
  <c r="S1440" i="4" s="1"/>
  <c r="X1440" i="4" s="1"/>
  <c r="O1440" i="4"/>
  <c r="T1440" i="4"/>
  <c r="Y1440" i="4" s="1"/>
  <c r="P1440" i="4"/>
  <c r="U1440" i="4"/>
  <c r="Z1440" i="4" s="1"/>
  <c r="Q1440" i="4"/>
  <c r="V1440" i="4" s="1"/>
  <c r="AA1440" i="4" s="1"/>
  <c r="M1441" i="4"/>
  <c r="R1441" i="4" s="1"/>
  <c r="W1441" i="4" s="1"/>
  <c r="N1441" i="4"/>
  <c r="S1441" i="4"/>
  <c r="X1441" i="4" s="1"/>
  <c r="O1441" i="4"/>
  <c r="T1441" i="4"/>
  <c r="Y1441" i="4" s="1"/>
  <c r="P1441" i="4"/>
  <c r="U1441" i="4" s="1"/>
  <c r="Z1441" i="4" s="1"/>
  <c r="Q1441" i="4"/>
  <c r="V1441" i="4" s="1"/>
  <c r="AA1441" i="4" s="1"/>
  <c r="M1442" i="4"/>
  <c r="R1442" i="4"/>
  <c r="W1442" i="4" s="1"/>
  <c r="N1442" i="4"/>
  <c r="S1442" i="4"/>
  <c r="X1442" i="4" s="1"/>
  <c r="O1442" i="4"/>
  <c r="T1442" i="4" s="1"/>
  <c r="Y1442" i="4" s="1"/>
  <c r="P1442" i="4"/>
  <c r="U1442" i="4" s="1"/>
  <c r="Z1442" i="4" s="1"/>
  <c r="Q1442" i="4"/>
  <c r="V1442" i="4"/>
  <c r="AA1442" i="4" s="1"/>
  <c r="M1443" i="4"/>
  <c r="R1443" i="4"/>
  <c r="W1443" i="4" s="1"/>
  <c r="N1443" i="4"/>
  <c r="S1443" i="4" s="1"/>
  <c r="X1443" i="4" s="1"/>
  <c r="O1443" i="4"/>
  <c r="T1443" i="4" s="1"/>
  <c r="Y1443" i="4" s="1"/>
  <c r="P1443" i="4"/>
  <c r="U1443" i="4"/>
  <c r="Z1443" i="4" s="1"/>
  <c r="Q1443" i="4"/>
  <c r="V1443" i="4"/>
  <c r="AA1443" i="4" s="1"/>
  <c r="M1444" i="4"/>
  <c r="R1444" i="4" s="1"/>
  <c r="W1444" i="4" s="1"/>
  <c r="N1444" i="4"/>
  <c r="S1444" i="4" s="1"/>
  <c r="X1444" i="4" s="1"/>
  <c r="O1444" i="4"/>
  <c r="T1444" i="4"/>
  <c r="Y1444" i="4" s="1"/>
  <c r="P1444" i="4"/>
  <c r="U1444" i="4"/>
  <c r="Z1444" i="4" s="1"/>
  <c r="Q1444" i="4"/>
  <c r="V1444" i="4" s="1"/>
  <c r="AA1444" i="4" s="1"/>
  <c r="M1445" i="4"/>
  <c r="R1445" i="4" s="1"/>
  <c r="W1445" i="4" s="1"/>
  <c r="N1445" i="4"/>
  <c r="S1445" i="4"/>
  <c r="X1445" i="4" s="1"/>
  <c r="O1445" i="4"/>
  <c r="T1445" i="4"/>
  <c r="Y1445" i="4" s="1"/>
  <c r="P1445" i="4"/>
  <c r="U1445" i="4" s="1"/>
  <c r="Z1445" i="4" s="1"/>
  <c r="Q1445" i="4"/>
  <c r="V1445" i="4" s="1"/>
  <c r="AA1445" i="4" s="1"/>
  <c r="M1446" i="4"/>
  <c r="R1446" i="4"/>
  <c r="W1446" i="4" s="1"/>
  <c r="N1446" i="4"/>
  <c r="S1446" i="4"/>
  <c r="X1446" i="4" s="1"/>
  <c r="O1446" i="4"/>
  <c r="T1446" i="4" s="1"/>
  <c r="Y1446" i="4" s="1"/>
  <c r="P1446" i="4"/>
  <c r="U1446" i="4" s="1"/>
  <c r="Z1446" i="4" s="1"/>
  <c r="Q1446" i="4"/>
  <c r="V1446" i="4"/>
  <c r="AA1446" i="4" s="1"/>
  <c r="M1447" i="4"/>
  <c r="R1447" i="4"/>
  <c r="W1447" i="4" s="1"/>
  <c r="N1447" i="4"/>
  <c r="S1447" i="4" s="1"/>
  <c r="X1447" i="4" s="1"/>
  <c r="O1447" i="4"/>
  <c r="T1447" i="4" s="1"/>
  <c r="Y1447" i="4" s="1"/>
  <c r="P1447" i="4"/>
  <c r="U1447" i="4"/>
  <c r="Z1447" i="4" s="1"/>
  <c r="Q1447" i="4"/>
  <c r="V1447" i="4"/>
  <c r="AA1447" i="4" s="1"/>
  <c r="M1448" i="4"/>
  <c r="R1448" i="4" s="1"/>
  <c r="W1448" i="4" s="1"/>
  <c r="N1448" i="4"/>
  <c r="S1448" i="4" s="1"/>
  <c r="X1448" i="4" s="1"/>
  <c r="O1448" i="4"/>
  <c r="T1448" i="4"/>
  <c r="Y1448" i="4" s="1"/>
  <c r="P1448" i="4"/>
  <c r="U1448" i="4"/>
  <c r="Z1448" i="4" s="1"/>
  <c r="Q1448" i="4"/>
  <c r="V1448" i="4" s="1"/>
  <c r="AA1448" i="4" s="1"/>
  <c r="M1449" i="4"/>
  <c r="R1449" i="4" s="1"/>
  <c r="W1449" i="4" s="1"/>
  <c r="N1449" i="4"/>
  <c r="S1449" i="4"/>
  <c r="X1449" i="4" s="1"/>
  <c r="O1449" i="4"/>
  <c r="T1449" i="4"/>
  <c r="Y1449" i="4" s="1"/>
  <c r="P1449" i="4"/>
  <c r="U1449" i="4" s="1"/>
  <c r="Z1449" i="4" s="1"/>
  <c r="Q1449" i="4"/>
  <c r="V1449" i="4" s="1"/>
  <c r="AA1449" i="4" s="1"/>
  <c r="M1450" i="4"/>
  <c r="R1450" i="4"/>
  <c r="W1450" i="4" s="1"/>
  <c r="N1450" i="4"/>
  <c r="S1450" i="4"/>
  <c r="X1450" i="4" s="1"/>
  <c r="O1450" i="4"/>
  <c r="T1450" i="4" s="1"/>
  <c r="Y1450" i="4" s="1"/>
  <c r="P1450" i="4"/>
  <c r="U1450" i="4" s="1"/>
  <c r="Z1450" i="4" s="1"/>
  <c r="Q1450" i="4"/>
  <c r="V1450" i="4"/>
  <c r="AA1450" i="4" s="1"/>
  <c r="M1451" i="4"/>
  <c r="R1451" i="4"/>
  <c r="W1451" i="4" s="1"/>
  <c r="N1451" i="4"/>
  <c r="S1451" i="4" s="1"/>
  <c r="X1451" i="4" s="1"/>
  <c r="O1451" i="4"/>
  <c r="T1451" i="4" s="1"/>
  <c r="Y1451" i="4" s="1"/>
  <c r="P1451" i="4"/>
  <c r="U1451" i="4"/>
  <c r="Z1451" i="4" s="1"/>
  <c r="Q1451" i="4"/>
  <c r="V1451" i="4"/>
  <c r="AA1451" i="4" s="1"/>
  <c r="M1452" i="4"/>
  <c r="R1452" i="4" s="1"/>
  <c r="W1452" i="4" s="1"/>
  <c r="N1452" i="4"/>
  <c r="S1452" i="4" s="1"/>
  <c r="X1452" i="4" s="1"/>
  <c r="O1452" i="4"/>
  <c r="T1452" i="4"/>
  <c r="Y1452" i="4" s="1"/>
  <c r="P1452" i="4"/>
  <c r="U1452" i="4"/>
  <c r="Z1452" i="4" s="1"/>
  <c r="Q1452" i="4"/>
  <c r="V1452" i="4" s="1"/>
  <c r="AA1452" i="4" s="1"/>
  <c r="M1453" i="4"/>
  <c r="R1453" i="4" s="1"/>
  <c r="W1453" i="4" s="1"/>
  <c r="N1453" i="4"/>
  <c r="S1453" i="4"/>
  <c r="X1453" i="4" s="1"/>
  <c r="O1453" i="4"/>
  <c r="T1453" i="4"/>
  <c r="Y1453" i="4" s="1"/>
  <c r="P1453" i="4"/>
  <c r="U1453" i="4" s="1"/>
  <c r="Z1453" i="4" s="1"/>
  <c r="Q1453" i="4"/>
  <c r="V1453" i="4" s="1"/>
  <c r="AA1453" i="4" s="1"/>
  <c r="M1454" i="4"/>
  <c r="R1454" i="4"/>
  <c r="W1454" i="4" s="1"/>
  <c r="N1454" i="4"/>
  <c r="S1454" i="4"/>
  <c r="X1454" i="4" s="1"/>
  <c r="O1454" i="4"/>
  <c r="T1454" i="4" s="1"/>
  <c r="Y1454" i="4" s="1"/>
  <c r="P1454" i="4"/>
  <c r="U1454" i="4" s="1"/>
  <c r="Z1454" i="4" s="1"/>
  <c r="Q1454" i="4"/>
  <c r="V1454" i="4"/>
  <c r="AA1454" i="4" s="1"/>
  <c r="M1455" i="4"/>
  <c r="R1455" i="4"/>
  <c r="W1455" i="4" s="1"/>
  <c r="N1455" i="4"/>
  <c r="S1455" i="4" s="1"/>
  <c r="X1455" i="4" s="1"/>
  <c r="O1455" i="4"/>
  <c r="T1455" i="4" s="1"/>
  <c r="Y1455" i="4" s="1"/>
  <c r="P1455" i="4"/>
  <c r="U1455" i="4"/>
  <c r="Z1455" i="4" s="1"/>
  <c r="Q1455" i="4"/>
  <c r="V1455" i="4"/>
  <c r="AA1455" i="4" s="1"/>
  <c r="M1456" i="4"/>
  <c r="R1456" i="4" s="1"/>
  <c r="W1456" i="4" s="1"/>
  <c r="N1456" i="4"/>
  <c r="S1456" i="4" s="1"/>
  <c r="X1456" i="4" s="1"/>
  <c r="O1456" i="4"/>
  <c r="T1456" i="4"/>
  <c r="Y1456" i="4" s="1"/>
  <c r="P1456" i="4"/>
  <c r="U1456" i="4"/>
  <c r="Z1456" i="4" s="1"/>
  <c r="Q1456" i="4"/>
  <c r="V1456" i="4" s="1"/>
  <c r="AA1456" i="4" s="1"/>
  <c r="M1457" i="4"/>
  <c r="R1457" i="4" s="1"/>
  <c r="W1457" i="4" s="1"/>
  <c r="N1457" i="4"/>
  <c r="S1457" i="4"/>
  <c r="X1457" i="4" s="1"/>
  <c r="O1457" i="4"/>
  <c r="T1457" i="4"/>
  <c r="Y1457" i="4" s="1"/>
  <c r="P1457" i="4"/>
  <c r="U1457" i="4" s="1"/>
  <c r="Z1457" i="4" s="1"/>
  <c r="Q1457" i="4"/>
  <c r="V1457" i="4" s="1"/>
  <c r="AA1457" i="4" s="1"/>
  <c r="M1458" i="4"/>
  <c r="R1458" i="4"/>
  <c r="W1458" i="4" s="1"/>
  <c r="N1458" i="4"/>
  <c r="S1458" i="4"/>
  <c r="X1458" i="4" s="1"/>
  <c r="O1458" i="4"/>
  <c r="T1458" i="4" s="1"/>
  <c r="Y1458" i="4" s="1"/>
  <c r="P1458" i="4"/>
  <c r="U1458" i="4" s="1"/>
  <c r="Z1458" i="4" s="1"/>
  <c r="Q1458" i="4"/>
  <c r="V1458" i="4"/>
  <c r="AA1458" i="4" s="1"/>
  <c r="M1459" i="4"/>
  <c r="R1459" i="4"/>
  <c r="W1459" i="4" s="1"/>
  <c r="N1459" i="4"/>
  <c r="S1459" i="4" s="1"/>
  <c r="X1459" i="4" s="1"/>
  <c r="O1459" i="4"/>
  <c r="T1459" i="4" s="1"/>
  <c r="Y1459" i="4" s="1"/>
  <c r="P1459" i="4"/>
  <c r="U1459" i="4"/>
  <c r="Z1459" i="4" s="1"/>
  <c r="Q1459" i="4"/>
  <c r="V1459" i="4"/>
  <c r="AA1459" i="4" s="1"/>
  <c r="M1460" i="4"/>
  <c r="R1460" i="4" s="1"/>
  <c r="W1460" i="4" s="1"/>
  <c r="N1460" i="4"/>
  <c r="S1460" i="4" s="1"/>
  <c r="X1460" i="4" s="1"/>
  <c r="O1460" i="4"/>
  <c r="T1460" i="4"/>
  <c r="Y1460" i="4" s="1"/>
  <c r="P1460" i="4"/>
  <c r="U1460" i="4"/>
  <c r="Z1460" i="4" s="1"/>
  <c r="Q1460" i="4"/>
  <c r="V1460" i="4" s="1"/>
  <c r="AA1460" i="4" s="1"/>
  <c r="M1461" i="4"/>
  <c r="R1461" i="4" s="1"/>
  <c r="W1461" i="4" s="1"/>
  <c r="N1461" i="4"/>
  <c r="S1461" i="4"/>
  <c r="X1461" i="4" s="1"/>
  <c r="O1461" i="4"/>
  <c r="T1461" i="4"/>
  <c r="Y1461" i="4" s="1"/>
  <c r="P1461" i="4"/>
  <c r="U1461" i="4" s="1"/>
  <c r="Z1461" i="4" s="1"/>
  <c r="Q1461" i="4"/>
  <c r="V1461" i="4" s="1"/>
  <c r="AA1461" i="4" s="1"/>
  <c r="M1462" i="4"/>
  <c r="R1462" i="4"/>
  <c r="W1462" i="4" s="1"/>
  <c r="N1462" i="4"/>
  <c r="S1462" i="4"/>
  <c r="X1462" i="4" s="1"/>
  <c r="O1462" i="4"/>
  <c r="T1462" i="4" s="1"/>
  <c r="Y1462" i="4" s="1"/>
  <c r="P1462" i="4"/>
  <c r="U1462" i="4" s="1"/>
  <c r="Z1462" i="4" s="1"/>
  <c r="Q1462" i="4"/>
  <c r="V1462" i="4"/>
  <c r="AA1462" i="4" s="1"/>
  <c r="Y84" i="9"/>
  <c r="K4" i="9"/>
  <c r="F4" i="9"/>
  <c r="Y262" i="9"/>
  <c r="W262" i="9"/>
  <c r="V262" i="9"/>
  <c r="U262" i="9"/>
  <c r="T262" i="9"/>
  <c r="S262" i="9"/>
  <c r="R262" i="9"/>
  <c r="Q262" i="9"/>
  <c r="P262" i="9"/>
  <c r="N262" i="9"/>
  <c r="M262" i="9"/>
  <c r="L262" i="9"/>
  <c r="K262" i="9"/>
  <c r="J262" i="9"/>
  <c r="I262" i="9"/>
  <c r="H262" i="9"/>
  <c r="G262" i="9"/>
  <c r="F262" i="9"/>
  <c r="E262" i="9"/>
  <c r="D262" i="9"/>
  <c r="C262" i="9"/>
  <c r="B262" i="9"/>
  <c r="A262" i="9"/>
  <c r="Y261" i="9"/>
  <c r="W261" i="9"/>
  <c r="V261" i="9"/>
  <c r="U261" i="9"/>
  <c r="T261" i="9"/>
  <c r="S261" i="9"/>
  <c r="R261" i="9"/>
  <c r="Q261" i="9"/>
  <c r="P261" i="9"/>
  <c r="N261" i="9"/>
  <c r="M261" i="9"/>
  <c r="L261" i="9"/>
  <c r="K261" i="9"/>
  <c r="J261" i="9"/>
  <c r="I261" i="9"/>
  <c r="H261" i="9"/>
  <c r="G261" i="9"/>
  <c r="F261" i="9"/>
  <c r="E261" i="9"/>
  <c r="D261" i="9"/>
  <c r="C261" i="9"/>
  <c r="B261" i="9"/>
  <c r="A261" i="9"/>
  <c r="Y260" i="9"/>
  <c r="W260" i="9"/>
  <c r="V260" i="9"/>
  <c r="U260" i="9"/>
  <c r="T260" i="9"/>
  <c r="S260" i="9"/>
  <c r="R260" i="9"/>
  <c r="Q260" i="9"/>
  <c r="P260" i="9"/>
  <c r="N260" i="9"/>
  <c r="M260" i="9"/>
  <c r="L260" i="9"/>
  <c r="K260" i="9"/>
  <c r="J260" i="9"/>
  <c r="I260" i="9"/>
  <c r="H260" i="9"/>
  <c r="G260" i="9"/>
  <c r="F260" i="9"/>
  <c r="E260" i="9"/>
  <c r="D260" i="9"/>
  <c r="C260" i="9"/>
  <c r="B260" i="9"/>
  <c r="A260" i="9"/>
  <c r="Y259" i="9"/>
  <c r="W259" i="9"/>
  <c r="V259" i="9"/>
  <c r="U259" i="9"/>
  <c r="T259" i="9"/>
  <c r="S259" i="9"/>
  <c r="R259" i="9"/>
  <c r="Q259" i="9"/>
  <c r="P259" i="9"/>
  <c r="N259" i="9"/>
  <c r="M259" i="9"/>
  <c r="L259" i="9"/>
  <c r="K259" i="9"/>
  <c r="J259" i="9"/>
  <c r="I259" i="9"/>
  <c r="H259" i="9"/>
  <c r="G259" i="9"/>
  <c r="F259" i="9"/>
  <c r="E259" i="9"/>
  <c r="D259" i="9"/>
  <c r="C259" i="9"/>
  <c r="B259" i="9"/>
  <c r="A259" i="9"/>
  <c r="Y258" i="9"/>
  <c r="W258" i="9"/>
  <c r="V258" i="9"/>
  <c r="U258" i="9"/>
  <c r="T258" i="9"/>
  <c r="S258" i="9"/>
  <c r="R258" i="9"/>
  <c r="Q258" i="9"/>
  <c r="P258" i="9"/>
  <c r="N258" i="9"/>
  <c r="M258" i="9"/>
  <c r="L258" i="9"/>
  <c r="K258" i="9"/>
  <c r="J258" i="9"/>
  <c r="I258" i="9"/>
  <c r="H258" i="9"/>
  <c r="G258" i="9"/>
  <c r="F258" i="9"/>
  <c r="E258" i="9"/>
  <c r="D258" i="9"/>
  <c r="C258" i="9"/>
  <c r="B258" i="9"/>
  <c r="A258" i="9"/>
  <c r="Y257" i="9"/>
  <c r="W257" i="9"/>
  <c r="V257" i="9"/>
  <c r="U257" i="9"/>
  <c r="T257" i="9"/>
  <c r="S257" i="9"/>
  <c r="R257" i="9"/>
  <c r="Q257" i="9"/>
  <c r="P257" i="9"/>
  <c r="N257" i="9"/>
  <c r="M257" i="9"/>
  <c r="L257" i="9"/>
  <c r="K257" i="9"/>
  <c r="J257" i="9"/>
  <c r="I257" i="9"/>
  <c r="H257" i="9"/>
  <c r="G257" i="9"/>
  <c r="F257" i="9"/>
  <c r="E257" i="9"/>
  <c r="D257" i="9"/>
  <c r="C257" i="9"/>
  <c r="B257" i="9"/>
  <c r="A257" i="9"/>
  <c r="Y256" i="9"/>
  <c r="W256" i="9"/>
  <c r="V256" i="9"/>
  <c r="U256" i="9"/>
  <c r="T256" i="9"/>
  <c r="S256" i="9"/>
  <c r="R256" i="9"/>
  <c r="Q256" i="9"/>
  <c r="P256" i="9"/>
  <c r="N256" i="9"/>
  <c r="M256" i="9"/>
  <c r="L256" i="9"/>
  <c r="K256" i="9"/>
  <c r="J256" i="9"/>
  <c r="I256" i="9"/>
  <c r="H256" i="9"/>
  <c r="G256" i="9"/>
  <c r="F256" i="9"/>
  <c r="E256" i="9"/>
  <c r="D256" i="9"/>
  <c r="C256" i="9"/>
  <c r="B256" i="9"/>
  <c r="A256" i="9"/>
  <c r="Y255" i="9"/>
  <c r="W255" i="9"/>
  <c r="V255" i="9"/>
  <c r="U255" i="9"/>
  <c r="T255" i="9"/>
  <c r="S255" i="9"/>
  <c r="R255" i="9"/>
  <c r="Q255" i="9"/>
  <c r="P255" i="9"/>
  <c r="N255" i="9"/>
  <c r="M255" i="9"/>
  <c r="L255" i="9"/>
  <c r="K255" i="9"/>
  <c r="J255" i="9"/>
  <c r="I255" i="9"/>
  <c r="H255" i="9"/>
  <c r="G255" i="9"/>
  <c r="F255" i="9"/>
  <c r="E255" i="9"/>
  <c r="D255" i="9"/>
  <c r="C255" i="9"/>
  <c r="B255" i="9"/>
  <c r="A255" i="9"/>
  <c r="Y254" i="9"/>
  <c r="W254" i="9"/>
  <c r="V254" i="9"/>
  <c r="U254" i="9"/>
  <c r="T254" i="9"/>
  <c r="S254" i="9"/>
  <c r="R254" i="9"/>
  <c r="Q254" i="9"/>
  <c r="P254" i="9"/>
  <c r="N254" i="9"/>
  <c r="M254" i="9"/>
  <c r="L254" i="9"/>
  <c r="K254" i="9"/>
  <c r="J254" i="9"/>
  <c r="I254" i="9"/>
  <c r="H254" i="9"/>
  <c r="G254" i="9"/>
  <c r="F254" i="9"/>
  <c r="E254" i="9"/>
  <c r="D254" i="9"/>
  <c r="C254" i="9"/>
  <c r="B254" i="9"/>
  <c r="A254" i="9"/>
  <c r="Y253" i="9"/>
  <c r="W253" i="9"/>
  <c r="V253" i="9"/>
  <c r="U253" i="9"/>
  <c r="T253" i="9"/>
  <c r="S253" i="9"/>
  <c r="R253" i="9"/>
  <c r="Q253" i="9"/>
  <c r="P253" i="9"/>
  <c r="N253" i="9"/>
  <c r="M253" i="9"/>
  <c r="L253" i="9"/>
  <c r="K253" i="9"/>
  <c r="J253" i="9"/>
  <c r="I253" i="9"/>
  <c r="H253" i="9"/>
  <c r="G253" i="9"/>
  <c r="F253" i="9"/>
  <c r="E253" i="9"/>
  <c r="D253" i="9"/>
  <c r="C253" i="9"/>
  <c r="B253" i="9"/>
  <c r="A253" i="9"/>
  <c r="Y252" i="9"/>
  <c r="W252" i="9"/>
  <c r="V252" i="9"/>
  <c r="U252" i="9"/>
  <c r="T252" i="9"/>
  <c r="S252" i="9"/>
  <c r="R252" i="9"/>
  <c r="Q252" i="9"/>
  <c r="P252" i="9"/>
  <c r="N252" i="9"/>
  <c r="M252" i="9"/>
  <c r="L252" i="9"/>
  <c r="K252" i="9"/>
  <c r="J252" i="9"/>
  <c r="I252" i="9"/>
  <c r="H252" i="9"/>
  <c r="G252" i="9"/>
  <c r="F252" i="9"/>
  <c r="E252" i="9"/>
  <c r="D252" i="9"/>
  <c r="C252" i="9"/>
  <c r="B252" i="9"/>
  <c r="A252" i="9"/>
  <c r="Y251" i="9"/>
  <c r="W251" i="9"/>
  <c r="V251" i="9"/>
  <c r="U251" i="9"/>
  <c r="T251" i="9"/>
  <c r="S251" i="9"/>
  <c r="R251" i="9"/>
  <c r="Q251" i="9"/>
  <c r="P251" i="9"/>
  <c r="N251" i="9"/>
  <c r="M251" i="9"/>
  <c r="L251" i="9"/>
  <c r="K251" i="9"/>
  <c r="J251" i="9"/>
  <c r="I251" i="9"/>
  <c r="H251" i="9"/>
  <c r="G251" i="9"/>
  <c r="F251" i="9"/>
  <c r="E251" i="9"/>
  <c r="D251" i="9"/>
  <c r="C251" i="9"/>
  <c r="B251" i="9"/>
  <c r="A251" i="9"/>
  <c r="Y250" i="9"/>
  <c r="W250" i="9"/>
  <c r="V250" i="9"/>
  <c r="U250" i="9"/>
  <c r="T250" i="9"/>
  <c r="S250" i="9"/>
  <c r="R250" i="9"/>
  <c r="Q250" i="9"/>
  <c r="P250" i="9"/>
  <c r="N250" i="9"/>
  <c r="M250" i="9"/>
  <c r="L250" i="9"/>
  <c r="K250" i="9"/>
  <c r="J250" i="9"/>
  <c r="I250" i="9"/>
  <c r="H250" i="9"/>
  <c r="G250" i="9"/>
  <c r="F250" i="9"/>
  <c r="E250" i="9"/>
  <c r="D250" i="9"/>
  <c r="C250" i="9"/>
  <c r="B250" i="9"/>
  <c r="A250" i="9"/>
  <c r="Y249" i="9"/>
  <c r="W249" i="9"/>
  <c r="V249" i="9"/>
  <c r="U249" i="9"/>
  <c r="T249" i="9"/>
  <c r="S249" i="9"/>
  <c r="R249" i="9"/>
  <c r="Q249" i="9"/>
  <c r="P249" i="9"/>
  <c r="N249" i="9"/>
  <c r="M249" i="9"/>
  <c r="L249" i="9"/>
  <c r="K249" i="9"/>
  <c r="J249" i="9"/>
  <c r="I249" i="9"/>
  <c r="H249" i="9"/>
  <c r="G249" i="9"/>
  <c r="F249" i="9"/>
  <c r="E249" i="9"/>
  <c r="D249" i="9"/>
  <c r="C249" i="9"/>
  <c r="B249" i="9"/>
  <c r="A249" i="9"/>
  <c r="Y248" i="9"/>
  <c r="W248" i="9"/>
  <c r="V248" i="9"/>
  <c r="U248" i="9"/>
  <c r="T248" i="9"/>
  <c r="S248" i="9"/>
  <c r="R248" i="9"/>
  <c r="Q248" i="9"/>
  <c r="P248" i="9"/>
  <c r="N248" i="9"/>
  <c r="M248" i="9"/>
  <c r="L248" i="9"/>
  <c r="K248" i="9"/>
  <c r="J248" i="9"/>
  <c r="I248" i="9"/>
  <c r="H248" i="9"/>
  <c r="G248" i="9"/>
  <c r="F248" i="9"/>
  <c r="E248" i="9"/>
  <c r="D248" i="9"/>
  <c r="C248" i="9"/>
  <c r="B248" i="9"/>
  <c r="A248" i="9"/>
  <c r="Y247" i="9"/>
  <c r="W247" i="9"/>
  <c r="V247" i="9"/>
  <c r="U247" i="9"/>
  <c r="T247" i="9"/>
  <c r="S247" i="9"/>
  <c r="R247" i="9"/>
  <c r="Q247" i="9"/>
  <c r="P247" i="9"/>
  <c r="N247" i="9"/>
  <c r="M247" i="9"/>
  <c r="L247" i="9"/>
  <c r="K247" i="9"/>
  <c r="J247" i="9"/>
  <c r="I247" i="9"/>
  <c r="H247" i="9"/>
  <c r="G247" i="9"/>
  <c r="F247" i="9"/>
  <c r="E247" i="9"/>
  <c r="D247" i="9"/>
  <c r="C247" i="9"/>
  <c r="B247" i="9"/>
  <c r="A247" i="9"/>
  <c r="A246" i="9"/>
  <c r="Y245" i="9"/>
  <c r="W245" i="9"/>
  <c r="V245" i="9"/>
  <c r="U245" i="9"/>
  <c r="T245" i="9"/>
  <c r="S245" i="9"/>
  <c r="R245" i="9"/>
  <c r="Q245" i="9"/>
  <c r="P245" i="9"/>
  <c r="N245" i="9"/>
  <c r="M245" i="9"/>
  <c r="L245" i="9"/>
  <c r="K245" i="9"/>
  <c r="J245" i="9"/>
  <c r="I245" i="9"/>
  <c r="H245" i="9"/>
  <c r="G245" i="9"/>
  <c r="F245" i="9"/>
  <c r="E245" i="9"/>
  <c r="D245" i="9"/>
  <c r="C245" i="9"/>
  <c r="B245" i="9"/>
  <c r="A245" i="9"/>
  <c r="Y244" i="9"/>
  <c r="W244" i="9"/>
  <c r="V244" i="9"/>
  <c r="U244" i="9"/>
  <c r="T244" i="9"/>
  <c r="S244" i="9"/>
  <c r="R244" i="9"/>
  <c r="Q244" i="9"/>
  <c r="P244" i="9"/>
  <c r="N244" i="9"/>
  <c r="M244" i="9"/>
  <c r="L244" i="9"/>
  <c r="K244" i="9"/>
  <c r="J244" i="9"/>
  <c r="I244" i="9"/>
  <c r="H244" i="9"/>
  <c r="G244" i="9"/>
  <c r="F244" i="9"/>
  <c r="E244" i="9"/>
  <c r="D244" i="9"/>
  <c r="C244" i="9"/>
  <c r="B244" i="9"/>
  <c r="A244" i="9"/>
  <c r="Y243" i="9"/>
  <c r="W243" i="9"/>
  <c r="V243" i="9"/>
  <c r="U243" i="9"/>
  <c r="T243" i="9"/>
  <c r="S243" i="9"/>
  <c r="R243" i="9"/>
  <c r="Q243" i="9"/>
  <c r="P243" i="9"/>
  <c r="N243" i="9"/>
  <c r="M243" i="9"/>
  <c r="L243" i="9"/>
  <c r="K243" i="9"/>
  <c r="J243" i="9"/>
  <c r="I243" i="9"/>
  <c r="H243" i="9"/>
  <c r="G243" i="9"/>
  <c r="F243" i="9"/>
  <c r="E243" i="9"/>
  <c r="D243" i="9"/>
  <c r="C243" i="9"/>
  <c r="B243" i="9"/>
  <c r="A243" i="9"/>
  <c r="Y242" i="9"/>
  <c r="W242" i="9"/>
  <c r="V242" i="9"/>
  <c r="U242" i="9"/>
  <c r="T242" i="9"/>
  <c r="S242" i="9"/>
  <c r="R242" i="9"/>
  <c r="Q242" i="9"/>
  <c r="P242" i="9"/>
  <c r="N242" i="9"/>
  <c r="M242" i="9"/>
  <c r="L242" i="9"/>
  <c r="K242" i="9"/>
  <c r="J242" i="9"/>
  <c r="I242" i="9"/>
  <c r="H242" i="9"/>
  <c r="G242" i="9"/>
  <c r="F242" i="9"/>
  <c r="E242" i="9"/>
  <c r="D242" i="9"/>
  <c r="C242" i="9"/>
  <c r="B242" i="9"/>
  <c r="A242" i="9"/>
  <c r="Y241" i="9"/>
  <c r="W241" i="9"/>
  <c r="V241" i="9"/>
  <c r="U241" i="9"/>
  <c r="T241" i="9"/>
  <c r="S241" i="9"/>
  <c r="R241" i="9"/>
  <c r="Q241" i="9"/>
  <c r="P241" i="9"/>
  <c r="N241" i="9"/>
  <c r="M241" i="9"/>
  <c r="L241" i="9"/>
  <c r="K241" i="9"/>
  <c r="J241" i="9"/>
  <c r="I241" i="9"/>
  <c r="H241" i="9"/>
  <c r="G241" i="9"/>
  <c r="F241" i="9"/>
  <c r="E241" i="9"/>
  <c r="D241" i="9"/>
  <c r="C241" i="9"/>
  <c r="B241" i="9"/>
  <c r="A241" i="9"/>
  <c r="Y240" i="9"/>
  <c r="W240" i="9"/>
  <c r="V240" i="9"/>
  <c r="U240" i="9"/>
  <c r="T240" i="9"/>
  <c r="S240" i="9"/>
  <c r="R240" i="9"/>
  <c r="Q240" i="9"/>
  <c r="P240" i="9"/>
  <c r="N240" i="9"/>
  <c r="M240" i="9"/>
  <c r="L240" i="9"/>
  <c r="K240" i="9"/>
  <c r="J240" i="9"/>
  <c r="I240" i="9"/>
  <c r="H240" i="9"/>
  <c r="G240" i="9"/>
  <c r="F240" i="9"/>
  <c r="E240" i="9"/>
  <c r="D240" i="9"/>
  <c r="C240" i="9"/>
  <c r="B240" i="9"/>
  <c r="A240" i="9"/>
  <c r="Y239" i="9"/>
  <c r="W239" i="9"/>
  <c r="V239" i="9"/>
  <c r="U239" i="9"/>
  <c r="T239" i="9"/>
  <c r="S239" i="9"/>
  <c r="R239" i="9"/>
  <c r="Q239" i="9"/>
  <c r="P239" i="9"/>
  <c r="N239" i="9"/>
  <c r="M239" i="9"/>
  <c r="L239" i="9"/>
  <c r="K239" i="9"/>
  <c r="J239" i="9"/>
  <c r="I239" i="9"/>
  <c r="H239" i="9"/>
  <c r="G239" i="9"/>
  <c r="F239" i="9"/>
  <c r="E239" i="9"/>
  <c r="D239" i="9"/>
  <c r="C239" i="9"/>
  <c r="B239" i="9"/>
  <c r="A239" i="9"/>
  <c r="Y238" i="9"/>
  <c r="W238" i="9"/>
  <c r="V238" i="9"/>
  <c r="U238" i="9"/>
  <c r="T238" i="9"/>
  <c r="S238" i="9"/>
  <c r="R238" i="9"/>
  <c r="Q238" i="9"/>
  <c r="P238" i="9"/>
  <c r="N238" i="9"/>
  <c r="M238" i="9"/>
  <c r="L238" i="9"/>
  <c r="K238" i="9"/>
  <c r="J238" i="9"/>
  <c r="I238" i="9"/>
  <c r="H238" i="9"/>
  <c r="G238" i="9"/>
  <c r="F238" i="9"/>
  <c r="E238" i="9"/>
  <c r="D238" i="9"/>
  <c r="C238" i="9"/>
  <c r="B238" i="9"/>
  <c r="A238" i="9"/>
  <c r="Y237" i="9"/>
  <c r="W237" i="9"/>
  <c r="V237" i="9"/>
  <c r="U237" i="9"/>
  <c r="T237" i="9"/>
  <c r="S237" i="9"/>
  <c r="R237" i="9"/>
  <c r="Q237" i="9"/>
  <c r="P237" i="9"/>
  <c r="N237" i="9"/>
  <c r="M237" i="9"/>
  <c r="L237" i="9"/>
  <c r="K237" i="9"/>
  <c r="J237" i="9"/>
  <c r="I237" i="9"/>
  <c r="H237" i="9"/>
  <c r="G237" i="9"/>
  <c r="F237" i="9"/>
  <c r="E237" i="9"/>
  <c r="D237" i="9"/>
  <c r="C237" i="9"/>
  <c r="B237" i="9"/>
  <c r="A237" i="9"/>
  <c r="Y236" i="9"/>
  <c r="W236" i="9"/>
  <c r="V236" i="9"/>
  <c r="U236" i="9"/>
  <c r="T236" i="9"/>
  <c r="S236" i="9"/>
  <c r="R236" i="9"/>
  <c r="Q236" i="9"/>
  <c r="P236" i="9"/>
  <c r="N236" i="9"/>
  <c r="M236" i="9"/>
  <c r="L236" i="9"/>
  <c r="K236" i="9"/>
  <c r="J236" i="9"/>
  <c r="I236" i="9"/>
  <c r="H236" i="9"/>
  <c r="G236" i="9"/>
  <c r="F236" i="9"/>
  <c r="E236" i="9"/>
  <c r="D236" i="9"/>
  <c r="C236" i="9"/>
  <c r="B236" i="9"/>
  <c r="A236" i="9"/>
  <c r="Y235" i="9"/>
  <c r="W235" i="9"/>
  <c r="V235" i="9"/>
  <c r="U235" i="9"/>
  <c r="T235" i="9"/>
  <c r="S235" i="9"/>
  <c r="R235" i="9"/>
  <c r="Q235" i="9"/>
  <c r="P235" i="9"/>
  <c r="N235" i="9"/>
  <c r="M235" i="9"/>
  <c r="L235" i="9"/>
  <c r="K235" i="9"/>
  <c r="J235" i="9"/>
  <c r="I235" i="9"/>
  <c r="H235" i="9"/>
  <c r="G235" i="9"/>
  <c r="F235" i="9"/>
  <c r="E235" i="9"/>
  <c r="D235" i="9"/>
  <c r="C235" i="9"/>
  <c r="B235" i="9"/>
  <c r="A235" i="9"/>
  <c r="Y234" i="9"/>
  <c r="W234" i="9"/>
  <c r="V234" i="9"/>
  <c r="U234" i="9"/>
  <c r="T234" i="9"/>
  <c r="S234" i="9"/>
  <c r="R234" i="9"/>
  <c r="Q234" i="9"/>
  <c r="P234" i="9"/>
  <c r="N234" i="9"/>
  <c r="M234" i="9"/>
  <c r="L234" i="9"/>
  <c r="K234" i="9"/>
  <c r="J234" i="9"/>
  <c r="I234" i="9"/>
  <c r="H234" i="9"/>
  <c r="G234" i="9"/>
  <c r="F234" i="9"/>
  <c r="E234" i="9"/>
  <c r="D234" i="9"/>
  <c r="C234" i="9"/>
  <c r="B234" i="9"/>
  <c r="A234" i="9"/>
  <c r="Y233" i="9"/>
  <c r="W233" i="9"/>
  <c r="V233" i="9"/>
  <c r="U233" i="9"/>
  <c r="T233" i="9"/>
  <c r="S233" i="9"/>
  <c r="R233" i="9"/>
  <c r="Q233" i="9"/>
  <c r="P233" i="9"/>
  <c r="N233" i="9"/>
  <c r="M233" i="9"/>
  <c r="L233" i="9"/>
  <c r="K233" i="9"/>
  <c r="J233" i="9"/>
  <c r="I233" i="9"/>
  <c r="H233" i="9"/>
  <c r="G233" i="9"/>
  <c r="F233" i="9"/>
  <c r="E233" i="9"/>
  <c r="D233" i="9"/>
  <c r="C233" i="9"/>
  <c r="B233" i="9"/>
  <c r="A233" i="9"/>
  <c r="Y232" i="9"/>
  <c r="W232" i="9"/>
  <c r="V232" i="9"/>
  <c r="U232" i="9"/>
  <c r="T232" i="9"/>
  <c r="S232" i="9"/>
  <c r="R232" i="9"/>
  <c r="Q232" i="9"/>
  <c r="P232" i="9"/>
  <c r="N232" i="9"/>
  <c r="M232" i="9"/>
  <c r="L232" i="9"/>
  <c r="K232" i="9"/>
  <c r="J232" i="9"/>
  <c r="I232" i="9"/>
  <c r="H232" i="9"/>
  <c r="G232" i="9"/>
  <c r="F232" i="9"/>
  <c r="E232" i="9"/>
  <c r="D232" i="9"/>
  <c r="C232" i="9"/>
  <c r="B232" i="9"/>
  <c r="A232" i="9"/>
  <c r="Y231" i="9"/>
  <c r="W231" i="9"/>
  <c r="V231" i="9"/>
  <c r="U231" i="9"/>
  <c r="T231" i="9"/>
  <c r="S231" i="9"/>
  <c r="R231" i="9"/>
  <c r="Q231" i="9"/>
  <c r="P231" i="9"/>
  <c r="N231" i="9"/>
  <c r="M231" i="9"/>
  <c r="L231" i="9"/>
  <c r="K231" i="9"/>
  <c r="J231" i="9"/>
  <c r="I231" i="9"/>
  <c r="H231" i="9"/>
  <c r="G231" i="9"/>
  <c r="F231" i="9"/>
  <c r="E231" i="9"/>
  <c r="D231" i="9"/>
  <c r="C231" i="9"/>
  <c r="B231" i="9"/>
  <c r="A231" i="9"/>
  <c r="Y230" i="9"/>
  <c r="W230" i="9"/>
  <c r="V230" i="9"/>
  <c r="U230" i="9"/>
  <c r="T230" i="9"/>
  <c r="S230" i="9"/>
  <c r="R230" i="9"/>
  <c r="Q230" i="9"/>
  <c r="P230" i="9"/>
  <c r="N230" i="9"/>
  <c r="M230" i="9"/>
  <c r="L230" i="9"/>
  <c r="K230" i="9"/>
  <c r="J230" i="9"/>
  <c r="I230" i="9"/>
  <c r="H230" i="9"/>
  <c r="G230" i="9"/>
  <c r="F230" i="9"/>
  <c r="E230" i="9"/>
  <c r="D230" i="9"/>
  <c r="C230" i="9"/>
  <c r="B230" i="9"/>
  <c r="A230" i="9"/>
  <c r="Y229" i="9"/>
  <c r="W229" i="9"/>
  <c r="V229" i="9"/>
  <c r="U229" i="9"/>
  <c r="T229" i="9"/>
  <c r="S229" i="9"/>
  <c r="R229" i="9"/>
  <c r="Q229" i="9"/>
  <c r="P229" i="9"/>
  <c r="N229" i="9"/>
  <c r="M229" i="9"/>
  <c r="L229" i="9"/>
  <c r="K229" i="9"/>
  <c r="J229" i="9"/>
  <c r="I229" i="9"/>
  <c r="H229" i="9"/>
  <c r="G229" i="9"/>
  <c r="F229" i="9"/>
  <c r="E229" i="9"/>
  <c r="D229" i="9"/>
  <c r="C229" i="9"/>
  <c r="B229" i="9"/>
  <c r="A229" i="9"/>
  <c r="Y228" i="9"/>
  <c r="W228" i="9"/>
  <c r="V228" i="9"/>
  <c r="U228" i="9"/>
  <c r="T228" i="9"/>
  <c r="S228" i="9"/>
  <c r="R228" i="9"/>
  <c r="Q228" i="9"/>
  <c r="P228" i="9"/>
  <c r="N228" i="9"/>
  <c r="M228" i="9"/>
  <c r="L228" i="9"/>
  <c r="K228" i="9"/>
  <c r="J228" i="9"/>
  <c r="I228" i="9"/>
  <c r="H228" i="9"/>
  <c r="G228" i="9"/>
  <c r="F228" i="9"/>
  <c r="E228" i="9"/>
  <c r="D228" i="9"/>
  <c r="C228" i="9"/>
  <c r="B228" i="9"/>
  <c r="A228" i="9"/>
  <c r="Y227" i="9"/>
  <c r="W227" i="9"/>
  <c r="V227" i="9"/>
  <c r="U227" i="9"/>
  <c r="T227" i="9"/>
  <c r="S227" i="9"/>
  <c r="R227" i="9"/>
  <c r="Q227" i="9"/>
  <c r="P227" i="9"/>
  <c r="N227" i="9"/>
  <c r="M227" i="9"/>
  <c r="L227" i="9"/>
  <c r="K227" i="9"/>
  <c r="J227" i="9"/>
  <c r="I227" i="9"/>
  <c r="H227" i="9"/>
  <c r="G227" i="9"/>
  <c r="F227" i="9"/>
  <c r="E227" i="9"/>
  <c r="D227" i="9"/>
  <c r="C227" i="9"/>
  <c r="B227" i="9"/>
  <c r="A227" i="9"/>
  <c r="Y226" i="9"/>
  <c r="W226" i="9"/>
  <c r="V226" i="9"/>
  <c r="U226" i="9"/>
  <c r="T226" i="9"/>
  <c r="S226" i="9"/>
  <c r="R226" i="9"/>
  <c r="Q226" i="9"/>
  <c r="P226" i="9"/>
  <c r="N226" i="9"/>
  <c r="M226" i="9"/>
  <c r="L226" i="9"/>
  <c r="K226" i="9"/>
  <c r="J226" i="9"/>
  <c r="I226" i="9"/>
  <c r="H226" i="9"/>
  <c r="G226" i="9"/>
  <c r="F226" i="9"/>
  <c r="E226" i="9"/>
  <c r="D226" i="9"/>
  <c r="C226" i="9"/>
  <c r="B226" i="9"/>
  <c r="A226" i="9"/>
  <c r="Y225" i="9"/>
  <c r="W225" i="9"/>
  <c r="V225" i="9"/>
  <c r="U225" i="9"/>
  <c r="T225" i="9"/>
  <c r="S225" i="9"/>
  <c r="R225" i="9"/>
  <c r="Q225" i="9"/>
  <c r="P225" i="9"/>
  <c r="N225" i="9"/>
  <c r="M225" i="9"/>
  <c r="L225" i="9"/>
  <c r="K225" i="9"/>
  <c r="J225" i="9"/>
  <c r="I225" i="9"/>
  <c r="H225" i="9"/>
  <c r="G225" i="9"/>
  <c r="F225" i="9"/>
  <c r="E225" i="9"/>
  <c r="D225" i="9"/>
  <c r="C225" i="9"/>
  <c r="B225" i="9"/>
  <c r="A225" i="9"/>
  <c r="Y224" i="9"/>
  <c r="W224" i="9"/>
  <c r="V224" i="9"/>
  <c r="U224" i="9"/>
  <c r="T224" i="9"/>
  <c r="S224" i="9"/>
  <c r="R224" i="9"/>
  <c r="Q224" i="9"/>
  <c r="P224" i="9"/>
  <c r="N224" i="9"/>
  <c r="M224" i="9"/>
  <c r="L224" i="9"/>
  <c r="K224" i="9"/>
  <c r="J224" i="9"/>
  <c r="I224" i="9"/>
  <c r="H224" i="9"/>
  <c r="G224" i="9"/>
  <c r="F224" i="9"/>
  <c r="E224" i="9"/>
  <c r="D224" i="9"/>
  <c r="C224" i="9"/>
  <c r="B224" i="9"/>
  <c r="A224" i="9"/>
  <c r="Y223" i="9"/>
  <c r="W223" i="9"/>
  <c r="V223" i="9"/>
  <c r="U223" i="9"/>
  <c r="T223" i="9"/>
  <c r="S223" i="9"/>
  <c r="R223" i="9"/>
  <c r="Q223" i="9"/>
  <c r="P223" i="9"/>
  <c r="N223" i="9"/>
  <c r="M223" i="9"/>
  <c r="L223" i="9"/>
  <c r="K223" i="9"/>
  <c r="J223" i="9"/>
  <c r="I223" i="9"/>
  <c r="H223" i="9"/>
  <c r="G223" i="9"/>
  <c r="F223" i="9"/>
  <c r="E223" i="9"/>
  <c r="D223" i="9"/>
  <c r="C223" i="9"/>
  <c r="B223" i="9"/>
  <c r="A223" i="9"/>
  <c r="A222" i="9"/>
  <c r="F200" i="1"/>
  <c r="F202" i="1"/>
  <c r="F201" i="1"/>
  <c r="F239" i="1"/>
  <c r="F240" i="1"/>
  <c r="F209" i="1"/>
  <c r="F208" i="1"/>
  <c r="F207" i="1"/>
  <c r="F206" i="1"/>
  <c r="F205" i="1"/>
  <c r="Y221" i="9"/>
  <c r="W221" i="9"/>
  <c r="V221" i="9"/>
  <c r="U221" i="9"/>
  <c r="T221" i="9"/>
  <c r="S221" i="9"/>
  <c r="R221" i="9"/>
  <c r="Q221" i="9"/>
  <c r="P221" i="9"/>
  <c r="N221" i="9"/>
  <c r="M221" i="9"/>
  <c r="L221" i="9"/>
  <c r="K221" i="9"/>
  <c r="J221" i="9"/>
  <c r="I221" i="9"/>
  <c r="H221" i="9"/>
  <c r="G221" i="9"/>
  <c r="F221" i="9"/>
  <c r="E221" i="9"/>
  <c r="D221" i="9"/>
  <c r="C221" i="9"/>
  <c r="B221" i="9"/>
  <c r="A221" i="9"/>
  <c r="Y220" i="9"/>
  <c r="W220" i="9"/>
  <c r="V220" i="9"/>
  <c r="U220" i="9"/>
  <c r="T220" i="9"/>
  <c r="S220" i="9"/>
  <c r="R220" i="9"/>
  <c r="Q220" i="9"/>
  <c r="P220" i="9"/>
  <c r="N220" i="9"/>
  <c r="M220" i="9"/>
  <c r="L220" i="9"/>
  <c r="K220" i="9"/>
  <c r="J220" i="9"/>
  <c r="I220" i="9"/>
  <c r="H220" i="9"/>
  <c r="G220" i="9"/>
  <c r="F220" i="9"/>
  <c r="E220" i="9"/>
  <c r="D220" i="9"/>
  <c r="C220" i="9"/>
  <c r="B220" i="9"/>
  <c r="A220" i="9"/>
  <c r="Y219" i="9"/>
  <c r="W219" i="9"/>
  <c r="V219" i="9"/>
  <c r="U219" i="9"/>
  <c r="T219" i="9"/>
  <c r="S219" i="9"/>
  <c r="R219" i="9"/>
  <c r="Q219" i="9"/>
  <c r="P219" i="9"/>
  <c r="N219" i="9"/>
  <c r="M219" i="9"/>
  <c r="L219" i="9"/>
  <c r="K219" i="9"/>
  <c r="J219" i="9"/>
  <c r="I219" i="9"/>
  <c r="H219" i="9"/>
  <c r="G219" i="9"/>
  <c r="F219" i="9"/>
  <c r="E219" i="9"/>
  <c r="D219" i="9"/>
  <c r="C219" i="9"/>
  <c r="B219" i="9"/>
  <c r="A219" i="9"/>
  <c r="Y218" i="9"/>
  <c r="W218" i="9"/>
  <c r="V218" i="9"/>
  <c r="U218" i="9"/>
  <c r="T218" i="9"/>
  <c r="S218" i="9"/>
  <c r="R218" i="9"/>
  <c r="Q218" i="9"/>
  <c r="P218" i="9"/>
  <c r="N218" i="9"/>
  <c r="M218" i="9"/>
  <c r="L218" i="9"/>
  <c r="K218" i="9"/>
  <c r="J218" i="9"/>
  <c r="I218" i="9"/>
  <c r="H218" i="9"/>
  <c r="G218" i="9"/>
  <c r="F218" i="9"/>
  <c r="E218" i="9"/>
  <c r="D218" i="9"/>
  <c r="C218" i="9"/>
  <c r="B218" i="9"/>
  <c r="A218" i="9"/>
  <c r="Y217" i="9"/>
  <c r="W217" i="9"/>
  <c r="V217" i="9"/>
  <c r="U217" i="9"/>
  <c r="T217" i="9"/>
  <c r="S217" i="9"/>
  <c r="R217" i="9"/>
  <c r="Q217" i="9"/>
  <c r="P217" i="9"/>
  <c r="N217" i="9"/>
  <c r="M217" i="9"/>
  <c r="L217" i="9"/>
  <c r="K217" i="9"/>
  <c r="J217" i="9"/>
  <c r="I217" i="9"/>
  <c r="H217" i="9"/>
  <c r="G217" i="9"/>
  <c r="F217" i="9"/>
  <c r="E217" i="9"/>
  <c r="D217" i="9"/>
  <c r="C217" i="9"/>
  <c r="B217" i="9"/>
  <c r="A217" i="9"/>
  <c r="Y216" i="9"/>
  <c r="W216" i="9"/>
  <c r="V216" i="9"/>
  <c r="U216" i="9"/>
  <c r="T216" i="9"/>
  <c r="S216" i="9"/>
  <c r="R216" i="9"/>
  <c r="Q216" i="9"/>
  <c r="P216" i="9"/>
  <c r="N216" i="9"/>
  <c r="M216" i="9"/>
  <c r="L216" i="9"/>
  <c r="K216" i="9"/>
  <c r="J216" i="9"/>
  <c r="I216" i="9"/>
  <c r="H216" i="9"/>
  <c r="G216" i="9"/>
  <c r="F216" i="9"/>
  <c r="E216" i="9"/>
  <c r="D216" i="9"/>
  <c r="C216" i="9"/>
  <c r="B216" i="9"/>
  <c r="A216" i="9"/>
  <c r="Y215" i="9"/>
  <c r="W215" i="9"/>
  <c r="V215" i="9"/>
  <c r="U215" i="9"/>
  <c r="T215" i="9"/>
  <c r="S215" i="9"/>
  <c r="R215" i="9"/>
  <c r="Q215" i="9"/>
  <c r="P215" i="9"/>
  <c r="N215" i="9"/>
  <c r="M215" i="9"/>
  <c r="L215" i="9"/>
  <c r="K215" i="9"/>
  <c r="J215" i="9"/>
  <c r="I215" i="9"/>
  <c r="H215" i="9"/>
  <c r="G215" i="9"/>
  <c r="F215" i="9"/>
  <c r="E215" i="9"/>
  <c r="D215" i="9"/>
  <c r="C215" i="9"/>
  <c r="B215" i="9"/>
  <c r="A215" i="9"/>
  <c r="Y214" i="9"/>
  <c r="W214" i="9"/>
  <c r="V214" i="9"/>
  <c r="U214" i="9"/>
  <c r="T214" i="9"/>
  <c r="S214" i="9"/>
  <c r="R214" i="9"/>
  <c r="Q214" i="9"/>
  <c r="P214" i="9"/>
  <c r="N214" i="9"/>
  <c r="M214" i="9"/>
  <c r="L214" i="9"/>
  <c r="K214" i="9"/>
  <c r="J214" i="9"/>
  <c r="I214" i="9"/>
  <c r="H214" i="9"/>
  <c r="G214" i="9"/>
  <c r="F214" i="9"/>
  <c r="E214" i="9"/>
  <c r="D214" i="9"/>
  <c r="C214" i="9"/>
  <c r="B214" i="9"/>
  <c r="A214" i="9"/>
  <c r="Y213" i="9"/>
  <c r="W213" i="9"/>
  <c r="V213" i="9"/>
  <c r="U213" i="9"/>
  <c r="T213" i="9"/>
  <c r="S213" i="9"/>
  <c r="R213" i="9"/>
  <c r="Q213" i="9"/>
  <c r="P213" i="9"/>
  <c r="N213" i="9"/>
  <c r="M213" i="9"/>
  <c r="L213" i="9"/>
  <c r="K213" i="9"/>
  <c r="J213" i="9"/>
  <c r="I213" i="9"/>
  <c r="H213" i="9"/>
  <c r="G213" i="9"/>
  <c r="F213" i="9"/>
  <c r="E213" i="9"/>
  <c r="D213" i="9"/>
  <c r="C213" i="9"/>
  <c r="B213" i="9"/>
  <c r="A213" i="9"/>
  <c r="Y212" i="9"/>
  <c r="W212" i="9"/>
  <c r="V212" i="9"/>
  <c r="U212" i="9"/>
  <c r="T212" i="9"/>
  <c r="S212" i="9"/>
  <c r="R212" i="9"/>
  <c r="Q212" i="9"/>
  <c r="P212" i="9"/>
  <c r="N212" i="9"/>
  <c r="M212" i="9"/>
  <c r="L212" i="9"/>
  <c r="K212" i="9"/>
  <c r="J212" i="9"/>
  <c r="I212" i="9"/>
  <c r="H212" i="9"/>
  <c r="G212" i="9"/>
  <c r="F212" i="9"/>
  <c r="E212" i="9"/>
  <c r="D212" i="9"/>
  <c r="C212" i="9"/>
  <c r="B212" i="9"/>
  <c r="A212" i="9"/>
  <c r="Y211" i="9"/>
  <c r="W211" i="9"/>
  <c r="V211" i="9"/>
  <c r="U211" i="9"/>
  <c r="T211" i="9"/>
  <c r="S211" i="9"/>
  <c r="R211" i="9"/>
  <c r="Q211" i="9"/>
  <c r="P211" i="9"/>
  <c r="N211" i="9"/>
  <c r="M211" i="9"/>
  <c r="L211" i="9"/>
  <c r="K211" i="9"/>
  <c r="J211" i="9"/>
  <c r="I211" i="9"/>
  <c r="H211" i="9"/>
  <c r="G211" i="9"/>
  <c r="F211" i="9"/>
  <c r="E211" i="9"/>
  <c r="D211" i="9"/>
  <c r="C211" i="9"/>
  <c r="B211" i="9"/>
  <c r="A211" i="9"/>
  <c r="Y210" i="9"/>
  <c r="W210" i="9"/>
  <c r="V210" i="9"/>
  <c r="U210" i="9"/>
  <c r="T210" i="9"/>
  <c r="S210" i="9"/>
  <c r="R210" i="9"/>
  <c r="Q210" i="9"/>
  <c r="P210" i="9"/>
  <c r="N210" i="9"/>
  <c r="M210" i="9"/>
  <c r="L210" i="9"/>
  <c r="K210" i="9"/>
  <c r="J210" i="9"/>
  <c r="I210" i="9"/>
  <c r="H210" i="9"/>
  <c r="G210" i="9"/>
  <c r="F210" i="9"/>
  <c r="E210" i="9"/>
  <c r="D210" i="9"/>
  <c r="C210" i="9"/>
  <c r="B210" i="9"/>
  <c r="A210" i="9"/>
  <c r="Y209" i="9"/>
  <c r="W209" i="9"/>
  <c r="V209" i="9"/>
  <c r="U209" i="9"/>
  <c r="T209" i="9"/>
  <c r="S209" i="9"/>
  <c r="R209" i="9"/>
  <c r="Q209" i="9"/>
  <c r="P209" i="9"/>
  <c r="N209" i="9"/>
  <c r="M209" i="9"/>
  <c r="L209" i="9"/>
  <c r="K209" i="9"/>
  <c r="J209" i="9"/>
  <c r="I209" i="9"/>
  <c r="H209" i="9"/>
  <c r="G209" i="9"/>
  <c r="F209" i="9"/>
  <c r="E209" i="9"/>
  <c r="D209" i="9"/>
  <c r="C209" i="9"/>
  <c r="B209" i="9"/>
  <c r="A209" i="9"/>
  <c r="Y208" i="9"/>
  <c r="W208" i="9"/>
  <c r="V208" i="9"/>
  <c r="U208" i="9"/>
  <c r="T208" i="9"/>
  <c r="S208" i="9"/>
  <c r="R208" i="9"/>
  <c r="Q208" i="9"/>
  <c r="P208" i="9"/>
  <c r="N208" i="9"/>
  <c r="M208" i="9"/>
  <c r="L208" i="9"/>
  <c r="K208" i="9"/>
  <c r="J208" i="9"/>
  <c r="I208" i="9"/>
  <c r="H208" i="9"/>
  <c r="G208" i="9"/>
  <c r="F208" i="9"/>
  <c r="E208" i="9"/>
  <c r="D208" i="9"/>
  <c r="C208" i="9"/>
  <c r="B208" i="9"/>
  <c r="A208" i="9"/>
  <c r="Y207" i="9"/>
  <c r="W207" i="9"/>
  <c r="V207" i="9"/>
  <c r="U207" i="9"/>
  <c r="T207" i="9"/>
  <c r="S207" i="9"/>
  <c r="R207" i="9"/>
  <c r="Q207" i="9"/>
  <c r="P207" i="9"/>
  <c r="N207" i="9"/>
  <c r="M207" i="9"/>
  <c r="L207" i="9"/>
  <c r="K207" i="9"/>
  <c r="J207" i="9"/>
  <c r="I207" i="9"/>
  <c r="H207" i="9"/>
  <c r="G207" i="9"/>
  <c r="F207" i="9"/>
  <c r="E207" i="9"/>
  <c r="D207" i="9"/>
  <c r="C207" i="9"/>
  <c r="B207" i="9"/>
  <c r="A207" i="9"/>
  <c r="Y206" i="9"/>
  <c r="W206" i="9"/>
  <c r="V206" i="9"/>
  <c r="U206" i="9"/>
  <c r="T206" i="9"/>
  <c r="S206" i="9"/>
  <c r="R206" i="9"/>
  <c r="Q206" i="9"/>
  <c r="P206" i="9"/>
  <c r="N206" i="9"/>
  <c r="M206" i="9"/>
  <c r="L206" i="9"/>
  <c r="K206" i="9"/>
  <c r="J206" i="9"/>
  <c r="I206" i="9"/>
  <c r="H206" i="9"/>
  <c r="G206" i="9"/>
  <c r="F206" i="9"/>
  <c r="E206" i="9"/>
  <c r="D206" i="9"/>
  <c r="C206" i="9"/>
  <c r="B206" i="9"/>
  <c r="A206" i="9"/>
  <c r="Y205" i="9"/>
  <c r="W205" i="9"/>
  <c r="V205" i="9"/>
  <c r="U205" i="9"/>
  <c r="T205" i="9"/>
  <c r="S205" i="9"/>
  <c r="R205" i="9"/>
  <c r="Q205" i="9"/>
  <c r="P205" i="9"/>
  <c r="N205" i="9"/>
  <c r="M205" i="9"/>
  <c r="L205" i="9"/>
  <c r="K205" i="9"/>
  <c r="J205" i="9"/>
  <c r="I205" i="9"/>
  <c r="H205" i="9"/>
  <c r="G205" i="9"/>
  <c r="F205" i="9"/>
  <c r="E205" i="9"/>
  <c r="D205" i="9"/>
  <c r="C205" i="9"/>
  <c r="B205" i="9"/>
  <c r="A205" i="9"/>
  <c r="Y204" i="9"/>
  <c r="W204" i="9"/>
  <c r="V204" i="9"/>
  <c r="U204" i="9"/>
  <c r="T204" i="9"/>
  <c r="S204" i="9"/>
  <c r="R204" i="9"/>
  <c r="Q204" i="9"/>
  <c r="P204" i="9"/>
  <c r="N204" i="9"/>
  <c r="M204" i="9"/>
  <c r="L204" i="9"/>
  <c r="K204" i="9"/>
  <c r="J204" i="9"/>
  <c r="I204" i="9"/>
  <c r="H204" i="9"/>
  <c r="G204" i="9"/>
  <c r="F204" i="9"/>
  <c r="E204" i="9"/>
  <c r="D204" i="9"/>
  <c r="C204" i="9"/>
  <c r="B204" i="9"/>
  <c r="A204" i="9"/>
  <c r="Y203" i="9"/>
  <c r="W203" i="9"/>
  <c r="V203" i="9"/>
  <c r="U203" i="9"/>
  <c r="T203" i="9"/>
  <c r="S203" i="9"/>
  <c r="R203" i="9"/>
  <c r="Q203" i="9"/>
  <c r="P203" i="9"/>
  <c r="N203" i="9"/>
  <c r="M203" i="9"/>
  <c r="L203" i="9"/>
  <c r="K203" i="9"/>
  <c r="J203" i="9"/>
  <c r="I203" i="9"/>
  <c r="H203" i="9"/>
  <c r="G203" i="9"/>
  <c r="F203" i="9"/>
  <c r="E203" i="9"/>
  <c r="D203" i="9"/>
  <c r="C203" i="9"/>
  <c r="B203" i="9"/>
  <c r="A203" i="9"/>
  <c r="Y202" i="9"/>
  <c r="W202" i="9"/>
  <c r="V202" i="9"/>
  <c r="U202" i="9"/>
  <c r="T202" i="9"/>
  <c r="S202" i="9"/>
  <c r="R202" i="9"/>
  <c r="Q202" i="9"/>
  <c r="P202" i="9"/>
  <c r="N202" i="9"/>
  <c r="M202" i="9"/>
  <c r="L202" i="9"/>
  <c r="K202" i="9"/>
  <c r="J202" i="9"/>
  <c r="I202" i="9"/>
  <c r="H202" i="9"/>
  <c r="G202" i="9"/>
  <c r="F202" i="9"/>
  <c r="E202" i="9"/>
  <c r="D202" i="9"/>
  <c r="C202" i="9"/>
  <c r="B202" i="9"/>
  <c r="A202" i="9"/>
  <c r="Y201" i="9"/>
  <c r="W201" i="9"/>
  <c r="V201" i="9"/>
  <c r="U201" i="9"/>
  <c r="T201" i="9"/>
  <c r="S201" i="9"/>
  <c r="R201" i="9"/>
  <c r="Q201" i="9"/>
  <c r="P201" i="9"/>
  <c r="N201" i="9"/>
  <c r="M201" i="9"/>
  <c r="L201" i="9"/>
  <c r="K201" i="9"/>
  <c r="J201" i="9"/>
  <c r="I201" i="9"/>
  <c r="H201" i="9"/>
  <c r="G201" i="9"/>
  <c r="F201" i="9"/>
  <c r="E201" i="9"/>
  <c r="D201" i="9"/>
  <c r="C201" i="9"/>
  <c r="B201" i="9"/>
  <c r="A201" i="9"/>
  <c r="Y200" i="9"/>
  <c r="W200" i="9"/>
  <c r="V200" i="9"/>
  <c r="U200" i="9"/>
  <c r="T200" i="9"/>
  <c r="S200" i="9"/>
  <c r="R200" i="9"/>
  <c r="Q200" i="9"/>
  <c r="P200" i="9"/>
  <c r="N200" i="9"/>
  <c r="M200" i="9"/>
  <c r="L200" i="9"/>
  <c r="K200" i="9"/>
  <c r="J200" i="9"/>
  <c r="I200" i="9"/>
  <c r="H200" i="9"/>
  <c r="G200" i="9"/>
  <c r="F200" i="9"/>
  <c r="E200" i="9"/>
  <c r="D200" i="9"/>
  <c r="C200" i="9"/>
  <c r="B200" i="9"/>
  <c r="A200" i="9"/>
  <c r="Y199" i="9"/>
  <c r="W199" i="9"/>
  <c r="V199" i="9"/>
  <c r="U199" i="9"/>
  <c r="T199" i="9"/>
  <c r="S199" i="9"/>
  <c r="R199" i="9"/>
  <c r="Q199" i="9"/>
  <c r="P199" i="9"/>
  <c r="N199" i="9"/>
  <c r="M199" i="9"/>
  <c r="L199" i="9"/>
  <c r="K199" i="9"/>
  <c r="J199" i="9"/>
  <c r="I199" i="9"/>
  <c r="H199" i="9"/>
  <c r="G199" i="9"/>
  <c r="F199" i="9"/>
  <c r="E199" i="9"/>
  <c r="D199" i="9"/>
  <c r="C199" i="9"/>
  <c r="B199" i="9"/>
  <c r="A199" i="9"/>
  <c r="Y198" i="9"/>
  <c r="W198" i="9"/>
  <c r="V198" i="9"/>
  <c r="U198" i="9"/>
  <c r="T198" i="9"/>
  <c r="S198" i="9"/>
  <c r="R198" i="9"/>
  <c r="Q198" i="9"/>
  <c r="P198" i="9"/>
  <c r="N198" i="9"/>
  <c r="M198" i="9"/>
  <c r="L198" i="9"/>
  <c r="K198" i="9"/>
  <c r="J198" i="9"/>
  <c r="I198" i="9"/>
  <c r="H198" i="9"/>
  <c r="G198" i="9"/>
  <c r="F198" i="9"/>
  <c r="E198" i="9"/>
  <c r="D198" i="9"/>
  <c r="C198" i="9"/>
  <c r="B198" i="9"/>
  <c r="A198" i="9"/>
  <c r="Y197" i="9"/>
  <c r="W197" i="9"/>
  <c r="V197" i="9"/>
  <c r="U197" i="9"/>
  <c r="T197" i="9"/>
  <c r="S197" i="9"/>
  <c r="R197" i="9"/>
  <c r="Q197" i="9"/>
  <c r="P197" i="9"/>
  <c r="N197" i="9"/>
  <c r="M197" i="9"/>
  <c r="L197" i="9"/>
  <c r="K197" i="9"/>
  <c r="J197" i="9"/>
  <c r="I197" i="9"/>
  <c r="H197" i="9"/>
  <c r="G197" i="9"/>
  <c r="F197" i="9"/>
  <c r="E197" i="9"/>
  <c r="D197" i="9"/>
  <c r="C197" i="9"/>
  <c r="B197" i="9"/>
  <c r="A197" i="9"/>
  <c r="Y196" i="9"/>
  <c r="W196" i="9"/>
  <c r="V196" i="9"/>
  <c r="U196" i="9"/>
  <c r="T196" i="9"/>
  <c r="S196" i="9"/>
  <c r="R196" i="9"/>
  <c r="Q196" i="9"/>
  <c r="P196" i="9"/>
  <c r="N196" i="9"/>
  <c r="M196" i="9"/>
  <c r="L196" i="9"/>
  <c r="K196" i="9"/>
  <c r="J196" i="9"/>
  <c r="I196" i="9"/>
  <c r="H196" i="9"/>
  <c r="G196" i="9"/>
  <c r="F196" i="9"/>
  <c r="E196" i="9"/>
  <c r="D196" i="9"/>
  <c r="C196" i="9"/>
  <c r="B196" i="9"/>
  <c r="A196" i="9"/>
  <c r="Y195" i="9"/>
  <c r="W195" i="9"/>
  <c r="V195" i="9"/>
  <c r="U195" i="9"/>
  <c r="T195" i="9"/>
  <c r="S195" i="9"/>
  <c r="R195" i="9"/>
  <c r="Q195" i="9"/>
  <c r="P195" i="9"/>
  <c r="N195" i="9"/>
  <c r="M195" i="9"/>
  <c r="L195" i="9"/>
  <c r="K195" i="9"/>
  <c r="J195" i="9"/>
  <c r="I195" i="9"/>
  <c r="H195" i="9"/>
  <c r="G195" i="9"/>
  <c r="F195" i="9"/>
  <c r="E195" i="9"/>
  <c r="D195" i="9"/>
  <c r="C195" i="9"/>
  <c r="B195" i="9"/>
  <c r="A195" i="9"/>
  <c r="Y194" i="9"/>
  <c r="W194" i="9"/>
  <c r="V194" i="9"/>
  <c r="U194" i="9"/>
  <c r="T194" i="9"/>
  <c r="S194" i="9"/>
  <c r="R194" i="9"/>
  <c r="Q194" i="9"/>
  <c r="P194" i="9"/>
  <c r="N194" i="9"/>
  <c r="M194" i="9"/>
  <c r="L194" i="9"/>
  <c r="K194" i="9"/>
  <c r="J194" i="9"/>
  <c r="I194" i="9"/>
  <c r="H194" i="9"/>
  <c r="G194" i="9"/>
  <c r="F194" i="9"/>
  <c r="E194" i="9"/>
  <c r="D194" i="9"/>
  <c r="C194" i="9"/>
  <c r="B194" i="9"/>
  <c r="A194" i="9"/>
  <c r="Y193" i="9"/>
  <c r="W193" i="9"/>
  <c r="V193" i="9"/>
  <c r="U193" i="9"/>
  <c r="T193" i="9"/>
  <c r="S193" i="9"/>
  <c r="R193" i="9"/>
  <c r="Q193" i="9"/>
  <c r="P193" i="9"/>
  <c r="N193" i="9"/>
  <c r="M193" i="9"/>
  <c r="L193" i="9"/>
  <c r="K193" i="9"/>
  <c r="J193" i="9"/>
  <c r="I193" i="9"/>
  <c r="H193" i="9"/>
  <c r="G193" i="9"/>
  <c r="F193" i="9"/>
  <c r="E193" i="9"/>
  <c r="D193" i="9"/>
  <c r="C193" i="9"/>
  <c r="B193" i="9"/>
  <c r="A193" i="9"/>
  <c r="Y192" i="9"/>
  <c r="W192" i="9"/>
  <c r="V192" i="9"/>
  <c r="U192" i="9"/>
  <c r="T192" i="9"/>
  <c r="S192" i="9"/>
  <c r="R192" i="9"/>
  <c r="Q192" i="9"/>
  <c r="P192" i="9"/>
  <c r="N192" i="9"/>
  <c r="M192" i="9"/>
  <c r="L192" i="9"/>
  <c r="K192" i="9"/>
  <c r="J192" i="9"/>
  <c r="I192" i="9"/>
  <c r="H192" i="9"/>
  <c r="G192" i="9"/>
  <c r="F192" i="9"/>
  <c r="E192" i="9"/>
  <c r="D192" i="9"/>
  <c r="C192" i="9"/>
  <c r="B192" i="9"/>
  <c r="A192" i="9"/>
  <c r="A191" i="9"/>
  <c r="Y190" i="9"/>
  <c r="W190" i="9"/>
  <c r="V190" i="9"/>
  <c r="U190" i="9"/>
  <c r="T190" i="9"/>
  <c r="S190" i="9"/>
  <c r="R190" i="9"/>
  <c r="Q190" i="9"/>
  <c r="P190" i="9"/>
  <c r="N190" i="9"/>
  <c r="M190" i="9"/>
  <c r="L190" i="9"/>
  <c r="K190" i="9"/>
  <c r="J190" i="9"/>
  <c r="I190" i="9"/>
  <c r="H190" i="9"/>
  <c r="G190" i="9"/>
  <c r="F190" i="9"/>
  <c r="E190" i="9"/>
  <c r="D190" i="9"/>
  <c r="C190" i="9"/>
  <c r="B190" i="9"/>
  <c r="A190" i="9"/>
  <c r="Y189" i="9"/>
  <c r="W189" i="9"/>
  <c r="V189" i="9"/>
  <c r="U189" i="9"/>
  <c r="T189" i="9"/>
  <c r="S189" i="9"/>
  <c r="R189" i="9"/>
  <c r="Q189" i="9"/>
  <c r="P189" i="9"/>
  <c r="N189" i="9"/>
  <c r="M189" i="9"/>
  <c r="L189" i="9"/>
  <c r="K189" i="9"/>
  <c r="J189" i="9"/>
  <c r="I189" i="9"/>
  <c r="H189" i="9"/>
  <c r="G189" i="9"/>
  <c r="F189" i="9"/>
  <c r="E189" i="9"/>
  <c r="D189" i="9"/>
  <c r="C189" i="9"/>
  <c r="B189" i="9"/>
  <c r="A189" i="9"/>
  <c r="Y188" i="9"/>
  <c r="W188" i="9"/>
  <c r="V188" i="9"/>
  <c r="U188" i="9"/>
  <c r="T188" i="9"/>
  <c r="S188" i="9"/>
  <c r="R188" i="9"/>
  <c r="Q188" i="9"/>
  <c r="P188" i="9"/>
  <c r="N188" i="9"/>
  <c r="M188" i="9"/>
  <c r="L188" i="9"/>
  <c r="K188" i="9"/>
  <c r="J188" i="9"/>
  <c r="I188" i="9"/>
  <c r="H188" i="9"/>
  <c r="G188" i="9"/>
  <c r="F188" i="9"/>
  <c r="E188" i="9"/>
  <c r="D188" i="9"/>
  <c r="C188" i="9"/>
  <c r="B188" i="9"/>
  <c r="A188" i="9"/>
  <c r="Y187" i="9"/>
  <c r="W187" i="9"/>
  <c r="V187" i="9"/>
  <c r="U187" i="9"/>
  <c r="T187" i="9"/>
  <c r="S187" i="9"/>
  <c r="R187" i="9"/>
  <c r="Q187" i="9"/>
  <c r="P187" i="9"/>
  <c r="N187" i="9"/>
  <c r="M187" i="9"/>
  <c r="L187" i="9"/>
  <c r="K187" i="9"/>
  <c r="J187" i="9"/>
  <c r="I187" i="9"/>
  <c r="H187" i="9"/>
  <c r="G187" i="9"/>
  <c r="F187" i="9"/>
  <c r="E187" i="9"/>
  <c r="D187" i="9"/>
  <c r="C187" i="9"/>
  <c r="B187" i="9"/>
  <c r="A187" i="9"/>
  <c r="Y186" i="9"/>
  <c r="W186" i="9"/>
  <c r="V186" i="9"/>
  <c r="U186" i="9"/>
  <c r="T186" i="9"/>
  <c r="S186" i="9"/>
  <c r="R186" i="9"/>
  <c r="Q186" i="9"/>
  <c r="P186" i="9"/>
  <c r="N186" i="9"/>
  <c r="M186" i="9"/>
  <c r="L186" i="9"/>
  <c r="K186" i="9"/>
  <c r="J186" i="9"/>
  <c r="I186" i="9"/>
  <c r="H186" i="9"/>
  <c r="G186" i="9"/>
  <c r="F186" i="9"/>
  <c r="E186" i="9"/>
  <c r="D186" i="9"/>
  <c r="C186" i="9"/>
  <c r="B186" i="9"/>
  <c r="A186" i="9"/>
  <c r="Y185" i="9"/>
  <c r="W185" i="9"/>
  <c r="V185" i="9"/>
  <c r="U185" i="9"/>
  <c r="T185" i="9"/>
  <c r="S185" i="9"/>
  <c r="R185" i="9"/>
  <c r="Q185" i="9"/>
  <c r="P185" i="9"/>
  <c r="N185" i="9"/>
  <c r="M185" i="9"/>
  <c r="L185" i="9"/>
  <c r="K185" i="9"/>
  <c r="J185" i="9"/>
  <c r="I185" i="9"/>
  <c r="H185" i="9"/>
  <c r="G185" i="9"/>
  <c r="F185" i="9"/>
  <c r="E185" i="9"/>
  <c r="D185" i="9"/>
  <c r="C185" i="9"/>
  <c r="B185" i="9"/>
  <c r="A185" i="9"/>
  <c r="Y184" i="9"/>
  <c r="W184" i="9"/>
  <c r="V184" i="9"/>
  <c r="U184" i="9"/>
  <c r="T184" i="9"/>
  <c r="S184" i="9"/>
  <c r="R184" i="9"/>
  <c r="Q184" i="9"/>
  <c r="P184" i="9"/>
  <c r="N184" i="9"/>
  <c r="M184" i="9"/>
  <c r="L184" i="9"/>
  <c r="K184" i="9"/>
  <c r="J184" i="9"/>
  <c r="I184" i="9"/>
  <c r="H184" i="9"/>
  <c r="G184" i="9"/>
  <c r="F184" i="9"/>
  <c r="E184" i="9"/>
  <c r="D184" i="9"/>
  <c r="C184" i="9"/>
  <c r="B184" i="9"/>
  <c r="A184" i="9"/>
  <c r="Y183" i="9"/>
  <c r="W183" i="9"/>
  <c r="V183" i="9"/>
  <c r="U183" i="9"/>
  <c r="T183" i="9"/>
  <c r="S183" i="9"/>
  <c r="R183" i="9"/>
  <c r="Q183" i="9"/>
  <c r="P183" i="9"/>
  <c r="N183" i="9"/>
  <c r="M183" i="9"/>
  <c r="L183" i="9"/>
  <c r="K183" i="9"/>
  <c r="J183" i="9"/>
  <c r="I183" i="9"/>
  <c r="H183" i="9"/>
  <c r="G183" i="9"/>
  <c r="F183" i="9"/>
  <c r="E183" i="9"/>
  <c r="D183" i="9"/>
  <c r="C183" i="9"/>
  <c r="B183" i="9"/>
  <c r="A183" i="9"/>
  <c r="Y182" i="9"/>
  <c r="W182" i="9"/>
  <c r="V182" i="9"/>
  <c r="U182" i="9"/>
  <c r="T182" i="9"/>
  <c r="S182" i="9"/>
  <c r="R182" i="9"/>
  <c r="Q182" i="9"/>
  <c r="P182" i="9"/>
  <c r="N182" i="9"/>
  <c r="M182" i="9"/>
  <c r="L182" i="9"/>
  <c r="K182" i="9"/>
  <c r="J182" i="9"/>
  <c r="I182" i="9"/>
  <c r="H182" i="9"/>
  <c r="G182" i="9"/>
  <c r="F182" i="9"/>
  <c r="E182" i="9"/>
  <c r="D182" i="9"/>
  <c r="C182" i="9"/>
  <c r="B182" i="9"/>
  <c r="A182" i="9"/>
  <c r="Y181" i="9"/>
  <c r="W181" i="9"/>
  <c r="V181" i="9"/>
  <c r="U181" i="9"/>
  <c r="T181" i="9"/>
  <c r="S181" i="9"/>
  <c r="R181" i="9"/>
  <c r="Q181" i="9"/>
  <c r="P181" i="9"/>
  <c r="N181" i="9"/>
  <c r="M181" i="9"/>
  <c r="L181" i="9"/>
  <c r="K181" i="9"/>
  <c r="J181" i="9"/>
  <c r="I181" i="9"/>
  <c r="H181" i="9"/>
  <c r="G181" i="9"/>
  <c r="F181" i="9"/>
  <c r="E181" i="9"/>
  <c r="D181" i="9"/>
  <c r="C181" i="9"/>
  <c r="B181" i="9"/>
  <c r="A181" i="9"/>
  <c r="Y180" i="9"/>
  <c r="W180" i="9"/>
  <c r="V180" i="9"/>
  <c r="U180" i="9"/>
  <c r="T180" i="9"/>
  <c r="S180" i="9"/>
  <c r="R180" i="9"/>
  <c r="Q180" i="9"/>
  <c r="P180" i="9"/>
  <c r="N180" i="9"/>
  <c r="M180" i="9"/>
  <c r="L180" i="9"/>
  <c r="K180" i="9"/>
  <c r="J180" i="9"/>
  <c r="I180" i="9"/>
  <c r="H180" i="9"/>
  <c r="G180" i="9"/>
  <c r="F180" i="9"/>
  <c r="E180" i="9"/>
  <c r="D180" i="9"/>
  <c r="C180" i="9"/>
  <c r="B180" i="9"/>
  <c r="A180" i="9"/>
  <c r="A179" i="9"/>
  <c r="F185" i="1"/>
  <c r="F184" i="1"/>
  <c r="Y178" i="9"/>
  <c r="W178" i="9"/>
  <c r="V178" i="9"/>
  <c r="U178" i="9"/>
  <c r="T178" i="9"/>
  <c r="S178" i="9"/>
  <c r="R178" i="9"/>
  <c r="Q178" i="9"/>
  <c r="P178" i="9"/>
  <c r="N178" i="9"/>
  <c r="M178" i="9"/>
  <c r="L178" i="9"/>
  <c r="K178" i="9"/>
  <c r="J178" i="9"/>
  <c r="I178" i="9"/>
  <c r="H178" i="9"/>
  <c r="G178" i="9"/>
  <c r="F178" i="9"/>
  <c r="E178" i="9"/>
  <c r="D178" i="9"/>
  <c r="C178" i="9"/>
  <c r="B178" i="9"/>
  <c r="A178" i="9"/>
  <c r="Y177" i="9"/>
  <c r="W177" i="9"/>
  <c r="V177" i="9"/>
  <c r="U177" i="9"/>
  <c r="T177" i="9"/>
  <c r="S177" i="9"/>
  <c r="R177" i="9"/>
  <c r="Q177" i="9"/>
  <c r="P177" i="9"/>
  <c r="N177" i="9"/>
  <c r="M177" i="9"/>
  <c r="L177" i="9"/>
  <c r="K177" i="9"/>
  <c r="J177" i="9"/>
  <c r="I177" i="9"/>
  <c r="H177" i="9"/>
  <c r="G177" i="9"/>
  <c r="F177" i="9"/>
  <c r="E177" i="9"/>
  <c r="D177" i="9"/>
  <c r="C177" i="9"/>
  <c r="B177" i="9"/>
  <c r="A177" i="9"/>
  <c r="Y176" i="9"/>
  <c r="W176" i="9"/>
  <c r="V176" i="9"/>
  <c r="U176" i="9"/>
  <c r="T176" i="9"/>
  <c r="S176" i="9"/>
  <c r="R176" i="9"/>
  <c r="Q176" i="9"/>
  <c r="P176" i="9"/>
  <c r="N176" i="9"/>
  <c r="M176" i="9"/>
  <c r="L176" i="9"/>
  <c r="K176" i="9"/>
  <c r="J176" i="9"/>
  <c r="I176" i="9"/>
  <c r="H176" i="9"/>
  <c r="G176" i="9"/>
  <c r="F176" i="9"/>
  <c r="E176" i="9"/>
  <c r="D176" i="9"/>
  <c r="C176" i="9"/>
  <c r="B176" i="9"/>
  <c r="A176" i="9"/>
  <c r="Y175" i="9"/>
  <c r="W175" i="9"/>
  <c r="V175" i="9"/>
  <c r="U175" i="9"/>
  <c r="T175" i="9"/>
  <c r="S175" i="9"/>
  <c r="R175" i="9"/>
  <c r="Q175" i="9"/>
  <c r="P175" i="9"/>
  <c r="N175" i="9"/>
  <c r="M175" i="9"/>
  <c r="L175" i="9"/>
  <c r="K175" i="9"/>
  <c r="J175" i="9"/>
  <c r="I175" i="9"/>
  <c r="H175" i="9"/>
  <c r="G175" i="9"/>
  <c r="F175" i="9"/>
  <c r="E175" i="9"/>
  <c r="D175" i="9"/>
  <c r="C175" i="9"/>
  <c r="B175" i="9"/>
  <c r="A175" i="9"/>
  <c r="Y174" i="9"/>
  <c r="W174" i="9"/>
  <c r="V174" i="9"/>
  <c r="U174" i="9"/>
  <c r="T174" i="9"/>
  <c r="S174" i="9"/>
  <c r="R174" i="9"/>
  <c r="Q174" i="9"/>
  <c r="P174" i="9"/>
  <c r="N174" i="9"/>
  <c r="M174" i="9"/>
  <c r="L174" i="9"/>
  <c r="K174" i="9"/>
  <c r="J174" i="9"/>
  <c r="I174" i="9"/>
  <c r="H174" i="9"/>
  <c r="G174" i="9"/>
  <c r="F174" i="9"/>
  <c r="E174" i="9"/>
  <c r="D174" i="9"/>
  <c r="C174" i="9"/>
  <c r="B174" i="9"/>
  <c r="A174" i="9"/>
  <c r="Y173" i="9"/>
  <c r="W173" i="9"/>
  <c r="V173" i="9"/>
  <c r="U173" i="9"/>
  <c r="T173" i="9"/>
  <c r="S173" i="9"/>
  <c r="R173" i="9"/>
  <c r="Q173" i="9"/>
  <c r="P173" i="9"/>
  <c r="N173" i="9"/>
  <c r="M173" i="9"/>
  <c r="L173" i="9"/>
  <c r="K173" i="9"/>
  <c r="J173" i="9"/>
  <c r="I173" i="9"/>
  <c r="H173" i="9"/>
  <c r="G173" i="9"/>
  <c r="F173" i="9"/>
  <c r="E173" i="9"/>
  <c r="D173" i="9"/>
  <c r="C173" i="9"/>
  <c r="B173" i="9"/>
  <c r="A173" i="9"/>
  <c r="Y172" i="9"/>
  <c r="W172" i="9"/>
  <c r="V172" i="9"/>
  <c r="U172" i="9"/>
  <c r="T172" i="9"/>
  <c r="S172" i="9"/>
  <c r="R172" i="9"/>
  <c r="Q172" i="9"/>
  <c r="P172" i="9"/>
  <c r="N172" i="9"/>
  <c r="M172" i="9"/>
  <c r="L172" i="9"/>
  <c r="K172" i="9"/>
  <c r="J172" i="9"/>
  <c r="I172" i="9"/>
  <c r="H172" i="9"/>
  <c r="G172" i="9"/>
  <c r="F172" i="9"/>
  <c r="E172" i="9"/>
  <c r="D172" i="9"/>
  <c r="C172" i="9"/>
  <c r="B172" i="9"/>
  <c r="A172" i="9"/>
  <c r="Y171" i="9"/>
  <c r="W171" i="9"/>
  <c r="V171" i="9"/>
  <c r="U171" i="9"/>
  <c r="T171" i="9"/>
  <c r="S171" i="9"/>
  <c r="R171" i="9"/>
  <c r="Q171" i="9"/>
  <c r="P171" i="9"/>
  <c r="N171" i="9"/>
  <c r="M171" i="9"/>
  <c r="L171" i="9"/>
  <c r="K171" i="9"/>
  <c r="J171" i="9"/>
  <c r="I171" i="9"/>
  <c r="H171" i="9"/>
  <c r="G171" i="9"/>
  <c r="F171" i="9"/>
  <c r="E171" i="9"/>
  <c r="D171" i="9"/>
  <c r="C171" i="9"/>
  <c r="B171" i="9"/>
  <c r="A171" i="9"/>
  <c r="Y170" i="9"/>
  <c r="W170" i="9"/>
  <c r="V170" i="9"/>
  <c r="U170" i="9"/>
  <c r="T170" i="9"/>
  <c r="S170" i="9"/>
  <c r="R170" i="9"/>
  <c r="Q170" i="9"/>
  <c r="P170" i="9"/>
  <c r="N170" i="9"/>
  <c r="M170" i="9"/>
  <c r="L170" i="9"/>
  <c r="K170" i="9"/>
  <c r="J170" i="9"/>
  <c r="I170" i="9"/>
  <c r="H170" i="9"/>
  <c r="G170" i="9"/>
  <c r="F170" i="9"/>
  <c r="E170" i="9"/>
  <c r="D170" i="9"/>
  <c r="C170" i="9"/>
  <c r="B170" i="9"/>
  <c r="A170" i="9"/>
  <c r="Y169" i="9"/>
  <c r="W169" i="9"/>
  <c r="V169" i="9"/>
  <c r="U169" i="9"/>
  <c r="T169" i="9"/>
  <c r="S169" i="9"/>
  <c r="R169" i="9"/>
  <c r="Q169" i="9"/>
  <c r="P169" i="9"/>
  <c r="N169" i="9"/>
  <c r="M169" i="9"/>
  <c r="L169" i="9"/>
  <c r="K169" i="9"/>
  <c r="J169" i="9"/>
  <c r="I169" i="9"/>
  <c r="H169" i="9"/>
  <c r="G169" i="9"/>
  <c r="F169" i="9"/>
  <c r="E169" i="9"/>
  <c r="D169" i="9"/>
  <c r="C169" i="9"/>
  <c r="B169" i="9"/>
  <c r="A169" i="9"/>
  <c r="A168" i="9"/>
  <c r="F172" i="1"/>
  <c r="F171" i="1"/>
  <c r="Y167" i="9"/>
  <c r="W167" i="9"/>
  <c r="V167" i="9"/>
  <c r="U167" i="9"/>
  <c r="T167" i="9"/>
  <c r="S167" i="9"/>
  <c r="R167" i="9"/>
  <c r="Q167" i="9"/>
  <c r="P167" i="9"/>
  <c r="N167" i="9"/>
  <c r="M167" i="9"/>
  <c r="L167" i="9"/>
  <c r="K167" i="9"/>
  <c r="J167" i="9"/>
  <c r="I167" i="9"/>
  <c r="H167" i="9"/>
  <c r="G167" i="9"/>
  <c r="F167" i="9"/>
  <c r="E167" i="9"/>
  <c r="D167" i="9"/>
  <c r="C167" i="9"/>
  <c r="B167" i="9"/>
  <c r="A167" i="9"/>
  <c r="Y166" i="9"/>
  <c r="W166" i="9"/>
  <c r="V166" i="9"/>
  <c r="U166" i="9"/>
  <c r="T166" i="9"/>
  <c r="S166" i="9"/>
  <c r="R166" i="9"/>
  <c r="Q166" i="9"/>
  <c r="P166" i="9"/>
  <c r="N166" i="9"/>
  <c r="M166" i="9"/>
  <c r="L166" i="9"/>
  <c r="K166" i="9"/>
  <c r="J166" i="9"/>
  <c r="I166" i="9"/>
  <c r="H166" i="9"/>
  <c r="G166" i="9"/>
  <c r="F166" i="9"/>
  <c r="E166" i="9"/>
  <c r="D166" i="9"/>
  <c r="C166" i="9"/>
  <c r="B166" i="9"/>
  <c r="A166" i="9"/>
  <c r="Y165" i="9"/>
  <c r="W165" i="9"/>
  <c r="V165" i="9"/>
  <c r="U165" i="9"/>
  <c r="T165" i="9"/>
  <c r="S165" i="9"/>
  <c r="R165" i="9"/>
  <c r="Q165" i="9"/>
  <c r="P165" i="9"/>
  <c r="N165" i="9"/>
  <c r="M165" i="9"/>
  <c r="L165" i="9"/>
  <c r="K165" i="9"/>
  <c r="J165" i="9"/>
  <c r="I165" i="9"/>
  <c r="H165" i="9"/>
  <c r="G165" i="9"/>
  <c r="F165" i="9"/>
  <c r="E165" i="9"/>
  <c r="D165" i="9"/>
  <c r="C165" i="9"/>
  <c r="B165" i="9"/>
  <c r="A165" i="9"/>
  <c r="Y164" i="9"/>
  <c r="W164" i="9"/>
  <c r="V164" i="9"/>
  <c r="U164" i="9"/>
  <c r="T164" i="9"/>
  <c r="S164" i="9"/>
  <c r="R164" i="9"/>
  <c r="Q164" i="9"/>
  <c r="P164" i="9"/>
  <c r="N164" i="9"/>
  <c r="M164" i="9"/>
  <c r="L164" i="9"/>
  <c r="K164" i="9"/>
  <c r="J164" i="9"/>
  <c r="I164" i="9"/>
  <c r="H164" i="9"/>
  <c r="G164" i="9"/>
  <c r="F164" i="9"/>
  <c r="E164" i="9"/>
  <c r="D164" i="9"/>
  <c r="C164" i="9"/>
  <c r="B164" i="9"/>
  <c r="A164" i="9"/>
  <c r="Y163" i="9"/>
  <c r="W163" i="9"/>
  <c r="V163" i="9"/>
  <c r="U163" i="9"/>
  <c r="T163" i="9"/>
  <c r="S163" i="9"/>
  <c r="R163" i="9"/>
  <c r="Q163" i="9"/>
  <c r="P163" i="9"/>
  <c r="N163" i="9"/>
  <c r="M163" i="9"/>
  <c r="L163" i="9"/>
  <c r="K163" i="9"/>
  <c r="J163" i="9"/>
  <c r="I163" i="9"/>
  <c r="H163" i="9"/>
  <c r="G163" i="9"/>
  <c r="F163" i="9"/>
  <c r="E163" i="9"/>
  <c r="D163" i="9"/>
  <c r="C163" i="9"/>
  <c r="B163" i="9"/>
  <c r="A163" i="9"/>
  <c r="Y162" i="9"/>
  <c r="W162" i="9"/>
  <c r="V162" i="9"/>
  <c r="U162" i="9"/>
  <c r="T162" i="9"/>
  <c r="S162" i="9"/>
  <c r="R162" i="9"/>
  <c r="Q162" i="9"/>
  <c r="P162" i="9"/>
  <c r="N162" i="9"/>
  <c r="M162" i="9"/>
  <c r="L162" i="9"/>
  <c r="K162" i="9"/>
  <c r="J162" i="9"/>
  <c r="I162" i="9"/>
  <c r="H162" i="9"/>
  <c r="G162" i="9"/>
  <c r="F162" i="9"/>
  <c r="E162" i="9"/>
  <c r="D162" i="9"/>
  <c r="C162" i="9"/>
  <c r="B162" i="9"/>
  <c r="A162" i="9"/>
  <c r="Y161" i="9"/>
  <c r="W161" i="9"/>
  <c r="V161" i="9"/>
  <c r="U161" i="9"/>
  <c r="T161" i="9"/>
  <c r="S161" i="9"/>
  <c r="R161" i="9"/>
  <c r="Q161" i="9"/>
  <c r="P161" i="9"/>
  <c r="N161" i="9"/>
  <c r="M161" i="9"/>
  <c r="L161" i="9"/>
  <c r="K161" i="9"/>
  <c r="J161" i="9"/>
  <c r="I161" i="9"/>
  <c r="H161" i="9"/>
  <c r="G161" i="9"/>
  <c r="F161" i="9"/>
  <c r="E161" i="9"/>
  <c r="D161" i="9"/>
  <c r="C161" i="9"/>
  <c r="B161" i="9"/>
  <c r="A161" i="9"/>
  <c r="Y160" i="9"/>
  <c r="W160" i="9"/>
  <c r="V160" i="9"/>
  <c r="U160" i="9"/>
  <c r="T160" i="9"/>
  <c r="S160" i="9"/>
  <c r="R160" i="9"/>
  <c r="Q160" i="9"/>
  <c r="P160" i="9"/>
  <c r="N160" i="9"/>
  <c r="M160" i="9"/>
  <c r="L160" i="9"/>
  <c r="K160" i="9"/>
  <c r="J160" i="9"/>
  <c r="I160" i="9"/>
  <c r="H160" i="9"/>
  <c r="G160" i="9"/>
  <c r="F160" i="9"/>
  <c r="E160" i="9"/>
  <c r="D160" i="9"/>
  <c r="C160" i="9"/>
  <c r="B160" i="9"/>
  <c r="A160" i="9"/>
  <c r="Y159" i="9"/>
  <c r="W159" i="9"/>
  <c r="V159" i="9"/>
  <c r="U159" i="9"/>
  <c r="T159" i="9"/>
  <c r="S159" i="9"/>
  <c r="R159" i="9"/>
  <c r="Q159" i="9"/>
  <c r="P159" i="9"/>
  <c r="N159" i="9"/>
  <c r="M159" i="9"/>
  <c r="L159" i="9"/>
  <c r="K159" i="9"/>
  <c r="J159" i="9"/>
  <c r="I159" i="9"/>
  <c r="H159" i="9"/>
  <c r="G159" i="9"/>
  <c r="F159" i="9"/>
  <c r="E159" i="9"/>
  <c r="D159" i="9"/>
  <c r="C159" i="9"/>
  <c r="B159" i="9"/>
  <c r="A159" i="9"/>
  <c r="Y158" i="9"/>
  <c r="W158" i="9"/>
  <c r="V158" i="9"/>
  <c r="U158" i="9"/>
  <c r="T158" i="9"/>
  <c r="S158" i="9"/>
  <c r="R158" i="9"/>
  <c r="Q158" i="9"/>
  <c r="P158" i="9"/>
  <c r="N158" i="9"/>
  <c r="M158" i="9"/>
  <c r="L158" i="9"/>
  <c r="K158" i="9"/>
  <c r="J158" i="9"/>
  <c r="I158" i="9"/>
  <c r="H158" i="9"/>
  <c r="G158" i="9"/>
  <c r="F158" i="9"/>
  <c r="E158" i="9"/>
  <c r="D158" i="9"/>
  <c r="C158" i="9"/>
  <c r="B158" i="9"/>
  <c r="A158" i="9"/>
  <c r="A157" i="9"/>
  <c r="Y156" i="9"/>
  <c r="W156" i="9"/>
  <c r="V156" i="9"/>
  <c r="U156" i="9"/>
  <c r="T156" i="9"/>
  <c r="S156" i="9"/>
  <c r="R156" i="9"/>
  <c r="Q156" i="9"/>
  <c r="P156" i="9"/>
  <c r="N156" i="9"/>
  <c r="M156" i="9"/>
  <c r="L156" i="9"/>
  <c r="K156" i="9"/>
  <c r="J156" i="9"/>
  <c r="I156" i="9"/>
  <c r="H156" i="9"/>
  <c r="G156" i="9"/>
  <c r="F156" i="9"/>
  <c r="E156" i="9"/>
  <c r="D156" i="9"/>
  <c r="C156" i="9"/>
  <c r="B156" i="9"/>
  <c r="A156" i="9"/>
  <c r="Y155" i="9"/>
  <c r="W155" i="9"/>
  <c r="V155" i="9"/>
  <c r="U155" i="9"/>
  <c r="T155" i="9"/>
  <c r="S155" i="9"/>
  <c r="R155" i="9"/>
  <c r="Q155" i="9"/>
  <c r="P155" i="9"/>
  <c r="N155" i="9"/>
  <c r="M155" i="9"/>
  <c r="L155" i="9"/>
  <c r="K155" i="9"/>
  <c r="J155" i="9"/>
  <c r="I155" i="9"/>
  <c r="H155" i="9"/>
  <c r="G155" i="9"/>
  <c r="F155" i="9"/>
  <c r="E155" i="9"/>
  <c r="D155" i="9"/>
  <c r="C155" i="9"/>
  <c r="B155" i="9"/>
  <c r="A155" i="9"/>
  <c r="Y154" i="9"/>
  <c r="W154" i="9"/>
  <c r="V154" i="9"/>
  <c r="U154" i="9"/>
  <c r="T154" i="9"/>
  <c r="S154" i="9"/>
  <c r="R154" i="9"/>
  <c r="Q154" i="9"/>
  <c r="P154" i="9"/>
  <c r="N154" i="9"/>
  <c r="M154" i="9"/>
  <c r="L154" i="9"/>
  <c r="K154" i="9"/>
  <c r="J154" i="9"/>
  <c r="I154" i="9"/>
  <c r="H154" i="9"/>
  <c r="G154" i="9"/>
  <c r="F154" i="9"/>
  <c r="E154" i="9"/>
  <c r="D154" i="9"/>
  <c r="C154" i="9"/>
  <c r="B154" i="9"/>
  <c r="A154" i="9"/>
  <c r="Y153" i="9"/>
  <c r="W153" i="9"/>
  <c r="V153" i="9"/>
  <c r="U153" i="9"/>
  <c r="T153" i="9"/>
  <c r="S153" i="9"/>
  <c r="R153" i="9"/>
  <c r="Q153" i="9"/>
  <c r="P153" i="9"/>
  <c r="N153" i="9"/>
  <c r="M153" i="9"/>
  <c r="L153" i="9"/>
  <c r="K153" i="9"/>
  <c r="J153" i="9"/>
  <c r="I153" i="9"/>
  <c r="H153" i="9"/>
  <c r="G153" i="9"/>
  <c r="F153" i="9"/>
  <c r="E153" i="9"/>
  <c r="D153" i="9"/>
  <c r="C153" i="9"/>
  <c r="B153" i="9"/>
  <c r="A153" i="9"/>
  <c r="Y152" i="9"/>
  <c r="W152" i="9"/>
  <c r="V152" i="9"/>
  <c r="U152" i="9"/>
  <c r="T152" i="9"/>
  <c r="S152" i="9"/>
  <c r="R152" i="9"/>
  <c r="Q152" i="9"/>
  <c r="P152" i="9"/>
  <c r="N152" i="9"/>
  <c r="M152" i="9"/>
  <c r="L152" i="9"/>
  <c r="K152" i="9"/>
  <c r="J152" i="9"/>
  <c r="I152" i="9"/>
  <c r="H152" i="9"/>
  <c r="G152" i="9"/>
  <c r="F152" i="9"/>
  <c r="E152" i="9"/>
  <c r="D152" i="9"/>
  <c r="C152" i="9"/>
  <c r="B152" i="9"/>
  <c r="A152" i="9"/>
  <c r="Y151" i="9"/>
  <c r="W151" i="9"/>
  <c r="V151" i="9"/>
  <c r="U151" i="9"/>
  <c r="T151" i="9"/>
  <c r="S151" i="9"/>
  <c r="R151" i="9"/>
  <c r="Q151" i="9"/>
  <c r="P151" i="9"/>
  <c r="N151" i="9"/>
  <c r="M151" i="9"/>
  <c r="L151" i="9"/>
  <c r="K151" i="9"/>
  <c r="J151" i="9"/>
  <c r="I151" i="9"/>
  <c r="H151" i="9"/>
  <c r="G151" i="9"/>
  <c r="F151" i="9"/>
  <c r="E151" i="9"/>
  <c r="D151" i="9"/>
  <c r="C151" i="9"/>
  <c r="B151" i="9"/>
  <c r="A151" i="9"/>
  <c r="Y150" i="9"/>
  <c r="W150" i="9"/>
  <c r="V150" i="9"/>
  <c r="U150" i="9"/>
  <c r="T150" i="9"/>
  <c r="S150" i="9"/>
  <c r="R150" i="9"/>
  <c r="Q150" i="9"/>
  <c r="P150" i="9"/>
  <c r="N150" i="9"/>
  <c r="M150" i="9"/>
  <c r="L150" i="9"/>
  <c r="K150" i="9"/>
  <c r="J150" i="9"/>
  <c r="I150" i="9"/>
  <c r="H150" i="9"/>
  <c r="G150" i="9"/>
  <c r="F150" i="9"/>
  <c r="E150" i="9"/>
  <c r="D150" i="9"/>
  <c r="C150" i="9"/>
  <c r="B150" i="9"/>
  <c r="A150" i="9"/>
  <c r="Y149" i="9"/>
  <c r="W149" i="9"/>
  <c r="V149" i="9"/>
  <c r="U149" i="9"/>
  <c r="T149" i="9"/>
  <c r="S149" i="9"/>
  <c r="R149" i="9"/>
  <c r="Q149" i="9"/>
  <c r="P149" i="9"/>
  <c r="N149" i="9"/>
  <c r="M149" i="9"/>
  <c r="L149" i="9"/>
  <c r="K149" i="9"/>
  <c r="J149" i="9"/>
  <c r="I149" i="9"/>
  <c r="H149" i="9"/>
  <c r="G149" i="9"/>
  <c r="F149" i="9"/>
  <c r="E149" i="9"/>
  <c r="D149" i="9"/>
  <c r="C149" i="9"/>
  <c r="B149" i="9"/>
  <c r="A149" i="9"/>
  <c r="Y148" i="9"/>
  <c r="W148" i="9"/>
  <c r="V148" i="9"/>
  <c r="U148" i="9"/>
  <c r="T148" i="9"/>
  <c r="S148" i="9"/>
  <c r="R148" i="9"/>
  <c r="Q148" i="9"/>
  <c r="P148" i="9"/>
  <c r="N148" i="9"/>
  <c r="M148" i="9"/>
  <c r="L148" i="9"/>
  <c r="K148" i="9"/>
  <c r="J148" i="9"/>
  <c r="I148" i="9"/>
  <c r="H148" i="9"/>
  <c r="G148" i="9"/>
  <c r="F148" i="9"/>
  <c r="E148" i="9"/>
  <c r="D148" i="9"/>
  <c r="C148" i="9"/>
  <c r="B148" i="9"/>
  <c r="A148" i="9"/>
  <c r="Y147" i="9"/>
  <c r="W147" i="9"/>
  <c r="V147" i="9"/>
  <c r="U147" i="9"/>
  <c r="T147" i="9"/>
  <c r="S147" i="9"/>
  <c r="R147" i="9"/>
  <c r="Q147" i="9"/>
  <c r="P147" i="9"/>
  <c r="N147" i="9"/>
  <c r="M147" i="9"/>
  <c r="L147" i="9"/>
  <c r="K147" i="9"/>
  <c r="J147" i="9"/>
  <c r="I147" i="9"/>
  <c r="H147" i="9"/>
  <c r="G147" i="9"/>
  <c r="F147" i="9"/>
  <c r="E147" i="9"/>
  <c r="D147" i="9"/>
  <c r="C147" i="9"/>
  <c r="B147" i="9"/>
  <c r="A147" i="9"/>
  <c r="A146" i="9"/>
  <c r="Y145" i="9"/>
  <c r="W145" i="9"/>
  <c r="V145" i="9"/>
  <c r="U145" i="9"/>
  <c r="T145" i="9"/>
  <c r="S145" i="9"/>
  <c r="R145" i="9"/>
  <c r="Q145" i="9"/>
  <c r="P145" i="9"/>
  <c r="N145" i="9"/>
  <c r="M145" i="9"/>
  <c r="L145" i="9"/>
  <c r="K145" i="9"/>
  <c r="J145" i="9"/>
  <c r="I145" i="9"/>
  <c r="H145" i="9"/>
  <c r="G145" i="9"/>
  <c r="F145" i="9"/>
  <c r="E145" i="9"/>
  <c r="D145" i="9"/>
  <c r="C145" i="9"/>
  <c r="B145" i="9"/>
  <c r="A145" i="9"/>
  <c r="Y144" i="9"/>
  <c r="W144" i="9"/>
  <c r="V144" i="9"/>
  <c r="U144" i="9"/>
  <c r="T144" i="9"/>
  <c r="S144" i="9"/>
  <c r="R144" i="9"/>
  <c r="Q144" i="9"/>
  <c r="P144" i="9"/>
  <c r="N144" i="9"/>
  <c r="M144" i="9"/>
  <c r="L144" i="9"/>
  <c r="K144" i="9"/>
  <c r="J144" i="9"/>
  <c r="I144" i="9"/>
  <c r="H144" i="9"/>
  <c r="G144" i="9"/>
  <c r="F144" i="9"/>
  <c r="E144" i="9"/>
  <c r="D144" i="9"/>
  <c r="C144" i="9"/>
  <c r="B144" i="9"/>
  <c r="A144" i="9"/>
  <c r="Y143" i="9"/>
  <c r="W143" i="9"/>
  <c r="V143" i="9"/>
  <c r="U143" i="9"/>
  <c r="T143" i="9"/>
  <c r="S143" i="9"/>
  <c r="R143" i="9"/>
  <c r="Q143" i="9"/>
  <c r="P143" i="9"/>
  <c r="N143" i="9"/>
  <c r="M143" i="9"/>
  <c r="L143" i="9"/>
  <c r="K143" i="9"/>
  <c r="J143" i="9"/>
  <c r="I143" i="9"/>
  <c r="H143" i="9"/>
  <c r="G143" i="9"/>
  <c r="F143" i="9"/>
  <c r="E143" i="9"/>
  <c r="D143" i="9"/>
  <c r="C143" i="9"/>
  <c r="B143" i="9"/>
  <c r="A143" i="9"/>
  <c r="Y142" i="9"/>
  <c r="W142" i="9"/>
  <c r="V142" i="9"/>
  <c r="U142" i="9"/>
  <c r="T142" i="9"/>
  <c r="S142" i="9"/>
  <c r="R142" i="9"/>
  <c r="Q142" i="9"/>
  <c r="P142" i="9"/>
  <c r="N142" i="9"/>
  <c r="M142" i="9"/>
  <c r="L142" i="9"/>
  <c r="K142" i="9"/>
  <c r="J142" i="9"/>
  <c r="I142" i="9"/>
  <c r="H142" i="9"/>
  <c r="G142" i="9"/>
  <c r="F142" i="9"/>
  <c r="E142" i="9"/>
  <c r="D142" i="9"/>
  <c r="C142" i="9"/>
  <c r="B142" i="9"/>
  <c r="A142" i="9"/>
  <c r="Y141" i="9"/>
  <c r="W141" i="9"/>
  <c r="V141" i="9"/>
  <c r="U141" i="9"/>
  <c r="T141" i="9"/>
  <c r="S141" i="9"/>
  <c r="R141" i="9"/>
  <c r="Q141" i="9"/>
  <c r="P141" i="9"/>
  <c r="N141" i="9"/>
  <c r="M141" i="9"/>
  <c r="L141" i="9"/>
  <c r="K141" i="9"/>
  <c r="J141" i="9"/>
  <c r="I141" i="9"/>
  <c r="H141" i="9"/>
  <c r="G141" i="9"/>
  <c r="F141" i="9"/>
  <c r="E141" i="9"/>
  <c r="D141" i="9"/>
  <c r="C141" i="9"/>
  <c r="B141" i="9"/>
  <c r="A141" i="9"/>
  <c r="Y140" i="9"/>
  <c r="W140" i="9"/>
  <c r="V140" i="9"/>
  <c r="U140" i="9"/>
  <c r="T140" i="9"/>
  <c r="S140" i="9"/>
  <c r="R140" i="9"/>
  <c r="Q140" i="9"/>
  <c r="P140" i="9"/>
  <c r="N140" i="9"/>
  <c r="M140" i="9"/>
  <c r="L140" i="9"/>
  <c r="K140" i="9"/>
  <c r="J140" i="9"/>
  <c r="I140" i="9"/>
  <c r="H140" i="9"/>
  <c r="G140" i="9"/>
  <c r="F140" i="9"/>
  <c r="E140" i="9"/>
  <c r="D140" i="9"/>
  <c r="C140" i="9"/>
  <c r="B140" i="9"/>
  <c r="A140" i="9"/>
  <c r="Y139" i="9"/>
  <c r="W139" i="9"/>
  <c r="V139" i="9"/>
  <c r="U139" i="9"/>
  <c r="T139" i="9"/>
  <c r="S139" i="9"/>
  <c r="R139" i="9"/>
  <c r="Q139" i="9"/>
  <c r="P139" i="9"/>
  <c r="N139" i="9"/>
  <c r="M139" i="9"/>
  <c r="L139" i="9"/>
  <c r="K139" i="9"/>
  <c r="J139" i="9"/>
  <c r="I139" i="9"/>
  <c r="H139" i="9"/>
  <c r="G139" i="9"/>
  <c r="F139" i="9"/>
  <c r="E139" i="9"/>
  <c r="D139" i="9"/>
  <c r="C139" i="9"/>
  <c r="B139" i="9"/>
  <c r="A139" i="9"/>
  <c r="Y138" i="9"/>
  <c r="W138" i="9"/>
  <c r="V138" i="9"/>
  <c r="U138" i="9"/>
  <c r="T138" i="9"/>
  <c r="S138" i="9"/>
  <c r="R138" i="9"/>
  <c r="Q138" i="9"/>
  <c r="P138" i="9"/>
  <c r="N138" i="9"/>
  <c r="M138" i="9"/>
  <c r="L138" i="9"/>
  <c r="K138" i="9"/>
  <c r="J138" i="9"/>
  <c r="I138" i="9"/>
  <c r="H138" i="9"/>
  <c r="G138" i="9"/>
  <c r="F138" i="9"/>
  <c r="E138" i="9"/>
  <c r="D138" i="9"/>
  <c r="C138" i="9"/>
  <c r="B138" i="9"/>
  <c r="A138" i="9"/>
  <c r="Y137" i="9"/>
  <c r="W137" i="9"/>
  <c r="V137" i="9"/>
  <c r="U137" i="9"/>
  <c r="T137" i="9"/>
  <c r="S137" i="9"/>
  <c r="R137" i="9"/>
  <c r="Q137" i="9"/>
  <c r="P137" i="9"/>
  <c r="N137" i="9"/>
  <c r="M137" i="9"/>
  <c r="L137" i="9"/>
  <c r="K137" i="9"/>
  <c r="J137" i="9"/>
  <c r="I137" i="9"/>
  <c r="H137" i="9"/>
  <c r="G137" i="9"/>
  <c r="F137" i="9"/>
  <c r="E137" i="9"/>
  <c r="D137" i="9"/>
  <c r="C137" i="9"/>
  <c r="B137" i="9"/>
  <c r="A137" i="9"/>
  <c r="Y136" i="9"/>
  <c r="W136" i="9"/>
  <c r="V136" i="9"/>
  <c r="U136" i="9"/>
  <c r="T136" i="9"/>
  <c r="S136" i="9"/>
  <c r="R136" i="9"/>
  <c r="Q136" i="9"/>
  <c r="P136" i="9"/>
  <c r="N136" i="9"/>
  <c r="M136" i="9"/>
  <c r="L136" i="9"/>
  <c r="K136" i="9"/>
  <c r="J136" i="9"/>
  <c r="I136" i="9"/>
  <c r="H136" i="9"/>
  <c r="G136" i="9"/>
  <c r="F136" i="9"/>
  <c r="E136" i="9"/>
  <c r="D136" i="9"/>
  <c r="C136" i="9"/>
  <c r="B136" i="9"/>
  <c r="A136" i="9"/>
  <c r="Y135" i="9"/>
  <c r="W135" i="9"/>
  <c r="V135" i="9"/>
  <c r="U135" i="9"/>
  <c r="T135" i="9"/>
  <c r="S135" i="9"/>
  <c r="R135" i="9"/>
  <c r="Q135" i="9"/>
  <c r="P135" i="9"/>
  <c r="N135" i="9"/>
  <c r="M135" i="9"/>
  <c r="L135" i="9"/>
  <c r="K135" i="9"/>
  <c r="J135" i="9"/>
  <c r="I135" i="9"/>
  <c r="H135" i="9"/>
  <c r="G135" i="9"/>
  <c r="F135" i="9"/>
  <c r="E135" i="9"/>
  <c r="D135" i="9"/>
  <c r="C135" i="9"/>
  <c r="B135" i="9"/>
  <c r="A135" i="9"/>
  <c r="Y134" i="9"/>
  <c r="W134" i="9"/>
  <c r="V134" i="9"/>
  <c r="U134" i="9"/>
  <c r="T134" i="9"/>
  <c r="S134" i="9"/>
  <c r="R134" i="9"/>
  <c r="Q134" i="9"/>
  <c r="P134" i="9"/>
  <c r="N134" i="9"/>
  <c r="M134" i="9"/>
  <c r="L134" i="9"/>
  <c r="K134" i="9"/>
  <c r="J134" i="9"/>
  <c r="I134" i="9"/>
  <c r="H134" i="9"/>
  <c r="G134" i="9"/>
  <c r="F134" i="9"/>
  <c r="E134" i="9"/>
  <c r="D134" i="9"/>
  <c r="C134" i="9"/>
  <c r="B134" i="9"/>
  <c r="A134" i="9"/>
  <c r="Y133" i="9"/>
  <c r="W133" i="9"/>
  <c r="V133" i="9"/>
  <c r="U133" i="9"/>
  <c r="T133" i="9"/>
  <c r="S133" i="9"/>
  <c r="R133" i="9"/>
  <c r="Q133" i="9"/>
  <c r="P133" i="9"/>
  <c r="N133" i="9"/>
  <c r="M133" i="9"/>
  <c r="L133" i="9"/>
  <c r="K133" i="9"/>
  <c r="J133" i="9"/>
  <c r="I133" i="9"/>
  <c r="H133" i="9"/>
  <c r="G133" i="9"/>
  <c r="F133" i="9"/>
  <c r="E133" i="9"/>
  <c r="D133" i="9"/>
  <c r="C133" i="9"/>
  <c r="B133" i="9"/>
  <c r="A133" i="9"/>
  <c r="Y132" i="9"/>
  <c r="W132" i="9"/>
  <c r="V132" i="9"/>
  <c r="U132" i="9"/>
  <c r="T132" i="9"/>
  <c r="S132" i="9"/>
  <c r="R132" i="9"/>
  <c r="Q132" i="9"/>
  <c r="P132" i="9"/>
  <c r="N132" i="9"/>
  <c r="M132" i="9"/>
  <c r="L132" i="9"/>
  <c r="K132" i="9"/>
  <c r="J132" i="9"/>
  <c r="I132" i="9"/>
  <c r="H132" i="9"/>
  <c r="G132" i="9"/>
  <c r="F132" i="9"/>
  <c r="E132" i="9"/>
  <c r="D132" i="9"/>
  <c r="C132" i="9"/>
  <c r="B132" i="9"/>
  <c r="A132" i="9"/>
  <c r="Y131" i="9"/>
  <c r="W131" i="9"/>
  <c r="V131" i="9"/>
  <c r="U131" i="9"/>
  <c r="T131" i="9"/>
  <c r="S131" i="9"/>
  <c r="R131" i="9"/>
  <c r="Q131" i="9"/>
  <c r="P131" i="9"/>
  <c r="N131" i="9"/>
  <c r="M131" i="9"/>
  <c r="L131" i="9"/>
  <c r="K131" i="9"/>
  <c r="J131" i="9"/>
  <c r="I131" i="9"/>
  <c r="H131" i="9"/>
  <c r="G131" i="9"/>
  <c r="F131" i="9"/>
  <c r="E131" i="9"/>
  <c r="D131" i="9"/>
  <c r="C131" i="9"/>
  <c r="B131" i="9"/>
  <c r="A131" i="9"/>
  <c r="Y130" i="9"/>
  <c r="W130" i="9"/>
  <c r="V130" i="9"/>
  <c r="U130" i="9"/>
  <c r="T130" i="9"/>
  <c r="S130" i="9"/>
  <c r="R130" i="9"/>
  <c r="Q130" i="9"/>
  <c r="P130" i="9"/>
  <c r="N130" i="9"/>
  <c r="M130" i="9"/>
  <c r="L130" i="9"/>
  <c r="K130" i="9"/>
  <c r="J130" i="9"/>
  <c r="I130" i="9"/>
  <c r="H130" i="9"/>
  <c r="G130" i="9"/>
  <c r="F130" i="9"/>
  <c r="E130" i="9"/>
  <c r="D130" i="9"/>
  <c r="C130" i="9"/>
  <c r="B130" i="9"/>
  <c r="A130" i="9"/>
  <c r="Y129" i="9"/>
  <c r="W129" i="9"/>
  <c r="V129" i="9"/>
  <c r="U129" i="9"/>
  <c r="T129" i="9"/>
  <c r="S129" i="9"/>
  <c r="R129" i="9"/>
  <c r="Q129" i="9"/>
  <c r="P129" i="9"/>
  <c r="N129" i="9"/>
  <c r="M129" i="9"/>
  <c r="L129" i="9"/>
  <c r="K129" i="9"/>
  <c r="J129" i="9"/>
  <c r="I129" i="9"/>
  <c r="H129" i="9"/>
  <c r="G129" i="9"/>
  <c r="F129" i="9"/>
  <c r="E129" i="9"/>
  <c r="D129" i="9"/>
  <c r="C129" i="9"/>
  <c r="B129" i="9"/>
  <c r="A129" i="9"/>
  <c r="Y128" i="9"/>
  <c r="W128" i="9"/>
  <c r="V128" i="9"/>
  <c r="U128" i="9"/>
  <c r="T128" i="9"/>
  <c r="S128" i="9"/>
  <c r="R128" i="9"/>
  <c r="Q128" i="9"/>
  <c r="P128" i="9"/>
  <c r="N128" i="9"/>
  <c r="M128" i="9"/>
  <c r="L128" i="9"/>
  <c r="K128" i="9"/>
  <c r="J128" i="9"/>
  <c r="I128" i="9"/>
  <c r="H128" i="9"/>
  <c r="G128" i="9"/>
  <c r="F128" i="9"/>
  <c r="E128" i="9"/>
  <c r="D128" i="9"/>
  <c r="C128" i="9"/>
  <c r="B128" i="9"/>
  <c r="A128" i="9"/>
  <c r="Y127" i="9"/>
  <c r="W127" i="9"/>
  <c r="V127" i="9"/>
  <c r="U127" i="9"/>
  <c r="T127" i="9"/>
  <c r="S127" i="9"/>
  <c r="R127" i="9"/>
  <c r="Q127" i="9"/>
  <c r="P127" i="9"/>
  <c r="N127" i="9"/>
  <c r="M127" i="9"/>
  <c r="L127" i="9"/>
  <c r="K127" i="9"/>
  <c r="J127" i="9"/>
  <c r="I127" i="9"/>
  <c r="H127" i="9"/>
  <c r="G127" i="9"/>
  <c r="F127" i="9"/>
  <c r="E127" i="9"/>
  <c r="D127" i="9"/>
  <c r="C127" i="9"/>
  <c r="B127" i="9"/>
  <c r="A127" i="9"/>
  <c r="Y126" i="9"/>
  <c r="W126" i="9"/>
  <c r="V126" i="9"/>
  <c r="U126" i="9"/>
  <c r="T126" i="9"/>
  <c r="S126" i="9"/>
  <c r="R126" i="9"/>
  <c r="Q126" i="9"/>
  <c r="P126" i="9"/>
  <c r="N126" i="9"/>
  <c r="M126" i="9"/>
  <c r="L126" i="9"/>
  <c r="K126" i="9"/>
  <c r="J126" i="9"/>
  <c r="I126" i="9"/>
  <c r="H126" i="9"/>
  <c r="G126" i="9"/>
  <c r="F126" i="9"/>
  <c r="E126" i="9"/>
  <c r="D126" i="9"/>
  <c r="C126" i="9"/>
  <c r="B126" i="9"/>
  <c r="A126" i="9"/>
  <c r="Y125" i="9"/>
  <c r="W125" i="9"/>
  <c r="V125" i="9"/>
  <c r="U125" i="9"/>
  <c r="T125" i="9"/>
  <c r="S125" i="9"/>
  <c r="R125" i="9"/>
  <c r="Q125" i="9"/>
  <c r="P125" i="9"/>
  <c r="N125" i="9"/>
  <c r="M125" i="9"/>
  <c r="L125" i="9"/>
  <c r="K125" i="9"/>
  <c r="J125" i="9"/>
  <c r="I125" i="9"/>
  <c r="H125" i="9"/>
  <c r="G125" i="9"/>
  <c r="F125" i="9"/>
  <c r="E125" i="9"/>
  <c r="D125" i="9"/>
  <c r="C125" i="9"/>
  <c r="B125" i="9"/>
  <c r="A125" i="9"/>
  <c r="Y124" i="9"/>
  <c r="W124" i="9"/>
  <c r="V124" i="9"/>
  <c r="U124" i="9"/>
  <c r="T124" i="9"/>
  <c r="S124" i="9"/>
  <c r="R124" i="9"/>
  <c r="Q124" i="9"/>
  <c r="P124" i="9"/>
  <c r="N124" i="9"/>
  <c r="M124" i="9"/>
  <c r="L124" i="9"/>
  <c r="K124" i="9"/>
  <c r="J124" i="9"/>
  <c r="I124" i="9"/>
  <c r="H124" i="9"/>
  <c r="G124" i="9"/>
  <c r="F124" i="9"/>
  <c r="E124" i="9"/>
  <c r="D124" i="9"/>
  <c r="C124" i="9"/>
  <c r="B124" i="9"/>
  <c r="A124" i="9"/>
  <c r="Y123" i="9"/>
  <c r="W123" i="9"/>
  <c r="V123" i="9"/>
  <c r="U123" i="9"/>
  <c r="T123" i="9"/>
  <c r="S123" i="9"/>
  <c r="R123" i="9"/>
  <c r="Q123" i="9"/>
  <c r="P123" i="9"/>
  <c r="N123" i="9"/>
  <c r="M123" i="9"/>
  <c r="L123" i="9"/>
  <c r="K123" i="9"/>
  <c r="J123" i="9"/>
  <c r="I123" i="9"/>
  <c r="H123" i="9"/>
  <c r="G123" i="9"/>
  <c r="F123" i="9"/>
  <c r="E123" i="9"/>
  <c r="D123" i="9"/>
  <c r="C123" i="9"/>
  <c r="B123" i="9"/>
  <c r="A123" i="9"/>
  <c r="Y122" i="9"/>
  <c r="W122" i="9"/>
  <c r="V122" i="9"/>
  <c r="U122" i="9"/>
  <c r="T122" i="9"/>
  <c r="S122" i="9"/>
  <c r="R122" i="9"/>
  <c r="Q122" i="9"/>
  <c r="P122" i="9"/>
  <c r="N122" i="9"/>
  <c r="M122" i="9"/>
  <c r="L122" i="9"/>
  <c r="K122" i="9"/>
  <c r="J122" i="9"/>
  <c r="I122" i="9"/>
  <c r="H122" i="9"/>
  <c r="G122" i="9"/>
  <c r="F122" i="9"/>
  <c r="E122" i="9"/>
  <c r="D122" i="9"/>
  <c r="C122" i="9"/>
  <c r="B122" i="9"/>
  <c r="A122" i="9"/>
  <c r="Y121" i="9"/>
  <c r="W121" i="9"/>
  <c r="V121" i="9"/>
  <c r="U121" i="9"/>
  <c r="T121" i="9"/>
  <c r="S121" i="9"/>
  <c r="R121" i="9"/>
  <c r="Q121" i="9"/>
  <c r="P121" i="9"/>
  <c r="N121" i="9"/>
  <c r="M121" i="9"/>
  <c r="L121" i="9"/>
  <c r="K121" i="9"/>
  <c r="J121" i="9"/>
  <c r="I121" i="9"/>
  <c r="H121" i="9"/>
  <c r="G121" i="9"/>
  <c r="F121" i="9"/>
  <c r="E121" i="9"/>
  <c r="D121" i="9"/>
  <c r="C121" i="9"/>
  <c r="B121" i="9"/>
  <c r="A121" i="9"/>
  <c r="Y120" i="9"/>
  <c r="W120" i="9"/>
  <c r="V120" i="9"/>
  <c r="U120" i="9"/>
  <c r="T120" i="9"/>
  <c r="S120" i="9"/>
  <c r="R120" i="9"/>
  <c r="Q120" i="9"/>
  <c r="P120" i="9"/>
  <c r="N120" i="9"/>
  <c r="M120" i="9"/>
  <c r="L120" i="9"/>
  <c r="K120" i="9"/>
  <c r="J120" i="9"/>
  <c r="I120" i="9"/>
  <c r="H120" i="9"/>
  <c r="G120" i="9"/>
  <c r="F120" i="9"/>
  <c r="E120" i="9"/>
  <c r="D120" i="9"/>
  <c r="C120" i="9"/>
  <c r="B120" i="9"/>
  <c r="A120" i="9"/>
  <c r="Y119" i="9"/>
  <c r="W119" i="9"/>
  <c r="V119" i="9"/>
  <c r="U119" i="9"/>
  <c r="T119" i="9"/>
  <c r="S119" i="9"/>
  <c r="R119" i="9"/>
  <c r="Q119" i="9"/>
  <c r="P119" i="9"/>
  <c r="N119" i="9"/>
  <c r="M119" i="9"/>
  <c r="L119" i="9"/>
  <c r="K119" i="9"/>
  <c r="J119" i="9"/>
  <c r="I119" i="9"/>
  <c r="H119" i="9"/>
  <c r="G119" i="9"/>
  <c r="F119" i="9"/>
  <c r="E119" i="9"/>
  <c r="D119" i="9"/>
  <c r="C119" i="9"/>
  <c r="B119" i="9"/>
  <c r="A119" i="9"/>
  <c r="Y118" i="9"/>
  <c r="W118" i="9"/>
  <c r="V118" i="9"/>
  <c r="U118" i="9"/>
  <c r="T118" i="9"/>
  <c r="S118" i="9"/>
  <c r="R118" i="9"/>
  <c r="Q118" i="9"/>
  <c r="P118" i="9"/>
  <c r="N118" i="9"/>
  <c r="M118" i="9"/>
  <c r="L118" i="9"/>
  <c r="K118" i="9"/>
  <c r="J118" i="9"/>
  <c r="I118" i="9"/>
  <c r="H118" i="9"/>
  <c r="G118" i="9"/>
  <c r="F118" i="9"/>
  <c r="E118" i="9"/>
  <c r="D118" i="9"/>
  <c r="C118" i="9"/>
  <c r="B118" i="9"/>
  <c r="A118" i="9"/>
  <c r="Y117" i="9"/>
  <c r="W117" i="9"/>
  <c r="V117" i="9"/>
  <c r="U117" i="9"/>
  <c r="T117" i="9"/>
  <c r="S117" i="9"/>
  <c r="R117" i="9"/>
  <c r="Q117" i="9"/>
  <c r="P117" i="9"/>
  <c r="N117" i="9"/>
  <c r="M117" i="9"/>
  <c r="L117" i="9"/>
  <c r="K117" i="9"/>
  <c r="J117" i="9"/>
  <c r="I117" i="9"/>
  <c r="H117" i="9"/>
  <c r="G117" i="9"/>
  <c r="F117" i="9"/>
  <c r="E117" i="9"/>
  <c r="D117" i="9"/>
  <c r="C117" i="9"/>
  <c r="B117" i="9"/>
  <c r="A117" i="9"/>
  <c r="Y116" i="9"/>
  <c r="W116" i="9"/>
  <c r="V116" i="9"/>
  <c r="U116" i="9"/>
  <c r="T116" i="9"/>
  <c r="S116" i="9"/>
  <c r="R116" i="9"/>
  <c r="Q116" i="9"/>
  <c r="P116" i="9"/>
  <c r="N116" i="9"/>
  <c r="M116" i="9"/>
  <c r="L116" i="9"/>
  <c r="K116" i="9"/>
  <c r="J116" i="9"/>
  <c r="I116" i="9"/>
  <c r="H116" i="9"/>
  <c r="G116" i="9"/>
  <c r="F116" i="9"/>
  <c r="E116" i="9"/>
  <c r="D116" i="9"/>
  <c r="C116" i="9"/>
  <c r="B116" i="9"/>
  <c r="A116" i="9"/>
  <c r="Y115" i="9"/>
  <c r="W115" i="9"/>
  <c r="V115" i="9"/>
  <c r="U115" i="9"/>
  <c r="T115" i="9"/>
  <c r="S115" i="9"/>
  <c r="R115" i="9"/>
  <c r="Q115" i="9"/>
  <c r="P115" i="9"/>
  <c r="N115" i="9"/>
  <c r="M115" i="9"/>
  <c r="L115" i="9"/>
  <c r="K115" i="9"/>
  <c r="J115" i="9"/>
  <c r="I115" i="9"/>
  <c r="H115" i="9"/>
  <c r="G115" i="9"/>
  <c r="F115" i="9"/>
  <c r="E115" i="9"/>
  <c r="D115" i="9"/>
  <c r="C115" i="9"/>
  <c r="B115" i="9"/>
  <c r="A115" i="9"/>
  <c r="Y114" i="9"/>
  <c r="W114" i="9"/>
  <c r="V114" i="9"/>
  <c r="U114" i="9"/>
  <c r="T114" i="9"/>
  <c r="S114" i="9"/>
  <c r="R114" i="9"/>
  <c r="Q114" i="9"/>
  <c r="P114" i="9"/>
  <c r="N114" i="9"/>
  <c r="M114" i="9"/>
  <c r="L114" i="9"/>
  <c r="K114" i="9"/>
  <c r="J114" i="9"/>
  <c r="I114" i="9"/>
  <c r="H114" i="9"/>
  <c r="G114" i="9"/>
  <c r="F114" i="9"/>
  <c r="E114" i="9"/>
  <c r="D114" i="9"/>
  <c r="C114" i="9"/>
  <c r="B114" i="9"/>
  <c r="A114" i="9"/>
  <c r="Y113" i="9"/>
  <c r="W113" i="9"/>
  <c r="V113" i="9"/>
  <c r="U113" i="9"/>
  <c r="T113" i="9"/>
  <c r="S113" i="9"/>
  <c r="R113" i="9"/>
  <c r="Q113" i="9"/>
  <c r="P113" i="9"/>
  <c r="N113" i="9"/>
  <c r="M113" i="9"/>
  <c r="L113" i="9"/>
  <c r="K113" i="9"/>
  <c r="J113" i="9"/>
  <c r="I113" i="9"/>
  <c r="H113" i="9"/>
  <c r="G113" i="9"/>
  <c r="F113" i="9"/>
  <c r="E113" i="9"/>
  <c r="D113" i="9"/>
  <c r="C113" i="9"/>
  <c r="B113" i="9"/>
  <c r="A113" i="9"/>
  <c r="Y112" i="9"/>
  <c r="W112" i="9"/>
  <c r="V112" i="9"/>
  <c r="U112" i="9"/>
  <c r="T112" i="9"/>
  <c r="S112" i="9"/>
  <c r="R112" i="9"/>
  <c r="Q112" i="9"/>
  <c r="P112" i="9"/>
  <c r="N112" i="9"/>
  <c r="M112" i="9"/>
  <c r="L112" i="9"/>
  <c r="K112" i="9"/>
  <c r="J112" i="9"/>
  <c r="I112" i="9"/>
  <c r="H112" i="9"/>
  <c r="G112" i="9"/>
  <c r="F112" i="9"/>
  <c r="E112" i="9"/>
  <c r="D112" i="9"/>
  <c r="C112" i="9"/>
  <c r="B112" i="9"/>
  <c r="A112" i="9"/>
  <c r="Y111" i="9"/>
  <c r="W111" i="9"/>
  <c r="V111" i="9"/>
  <c r="U111" i="9"/>
  <c r="T111" i="9"/>
  <c r="S111" i="9"/>
  <c r="R111" i="9"/>
  <c r="Q111" i="9"/>
  <c r="P111" i="9"/>
  <c r="N111" i="9"/>
  <c r="M111" i="9"/>
  <c r="L111" i="9"/>
  <c r="K111" i="9"/>
  <c r="J111" i="9"/>
  <c r="I111" i="9"/>
  <c r="H111" i="9"/>
  <c r="G111" i="9"/>
  <c r="F111" i="9"/>
  <c r="E111" i="9"/>
  <c r="D111" i="9"/>
  <c r="C111" i="9"/>
  <c r="B111" i="9"/>
  <c r="A111" i="9"/>
  <c r="Y110" i="9"/>
  <c r="W110" i="9"/>
  <c r="V110" i="9"/>
  <c r="U110" i="9"/>
  <c r="T110" i="9"/>
  <c r="S110" i="9"/>
  <c r="R110" i="9"/>
  <c r="Q110" i="9"/>
  <c r="P110" i="9"/>
  <c r="N110" i="9"/>
  <c r="M110" i="9"/>
  <c r="L110" i="9"/>
  <c r="K110" i="9"/>
  <c r="J110" i="9"/>
  <c r="I110" i="9"/>
  <c r="H110" i="9"/>
  <c r="G110" i="9"/>
  <c r="F110" i="9"/>
  <c r="E110" i="9"/>
  <c r="D110" i="9"/>
  <c r="C110" i="9"/>
  <c r="B110" i="9"/>
  <c r="A110" i="9"/>
  <c r="Y109" i="9"/>
  <c r="W109" i="9"/>
  <c r="V109" i="9"/>
  <c r="U109" i="9"/>
  <c r="T109" i="9"/>
  <c r="S109" i="9"/>
  <c r="R109" i="9"/>
  <c r="Q109" i="9"/>
  <c r="P109" i="9"/>
  <c r="N109" i="9"/>
  <c r="M109" i="9"/>
  <c r="L109" i="9"/>
  <c r="K109" i="9"/>
  <c r="J109" i="9"/>
  <c r="I109" i="9"/>
  <c r="H109" i="9"/>
  <c r="G109" i="9"/>
  <c r="F109" i="9"/>
  <c r="E109" i="9"/>
  <c r="D109" i="9"/>
  <c r="C109" i="9"/>
  <c r="B109" i="9"/>
  <c r="A109" i="9"/>
  <c r="Y108" i="9"/>
  <c r="W108" i="9"/>
  <c r="V108" i="9"/>
  <c r="U108" i="9"/>
  <c r="T108" i="9"/>
  <c r="S108" i="9"/>
  <c r="R108" i="9"/>
  <c r="Q108" i="9"/>
  <c r="P108" i="9"/>
  <c r="N108" i="9"/>
  <c r="M108" i="9"/>
  <c r="L108" i="9"/>
  <c r="K108" i="9"/>
  <c r="J108" i="9"/>
  <c r="I108" i="9"/>
  <c r="H108" i="9"/>
  <c r="G108" i="9"/>
  <c r="F108" i="9"/>
  <c r="E108" i="9"/>
  <c r="D108" i="9"/>
  <c r="C108" i="9"/>
  <c r="B108" i="9"/>
  <c r="A108" i="9"/>
  <c r="Y107" i="9"/>
  <c r="W107" i="9"/>
  <c r="V107" i="9"/>
  <c r="U107" i="9"/>
  <c r="T107" i="9"/>
  <c r="S107" i="9"/>
  <c r="R107" i="9"/>
  <c r="Q107" i="9"/>
  <c r="P107" i="9"/>
  <c r="N107" i="9"/>
  <c r="M107" i="9"/>
  <c r="L107" i="9"/>
  <c r="K107" i="9"/>
  <c r="J107" i="9"/>
  <c r="I107" i="9"/>
  <c r="H107" i="9"/>
  <c r="G107" i="9"/>
  <c r="F107" i="9"/>
  <c r="E107" i="9"/>
  <c r="D107" i="9"/>
  <c r="C107" i="9"/>
  <c r="B107" i="9"/>
  <c r="A107" i="9"/>
  <c r="Y106" i="9"/>
  <c r="W106" i="9"/>
  <c r="V106" i="9"/>
  <c r="U106" i="9"/>
  <c r="T106" i="9"/>
  <c r="S106" i="9"/>
  <c r="R106" i="9"/>
  <c r="Q106" i="9"/>
  <c r="P106" i="9"/>
  <c r="N106" i="9"/>
  <c r="M106" i="9"/>
  <c r="L106" i="9"/>
  <c r="K106" i="9"/>
  <c r="J106" i="9"/>
  <c r="I106" i="9"/>
  <c r="H106" i="9"/>
  <c r="G106" i="9"/>
  <c r="F106" i="9"/>
  <c r="E106" i="9"/>
  <c r="D106" i="9"/>
  <c r="C106" i="9"/>
  <c r="B106" i="9"/>
  <c r="A106" i="9"/>
  <c r="Y105" i="9"/>
  <c r="W105" i="9"/>
  <c r="V105" i="9"/>
  <c r="U105" i="9"/>
  <c r="T105" i="9"/>
  <c r="S105" i="9"/>
  <c r="R105" i="9"/>
  <c r="Q105" i="9"/>
  <c r="P105" i="9"/>
  <c r="N105" i="9"/>
  <c r="M105" i="9"/>
  <c r="L105" i="9"/>
  <c r="K105" i="9"/>
  <c r="J105" i="9"/>
  <c r="I105" i="9"/>
  <c r="H105" i="9"/>
  <c r="G105" i="9"/>
  <c r="F105" i="9"/>
  <c r="E105" i="9"/>
  <c r="D105" i="9"/>
  <c r="C105" i="9"/>
  <c r="B105" i="9"/>
  <c r="A105" i="9"/>
  <c r="Y104" i="9"/>
  <c r="W104" i="9"/>
  <c r="V104" i="9"/>
  <c r="U104" i="9"/>
  <c r="T104" i="9"/>
  <c r="S104" i="9"/>
  <c r="R104" i="9"/>
  <c r="Q104" i="9"/>
  <c r="P104" i="9"/>
  <c r="N104" i="9"/>
  <c r="M104" i="9"/>
  <c r="L104" i="9"/>
  <c r="K104" i="9"/>
  <c r="J104" i="9"/>
  <c r="I104" i="9"/>
  <c r="H104" i="9"/>
  <c r="G104" i="9"/>
  <c r="F104" i="9"/>
  <c r="E104" i="9"/>
  <c r="D104" i="9"/>
  <c r="C104" i="9"/>
  <c r="B104" i="9"/>
  <c r="A104" i="9"/>
  <c r="Y103" i="9"/>
  <c r="W103" i="9"/>
  <c r="V103" i="9"/>
  <c r="U103" i="9"/>
  <c r="T103" i="9"/>
  <c r="S103" i="9"/>
  <c r="R103" i="9"/>
  <c r="Q103" i="9"/>
  <c r="P103" i="9"/>
  <c r="N103" i="9"/>
  <c r="M103" i="9"/>
  <c r="L103" i="9"/>
  <c r="K103" i="9"/>
  <c r="J103" i="9"/>
  <c r="I103" i="9"/>
  <c r="H103" i="9"/>
  <c r="G103" i="9"/>
  <c r="F103" i="9"/>
  <c r="E103" i="9"/>
  <c r="D103" i="9"/>
  <c r="C103" i="9"/>
  <c r="B103" i="9"/>
  <c r="A103" i="9"/>
  <c r="Y102" i="9"/>
  <c r="W102" i="9"/>
  <c r="V102" i="9"/>
  <c r="U102" i="9"/>
  <c r="T102" i="9"/>
  <c r="S102" i="9"/>
  <c r="R102" i="9"/>
  <c r="Q102" i="9"/>
  <c r="P102" i="9"/>
  <c r="N102" i="9"/>
  <c r="M102" i="9"/>
  <c r="L102" i="9"/>
  <c r="K102" i="9"/>
  <c r="J102" i="9"/>
  <c r="I102" i="9"/>
  <c r="H102" i="9"/>
  <c r="G102" i="9"/>
  <c r="F102" i="9"/>
  <c r="E102" i="9"/>
  <c r="D102" i="9"/>
  <c r="C102" i="9"/>
  <c r="B102" i="9"/>
  <c r="A102" i="9"/>
  <c r="Y101" i="9"/>
  <c r="W101" i="9"/>
  <c r="V101" i="9"/>
  <c r="U101" i="9"/>
  <c r="T101" i="9"/>
  <c r="S101" i="9"/>
  <c r="R101" i="9"/>
  <c r="Q101" i="9"/>
  <c r="P101" i="9"/>
  <c r="N101" i="9"/>
  <c r="M101" i="9"/>
  <c r="L101" i="9"/>
  <c r="K101" i="9"/>
  <c r="J101" i="9"/>
  <c r="I101" i="9"/>
  <c r="H101" i="9"/>
  <c r="G101" i="9"/>
  <c r="F101" i="9"/>
  <c r="E101" i="9"/>
  <c r="D101" i="9"/>
  <c r="C101" i="9"/>
  <c r="B101" i="9"/>
  <c r="A101" i="9"/>
  <c r="A100" i="9"/>
  <c r="W99" i="9"/>
  <c r="V99" i="9"/>
  <c r="U99" i="9"/>
  <c r="T99" i="9"/>
  <c r="S99" i="9"/>
  <c r="R99" i="9"/>
  <c r="Q99" i="9"/>
  <c r="P99" i="9"/>
  <c r="N99" i="9"/>
  <c r="M99" i="9"/>
  <c r="L99" i="9"/>
  <c r="K99" i="9"/>
  <c r="J99" i="9"/>
  <c r="I99" i="9"/>
  <c r="H99" i="9"/>
  <c r="G99" i="9"/>
  <c r="F99" i="9"/>
  <c r="E99" i="9"/>
  <c r="D99" i="9"/>
  <c r="C99" i="9"/>
  <c r="B99" i="9"/>
  <c r="A99" i="9"/>
  <c r="Y98" i="9"/>
  <c r="W98" i="9"/>
  <c r="V98" i="9"/>
  <c r="U98" i="9"/>
  <c r="T98" i="9"/>
  <c r="S98" i="9"/>
  <c r="R98" i="9"/>
  <c r="Q98" i="9"/>
  <c r="P98" i="9"/>
  <c r="N98" i="9"/>
  <c r="M98" i="9"/>
  <c r="L98" i="9"/>
  <c r="K98" i="9"/>
  <c r="J98" i="9"/>
  <c r="I98" i="9"/>
  <c r="H98" i="9"/>
  <c r="G98" i="9"/>
  <c r="F98" i="9"/>
  <c r="E98" i="9"/>
  <c r="D98" i="9"/>
  <c r="C98" i="9"/>
  <c r="B98" i="9"/>
  <c r="A98" i="9"/>
  <c r="Y97" i="9"/>
  <c r="W97" i="9"/>
  <c r="V97" i="9"/>
  <c r="U97" i="9"/>
  <c r="T97" i="9"/>
  <c r="S97" i="9"/>
  <c r="R97" i="9"/>
  <c r="Q97" i="9"/>
  <c r="P97" i="9"/>
  <c r="N97" i="9"/>
  <c r="M97" i="9"/>
  <c r="L97" i="9"/>
  <c r="K97" i="9"/>
  <c r="J97" i="9"/>
  <c r="I97" i="9"/>
  <c r="H97" i="9"/>
  <c r="G97" i="9"/>
  <c r="F97" i="9"/>
  <c r="E97" i="9"/>
  <c r="D97" i="9"/>
  <c r="C97" i="9"/>
  <c r="B97" i="9"/>
  <c r="A97" i="9"/>
  <c r="Y96" i="9"/>
  <c r="W96" i="9"/>
  <c r="V96" i="9"/>
  <c r="U96" i="9"/>
  <c r="T96" i="9"/>
  <c r="S96" i="9"/>
  <c r="R96" i="9"/>
  <c r="Q96" i="9"/>
  <c r="P96" i="9"/>
  <c r="N96" i="9"/>
  <c r="M96" i="9"/>
  <c r="L96" i="9"/>
  <c r="K96" i="9"/>
  <c r="J96" i="9"/>
  <c r="I96" i="9"/>
  <c r="H96" i="9"/>
  <c r="G96" i="9"/>
  <c r="F96" i="9"/>
  <c r="E96" i="9"/>
  <c r="D96" i="9"/>
  <c r="C96" i="9"/>
  <c r="B96" i="9"/>
  <c r="A96" i="9"/>
  <c r="Y95" i="9"/>
  <c r="W95" i="9"/>
  <c r="V95" i="9"/>
  <c r="U95" i="9"/>
  <c r="T95" i="9"/>
  <c r="S95" i="9"/>
  <c r="R95" i="9"/>
  <c r="Q95" i="9"/>
  <c r="P95" i="9"/>
  <c r="N95" i="9"/>
  <c r="M95" i="9"/>
  <c r="L95" i="9"/>
  <c r="K95" i="9"/>
  <c r="J95" i="9"/>
  <c r="I95" i="9"/>
  <c r="H95" i="9"/>
  <c r="G95" i="9"/>
  <c r="F95" i="9"/>
  <c r="E95" i="9"/>
  <c r="D95" i="9"/>
  <c r="C95" i="9"/>
  <c r="B95" i="9"/>
  <c r="A95" i="9"/>
  <c r="Y94" i="9"/>
  <c r="W94" i="9"/>
  <c r="V94" i="9"/>
  <c r="U94" i="9"/>
  <c r="T94" i="9"/>
  <c r="S94" i="9"/>
  <c r="R94" i="9"/>
  <c r="Q94" i="9"/>
  <c r="P94" i="9"/>
  <c r="N94" i="9"/>
  <c r="M94" i="9"/>
  <c r="L94" i="9"/>
  <c r="K94" i="9"/>
  <c r="J94" i="9"/>
  <c r="I94" i="9"/>
  <c r="H94" i="9"/>
  <c r="G94" i="9"/>
  <c r="F94" i="9"/>
  <c r="E94" i="9"/>
  <c r="D94" i="9"/>
  <c r="C94" i="9"/>
  <c r="B94" i="9"/>
  <c r="A94" i="9"/>
  <c r="Y93" i="9"/>
  <c r="W93" i="9"/>
  <c r="V93" i="9"/>
  <c r="U93" i="9"/>
  <c r="T93" i="9"/>
  <c r="S93" i="9"/>
  <c r="R93" i="9"/>
  <c r="Q93" i="9"/>
  <c r="P93" i="9"/>
  <c r="N93" i="9"/>
  <c r="M93" i="9"/>
  <c r="L93" i="9"/>
  <c r="K93" i="9"/>
  <c r="J93" i="9"/>
  <c r="I93" i="9"/>
  <c r="H93" i="9"/>
  <c r="G93" i="9"/>
  <c r="F93" i="9"/>
  <c r="E93" i="9"/>
  <c r="D93" i="9"/>
  <c r="C93" i="9"/>
  <c r="B93" i="9"/>
  <c r="A93" i="9"/>
  <c r="Y92" i="9"/>
  <c r="W92" i="9"/>
  <c r="V92" i="9"/>
  <c r="U92" i="9"/>
  <c r="T92" i="9"/>
  <c r="S92" i="9"/>
  <c r="R92" i="9"/>
  <c r="Q92" i="9"/>
  <c r="P92" i="9"/>
  <c r="N92" i="9"/>
  <c r="M92" i="9"/>
  <c r="L92" i="9"/>
  <c r="K92" i="9"/>
  <c r="J92" i="9"/>
  <c r="I92" i="9"/>
  <c r="H92" i="9"/>
  <c r="G92" i="9"/>
  <c r="F92" i="9"/>
  <c r="E92" i="9"/>
  <c r="D92" i="9"/>
  <c r="C92" i="9"/>
  <c r="B92" i="9"/>
  <c r="A92" i="9"/>
  <c r="Y91" i="9"/>
  <c r="W91" i="9"/>
  <c r="V91" i="9"/>
  <c r="U91" i="9"/>
  <c r="T91" i="9"/>
  <c r="S91" i="9"/>
  <c r="R91" i="9"/>
  <c r="Q91" i="9"/>
  <c r="P91" i="9"/>
  <c r="N91" i="9"/>
  <c r="M91" i="9"/>
  <c r="L91" i="9"/>
  <c r="K91" i="9"/>
  <c r="J91" i="9"/>
  <c r="I91" i="9"/>
  <c r="H91" i="9"/>
  <c r="G91" i="9"/>
  <c r="F91" i="9"/>
  <c r="E91" i="9"/>
  <c r="D91" i="9"/>
  <c r="C91" i="9"/>
  <c r="B91" i="9"/>
  <c r="A91" i="9"/>
  <c r="Y90" i="9"/>
  <c r="W90" i="9"/>
  <c r="V90" i="9"/>
  <c r="U90" i="9"/>
  <c r="T90" i="9"/>
  <c r="S90" i="9"/>
  <c r="R90" i="9"/>
  <c r="Q90" i="9"/>
  <c r="P90" i="9"/>
  <c r="N90" i="9"/>
  <c r="M90" i="9"/>
  <c r="L90" i="9"/>
  <c r="K90" i="9"/>
  <c r="J90" i="9"/>
  <c r="I90" i="9"/>
  <c r="H90" i="9"/>
  <c r="G90" i="9"/>
  <c r="F90" i="9"/>
  <c r="E90" i="9"/>
  <c r="D90" i="9"/>
  <c r="C90" i="9"/>
  <c r="B90" i="9"/>
  <c r="A90" i="9"/>
  <c r="Y89" i="9"/>
  <c r="W89" i="9"/>
  <c r="V89" i="9"/>
  <c r="U89" i="9"/>
  <c r="T89" i="9"/>
  <c r="S89" i="9"/>
  <c r="R89" i="9"/>
  <c r="Q89" i="9"/>
  <c r="P89" i="9"/>
  <c r="N89" i="9"/>
  <c r="M89" i="9"/>
  <c r="L89" i="9"/>
  <c r="K89" i="9"/>
  <c r="J89" i="9"/>
  <c r="I89" i="9"/>
  <c r="H89" i="9"/>
  <c r="G89" i="9"/>
  <c r="F89" i="9"/>
  <c r="E89" i="9"/>
  <c r="D89" i="9"/>
  <c r="C89" i="9"/>
  <c r="B89" i="9"/>
  <c r="A89" i="9"/>
  <c r="Y88" i="9"/>
  <c r="W88" i="9"/>
  <c r="V88" i="9"/>
  <c r="U88" i="9"/>
  <c r="T88" i="9"/>
  <c r="S88" i="9"/>
  <c r="R88" i="9"/>
  <c r="Q88" i="9"/>
  <c r="P88" i="9"/>
  <c r="N88" i="9"/>
  <c r="M88" i="9"/>
  <c r="L88" i="9"/>
  <c r="K88" i="9"/>
  <c r="J88" i="9"/>
  <c r="I88" i="9"/>
  <c r="H88" i="9"/>
  <c r="G88" i="9"/>
  <c r="F88" i="9"/>
  <c r="E88" i="9"/>
  <c r="D88" i="9"/>
  <c r="C88" i="9"/>
  <c r="B88" i="9"/>
  <c r="A88" i="9"/>
  <c r="Y87" i="9"/>
  <c r="W87" i="9"/>
  <c r="V87" i="9"/>
  <c r="U87" i="9"/>
  <c r="T87" i="9"/>
  <c r="S87" i="9"/>
  <c r="R87" i="9"/>
  <c r="Q87" i="9"/>
  <c r="P87" i="9"/>
  <c r="N87" i="9"/>
  <c r="M87" i="9"/>
  <c r="L87" i="9"/>
  <c r="K87" i="9"/>
  <c r="J87" i="9"/>
  <c r="I87" i="9"/>
  <c r="H87" i="9"/>
  <c r="G87" i="9"/>
  <c r="F87" i="9"/>
  <c r="E87" i="9"/>
  <c r="D87" i="9"/>
  <c r="C87" i="9"/>
  <c r="B87" i="9"/>
  <c r="A87" i="9"/>
  <c r="Y86" i="9"/>
  <c r="V86" i="9"/>
  <c r="U86" i="9"/>
  <c r="T86" i="9"/>
  <c r="S86" i="9"/>
  <c r="R86" i="9"/>
  <c r="Q86" i="9"/>
  <c r="P86" i="9"/>
  <c r="N86" i="9"/>
  <c r="M86" i="9"/>
  <c r="L86" i="9"/>
  <c r="K86" i="9"/>
  <c r="J86" i="9"/>
  <c r="I86" i="9"/>
  <c r="H86" i="9"/>
  <c r="G86" i="9"/>
  <c r="F86" i="9"/>
  <c r="E86" i="9"/>
  <c r="D86" i="9"/>
  <c r="C86" i="9"/>
  <c r="B86" i="9"/>
  <c r="A86" i="9"/>
  <c r="Y85" i="9"/>
  <c r="W85" i="9"/>
  <c r="V85" i="9"/>
  <c r="U85" i="9"/>
  <c r="T85" i="9"/>
  <c r="S85" i="9"/>
  <c r="R85" i="9"/>
  <c r="Q85" i="9"/>
  <c r="P85" i="9"/>
  <c r="N85" i="9"/>
  <c r="M85" i="9"/>
  <c r="L85" i="9"/>
  <c r="K85" i="9"/>
  <c r="J85" i="9"/>
  <c r="I85" i="9"/>
  <c r="H85" i="9"/>
  <c r="G85" i="9"/>
  <c r="F85" i="9"/>
  <c r="E85" i="9"/>
  <c r="D85" i="9"/>
  <c r="C85" i="9"/>
  <c r="B85" i="9"/>
  <c r="A85" i="9"/>
  <c r="W84" i="9"/>
  <c r="V84" i="9"/>
  <c r="U84" i="9"/>
  <c r="T84" i="9"/>
  <c r="S84" i="9"/>
  <c r="R84" i="9"/>
  <c r="Q84" i="9"/>
  <c r="P84" i="9"/>
  <c r="N84" i="9"/>
  <c r="M84" i="9"/>
  <c r="L84" i="9"/>
  <c r="K84" i="9"/>
  <c r="J84" i="9"/>
  <c r="I84" i="9"/>
  <c r="H84" i="9"/>
  <c r="G84" i="9"/>
  <c r="F84" i="9"/>
  <c r="E84" i="9"/>
  <c r="D84" i="9"/>
  <c r="C84" i="9"/>
  <c r="B84" i="9"/>
  <c r="A84" i="9"/>
  <c r="Y83" i="9"/>
  <c r="W83" i="9"/>
  <c r="V83" i="9"/>
  <c r="U83" i="9"/>
  <c r="T83" i="9"/>
  <c r="S83" i="9"/>
  <c r="R83" i="9"/>
  <c r="Q83" i="9"/>
  <c r="P83" i="9"/>
  <c r="N83" i="9"/>
  <c r="M83" i="9"/>
  <c r="L83" i="9"/>
  <c r="K83" i="9"/>
  <c r="J83" i="9"/>
  <c r="I83" i="9"/>
  <c r="H83" i="9"/>
  <c r="G83" i="9"/>
  <c r="F83" i="9"/>
  <c r="E83" i="9"/>
  <c r="D83" i="9"/>
  <c r="C83" i="9"/>
  <c r="B83" i="9"/>
  <c r="A83" i="9"/>
  <c r="Y82" i="9"/>
  <c r="W82" i="9"/>
  <c r="V82" i="9"/>
  <c r="U82" i="9"/>
  <c r="T82" i="9"/>
  <c r="S82" i="9"/>
  <c r="R82" i="9"/>
  <c r="Q82" i="9"/>
  <c r="P82" i="9"/>
  <c r="N82" i="9"/>
  <c r="M82" i="9"/>
  <c r="L82" i="9"/>
  <c r="K82" i="9"/>
  <c r="J82" i="9"/>
  <c r="I82" i="9"/>
  <c r="H82" i="9"/>
  <c r="G82" i="9"/>
  <c r="F82" i="9"/>
  <c r="E82" i="9"/>
  <c r="D82" i="9"/>
  <c r="C82" i="9"/>
  <c r="B82" i="9"/>
  <c r="A82" i="9"/>
  <c r="Y81" i="9"/>
  <c r="W81" i="9"/>
  <c r="V81" i="9"/>
  <c r="U81" i="9"/>
  <c r="T81" i="9"/>
  <c r="S81" i="9"/>
  <c r="R81" i="9"/>
  <c r="Q81" i="9"/>
  <c r="P81" i="9"/>
  <c r="N81" i="9"/>
  <c r="M81" i="9"/>
  <c r="L81" i="9"/>
  <c r="K81" i="9"/>
  <c r="J81" i="9"/>
  <c r="I81" i="9"/>
  <c r="H81" i="9"/>
  <c r="G81" i="9"/>
  <c r="F81" i="9"/>
  <c r="E81" i="9"/>
  <c r="D81" i="9"/>
  <c r="C81" i="9"/>
  <c r="B81" i="9"/>
  <c r="A81" i="9"/>
  <c r="Y80" i="9"/>
  <c r="W80" i="9"/>
  <c r="V80" i="9"/>
  <c r="U80" i="9"/>
  <c r="T80" i="9"/>
  <c r="S80" i="9"/>
  <c r="R80" i="9"/>
  <c r="Q80" i="9"/>
  <c r="P80" i="9"/>
  <c r="N80" i="9"/>
  <c r="M80" i="9"/>
  <c r="L80" i="9"/>
  <c r="K80" i="9"/>
  <c r="J80" i="9"/>
  <c r="I80" i="9"/>
  <c r="H80" i="9"/>
  <c r="G80" i="9"/>
  <c r="F80" i="9"/>
  <c r="E80" i="9"/>
  <c r="D80" i="9"/>
  <c r="C80" i="9"/>
  <c r="B80" i="9"/>
  <c r="A80" i="9"/>
  <c r="Y79" i="9"/>
  <c r="W79" i="9"/>
  <c r="V79" i="9"/>
  <c r="U79" i="9"/>
  <c r="T79" i="9"/>
  <c r="S79" i="9"/>
  <c r="R79" i="9"/>
  <c r="Q79" i="9"/>
  <c r="P79" i="9"/>
  <c r="N79" i="9"/>
  <c r="M79" i="9"/>
  <c r="L79" i="9"/>
  <c r="K79" i="9"/>
  <c r="J79" i="9"/>
  <c r="I79" i="9"/>
  <c r="H79" i="9"/>
  <c r="G79" i="9"/>
  <c r="F79" i="9"/>
  <c r="E79" i="9"/>
  <c r="D79" i="9"/>
  <c r="C79" i="9"/>
  <c r="B79" i="9"/>
  <c r="A79" i="9"/>
  <c r="Y78" i="9"/>
  <c r="W78" i="9"/>
  <c r="V78" i="9"/>
  <c r="U78" i="9"/>
  <c r="T78" i="9"/>
  <c r="S78" i="9"/>
  <c r="R78" i="9"/>
  <c r="Q78" i="9"/>
  <c r="P78" i="9"/>
  <c r="N78" i="9"/>
  <c r="M78" i="9"/>
  <c r="L78" i="9"/>
  <c r="K78" i="9"/>
  <c r="J78" i="9"/>
  <c r="I78" i="9"/>
  <c r="H78" i="9"/>
  <c r="G78" i="9"/>
  <c r="F78" i="9"/>
  <c r="E78" i="9"/>
  <c r="D78" i="9"/>
  <c r="C78" i="9"/>
  <c r="B78" i="9"/>
  <c r="A78" i="9"/>
  <c r="Y77" i="9"/>
  <c r="W77" i="9"/>
  <c r="V77" i="9"/>
  <c r="U77" i="9"/>
  <c r="T77" i="9"/>
  <c r="S77" i="9"/>
  <c r="R77" i="9"/>
  <c r="Q77" i="9"/>
  <c r="P77" i="9"/>
  <c r="N77" i="9"/>
  <c r="M77" i="9"/>
  <c r="L77" i="9"/>
  <c r="K77" i="9"/>
  <c r="J77" i="9"/>
  <c r="I77" i="9"/>
  <c r="H77" i="9"/>
  <c r="G77" i="9"/>
  <c r="F77" i="9"/>
  <c r="E77" i="9"/>
  <c r="D77" i="9"/>
  <c r="C77" i="9"/>
  <c r="B77" i="9"/>
  <c r="A77" i="9"/>
  <c r="Y76" i="9"/>
  <c r="W76" i="9"/>
  <c r="V76" i="9"/>
  <c r="U76" i="9"/>
  <c r="T76" i="9"/>
  <c r="S76" i="9"/>
  <c r="R76" i="9"/>
  <c r="Q76" i="9"/>
  <c r="P76" i="9"/>
  <c r="N76" i="9"/>
  <c r="M76" i="9"/>
  <c r="L76" i="9"/>
  <c r="K76" i="9"/>
  <c r="J76" i="9"/>
  <c r="I76" i="9"/>
  <c r="H76" i="9"/>
  <c r="G76" i="9"/>
  <c r="F76" i="9"/>
  <c r="E76" i="9"/>
  <c r="D76" i="9"/>
  <c r="C76" i="9"/>
  <c r="B76" i="9"/>
  <c r="A76" i="9"/>
  <c r="Y75" i="9"/>
  <c r="W75" i="9"/>
  <c r="V75" i="9"/>
  <c r="U75" i="9"/>
  <c r="T75" i="9"/>
  <c r="S75" i="9"/>
  <c r="R75" i="9"/>
  <c r="Q75" i="9"/>
  <c r="P75" i="9"/>
  <c r="N75" i="9"/>
  <c r="M75" i="9"/>
  <c r="L75" i="9"/>
  <c r="K75" i="9"/>
  <c r="J75" i="9"/>
  <c r="I75" i="9"/>
  <c r="H75" i="9"/>
  <c r="G75" i="9"/>
  <c r="F75" i="9"/>
  <c r="E75" i="9"/>
  <c r="D75" i="9"/>
  <c r="C75" i="9"/>
  <c r="B75" i="9"/>
  <c r="A75" i="9"/>
  <c r="Y74" i="9"/>
  <c r="W74" i="9"/>
  <c r="V74" i="9"/>
  <c r="U74" i="9"/>
  <c r="T74" i="9"/>
  <c r="S74" i="9"/>
  <c r="R74" i="9"/>
  <c r="Q74" i="9"/>
  <c r="P74" i="9"/>
  <c r="N74" i="9"/>
  <c r="M74" i="9"/>
  <c r="L74" i="9"/>
  <c r="K74" i="9"/>
  <c r="J74" i="9"/>
  <c r="I74" i="9"/>
  <c r="H74" i="9"/>
  <c r="G74" i="9"/>
  <c r="F74" i="9"/>
  <c r="E74" i="9"/>
  <c r="D74" i="9"/>
  <c r="C74" i="9"/>
  <c r="B74" i="9"/>
  <c r="A74" i="9"/>
  <c r="Y73" i="9"/>
  <c r="W73" i="9"/>
  <c r="V73" i="9"/>
  <c r="U73" i="9"/>
  <c r="T73" i="9"/>
  <c r="S73" i="9"/>
  <c r="R73" i="9"/>
  <c r="Q73" i="9"/>
  <c r="P73" i="9"/>
  <c r="N73" i="9"/>
  <c r="M73" i="9"/>
  <c r="L73" i="9"/>
  <c r="K73" i="9"/>
  <c r="J73" i="9"/>
  <c r="I73" i="9"/>
  <c r="H73" i="9"/>
  <c r="G73" i="9"/>
  <c r="F73" i="9"/>
  <c r="E73" i="9"/>
  <c r="D73" i="9"/>
  <c r="C73" i="9"/>
  <c r="B73" i="9"/>
  <c r="A73" i="9"/>
  <c r="Y72" i="9"/>
  <c r="W72" i="9"/>
  <c r="V72" i="9"/>
  <c r="U72" i="9"/>
  <c r="T72" i="9"/>
  <c r="S72" i="9"/>
  <c r="R72" i="9"/>
  <c r="Q72" i="9"/>
  <c r="P72" i="9"/>
  <c r="N72" i="9"/>
  <c r="M72" i="9"/>
  <c r="L72" i="9"/>
  <c r="K72" i="9"/>
  <c r="J72" i="9"/>
  <c r="I72" i="9"/>
  <c r="H72" i="9"/>
  <c r="G72" i="9"/>
  <c r="F72" i="9"/>
  <c r="E72" i="9"/>
  <c r="D72" i="9"/>
  <c r="C72" i="9"/>
  <c r="B72" i="9"/>
  <c r="A72" i="9"/>
  <c r="Y71" i="9"/>
  <c r="W71" i="9"/>
  <c r="V71" i="9"/>
  <c r="U71" i="9"/>
  <c r="T71" i="9"/>
  <c r="S71" i="9"/>
  <c r="R71" i="9"/>
  <c r="Q71" i="9"/>
  <c r="P71" i="9"/>
  <c r="N71" i="9"/>
  <c r="M71" i="9"/>
  <c r="L71" i="9"/>
  <c r="K71" i="9"/>
  <c r="J71" i="9"/>
  <c r="I71" i="9"/>
  <c r="H71" i="9"/>
  <c r="G71" i="9"/>
  <c r="F71" i="9"/>
  <c r="E71" i="9"/>
  <c r="D71" i="9"/>
  <c r="C71" i="9"/>
  <c r="B71" i="9"/>
  <c r="A71" i="9"/>
  <c r="Y70" i="9"/>
  <c r="W70" i="9"/>
  <c r="V70" i="9"/>
  <c r="U70" i="9"/>
  <c r="T70" i="9"/>
  <c r="S70" i="9"/>
  <c r="R70" i="9"/>
  <c r="Q70" i="9"/>
  <c r="P70" i="9"/>
  <c r="N70" i="9"/>
  <c r="M70" i="9"/>
  <c r="L70" i="9"/>
  <c r="K70" i="9"/>
  <c r="J70" i="9"/>
  <c r="I70" i="9"/>
  <c r="H70" i="9"/>
  <c r="G70" i="9"/>
  <c r="F70" i="9"/>
  <c r="E70" i="9"/>
  <c r="D70" i="9"/>
  <c r="C70" i="9"/>
  <c r="B70" i="9"/>
  <c r="A70" i="9"/>
  <c r="Y69" i="9"/>
  <c r="W69" i="9"/>
  <c r="V69" i="9"/>
  <c r="U69" i="9"/>
  <c r="T69" i="9"/>
  <c r="S69" i="9"/>
  <c r="R69" i="9"/>
  <c r="Q69" i="9"/>
  <c r="P69" i="9"/>
  <c r="N69" i="9"/>
  <c r="M69" i="9"/>
  <c r="L69" i="9"/>
  <c r="K69" i="9"/>
  <c r="J69" i="9"/>
  <c r="I69" i="9"/>
  <c r="H69" i="9"/>
  <c r="G69" i="9"/>
  <c r="F69" i="9"/>
  <c r="E69" i="9"/>
  <c r="D69" i="9"/>
  <c r="C69" i="9"/>
  <c r="B69" i="9"/>
  <c r="A69" i="9"/>
  <c r="Y68" i="9"/>
  <c r="W68" i="9"/>
  <c r="V68" i="9"/>
  <c r="U68" i="9"/>
  <c r="T68" i="9"/>
  <c r="S68" i="9"/>
  <c r="R68" i="9"/>
  <c r="Q68" i="9"/>
  <c r="P68" i="9"/>
  <c r="N68" i="9"/>
  <c r="M68" i="9"/>
  <c r="L68" i="9"/>
  <c r="K68" i="9"/>
  <c r="J68" i="9"/>
  <c r="I68" i="9"/>
  <c r="H68" i="9"/>
  <c r="G68" i="9"/>
  <c r="F68" i="9"/>
  <c r="E68" i="9"/>
  <c r="D68" i="9"/>
  <c r="C68" i="9"/>
  <c r="B68" i="9"/>
  <c r="A68" i="9"/>
  <c r="Y67" i="9"/>
  <c r="W67" i="9"/>
  <c r="V67" i="9"/>
  <c r="U67" i="9"/>
  <c r="T67" i="9"/>
  <c r="S67" i="9"/>
  <c r="R67" i="9"/>
  <c r="Q67" i="9"/>
  <c r="P67" i="9"/>
  <c r="N67" i="9"/>
  <c r="M67" i="9"/>
  <c r="L67" i="9"/>
  <c r="K67" i="9"/>
  <c r="J67" i="9"/>
  <c r="I67" i="9"/>
  <c r="H67" i="9"/>
  <c r="G67" i="9"/>
  <c r="F67" i="9"/>
  <c r="E67" i="9"/>
  <c r="D67" i="9"/>
  <c r="C67" i="9"/>
  <c r="B67" i="9"/>
  <c r="A67" i="9"/>
  <c r="Y66" i="9"/>
  <c r="W66" i="9"/>
  <c r="V66" i="9"/>
  <c r="U66" i="9"/>
  <c r="T66" i="9"/>
  <c r="S66" i="9"/>
  <c r="R66" i="9"/>
  <c r="Q66" i="9"/>
  <c r="P66" i="9"/>
  <c r="N66" i="9"/>
  <c r="M66" i="9"/>
  <c r="L66" i="9"/>
  <c r="K66" i="9"/>
  <c r="J66" i="9"/>
  <c r="I66" i="9"/>
  <c r="H66" i="9"/>
  <c r="G66" i="9"/>
  <c r="F66" i="9"/>
  <c r="E66" i="9"/>
  <c r="D66" i="9"/>
  <c r="C66" i="9"/>
  <c r="B66" i="9"/>
  <c r="A66" i="9"/>
  <c r="Y65" i="9"/>
  <c r="W65" i="9"/>
  <c r="V65" i="9"/>
  <c r="U65" i="9"/>
  <c r="T65" i="9"/>
  <c r="S65" i="9"/>
  <c r="R65" i="9"/>
  <c r="Q65" i="9"/>
  <c r="P65" i="9"/>
  <c r="N65" i="9"/>
  <c r="M65" i="9"/>
  <c r="L65" i="9"/>
  <c r="K65" i="9"/>
  <c r="J65" i="9"/>
  <c r="I65" i="9"/>
  <c r="H65" i="9"/>
  <c r="G65" i="9"/>
  <c r="F65" i="9"/>
  <c r="E65" i="9"/>
  <c r="D65" i="9"/>
  <c r="C65" i="9"/>
  <c r="B65" i="9"/>
  <c r="A65" i="9"/>
  <c r="Y64" i="9"/>
  <c r="W64" i="9"/>
  <c r="V64" i="9"/>
  <c r="U64" i="9"/>
  <c r="T64" i="9"/>
  <c r="S64" i="9"/>
  <c r="R64" i="9"/>
  <c r="Q64" i="9"/>
  <c r="P64" i="9"/>
  <c r="N64" i="9"/>
  <c r="M64" i="9"/>
  <c r="L64" i="9"/>
  <c r="K64" i="9"/>
  <c r="J64" i="9"/>
  <c r="I64" i="9"/>
  <c r="H64" i="9"/>
  <c r="G64" i="9"/>
  <c r="F64" i="9"/>
  <c r="E64" i="9"/>
  <c r="D64" i="9"/>
  <c r="C64" i="9"/>
  <c r="B64" i="9"/>
  <c r="A64" i="9"/>
  <c r="Y63" i="9"/>
  <c r="W63" i="9"/>
  <c r="V63" i="9"/>
  <c r="U63" i="9"/>
  <c r="T63" i="9"/>
  <c r="S63" i="9"/>
  <c r="R63" i="9"/>
  <c r="Q63" i="9"/>
  <c r="P63" i="9"/>
  <c r="N63" i="9"/>
  <c r="M63" i="9"/>
  <c r="L63" i="9"/>
  <c r="K63" i="9"/>
  <c r="J63" i="9"/>
  <c r="I63" i="9"/>
  <c r="H63" i="9"/>
  <c r="G63" i="9"/>
  <c r="F63" i="9"/>
  <c r="E63" i="9"/>
  <c r="D63" i="9"/>
  <c r="C63" i="9"/>
  <c r="B63" i="9"/>
  <c r="A63" i="9"/>
  <c r="Y62" i="9"/>
  <c r="W62" i="9"/>
  <c r="V62" i="9"/>
  <c r="U62" i="9"/>
  <c r="T62" i="9"/>
  <c r="S62" i="9"/>
  <c r="R62" i="9"/>
  <c r="Q62" i="9"/>
  <c r="P62" i="9"/>
  <c r="N62" i="9"/>
  <c r="M62" i="9"/>
  <c r="L62" i="9"/>
  <c r="K62" i="9"/>
  <c r="J62" i="9"/>
  <c r="I62" i="9"/>
  <c r="H62" i="9"/>
  <c r="G62" i="9"/>
  <c r="F62" i="9"/>
  <c r="E62" i="9"/>
  <c r="D62" i="9"/>
  <c r="C62" i="9"/>
  <c r="B62" i="9"/>
  <c r="A62" i="9"/>
  <c r="A61" i="9"/>
  <c r="Y60" i="9"/>
  <c r="W60" i="9"/>
  <c r="V60" i="9"/>
  <c r="U60" i="9"/>
  <c r="T60" i="9"/>
  <c r="S60" i="9"/>
  <c r="R60" i="9"/>
  <c r="Q60" i="9"/>
  <c r="P60" i="9"/>
  <c r="N60" i="9"/>
  <c r="M60" i="9"/>
  <c r="L60" i="9"/>
  <c r="K60" i="9"/>
  <c r="J60" i="9"/>
  <c r="I60" i="9"/>
  <c r="H60" i="9"/>
  <c r="G60" i="9"/>
  <c r="F60" i="9"/>
  <c r="E60" i="9"/>
  <c r="D60" i="9"/>
  <c r="C60" i="9"/>
  <c r="B60" i="9"/>
  <c r="A60" i="9"/>
  <c r="Y59" i="9"/>
  <c r="W59" i="9"/>
  <c r="V59" i="9"/>
  <c r="U59" i="9"/>
  <c r="T59" i="9"/>
  <c r="S59" i="9"/>
  <c r="R59" i="9"/>
  <c r="Q59" i="9"/>
  <c r="P59" i="9"/>
  <c r="N59" i="9"/>
  <c r="M59" i="9"/>
  <c r="L59" i="9"/>
  <c r="K59" i="9"/>
  <c r="J59" i="9"/>
  <c r="I59" i="9"/>
  <c r="H59" i="9"/>
  <c r="G59" i="9"/>
  <c r="F59" i="9"/>
  <c r="E59" i="9"/>
  <c r="D59" i="9"/>
  <c r="C59" i="9"/>
  <c r="B59" i="9"/>
  <c r="A59" i="9"/>
  <c r="Y58" i="9"/>
  <c r="W58" i="9"/>
  <c r="V58" i="9"/>
  <c r="U58" i="9"/>
  <c r="T58" i="9"/>
  <c r="S58" i="9"/>
  <c r="R58" i="9"/>
  <c r="Q58" i="9"/>
  <c r="P58" i="9"/>
  <c r="N58" i="9"/>
  <c r="M58" i="9"/>
  <c r="L58" i="9"/>
  <c r="K58" i="9"/>
  <c r="J58" i="9"/>
  <c r="I58" i="9"/>
  <c r="H58" i="9"/>
  <c r="G58" i="9"/>
  <c r="F58" i="9"/>
  <c r="E58" i="9"/>
  <c r="D58" i="9"/>
  <c r="C58" i="9"/>
  <c r="B58" i="9"/>
  <c r="A58" i="9"/>
  <c r="Y57" i="9"/>
  <c r="W57" i="9"/>
  <c r="V57" i="9"/>
  <c r="U57" i="9"/>
  <c r="T57" i="9"/>
  <c r="S57" i="9"/>
  <c r="R57" i="9"/>
  <c r="Q57" i="9"/>
  <c r="P57" i="9"/>
  <c r="N57" i="9"/>
  <c r="M57" i="9"/>
  <c r="L57" i="9"/>
  <c r="K57" i="9"/>
  <c r="J57" i="9"/>
  <c r="I57" i="9"/>
  <c r="H57" i="9"/>
  <c r="G57" i="9"/>
  <c r="F57" i="9"/>
  <c r="E57" i="9"/>
  <c r="D57" i="9"/>
  <c r="C57" i="9"/>
  <c r="B57" i="9"/>
  <c r="A57" i="9"/>
  <c r="Y56" i="9"/>
  <c r="W56" i="9"/>
  <c r="V56" i="9"/>
  <c r="U56" i="9"/>
  <c r="T56" i="9"/>
  <c r="S56" i="9"/>
  <c r="R56" i="9"/>
  <c r="Q56" i="9"/>
  <c r="P56" i="9"/>
  <c r="N56" i="9"/>
  <c r="M56" i="9"/>
  <c r="L56" i="9"/>
  <c r="K56" i="9"/>
  <c r="J56" i="9"/>
  <c r="I56" i="9"/>
  <c r="H56" i="9"/>
  <c r="G56" i="9"/>
  <c r="F56" i="9"/>
  <c r="E56" i="9"/>
  <c r="D56" i="9"/>
  <c r="C56" i="9"/>
  <c r="B56" i="9"/>
  <c r="A56" i="9"/>
  <c r="Y55" i="9"/>
  <c r="W55" i="9"/>
  <c r="V55" i="9"/>
  <c r="U55" i="9"/>
  <c r="T55" i="9"/>
  <c r="S55" i="9"/>
  <c r="R55" i="9"/>
  <c r="Q55" i="9"/>
  <c r="P55" i="9"/>
  <c r="N55" i="9"/>
  <c r="M55" i="9"/>
  <c r="L55" i="9"/>
  <c r="K55" i="9"/>
  <c r="J55" i="9"/>
  <c r="I55" i="9"/>
  <c r="H55" i="9"/>
  <c r="G55" i="9"/>
  <c r="F55" i="9"/>
  <c r="E55" i="9"/>
  <c r="D55" i="9"/>
  <c r="C55" i="9"/>
  <c r="B55" i="9"/>
  <c r="A55" i="9"/>
  <c r="Y54" i="9"/>
  <c r="W54" i="9"/>
  <c r="V54" i="9"/>
  <c r="U54" i="9"/>
  <c r="T54" i="9"/>
  <c r="S54" i="9"/>
  <c r="R54" i="9"/>
  <c r="Q54" i="9"/>
  <c r="P54" i="9"/>
  <c r="N54" i="9"/>
  <c r="M54" i="9"/>
  <c r="L54" i="9"/>
  <c r="K54" i="9"/>
  <c r="J54" i="9"/>
  <c r="I54" i="9"/>
  <c r="H54" i="9"/>
  <c r="G54" i="9"/>
  <c r="F54" i="9"/>
  <c r="E54" i="9"/>
  <c r="D54" i="9"/>
  <c r="C54" i="9"/>
  <c r="B54" i="9"/>
  <c r="A54" i="9"/>
  <c r="Y53" i="9"/>
  <c r="W53" i="9"/>
  <c r="V53" i="9"/>
  <c r="U53" i="9"/>
  <c r="T53" i="9"/>
  <c r="S53" i="9"/>
  <c r="R53" i="9"/>
  <c r="Q53" i="9"/>
  <c r="P53" i="9"/>
  <c r="N53" i="9"/>
  <c r="M53" i="9"/>
  <c r="L53" i="9"/>
  <c r="K53" i="9"/>
  <c r="J53" i="9"/>
  <c r="I53" i="9"/>
  <c r="H53" i="9"/>
  <c r="G53" i="9"/>
  <c r="F53" i="9"/>
  <c r="E53" i="9"/>
  <c r="D53" i="9"/>
  <c r="C53" i="9"/>
  <c r="B53" i="9"/>
  <c r="A53" i="9"/>
  <c r="Y52" i="9"/>
  <c r="W52" i="9"/>
  <c r="V52" i="9"/>
  <c r="U52" i="9"/>
  <c r="T52" i="9"/>
  <c r="S52" i="9"/>
  <c r="R52" i="9"/>
  <c r="Q52" i="9"/>
  <c r="P52" i="9"/>
  <c r="N52" i="9"/>
  <c r="M52" i="9"/>
  <c r="L52" i="9"/>
  <c r="K52" i="9"/>
  <c r="J52" i="9"/>
  <c r="I52" i="9"/>
  <c r="H52" i="9"/>
  <c r="G52" i="9"/>
  <c r="F52" i="9"/>
  <c r="E52" i="9"/>
  <c r="D52" i="9"/>
  <c r="C52" i="9"/>
  <c r="B52" i="9"/>
  <c r="A52" i="9"/>
  <c r="Y51" i="9"/>
  <c r="W51" i="9"/>
  <c r="V51" i="9"/>
  <c r="U51" i="9"/>
  <c r="T51" i="9"/>
  <c r="S51" i="9"/>
  <c r="R51" i="9"/>
  <c r="Q51" i="9"/>
  <c r="P51" i="9"/>
  <c r="N51" i="9"/>
  <c r="M51" i="9"/>
  <c r="L51" i="9"/>
  <c r="K51" i="9"/>
  <c r="J51" i="9"/>
  <c r="I51" i="9"/>
  <c r="H51" i="9"/>
  <c r="G51" i="9"/>
  <c r="F51" i="9"/>
  <c r="E51" i="9"/>
  <c r="D51" i="9"/>
  <c r="C51" i="9"/>
  <c r="B51" i="9"/>
  <c r="A51" i="9"/>
  <c r="Y50" i="9"/>
  <c r="W50" i="9"/>
  <c r="V50" i="9"/>
  <c r="U50" i="9"/>
  <c r="T50" i="9"/>
  <c r="S50" i="9"/>
  <c r="R50" i="9"/>
  <c r="Q50" i="9"/>
  <c r="P50" i="9"/>
  <c r="N50" i="9"/>
  <c r="M50" i="9"/>
  <c r="L50" i="9"/>
  <c r="K50" i="9"/>
  <c r="J50" i="9"/>
  <c r="I50" i="9"/>
  <c r="H50" i="9"/>
  <c r="G50" i="9"/>
  <c r="F50" i="9"/>
  <c r="E50" i="9"/>
  <c r="D50" i="9"/>
  <c r="C50" i="9"/>
  <c r="B50" i="9"/>
  <c r="A50" i="9"/>
  <c r="A49" i="9"/>
  <c r="Y48" i="9"/>
  <c r="W48" i="9"/>
  <c r="V48" i="9"/>
  <c r="U48" i="9"/>
  <c r="T48" i="9"/>
  <c r="S48" i="9"/>
  <c r="R48" i="9"/>
  <c r="Q48" i="9"/>
  <c r="P48" i="9"/>
  <c r="N48" i="9"/>
  <c r="M48" i="9"/>
  <c r="L48" i="9"/>
  <c r="K48" i="9"/>
  <c r="J48" i="9"/>
  <c r="I48" i="9"/>
  <c r="H48" i="9"/>
  <c r="G48" i="9"/>
  <c r="F48" i="9"/>
  <c r="E48" i="9"/>
  <c r="D48" i="9"/>
  <c r="C48" i="9"/>
  <c r="B48" i="9"/>
  <c r="A48" i="9"/>
  <c r="Y47" i="9"/>
  <c r="W47" i="9"/>
  <c r="V47" i="9"/>
  <c r="U47" i="9"/>
  <c r="T47" i="9"/>
  <c r="S47" i="9"/>
  <c r="R47" i="9"/>
  <c r="Q47" i="9"/>
  <c r="P47" i="9"/>
  <c r="N47" i="9"/>
  <c r="M47" i="9"/>
  <c r="L47" i="9"/>
  <c r="K47" i="9"/>
  <c r="J47" i="9"/>
  <c r="I47" i="9"/>
  <c r="H47" i="9"/>
  <c r="G47" i="9"/>
  <c r="F47" i="9"/>
  <c r="E47" i="9"/>
  <c r="D47" i="9"/>
  <c r="C47" i="9"/>
  <c r="B47" i="9"/>
  <c r="A47" i="9"/>
  <c r="Y46" i="9"/>
  <c r="W46" i="9"/>
  <c r="V46" i="9"/>
  <c r="U46" i="9"/>
  <c r="T46" i="9"/>
  <c r="S46" i="9"/>
  <c r="R46" i="9"/>
  <c r="Q46" i="9"/>
  <c r="P46" i="9"/>
  <c r="N46" i="9"/>
  <c r="M46" i="9"/>
  <c r="L46" i="9"/>
  <c r="K46" i="9"/>
  <c r="J46" i="9"/>
  <c r="I46" i="9"/>
  <c r="H46" i="9"/>
  <c r="G46" i="9"/>
  <c r="F46" i="9"/>
  <c r="E46" i="9"/>
  <c r="D46" i="9"/>
  <c r="C46" i="9"/>
  <c r="B46" i="9"/>
  <c r="A46" i="9"/>
  <c r="Y45" i="9"/>
  <c r="W45" i="9"/>
  <c r="V45" i="9"/>
  <c r="U45" i="9"/>
  <c r="T45" i="9"/>
  <c r="S45" i="9"/>
  <c r="R45" i="9"/>
  <c r="Q45" i="9"/>
  <c r="P45" i="9"/>
  <c r="N45" i="9"/>
  <c r="M45" i="9"/>
  <c r="L45" i="9"/>
  <c r="K45" i="9"/>
  <c r="J45" i="9"/>
  <c r="I45" i="9"/>
  <c r="H45" i="9"/>
  <c r="G45" i="9"/>
  <c r="F45" i="9"/>
  <c r="E45" i="9"/>
  <c r="D45" i="9"/>
  <c r="C45" i="9"/>
  <c r="B45" i="9"/>
  <c r="A45" i="9"/>
  <c r="Y44" i="9"/>
  <c r="W44" i="9"/>
  <c r="V44" i="9"/>
  <c r="U44" i="9"/>
  <c r="T44" i="9"/>
  <c r="S44" i="9"/>
  <c r="R44" i="9"/>
  <c r="Q44" i="9"/>
  <c r="P44" i="9"/>
  <c r="N44" i="9"/>
  <c r="M44" i="9"/>
  <c r="L44" i="9"/>
  <c r="K44" i="9"/>
  <c r="J44" i="9"/>
  <c r="I44" i="9"/>
  <c r="H44" i="9"/>
  <c r="G44" i="9"/>
  <c r="F44" i="9"/>
  <c r="E44" i="9"/>
  <c r="D44" i="9"/>
  <c r="C44" i="9"/>
  <c r="B44" i="9"/>
  <c r="A44" i="9"/>
  <c r="Y43" i="9"/>
  <c r="W43" i="9"/>
  <c r="V43" i="9"/>
  <c r="U43" i="9"/>
  <c r="T43" i="9"/>
  <c r="S43" i="9"/>
  <c r="R43" i="9"/>
  <c r="Q43" i="9"/>
  <c r="P43" i="9"/>
  <c r="N43" i="9"/>
  <c r="M43" i="9"/>
  <c r="L43" i="9"/>
  <c r="K43" i="9"/>
  <c r="J43" i="9"/>
  <c r="I43" i="9"/>
  <c r="H43" i="9"/>
  <c r="G43" i="9"/>
  <c r="F43" i="9"/>
  <c r="E43" i="9"/>
  <c r="D43" i="9"/>
  <c r="C43" i="9"/>
  <c r="B43" i="9"/>
  <c r="A43" i="9"/>
  <c r="Y42" i="9"/>
  <c r="W42" i="9"/>
  <c r="V42" i="9"/>
  <c r="U42" i="9"/>
  <c r="T42" i="9"/>
  <c r="S42" i="9"/>
  <c r="R42" i="9"/>
  <c r="Q42" i="9"/>
  <c r="P42" i="9"/>
  <c r="N42" i="9"/>
  <c r="M42" i="9"/>
  <c r="L42" i="9"/>
  <c r="K42" i="9"/>
  <c r="J42" i="9"/>
  <c r="I42" i="9"/>
  <c r="H42" i="9"/>
  <c r="G42" i="9"/>
  <c r="F42" i="9"/>
  <c r="E42" i="9"/>
  <c r="D42" i="9"/>
  <c r="C42" i="9"/>
  <c r="B42" i="9"/>
  <c r="A42" i="9"/>
  <c r="Y41" i="9"/>
  <c r="W41" i="9"/>
  <c r="V41" i="9"/>
  <c r="U41" i="9"/>
  <c r="T41" i="9"/>
  <c r="S41" i="9"/>
  <c r="R41" i="9"/>
  <c r="Q41" i="9"/>
  <c r="P41" i="9"/>
  <c r="N41" i="9"/>
  <c r="M41" i="9"/>
  <c r="L41" i="9"/>
  <c r="K41" i="9"/>
  <c r="J41" i="9"/>
  <c r="I41" i="9"/>
  <c r="H41" i="9"/>
  <c r="G41" i="9"/>
  <c r="F41" i="9"/>
  <c r="E41" i="9"/>
  <c r="D41" i="9"/>
  <c r="C41" i="9"/>
  <c r="B41" i="9"/>
  <c r="A41" i="9"/>
  <c r="Y40" i="9"/>
  <c r="W40" i="9"/>
  <c r="V40" i="9"/>
  <c r="U40" i="9"/>
  <c r="T40" i="9"/>
  <c r="S40" i="9"/>
  <c r="R40" i="9"/>
  <c r="Q40" i="9"/>
  <c r="P40" i="9"/>
  <c r="N40" i="9"/>
  <c r="M40" i="9"/>
  <c r="L40" i="9"/>
  <c r="K40" i="9"/>
  <c r="J40" i="9"/>
  <c r="I40" i="9"/>
  <c r="H40" i="9"/>
  <c r="G40" i="9"/>
  <c r="F40" i="9"/>
  <c r="E40" i="9"/>
  <c r="D40" i="9"/>
  <c r="C40" i="9"/>
  <c r="B40" i="9"/>
  <c r="A40" i="9"/>
  <c r="Y39" i="9"/>
  <c r="W39" i="9"/>
  <c r="V39" i="9"/>
  <c r="U39" i="9"/>
  <c r="T39" i="9"/>
  <c r="S39" i="9"/>
  <c r="R39" i="9"/>
  <c r="Q39" i="9"/>
  <c r="P39" i="9"/>
  <c r="N39" i="9"/>
  <c r="M39" i="9"/>
  <c r="L39" i="9"/>
  <c r="K39" i="9"/>
  <c r="J39" i="9"/>
  <c r="I39" i="9"/>
  <c r="H39" i="9"/>
  <c r="G39" i="9"/>
  <c r="F39" i="9"/>
  <c r="E39" i="9"/>
  <c r="D39" i="9"/>
  <c r="C39" i="9"/>
  <c r="B39" i="9"/>
  <c r="A39" i="9"/>
  <c r="Y38" i="9"/>
  <c r="W38" i="9"/>
  <c r="V38" i="9"/>
  <c r="U38" i="9"/>
  <c r="T38" i="9"/>
  <c r="S38" i="9"/>
  <c r="R38" i="9"/>
  <c r="Q38" i="9"/>
  <c r="P38" i="9"/>
  <c r="N38" i="9"/>
  <c r="M38" i="9"/>
  <c r="L38" i="9"/>
  <c r="K38" i="9"/>
  <c r="J38" i="9"/>
  <c r="I38" i="9"/>
  <c r="H38" i="9"/>
  <c r="G38" i="9"/>
  <c r="F38" i="9"/>
  <c r="E38" i="9"/>
  <c r="D38" i="9"/>
  <c r="C38" i="9"/>
  <c r="B38" i="9"/>
  <c r="A38" i="9"/>
  <c r="Y37" i="9"/>
  <c r="W37" i="9"/>
  <c r="V37" i="9"/>
  <c r="U37" i="9"/>
  <c r="T37" i="9"/>
  <c r="S37" i="9"/>
  <c r="R37" i="9"/>
  <c r="Q37" i="9"/>
  <c r="P37" i="9"/>
  <c r="N37" i="9"/>
  <c r="M37" i="9"/>
  <c r="L37" i="9"/>
  <c r="K37" i="9"/>
  <c r="J37" i="9"/>
  <c r="I37" i="9"/>
  <c r="H37" i="9"/>
  <c r="G37" i="9"/>
  <c r="F37" i="9"/>
  <c r="E37" i="9"/>
  <c r="D37" i="9"/>
  <c r="C37" i="9"/>
  <c r="B37" i="9"/>
  <c r="A37" i="9"/>
  <c r="Y36" i="9"/>
  <c r="W36" i="9"/>
  <c r="V36" i="9"/>
  <c r="U36" i="9"/>
  <c r="T36" i="9"/>
  <c r="S36" i="9"/>
  <c r="R36" i="9"/>
  <c r="Q36" i="9"/>
  <c r="P36" i="9"/>
  <c r="N36" i="9"/>
  <c r="M36" i="9"/>
  <c r="L36" i="9"/>
  <c r="K36" i="9"/>
  <c r="J36" i="9"/>
  <c r="I36" i="9"/>
  <c r="H36" i="9"/>
  <c r="G36" i="9"/>
  <c r="F36" i="9"/>
  <c r="E36" i="9"/>
  <c r="D36" i="9"/>
  <c r="C36" i="9"/>
  <c r="B36" i="9"/>
  <c r="A36" i="9"/>
  <c r="Y35" i="9"/>
  <c r="W35" i="9"/>
  <c r="V35" i="9"/>
  <c r="U35" i="9"/>
  <c r="T35" i="9"/>
  <c r="S35" i="9"/>
  <c r="R35" i="9"/>
  <c r="Q35" i="9"/>
  <c r="P35" i="9"/>
  <c r="N35" i="9"/>
  <c r="M35" i="9"/>
  <c r="L35" i="9"/>
  <c r="K35" i="9"/>
  <c r="J35" i="9"/>
  <c r="I35" i="9"/>
  <c r="H35" i="9"/>
  <c r="G35" i="9"/>
  <c r="F35" i="9"/>
  <c r="E35" i="9"/>
  <c r="D35" i="9"/>
  <c r="C35" i="9"/>
  <c r="B35" i="9"/>
  <c r="A35" i="9"/>
  <c r="Y34" i="9"/>
  <c r="W34" i="9"/>
  <c r="V34" i="9"/>
  <c r="U34" i="9"/>
  <c r="T34" i="9"/>
  <c r="S34" i="9"/>
  <c r="R34" i="9"/>
  <c r="Q34" i="9"/>
  <c r="P34" i="9"/>
  <c r="N34" i="9"/>
  <c r="M34" i="9"/>
  <c r="L34" i="9"/>
  <c r="K34" i="9"/>
  <c r="J34" i="9"/>
  <c r="I34" i="9"/>
  <c r="H34" i="9"/>
  <c r="G34" i="9"/>
  <c r="F34" i="9"/>
  <c r="E34" i="9"/>
  <c r="D34" i="9"/>
  <c r="C34" i="9"/>
  <c r="B34" i="9"/>
  <c r="A34" i="9"/>
  <c r="Y33" i="9"/>
  <c r="W33" i="9"/>
  <c r="V33" i="9"/>
  <c r="U33" i="9"/>
  <c r="T33" i="9"/>
  <c r="S33" i="9"/>
  <c r="R33" i="9"/>
  <c r="Q33" i="9"/>
  <c r="P33" i="9"/>
  <c r="N33" i="9"/>
  <c r="M33" i="9"/>
  <c r="L33" i="9"/>
  <c r="K33" i="9"/>
  <c r="J33" i="9"/>
  <c r="I33" i="9"/>
  <c r="H33" i="9"/>
  <c r="G33" i="9"/>
  <c r="F33" i="9"/>
  <c r="E33" i="9"/>
  <c r="D33" i="9"/>
  <c r="C33" i="9"/>
  <c r="B33" i="9"/>
  <c r="A33" i="9"/>
  <c r="Y32" i="9"/>
  <c r="W32" i="9"/>
  <c r="V32" i="9"/>
  <c r="U32" i="9"/>
  <c r="T32" i="9"/>
  <c r="S32" i="9"/>
  <c r="R32" i="9"/>
  <c r="Q32" i="9"/>
  <c r="P32" i="9"/>
  <c r="N32" i="9"/>
  <c r="M32" i="9"/>
  <c r="L32" i="9"/>
  <c r="K32" i="9"/>
  <c r="J32" i="9"/>
  <c r="I32" i="9"/>
  <c r="H32" i="9"/>
  <c r="G32" i="9"/>
  <c r="F32" i="9"/>
  <c r="E32" i="9"/>
  <c r="D32" i="9"/>
  <c r="C32" i="9"/>
  <c r="B32" i="9"/>
  <c r="A32" i="9"/>
  <c r="Y31" i="9"/>
  <c r="W31" i="9"/>
  <c r="V31" i="9"/>
  <c r="U31" i="9"/>
  <c r="T31" i="9"/>
  <c r="S31" i="9"/>
  <c r="R31" i="9"/>
  <c r="Q31" i="9"/>
  <c r="P31" i="9"/>
  <c r="N31" i="9"/>
  <c r="M31" i="9"/>
  <c r="L31" i="9"/>
  <c r="K31" i="9"/>
  <c r="J31" i="9"/>
  <c r="I31" i="9"/>
  <c r="H31" i="9"/>
  <c r="G31" i="9"/>
  <c r="F31" i="9"/>
  <c r="E31" i="9"/>
  <c r="D31" i="9"/>
  <c r="C31" i="9"/>
  <c r="B31" i="9"/>
  <c r="A31" i="9"/>
  <c r="A30" i="9"/>
  <c r="Y29" i="9"/>
  <c r="W29" i="9"/>
  <c r="V29" i="9"/>
  <c r="U29" i="9"/>
  <c r="T29" i="9"/>
  <c r="S29" i="9"/>
  <c r="R29" i="9"/>
  <c r="Q29" i="9"/>
  <c r="P29" i="9"/>
  <c r="N29" i="9"/>
  <c r="M29" i="9"/>
  <c r="L29" i="9"/>
  <c r="K29" i="9"/>
  <c r="J29" i="9"/>
  <c r="I29" i="9"/>
  <c r="H29" i="9"/>
  <c r="G29" i="9"/>
  <c r="F29" i="9"/>
  <c r="E29" i="9"/>
  <c r="D29" i="9"/>
  <c r="C29" i="9"/>
  <c r="B29" i="9"/>
  <c r="A29" i="9"/>
  <c r="Y28" i="9"/>
  <c r="W28" i="9"/>
  <c r="V28" i="9"/>
  <c r="U28" i="9"/>
  <c r="T28" i="9"/>
  <c r="S28" i="9"/>
  <c r="R28" i="9"/>
  <c r="Q28" i="9"/>
  <c r="P28" i="9"/>
  <c r="N28" i="9"/>
  <c r="M28" i="9"/>
  <c r="L28" i="9"/>
  <c r="K28" i="9"/>
  <c r="J28" i="9"/>
  <c r="I28" i="9"/>
  <c r="H28" i="9"/>
  <c r="G28" i="9"/>
  <c r="F28" i="9"/>
  <c r="E28" i="9"/>
  <c r="D28" i="9"/>
  <c r="C28" i="9"/>
  <c r="B28" i="9"/>
  <c r="A28" i="9"/>
  <c r="Y27" i="9"/>
  <c r="W27" i="9"/>
  <c r="V27" i="9"/>
  <c r="U27" i="9"/>
  <c r="T27" i="9"/>
  <c r="S27" i="9"/>
  <c r="R27" i="9"/>
  <c r="Q27" i="9"/>
  <c r="P27" i="9"/>
  <c r="N27" i="9"/>
  <c r="M27" i="9"/>
  <c r="L27" i="9"/>
  <c r="K27" i="9"/>
  <c r="J27" i="9"/>
  <c r="I27" i="9"/>
  <c r="H27" i="9"/>
  <c r="G27" i="9"/>
  <c r="F27" i="9"/>
  <c r="E27" i="9"/>
  <c r="D27" i="9"/>
  <c r="C27" i="9"/>
  <c r="B27" i="9"/>
  <c r="A27" i="9"/>
  <c r="Y26" i="9"/>
  <c r="W26" i="9"/>
  <c r="V26" i="9"/>
  <c r="U26" i="9"/>
  <c r="T26" i="9"/>
  <c r="S26" i="9"/>
  <c r="R26" i="9"/>
  <c r="Q26" i="9"/>
  <c r="P26" i="9"/>
  <c r="N26" i="9"/>
  <c r="M26" i="9"/>
  <c r="L26" i="9"/>
  <c r="K26" i="9"/>
  <c r="J26" i="9"/>
  <c r="I26" i="9"/>
  <c r="H26" i="9"/>
  <c r="G26" i="9"/>
  <c r="F26" i="9"/>
  <c r="E26" i="9"/>
  <c r="D26" i="9"/>
  <c r="C26" i="9"/>
  <c r="B26" i="9"/>
  <c r="A26" i="9"/>
  <c r="Y25" i="9"/>
  <c r="W25" i="9"/>
  <c r="V25" i="9"/>
  <c r="U25" i="9"/>
  <c r="T25" i="9"/>
  <c r="S25" i="9"/>
  <c r="R25" i="9"/>
  <c r="Q25" i="9"/>
  <c r="P25" i="9"/>
  <c r="N25" i="9"/>
  <c r="M25" i="9"/>
  <c r="L25" i="9"/>
  <c r="K25" i="9"/>
  <c r="J25" i="9"/>
  <c r="I25" i="9"/>
  <c r="H25" i="9"/>
  <c r="G25" i="9"/>
  <c r="F25" i="9"/>
  <c r="E25" i="9"/>
  <c r="D25" i="9"/>
  <c r="C25" i="9"/>
  <c r="B25" i="9"/>
  <c r="A25" i="9"/>
  <c r="Y24" i="9"/>
  <c r="W24" i="9"/>
  <c r="V24" i="9"/>
  <c r="U24" i="9"/>
  <c r="T24" i="9"/>
  <c r="S24" i="9"/>
  <c r="R24" i="9"/>
  <c r="Q24" i="9"/>
  <c r="P24" i="9"/>
  <c r="N24" i="9"/>
  <c r="M24" i="9"/>
  <c r="L24" i="9"/>
  <c r="K24" i="9"/>
  <c r="J24" i="9"/>
  <c r="I24" i="9"/>
  <c r="H24" i="9"/>
  <c r="G24" i="9"/>
  <c r="F24" i="9"/>
  <c r="E24" i="9"/>
  <c r="D24" i="9"/>
  <c r="C24" i="9"/>
  <c r="B24" i="9"/>
  <c r="A24" i="9"/>
  <c r="Y23" i="9"/>
  <c r="W23" i="9"/>
  <c r="V23" i="9"/>
  <c r="U23" i="9"/>
  <c r="T23" i="9"/>
  <c r="S23" i="9"/>
  <c r="R23" i="9"/>
  <c r="Q23" i="9"/>
  <c r="P23" i="9"/>
  <c r="N23" i="9"/>
  <c r="M23" i="9"/>
  <c r="L23" i="9"/>
  <c r="K23" i="9"/>
  <c r="J23" i="9"/>
  <c r="I23" i="9"/>
  <c r="H23" i="9"/>
  <c r="G23" i="9"/>
  <c r="F23" i="9"/>
  <c r="E23" i="9"/>
  <c r="D23" i="9"/>
  <c r="C23" i="9"/>
  <c r="B23" i="9"/>
  <c r="A23" i="9"/>
  <c r="Y22" i="9"/>
  <c r="W22" i="9"/>
  <c r="V22" i="9"/>
  <c r="U22" i="9"/>
  <c r="T22" i="9"/>
  <c r="S22" i="9"/>
  <c r="R22" i="9"/>
  <c r="Q22" i="9"/>
  <c r="P22" i="9"/>
  <c r="N22" i="9"/>
  <c r="M22" i="9"/>
  <c r="L22" i="9"/>
  <c r="K22" i="9"/>
  <c r="J22" i="9"/>
  <c r="I22" i="9"/>
  <c r="H22" i="9"/>
  <c r="G22" i="9"/>
  <c r="F22" i="9"/>
  <c r="E22" i="9"/>
  <c r="D22" i="9"/>
  <c r="C22" i="9"/>
  <c r="B22" i="9"/>
  <c r="A22" i="9"/>
  <c r="Y21" i="9"/>
  <c r="W21" i="9"/>
  <c r="V21" i="9"/>
  <c r="U21" i="9"/>
  <c r="T21" i="9"/>
  <c r="S21" i="9"/>
  <c r="R21" i="9"/>
  <c r="Q21" i="9"/>
  <c r="P21" i="9"/>
  <c r="N21" i="9"/>
  <c r="M21" i="9"/>
  <c r="L21" i="9"/>
  <c r="K21" i="9"/>
  <c r="J21" i="9"/>
  <c r="I21" i="9"/>
  <c r="H21" i="9"/>
  <c r="G21" i="9"/>
  <c r="F21" i="9"/>
  <c r="E21" i="9"/>
  <c r="D21" i="9"/>
  <c r="C21" i="9"/>
  <c r="B21" i="9"/>
  <c r="A21" i="9"/>
  <c r="Y20" i="9"/>
  <c r="W20" i="9"/>
  <c r="V20" i="9"/>
  <c r="U20" i="9"/>
  <c r="T20" i="9"/>
  <c r="S20" i="9"/>
  <c r="R20" i="9"/>
  <c r="Q20" i="9"/>
  <c r="P20" i="9"/>
  <c r="N20" i="9"/>
  <c r="M20" i="9"/>
  <c r="L20" i="9"/>
  <c r="K20" i="9"/>
  <c r="J20" i="9"/>
  <c r="I20" i="9"/>
  <c r="H20" i="9"/>
  <c r="G20" i="9"/>
  <c r="F20" i="9"/>
  <c r="E20" i="9"/>
  <c r="D20" i="9"/>
  <c r="C20" i="9"/>
  <c r="B20" i="9"/>
  <c r="A20" i="9"/>
  <c r="Y19" i="9"/>
  <c r="W19" i="9"/>
  <c r="V19" i="9"/>
  <c r="U19" i="9"/>
  <c r="T19" i="9"/>
  <c r="S19" i="9"/>
  <c r="R19" i="9"/>
  <c r="Q19" i="9"/>
  <c r="P19" i="9"/>
  <c r="N19" i="9"/>
  <c r="M19" i="9"/>
  <c r="L19" i="9"/>
  <c r="K19" i="9"/>
  <c r="J19" i="9"/>
  <c r="I19" i="9"/>
  <c r="H19" i="9"/>
  <c r="G19" i="9"/>
  <c r="F19" i="9"/>
  <c r="E19" i="9"/>
  <c r="D19" i="9"/>
  <c r="C19" i="9"/>
  <c r="B19" i="9"/>
  <c r="A19" i="9"/>
  <c r="Y18" i="9"/>
  <c r="W18" i="9"/>
  <c r="V18" i="9"/>
  <c r="U18" i="9"/>
  <c r="T18" i="9"/>
  <c r="S18" i="9"/>
  <c r="R18" i="9"/>
  <c r="Q18" i="9"/>
  <c r="P18" i="9"/>
  <c r="N18" i="9"/>
  <c r="M18" i="9"/>
  <c r="L18" i="9"/>
  <c r="K18" i="9"/>
  <c r="J18" i="9"/>
  <c r="I18" i="9"/>
  <c r="H18" i="9"/>
  <c r="G18" i="9"/>
  <c r="F18" i="9"/>
  <c r="E18" i="9"/>
  <c r="D18" i="9"/>
  <c r="C18" i="9"/>
  <c r="B18" i="9"/>
  <c r="A18" i="9"/>
  <c r="Y17" i="9"/>
  <c r="W17" i="9"/>
  <c r="V17" i="9"/>
  <c r="U17" i="9"/>
  <c r="T17" i="9"/>
  <c r="S17" i="9"/>
  <c r="R17" i="9"/>
  <c r="Q17" i="9"/>
  <c r="P17" i="9"/>
  <c r="N17" i="9"/>
  <c r="M17" i="9"/>
  <c r="L17" i="9"/>
  <c r="K17" i="9"/>
  <c r="J17" i="9"/>
  <c r="I17" i="9"/>
  <c r="H17" i="9"/>
  <c r="G17" i="9"/>
  <c r="F17" i="9"/>
  <c r="E17" i="9"/>
  <c r="D17" i="9"/>
  <c r="C17" i="9"/>
  <c r="B17" i="9"/>
  <c r="A17" i="9"/>
  <c r="Y16" i="9"/>
  <c r="W16" i="9"/>
  <c r="V16" i="9"/>
  <c r="U16" i="9"/>
  <c r="T16" i="9"/>
  <c r="S16" i="9"/>
  <c r="R16" i="9"/>
  <c r="Q16" i="9"/>
  <c r="P16" i="9"/>
  <c r="N16" i="9"/>
  <c r="M16" i="9"/>
  <c r="L16" i="9"/>
  <c r="K16" i="9"/>
  <c r="J16" i="9"/>
  <c r="I16" i="9"/>
  <c r="H16" i="9"/>
  <c r="G16" i="9"/>
  <c r="F16" i="9"/>
  <c r="E16" i="9"/>
  <c r="D16" i="9"/>
  <c r="C16" i="9"/>
  <c r="B16" i="9"/>
  <c r="A16" i="9"/>
  <c r="Y15" i="9"/>
  <c r="W15" i="9"/>
  <c r="V15" i="9"/>
  <c r="U15" i="9"/>
  <c r="T15" i="9"/>
  <c r="S15" i="9"/>
  <c r="R15" i="9"/>
  <c r="Q15" i="9"/>
  <c r="P15" i="9"/>
  <c r="N15" i="9"/>
  <c r="M15" i="9"/>
  <c r="L15" i="9"/>
  <c r="K15" i="9"/>
  <c r="J15" i="9"/>
  <c r="I15" i="9"/>
  <c r="H15" i="9"/>
  <c r="G15" i="9"/>
  <c r="F15" i="9"/>
  <c r="E15" i="9"/>
  <c r="D15" i="9"/>
  <c r="C15" i="9"/>
  <c r="B15" i="9"/>
  <c r="A15" i="9"/>
  <c r="Y14" i="9"/>
  <c r="W14" i="9"/>
  <c r="V14" i="9"/>
  <c r="U14" i="9"/>
  <c r="T14" i="9"/>
  <c r="S14" i="9"/>
  <c r="R14" i="9"/>
  <c r="Q14" i="9"/>
  <c r="P14" i="9"/>
  <c r="N14" i="9"/>
  <c r="M14" i="9"/>
  <c r="L14" i="9"/>
  <c r="K14" i="9"/>
  <c r="J14" i="9"/>
  <c r="I14" i="9"/>
  <c r="H14" i="9"/>
  <c r="G14" i="9"/>
  <c r="F14" i="9"/>
  <c r="E14" i="9"/>
  <c r="D14" i="9"/>
  <c r="C14" i="9"/>
  <c r="B14" i="9"/>
  <c r="A14" i="9"/>
  <c r="Y13" i="9"/>
  <c r="W13" i="9"/>
  <c r="V13" i="9"/>
  <c r="U13" i="9"/>
  <c r="T13" i="9"/>
  <c r="S13" i="9"/>
  <c r="R13" i="9"/>
  <c r="Q13" i="9"/>
  <c r="P13" i="9"/>
  <c r="N13" i="9"/>
  <c r="M13" i="9"/>
  <c r="L13" i="9"/>
  <c r="K13" i="9"/>
  <c r="J13" i="9"/>
  <c r="I13" i="9"/>
  <c r="H13" i="9"/>
  <c r="G13" i="9"/>
  <c r="F13" i="9"/>
  <c r="E13" i="9"/>
  <c r="D13" i="9"/>
  <c r="C13" i="9"/>
  <c r="B13" i="9"/>
  <c r="A13" i="9"/>
  <c r="Y12" i="9"/>
  <c r="W12" i="9"/>
  <c r="V12" i="9"/>
  <c r="U12" i="9"/>
  <c r="T12" i="9"/>
  <c r="S12" i="9"/>
  <c r="R12" i="9"/>
  <c r="Q12" i="9"/>
  <c r="P12" i="9"/>
  <c r="N12" i="9"/>
  <c r="M12" i="9"/>
  <c r="L12" i="9"/>
  <c r="K12" i="9"/>
  <c r="J12" i="9"/>
  <c r="I12" i="9"/>
  <c r="H12" i="9"/>
  <c r="G12" i="9"/>
  <c r="F12" i="9"/>
  <c r="E12" i="9"/>
  <c r="D12" i="9"/>
  <c r="C12" i="9"/>
  <c r="B12" i="9"/>
  <c r="A12" i="9"/>
  <c r="Y11" i="9"/>
  <c r="W11" i="9"/>
  <c r="V11" i="9"/>
  <c r="U11" i="9"/>
  <c r="T11" i="9"/>
  <c r="S11" i="9"/>
  <c r="R11" i="9"/>
  <c r="Q11" i="9"/>
  <c r="P11" i="9"/>
  <c r="N11" i="9"/>
  <c r="M11" i="9"/>
  <c r="L11" i="9"/>
  <c r="K11" i="9"/>
  <c r="J11" i="9"/>
  <c r="I11" i="9"/>
  <c r="H11" i="9"/>
  <c r="G11" i="9"/>
  <c r="F11" i="9"/>
  <c r="E11" i="9"/>
  <c r="D11" i="9"/>
  <c r="C11" i="9"/>
  <c r="B11" i="9"/>
  <c r="A11" i="9"/>
  <c r="Y10" i="9"/>
  <c r="W10" i="9"/>
  <c r="V10" i="9"/>
  <c r="U10" i="9"/>
  <c r="T10" i="9"/>
  <c r="S10" i="9"/>
  <c r="R10" i="9"/>
  <c r="Q10" i="9"/>
  <c r="P10" i="9"/>
  <c r="N10" i="9"/>
  <c r="M10" i="9"/>
  <c r="L10" i="9"/>
  <c r="K10" i="9"/>
  <c r="J10" i="9"/>
  <c r="I10" i="9"/>
  <c r="H10" i="9"/>
  <c r="G10" i="9"/>
  <c r="F10" i="9"/>
  <c r="E10" i="9"/>
  <c r="D10" i="9"/>
  <c r="C10" i="9"/>
  <c r="B10" i="9"/>
  <c r="A10" i="9"/>
  <c r="Y9" i="9"/>
  <c r="W9" i="9"/>
  <c r="V9" i="9"/>
  <c r="U9" i="9"/>
  <c r="T9" i="9"/>
  <c r="S9" i="9"/>
  <c r="R9" i="9"/>
  <c r="Q9" i="9"/>
  <c r="P9" i="9"/>
  <c r="N9" i="9"/>
  <c r="M9" i="9"/>
  <c r="L9" i="9"/>
  <c r="K9" i="9"/>
  <c r="J9" i="9"/>
  <c r="I9" i="9"/>
  <c r="H9" i="9"/>
  <c r="G9" i="9"/>
  <c r="F9" i="9"/>
  <c r="E9" i="9"/>
  <c r="D9" i="9"/>
  <c r="C9" i="9"/>
  <c r="B9" i="9"/>
  <c r="A9" i="9"/>
  <c r="Y8" i="9"/>
  <c r="W8" i="9"/>
  <c r="V8" i="9"/>
  <c r="U8" i="9"/>
  <c r="T8" i="9"/>
  <c r="S8" i="9"/>
  <c r="R8" i="9"/>
  <c r="Q8" i="9"/>
  <c r="P8" i="9"/>
  <c r="N8" i="9"/>
  <c r="M8" i="9"/>
  <c r="L8" i="9"/>
  <c r="K8" i="9"/>
  <c r="I8" i="9"/>
  <c r="H8" i="9"/>
  <c r="G8" i="9"/>
  <c r="F8" i="9"/>
  <c r="E8" i="9"/>
  <c r="D8" i="9"/>
  <c r="C8" i="9"/>
  <c r="B8" i="9"/>
  <c r="A8" i="9"/>
  <c r="A7" i="9"/>
  <c r="Y5" i="9"/>
  <c r="W5" i="9"/>
  <c r="V5" i="9"/>
  <c r="U5" i="9"/>
  <c r="T5" i="9"/>
  <c r="S5" i="9"/>
  <c r="R5" i="9"/>
  <c r="Q5" i="9"/>
  <c r="P5" i="9"/>
  <c r="N5" i="9"/>
  <c r="M5" i="9"/>
  <c r="L5" i="9"/>
  <c r="K5" i="9"/>
  <c r="J5" i="9"/>
  <c r="I5" i="9"/>
  <c r="H5" i="9"/>
  <c r="G5" i="9"/>
  <c r="F5" i="9"/>
  <c r="E5" i="9"/>
  <c r="D5" i="9"/>
  <c r="C5" i="9"/>
  <c r="B5" i="9"/>
  <c r="A5" i="9"/>
  <c r="C4" i="4"/>
  <c r="C5" i="4"/>
  <c r="C6" i="4"/>
  <c r="C7" i="4"/>
  <c r="C8" i="4"/>
  <c r="C10" i="4"/>
  <c r="C9" i="4"/>
  <c r="C1038" i="4"/>
  <c r="C534" i="4"/>
  <c r="C115" i="4"/>
  <c r="C627" i="4"/>
  <c r="C340" i="4"/>
  <c r="C609" i="4"/>
  <c r="C1117" i="4"/>
  <c r="C1441" i="4"/>
  <c r="C445" i="4"/>
  <c r="C170" i="4"/>
  <c r="C827" i="4"/>
  <c r="C1033" i="4"/>
  <c r="C526" i="4"/>
  <c r="C1156" i="4"/>
  <c r="C71" i="4"/>
  <c r="C943" i="4"/>
  <c r="C641" i="4"/>
  <c r="C403" i="4"/>
  <c r="C670" i="4"/>
  <c r="C868" i="4"/>
  <c r="C789" i="4"/>
  <c r="C946" i="4"/>
  <c r="C643" i="4"/>
  <c r="C545" i="4"/>
  <c r="C1211" i="4"/>
  <c r="C572" i="4"/>
  <c r="C920" i="4"/>
  <c r="C958" i="4"/>
  <c r="C914" i="4"/>
  <c r="C73" i="4"/>
  <c r="C435" i="4"/>
  <c r="C500" i="4"/>
  <c r="C844" i="4"/>
  <c r="C1309" i="4"/>
  <c r="C1302" i="4"/>
  <c r="C949" i="4"/>
  <c r="C824" i="4"/>
  <c r="C178" i="4"/>
  <c r="C792" i="4"/>
  <c r="C791" i="4"/>
  <c r="C1427" i="4"/>
  <c r="C1089" i="4"/>
  <c r="C1027" i="4"/>
  <c r="C688" i="4"/>
  <c r="C1452" i="4"/>
  <c r="C811" i="4"/>
  <c r="C313" i="4"/>
  <c r="C1384" i="4"/>
  <c r="C528" i="4"/>
  <c r="C566" i="4"/>
  <c r="C498" i="4"/>
  <c r="C765" i="4"/>
  <c r="C894" i="4"/>
  <c r="C1361" i="4"/>
  <c r="C216" i="4"/>
  <c r="C1311" i="4"/>
  <c r="C1068" i="4"/>
  <c r="C945" i="4"/>
  <c r="C835" i="4"/>
  <c r="C522" i="4"/>
  <c r="C343" i="4"/>
  <c r="C1400" i="4"/>
  <c r="C739" i="4"/>
  <c r="C1284" i="4"/>
  <c r="C1139" i="4"/>
  <c r="C249" i="4"/>
  <c r="C310" i="4"/>
  <c r="C950" i="4"/>
  <c r="C723" i="4"/>
  <c r="C667" i="4"/>
  <c r="C30" i="4"/>
  <c r="C931" i="4"/>
  <c r="C955" i="4"/>
  <c r="C1290" i="4"/>
  <c r="C356" i="4"/>
  <c r="C182" i="4"/>
  <c r="C454" i="4"/>
  <c r="C758" i="4"/>
  <c r="C166" i="4"/>
  <c r="C1235" i="4"/>
  <c r="C571" i="4"/>
  <c r="C1445" i="4"/>
  <c r="C869" i="4"/>
  <c r="C935" i="4"/>
  <c r="C348" i="4"/>
  <c r="C1079" i="4"/>
  <c r="C1165" i="4"/>
  <c r="C337" i="4"/>
  <c r="C929" i="4"/>
  <c r="C189" i="4"/>
  <c r="C410" i="4"/>
  <c r="C1390" i="4"/>
  <c r="C762" i="4"/>
  <c r="C631" i="4"/>
  <c r="C564" i="4"/>
  <c r="C1210" i="4"/>
  <c r="C925" i="4"/>
  <c r="C130" i="4"/>
  <c r="C1238" i="4"/>
  <c r="C107" i="4"/>
  <c r="C917" i="4"/>
  <c r="C19" i="4"/>
  <c r="C740" i="4"/>
  <c r="C339" i="4"/>
  <c r="C637" i="4"/>
  <c r="C234" i="4"/>
  <c r="C1080" i="4"/>
  <c r="C525" i="4"/>
  <c r="C601" i="4"/>
  <c r="C963" i="4"/>
  <c r="C1026" i="4"/>
  <c r="C1021" i="4"/>
  <c r="C582" i="4"/>
  <c r="C607" i="4"/>
  <c r="C291" i="4"/>
  <c r="C126" i="4"/>
  <c r="C596" i="4"/>
  <c r="C1218" i="4"/>
  <c r="C415" i="4"/>
  <c r="C886" i="4"/>
  <c r="C842" i="4"/>
  <c r="C1039" i="4"/>
  <c r="C693" i="4"/>
  <c r="C988" i="4"/>
  <c r="C396" i="4"/>
  <c r="C1104" i="4"/>
  <c r="C876" i="4"/>
  <c r="C374" i="4"/>
  <c r="C1380" i="4"/>
  <c r="C1312" i="4"/>
  <c r="C1053" i="4"/>
  <c r="C849" i="4"/>
  <c r="C1048" i="4"/>
  <c r="C992" i="4"/>
  <c r="C1246" i="4"/>
  <c r="C269" i="4"/>
  <c r="C421" i="4"/>
  <c r="C1372" i="4"/>
  <c r="C1121" i="4"/>
  <c r="C492" i="4"/>
  <c r="C575" i="4"/>
  <c r="C1204" i="4"/>
  <c r="C682" i="4"/>
  <c r="C1052" i="4"/>
  <c r="C138" i="4"/>
  <c r="C2" i="4"/>
  <c r="C320" i="4"/>
  <c r="C881" i="4"/>
  <c r="C1065" i="4"/>
  <c r="C857" i="4"/>
  <c r="C1310" i="4"/>
  <c r="C694" i="4"/>
  <c r="C213" i="4"/>
  <c r="C983" i="4"/>
  <c r="C280" i="4"/>
  <c r="C413" i="4"/>
  <c r="C956" i="4"/>
  <c r="C451" i="4"/>
  <c r="C38" i="4"/>
  <c r="C1272" i="4"/>
  <c r="C250" i="4"/>
  <c r="C1349" i="4"/>
  <c r="C553" i="4"/>
  <c r="C788" i="4"/>
  <c r="C504" i="4"/>
  <c r="C70" i="4"/>
  <c r="C1180" i="4"/>
  <c r="C1071" i="4"/>
  <c r="C32" i="4"/>
  <c r="C798" i="4"/>
  <c r="C1266" i="4"/>
  <c r="C647" i="4"/>
  <c r="C511" i="4"/>
  <c r="C1336" i="4"/>
  <c r="C380" i="4"/>
  <c r="C296" i="4"/>
  <c r="C996" i="4"/>
  <c r="C976" i="4"/>
  <c r="C1125" i="4"/>
  <c r="C289" i="4"/>
  <c r="C897" i="4"/>
  <c r="C460" i="4"/>
  <c r="C749" i="4"/>
  <c r="C691" i="4"/>
  <c r="C78" i="4"/>
  <c r="C1353" i="4"/>
  <c r="C1414" i="4"/>
  <c r="C311" i="4"/>
  <c r="C927" i="4"/>
  <c r="C684" i="4"/>
  <c r="C1456" i="4"/>
  <c r="C698" i="4"/>
  <c r="C556" i="4"/>
  <c r="C947" i="4"/>
  <c r="C1142" i="4"/>
  <c r="C1341" i="4"/>
  <c r="C353" i="4"/>
  <c r="C488" i="4"/>
  <c r="C829" i="4"/>
  <c r="C562" i="4"/>
  <c r="C355" i="4"/>
  <c r="C1293" i="4"/>
  <c r="C547" i="4"/>
  <c r="C376" i="4"/>
  <c r="C837" i="4"/>
  <c r="C62" i="4"/>
  <c r="C114" i="4"/>
  <c r="C861" i="4"/>
  <c r="C1028" i="4"/>
  <c r="C1163" i="4"/>
  <c r="C1360" i="4"/>
  <c r="C669" i="4"/>
  <c r="C1221" i="4"/>
  <c r="C1381" i="4"/>
  <c r="C372" i="4"/>
  <c r="C1086" i="4"/>
  <c r="C520" i="4"/>
  <c r="C1243" i="4"/>
  <c r="C1431" i="4"/>
  <c r="C124" i="4"/>
  <c r="C887" i="4"/>
  <c r="C1446" i="4"/>
  <c r="C1297" i="4"/>
  <c r="C628" i="4"/>
  <c r="C952" i="4"/>
  <c r="C407" i="4"/>
  <c r="C971" i="4"/>
  <c r="C1124" i="4"/>
  <c r="C604" i="4"/>
  <c r="C612" i="4"/>
  <c r="C687" i="4"/>
  <c r="C155" i="4"/>
  <c r="C648" i="4"/>
  <c r="C908" i="4"/>
  <c r="C697" i="4"/>
  <c r="C1198" i="4"/>
  <c r="C1415" i="4"/>
  <c r="C161" i="4"/>
  <c r="C624" i="4"/>
  <c r="C820" i="4"/>
  <c r="C184" i="4"/>
  <c r="C152" i="4"/>
  <c r="C1130" i="4"/>
  <c r="C661" i="4"/>
  <c r="C297" i="4"/>
  <c r="C143" i="4"/>
  <c r="C1175" i="4"/>
  <c r="C1430" i="4"/>
  <c r="C1003" i="4"/>
  <c r="C1093" i="4"/>
  <c r="C1092" i="4"/>
  <c r="C1203" i="4"/>
  <c r="C767" i="4"/>
  <c r="C217" i="4"/>
  <c r="C1099" i="4"/>
  <c r="C288" i="4"/>
  <c r="C449" i="4"/>
  <c r="C517" i="4"/>
  <c r="C1275" i="4"/>
  <c r="C1240" i="4"/>
  <c r="C1375" i="4"/>
  <c r="C266" i="4"/>
  <c r="C338" i="4"/>
  <c r="C192" i="4"/>
  <c r="C362" i="4"/>
  <c r="C379" i="4"/>
  <c r="C787" i="4"/>
  <c r="C416" i="4"/>
  <c r="C854" i="4"/>
  <c r="C686" i="4"/>
  <c r="C895" i="4"/>
  <c r="C679" i="4"/>
  <c r="C175" i="4"/>
  <c r="C304" i="4"/>
  <c r="C1262" i="4"/>
  <c r="C26" i="4"/>
  <c r="C658" i="4"/>
  <c r="C964" i="4"/>
  <c r="C287" i="4"/>
  <c r="C1201" i="4"/>
  <c r="C1405" i="4"/>
  <c r="C461" i="4"/>
  <c r="C440" i="4"/>
  <c r="C786" i="4"/>
  <c r="C1313" i="4"/>
  <c r="C1248" i="4"/>
  <c r="C282" i="4"/>
  <c r="C119" i="4"/>
  <c r="C735" i="4"/>
  <c r="C1298" i="4"/>
  <c r="C573" i="4"/>
  <c r="C24" i="4"/>
  <c r="C257" i="4"/>
  <c r="C326" i="4"/>
  <c r="C1287" i="4"/>
  <c r="C156" i="4"/>
  <c r="C463" i="4"/>
  <c r="C738" i="4"/>
  <c r="C725" i="4"/>
  <c r="C1090" i="4"/>
  <c r="C1107" i="4"/>
  <c r="C92" i="4"/>
  <c r="C118" i="4"/>
  <c r="C703" i="4"/>
  <c r="C1326" i="4"/>
  <c r="C1250" i="4"/>
  <c r="C782" i="4"/>
  <c r="C1199" i="4"/>
  <c r="C1232" i="4"/>
  <c r="C1206" i="4"/>
  <c r="C910" i="4"/>
  <c r="C1169" i="4"/>
  <c r="C625" i="4"/>
  <c r="C507" i="4"/>
  <c r="C1435" i="4"/>
  <c r="C1437" i="4"/>
  <c r="C183" i="4"/>
  <c r="C391" i="4"/>
  <c r="C934" i="4"/>
  <c r="C478" i="4"/>
  <c r="C1362" i="4"/>
  <c r="C613" i="4"/>
  <c r="C65" i="4"/>
  <c r="C683" i="4"/>
  <c r="C1412" i="4"/>
  <c r="C1012" i="4"/>
  <c r="C1292" i="4"/>
  <c r="C1035" i="4"/>
  <c r="C1365" i="4"/>
  <c r="C730" i="4"/>
  <c r="C1332" i="4"/>
  <c r="C392" i="4"/>
  <c r="C61" i="4"/>
  <c r="C36" i="4"/>
  <c r="C1391" i="4"/>
  <c r="C1355" i="4"/>
  <c r="C884" i="4"/>
  <c r="C177" i="4"/>
  <c r="C1103" i="4"/>
  <c r="C1370" i="4"/>
  <c r="C1015" i="4"/>
  <c r="C480" i="4"/>
  <c r="C1368" i="4"/>
  <c r="C797" i="4"/>
  <c r="C1337" i="4"/>
  <c r="C487" i="4"/>
  <c r="C129" i="4"/>
  <c r="C527" i="4"/>
  <c r="C98" i="4"/>
  <c r="C987" i="4"/>
  <c r="C774" i="4"/>
  <c r="C102" i="4"/>
  <c r="C593" i="4"/>
  <c r="C263" i="4"/>
  <c r="C1407" i="4"/>
  <c r="C1411" i="4"/>
  <c r="C1449" i="4"/>
  <c r="C909" i="4"/>
  <c r="C775" i="4"/>
  <c r="C1253" i="4"/>
  <c r="C541" i="4"/>
  <c r="C865" i="4"/>
  <c r="C41" i="4"/>
  <c r="C954" i="4"/>
  <c r="C108" i="4"/>
  <c r="C438" i="4"/>
  <c r="C312" i="4"/>
  <c r="C569" i="4"/>
  <c r="C345" i="4"/>
  <c r="C447" i="4"/>
  <c r="C1318" i="4"/>
  <c r="C82" i="4"/>
  <c r="C1303" i="4"/>
  <c r="C153" i="4"/>
  <c r="C863" i="4"/>
  <c r="C802" i="4"/>
  <c r="C1051" i="4"/>
  <c r="C67" i="4"/>
  <c r="C127" i="4"/>
  <c r="C580" i="4"/>
  <c r="C448" i="4"/>
  <c r="C523" i="4"/>
  <c r="C1249" i="4"/>
  <c r="C48" i="4"/>
  <c r="C839" i="4"/>
  <c r="C700" i="4"/>
  <c r="C1458" i="4"/>
  <c r="C515" i="4"/>
  <c r="C1286" i="4"/>
  <c r="C1152" i="4"/>
  <c r="C1141" i="4"/>
  <c r="C923" i="4"/>
  <c r="C744" i="4"/>
  <c r="C1213" i="4"/>
  <c r="C1383" i="4"/>
  <c r="C1392" i="4"/>
  <c r="C833" i="4"/>
  <c r="C742" i="4"/>
  <c r="C1081" i="4"/>
  <c r="C1277" i="4"/>
  <c r="C766" i="4"/>
  <c r="C341" i="4"/>
  <c r="C807" i="4"/>
  <c r="C542" i="4"/>
  <c r="C645" i="4"/>
  <c r="C1186" i="4"/>
  <c r="C548" i="4"/>
  <c r="C1227" i="4"/>
  <c r="C974" i="4"/>
  <c r="C1113" i="4"/>
  <c r="C1069" i="4"/>
  <c r="C586" i="4"/>
  <c r="C69" i="4"/>
  <c r="C720" i="4"/>
  <c r="C521" i="4"/>
  <c r="C214" i="4"/>
  <c r="C620" i="4"/>
  <c r="C962" i="4"/>
  <c r="C389" i="4"/>
  <c r="C495" i="4"/>
  <c r="C467" i="4"/>
  <c r="C948" i="4"/>
  <c r="C1288" i="4"/>
  <c r="C159" i="4"/>
  <c r="C205" i="4"/>
  <c r="C1422" i="4"/>
  <c r="C980" i="4"/>
  <c r="C317" i="4"/>
  <c r="C847" i="4"/>
  <c r="C1396" i="4"/>
  <c r="C255" i="4"/>
  <c r="C676" i="4"/>
  <c r="C397" i="4"/>
  <c r="C862" i="4"/>
  <c r="C1379" i="4"/>
  <c r="C27" i="4"/>
  <c r="C219" i="4"/>
  <c r="C565" i="4"/>
  <c r="C574" i="4"/>
  <c r="C1231" i="4"/>
  <c r="C1280" i="4"/>
  <c r="C973" i="4"/>
  <c r="C97" i="4"/>
  <c r="C1217" i="4"/>
  <c r="C1295" i="4"/>
  <c r="C1041" i="4"/>
  <c r="C778" i="4"/>
  <c r="C896" i="4"/>
  <c r="C1451" i="4"/>
  <c r="C104" i="4"/>
  <c r="C1082" i="4"/>
  <c r="C474" i="4"/>
  <c r="C851" i="4"/>
  <c r="C373" i="4"/>
  <c r="C1110" i="4"/>
  <c r="C1088" i="4"/>
  <c r="C555" i="4"/>
  <c r="C614" i="4"/>
  <c r="C1094" i="4"/>
  <c r="C1386" i="4"/>
  <c r="C1395" i="4"/>
  <c r="C668" i="4"/>
  <c r="C278" i="4"/>
  <c r="C181" i="4"/>
  <c r="C154" i="4"/>
  <c r="C1440" i="4"/>
  <c r="C31" i="4"/>
  <c r="C813" i="4"/>
  <c r="C1461" i="4"/>
  <c r="C128" i="4"/>
  <c r="C381" i="4"/>
  <c r="C324" i="4"/>
  <c r="C147" i="4"/>
  <c r="C632" i="4"/>
  <c r="C390" i="4"/>
  <c r="C650" i="4"/>
  <c r="C334" i="4"/>
  <c r="C938" i="4"/>
  <c r="C378" i="4"/>
  <c r="C1185" i="4"/>
  <c r="C1329" i="4"/>
  <c r="C190" i="4"/>
  <c r="C957" i="4"/>
  <c r="C656" i="4"/>
  <c r="C1193" i="4"/>
  <c r="C1281" i="4"/>
  <c r="C37" i="4"/>
  <c r="C33" i="4"/>
  <c r="C401" i="4"/>
  <c r="C1189" i="4"/>
  <c r="C732" i="4"/>
  <c r="C247" i="4"/>
  <c r="C25" i="4"/>
  <c r="C12" i="4"/>
  <c r="C496" i="4"/>
  <c r="C1032" i="4"/>
  <c r="C680" i="4"/>
  <c r="C1263" i="4"/>
  <c r="C43" i="4"/>
  <c r="C543" i="4"/>
  <c r="C1398" i="4"/>
  <c r="C576" i="4"/>
  <c r="C800" i="4"/>
  <c r="C210" i="4"/>
  <c r="C1241" i="4"/>
  <c r="C1164" i="4"/>
  <c r="C1036" i="4"/>
  <c r="C1151" i="4"/>
  <c r="C1007" i="4"/>
  <c r="C363" i="4"/>
  <c r="C1389" i="4"/>
  <c r="C1457" i="4"/>
  <c r="C346" i="4"/>
  <c r="C365" i="4"/>
  <c r="C761" i="4"/>
  <c r="C941" i="4"/>
  <c r="C1023" i="4"/>
  <c r="C1005" i="4"/>
  <c r="C203" i="4"/>
  <c r="C342" i="4"/>
  <c r="C937" i="4"/>
  <c r="C1064" i="4"/>
  <c r="C239" i="4"/>
  <c r="C1020" i="4"/>
  <c r="C171" i="4"/>
  <c r="C546" i="4"/>
  <c r="C1149" i="4"/>
  <c r="C1399" i="4"/>
  <c r="C1423" i="4"/>
  <c r="C1202" i="4"/>
  <c r="C918" i="4"/>
  <c r="C939" i="4"/>
  <c r="C718" i="4"/>
  <c r="C1075" i="4"/>
  <c r="C706" i="4"/>
  <c r="C423" i="4"/>
  <c r="C674" i="4"/>
  <c r="C841" i="4"/>
  <c r="C318" i="4"/>
  <c r="C139" i="4"/>
  <c r="C592" i="4"/>
  <c r="C375" i="4"/>
  <c r="C1257" i="4"/>
  <c r="C1358" i="4"/>
  <c r="C330" i="4"/>
  <c r="C748" i="4"/>
  <c r="C928" i="4"/>
  <c r="C989" i="4"/>
  <c r="C271" i="4"/>
  <c r="C913" i="4"/>
  <c r="C418" i="4"/>
  <c r="C494" i="4"/>
  <c r="C146" i="4"/>
  <c r="C1209" i="4"/>
  <c r="C444" i="4"/>
  <c r="C1268" i="4"/>
  <c r="C1160" i="4"/>
  <c r="C221" i="4"/>
  <c r="C1230" i="4"/>
  <c r="C1334" i="4"/>
  <c r="C106" i="4"/>
  <c r="C721" i="4"/>
  <c r="C967" i="4"/>
  <c r="C428" i="4"/>
  <c r="C618" i="4"/>
  <c r="C226" i="4"/>
  <c r="C877" i="4"/>
  <c r="C300" i="4"/>
  <c r="C167" i="4"/>
  <c r="C695" i="4"/>
  <c r="C1256" i="4"/>
  <c r="C1046" i="4"/>
  <c r="C433" i="4"/>
  <c r="C199" i="4"/>
  <c r="C425" i="4"/>
  <c r="C45" i="4"/>
  <c r="C252" i="4"/>
  <c r="C874" i="4"/>
  <c r="C22" i="4"/>
  <c r="C229" i="4"/>
  <c r="C236" i="4"/>
  <c r="C3" i="4"/>
  <c r="C681" i="4"/>
  <c r="C1294" i="4"/>
  <c r="C885" i="4"/>
  <c r="C1455" i="4"/>
  <c r="C277" i="4"/>
  <c r="C653" i="4"/>
  <c r="C198" i="4"/>
  <c r="C131" i="4"/>
  <c r="C23" i="4"/>
  <c r="C655" i="4"/>
  <c r="C258" i="4"/>
  <c r="C446" i="4"/>
  <c r="C1029" i="4"/>
  <c r="C493" i="4"/>
  <c r="C557" i="4"/>
  <c r="C1301" i="4"/>
  <c r="C616" i="4"/>
  <c r="C491" i="4"/>
  <c r="C853" i="4"/>
  <c r="C709" i="4"/>
  <c r="C879" i="4"/>
  <c r="C825" i="4"/>
  <c r="C906" i="4"/>
  <c r="C55" i="4"/>
  <c r="C579" i="4"/>
  <c r="C1146" i="4"/>
  <c r="C1251" i="4"/>
  <c r="C801" i="4"/>
  <c r="C94" i="4"/>
  <c r="C893" i="4"/>
  <c r="C888" i="4"/>
  <c r="C1242" i="4"/>
  <c r="C485" i="4"/>
  <c r="C231" i="4"/>
  <c r="C208" i="4"/>
  <c r="C1190" i="4"/>
  <c r="C1397" i="4"/>
  <c r="C386" i="4"/>
  <c r="C795" i="4"/>
  <c r="C17" i="4"/>
  <c r="C75" i="4"/>
  <c r="C1278" i="4"/>
  <c r="C968" i="4"/>
  <c r="C459" i="4"/>
  <c r="C88" i="4"/>
  <c r="C696" i="4"/>
  <c r="C552" i="4"/>
  <c r="C59" i="4"/>
  <c r="C344" i="4"/>
  <c r="C259" i="4"/>
  <c r="C803" i="4"/>
  <c r="C1459" i="4"/>
  <c r="C1147" i="4"/>
  <c r="C111" i="4"/>
  <c r="C1115" i="4"/>
  <c r="C1001" i="4"/>
  <c r="C285" i="4"/>
  <c r="C519" i="4"/>
  <c r="C268" i="4"/>
  <c r="C1443" i="4"/>
  <c r="C1433" i="4"/>
  <c r="C301" i="4"/>
  <c r="C1308" i="4"/>
  <c r="C486" i="4"/>
  <c r="C608" i="4"/>
  <c r="C657" i="4"/>
  <c r="C1404" i="4"/>
  <c r="C1118" i="4"/>
  <c r="C1343" i="4"/>
  <c r="C1259" i="4"/>
  <c r="C420" i="4"/>
  <c r="C799" i="4"/>
  <c r="C294" i="4"/>
  <c r="C714" i="4"/>
  <c r="C274" i="4"/>
  <c r="C1346" i="4"/>
  <c r="C1045" i="4"/>
  <c r="C1406" i="4"/>
  <c r="C464" i="4"/>
  <c r="C666" i="4"/>
  <c r="C780" i="4"/>
  <c r="C660" i="4"/>
  <c r="C63" i="4"/>
  <c r="C1133" i="4"/>
  <c r="C1401" i="4"/>
  <c r="C133" i="4"/>
  <c r="C307" i="4"/>
  <c r="C134" i="4"/>
  <c r="C76" i="4"/>
  <c r="C1002" i="4"/>
  <c r="C1276" i="4"/>
  <c r="C994" i="4"/>
  <c r="C90" i="4"/>
  <c r="C1167" i="4"/>
  <c r="C930" i="4"/>
  <c r="C558" i="4"/>
  <c r="C1197" i="4"/>
  <c r="C482" i="4"/>
  <c r="C619" i="4"/>
  <c r="C594" i="4"/>
  <c r="C559" i="4"/>
  <c r="C1060" i="4"/>
  <c r="C225" i="4"/>
  <c r="C1109" i="4"/>
  <c r="C1102" i="4"/>
  <c r="C281" i="4"/>
  <c r="C724" i="4"/>
  <c r="C1315" i="4"/>
  <c r="C728" i="4"/>
  <c r="C872" i="4"/>
  <c r="C21" i="4"/>
  <c r="C1140" i="4"/>
  <c r="C810" i="4"/>
  <c r="C1177" i="4"/>
  <c r="C113" i="4"/>
  <c r="C84" i="4"/>
  <c r="C441" i="4"/>
  <c r="C400" i="4"/>
  <c r="C1057" i="4"/>
  <c r="C649" i="4"/>
  <c r="C1061" i="4"/>
  <c r="C393" i="4"/>
  <c r="C1377" i="4"/>
  <c r="C663" i="4"/>
  <c r="C261" i="4"/>
  <c r="C970" i="4"/>
  <c r="C1105" i="4"/>
  <c r="C831" i="4"/>
  <c r="C1305" i="4"/>
  <c r="C568" i="4"/>
  <c r="C99" i="4"/>
  <c r="C429" i="4"/>
  <c r="C1161" i="4"/>
  <c r="C377" i="4"/>
  <c r="C1170" i="4"/>
  <c r="C325" i="4"/>
  <c r="C828" i="4"/>
  <c r="C590" i="4"/>
  <c r="C773" i="4"/>
  <c r="C1106" i="4"/>
  <c r="C752" i="4"/>
  <c r="C284" i="4"/>
  <c r="C466" i="4"/>
  <c r="C58" i="4"/>
  <c r="C1416" i="4"/>
  <c r="C411" i="4"/>
  <c r="C267" i="4"/>
  <c r="C238" i="4"/>
  <c r="C677" i="4"/>
  <c r="C1338" i="4"/>
  <c r="C336" i="4"/>
  <c r="C512" i="4"/>
  <c r="C1265" i="4"/>
  <c r="C689" i="4"/>
  <c r="C279" i="4"/>
  <c r="C583" i="4"/>
  <c r="C218" i="4"/>
  <c r="C502" i="4"/>
  <c r="C74" i="4"/>
  <c r="C755" i="4"/>
  <c r="C1226" i="4"/>
  <c r="C1196" i="4"/>
  <c r="C1261" i="4"/>
  <c r="C891" i="4"/>
  <c r="C185" i="4"/>
  <c r="C248" i="4"/>
  <c r="C235" i="4"/>
  <c r="C29" i="4"/>
  <c r="C731" i="4"/>
  <c r="C1393" i="4"/>
  <c r="C1245" i="4"/>
  <c r="C201" i="4"/>
  <c r="C981" i="4"/>
  <c r="C1011" i="4"/>
  <c r="C763" i="4"/>
  <c r="C1111" i="4"/>
  <c r="C382" i="4"/>
  <c r="C1328" i="4"/>
  <c r="C1129" i="4"/>
  <c r="C513" i="4"/>
  <c r="C419" i="4"/>
  <c r="C903" i="4"/>
  <c r="C882" i="4"/>
  <c r="C1000" i="4"/>
  <c r="C1299" i="4"/>
  <c r="C1055" i="4"/>
  <c r="C1137" i="4"/>
  <c r="C472" i="4"/>
  <c r="C1234" i="4"/>
  <c r="C1320" i="4"/>
  <c r="C966" i="4"/>
  <c r="C1357" i="4"/>
  <c r="C794" i="4"/>
  <c r="C295" i="4"/>
  <c r="C1183" i="4"/>
  <c r="C1314" i="4"/>
  <c r="C537" i="4"/>
  <c r="C654" i="4"/>
  <c r="C481" i="4"/>
  <c r="C536" i="4"/>
  <c r="C951" i="4"/>
  <c r="C506" i="4"/>
  <c r="C530" i="4"/>
  <c r="C832" i="4"/>
  <c r="C743" i="4"/>
  <c r="C770" i="4"/>
  <c r="C838" i="4"/>
  <c r="C1050" i="4"/>
  <c r="C1279" i="4"/>
  <c r="C866" i="4"/>
  <c r="C186" i="4"/>
  <c r="C240" i="4"/>
  <c r="C986" i="4"/>
  <c r="C1174" i="4"/>
  <c r="C49" i="4"/>
  <c r="C1316" i="4"/>
  <c r="C1439" i="4"/>
  <c r="C898" i="4"/>
  <c r="C1178" i="4"/>
  <c r="C316" i="4"/>
  <c r="C1289" i="4"/>
  <c r="C984" i="4"/>
  <c r="C276" i="4"/>
  <c r="C936" i="4"/>
  <c r="C1387" i="4"/>
  <c r="C1364" i="4"/>
  <c r="C331" i="4"/>
  <c r="C148" i="4"/>
  <c r="C1091" i="4"/>
  <c r="C784" i="4"/>
  <c r="C1342" i="4"/>
  <c r="C1122" i="4"/>
  <c r="C926" i="4"/>
  <c r="C662" i="4"/>
  <c r="C1296" i="4"/>
  <c r="C1274" i="4"/>
  <c r="C710" i="4"/>
  <c r="C1014" i="4"/>
  <c r="C1098" i="4"/>
  <c r="C818" i="4"/>
  <c r="C1429" i="4"/>
  <c r="C990" i="4"/>
  <c r="C719" i="4"/>
  <c r="C352" i="4"/>
  <c r="C473" i="4"/>
  <c r="C533" i="4"/>
  <c r="C823" i="4"/>
  <c r="C636" i="4"/>
  <c r="C28" i="4"/>
  <c r="C785" i="4"/>
  <c r="C1157" i="4"/>
  <c r="C223" i="4"/>
  <c r="C125" i="4"/>
  <c r="C357" i="4"/>
  <c r="C1233" i="4"/>
  <c r="C426" i="4"/>
  <c r="C51" i="4"/>
  <c r="C1335" i="4"/>
  <c r="C1096" i="4"/>
  <c r="C843" i="4"/>
  <c r="C321" i="4"/>
  <c r="C855" i="4"/>
  <c r="C251" i="4"/>
  <c r="C1351" i="4"/>
  <c r="C64" i="4"/>
  <c r="C1101" i="4"/>
  <c r="C678" i="4"/>
  <c r="C505" i="4"/>
  <c r="C458" i="4"/>
  <c r="C815" i="4"/>
  <c r="C769" i="4"/>
  <c r="C1348" i="4"/>
  <c r="C826" i="4"/>
  <c r="C977" i="4"/>
  <c r="C834" i="4"/>
  <c r="C529" i="4"/>
  <c r="C538" i="4"/>
  <c r="C501" i="4"/>
  <c r="C1044" i="4"/>
  <c r="C477" i="4"/>
  <c r="C335" i="4"/>
  <c r="C1192" i="4"/>
  <c r="C215" i="4"/>
  <c r="C764" i="4"/>
  <c r="C80" i="4"/>
  <c r="C18" i="4"/>
  <c r="C456" i="4"/>
  <c r="C275" i="4"/>
  <c r="C892" i="4"/>
  <c r="C1366" i="4"/>
  <c r="C1010" i="4"/>
  <c r="C685" i="4"/>
  <c r="C360" i="4"/>
  <c r="C673" i="4"/>
  <c r="C1385" i="4"/>
  <c r="C422" i="4"/>
  <c r="C856" i="4"/>
  <c r="C1354" i="4"/>
  <c r="C1040" i="4"/>
  <c r="C358" i="4"/>
  <c r="C1428" i="4"/>
  <c r="C228" i="4"/>
  <c r="C1408" i="4"/>
  <c r="C1207" i="4"/>
  <c r="C424" i="4"/>
  <c r="C1138" i="4"/>
  <c r="C830" i="4"/>
  <c r="C165" i="4"/>
  <c r="C109" i="4"/>
  <c r="C499" i="4"/>
  <c r="C57" i="4"/>
  <c r="C254" i="4"/>
  <c r="C1244" i="4"/>
  <c r="C290" i="4"/>
  <c r="C207" i="4"/>
  <c r="C1300" i="4"/>
  <c r="C1074" i="4"/>
  <c r="C1200" i="4"/>
  <c r="C883" i="4"/>
  <c r="C1374" i="4"/>
  <c r="C1426" i="4"/>
  <c r="C142" i="4"/>
  <c r="C1450" i="4"/>
  <c r="C890" i="4"/>
  <c r="C671" i="4"/>
  <c r="C366" i="4"/>
  <c r="C924" i="4"/>
  <c r="C672" i="4"/>
  <c r="C195" i="4"/>
  <c r="C644" i="4"/>
  <c r="C1371" i="4"/>
  <c r="C1056" i="4"/>
  <c r="C581" i="4"/>
  <c r="C384" i="4"/>
  <c r="C1418" i="4"/>
  <c r="C1112" i="4"/>
  <c r="C1352" i="4"/>
  <c r="C1317" i="4"/>
  <c r="C44" i="4"/>
  <c r="C1413" i="4"/>
  <c r="C1388" i="4"/>
  <c r="C1108" i="4"/>
  <c r="C137" i="4"/>
  <c r="C1267" i="4"/>
  <c r="C804" i="4"/>
  <c r="C1325" i="4"/>
  <c r="C900" i="4"/>
  <c r="C1333" i="4"/>
  <c r="C241" i="4"/>
  <c r="C1438" i="4"/>
  <c r="C953" i="4"/>
  <c r="C985" i="4"/>
  <c r="C516" i="4"/>
  <c r="C1409" i="4"/>
  <c r="C359" i="4"/>
  <c r="C567" i="4"/>
  <c r="C1126" i="4"/>
  <c r="C405" i="4"/>
  <c r="C13" i="4"/>
  <c r="C711" i="4"/>
  <c r="C476" i="4"/>
  <c r="C302" i="4"/>
  <c r="C1255" i="4"/>
  <c r="C1363" i="4"/>
  <c r="C437" i="4"/>
  <c r="C211" i="4"/>
  <c r="C262" i="4"/>
  <c r="C1078" i="4"/>
  <c r="C283" i="4"/>
  <c r="C760" i="4"/>
  <c r="C808" i="4"/>
  <c r="C1153" i="4"/>
  <c r="C1191" i="4"/>
  <c r="C701" i="4"/>
  <c r="C814" i="4"/>
  <c r="C1247" i="4"/>
  <c r="C243" i="4"/>
  <c r="C1270" i="4"/>
  <c r="C727" i="4"/>
  <c r="C1356" i="4"/>
  <c r="C716" i="4"/>
  <c r="C634" i="4"/>
  <c r="C577" i="4"/>
  <c r="C1376" i="4"/>
  <c r="C1369" i="4"/>
  <c r="C417" i="4"/>
  <c r="C642" i="4"/>
  <c r="C554" i="4"/>
  <c r="C550" i="4"/>
  <c r="C1016" i="4"/>
  <c r="C1037" i="4"/>
  <c r="C745" i="4"/>
  <c r="C790" i="4"/>
  <c r="C1145" i="4"/>
  <c r="C1304" i="4"/>
  <c r="C997" i="4"/>
  <c r="C349" i="4"/>
  <c r="C20" i="4"/>
  <c r="C117" i="4"/>
  <c r="C430" i="4"/>
  <c r="C591" i="4"/>
  <c r="C873" i="4"/>
  <c r="C39" i="4"/>
  <c r="C1350" i="4"/>
  <c r="C314" i="4"/>
  <c r="C309" i="4"/>
  <c r="C56" i="4"/>
  <c r="C1025" i="4"/>
  <c r="C16" i="4"/>
  <c r="C1172" i="4"/>
  <c r="C1273" i="4"/>
  <c r="C871" i="4"/>
  <c r="C922" i="4"/>
  <c r="C306" i="4"/>
  <c r="C1219" i="4"/>
  <c r="C551" i="4"/>
  <c r="C1382" i="4"/>
  <c r="C540" i="4"/>
  <c r="C68" i="4"/>
  <c r="C1367" i="4"/>
  <c r="C626" i="4"/>
  <c r="C72" i="4"/>
  <c r="C323" i="4"/>
  <c r="C630" i="4"/>
  <c r="C1306" i="4"/>
  <c r="C809" i="4"/>
  <c r="C264" i="4"/>
  <c r="C1158" i="4"/>
  <c r="C1378" i="4"/>
  <c r="C439" i="4"/>
  <c r="C959" i="4"/>
  <c r="C1058" i="4"/>
  <c r="C1017" i="4"/>
  <c r="C196" i="4"/>
  <c r="C367" i="4"/>
  <c r="C305" i="4"/>
  <c r="C982" i="4"/>
  <c r="C717" i="4"/>
  <c r="C1123" i="4"/>
  <c r="C383" i="4"/>
  <c r="C1448" i="4"/>
  <c r="C998" i="4"/>
  <c r="C1076" i="4"/>
  <c r="C836" i="4"/>
  <c r="C840" i="4"/>
  <c r="C260" i="4"/>
  <c r="C1166" i="4"/>
  <c r="C713" i="4"/>
  <c r="C940" i="4"/>
  <c r="C222" i="4"/>
  <c r="C95" i="4"/>
  <c r="C1236" i="4"/>
  <c r="C371" i="4"/>
  <c r="C532" i="4"/>
  <c r="C606" i="4"/>
  <c r="C245" i="4"/>
  <c r="C544" i="4"/>
  <c r="C427" i="4"/>
  <c r="C1229" i="4"/>
  <c r="C40" i="4"/>
  <c r="C394" i="4"/>
  <c r="C1321" i="4"/>
  <c r="C1271" i="4"/>
  <c r="C483" i="4"/>
  <c r="C852" i="4"/>
  <c r="C431" i="4"/>
  <c r="C1195" i="4"/>
  <c r="C110" i="4"/>
  <c r="C759" i="4"/>
  <c r="C47" i="4"/>
  <c r="C230" i="4"/>
  <c r="C1013" i="4"/>
  <c r="C122" i="4"/>
  <c r="C932" i="4"/>
  <c r="C1155" i="4"/>
  <c r="C1205" i="4"/>
  <c r="C1347" i="4"/>
  <c r="C965" i="4"/>
  <c r="C145" i="4"/>
  <c r="C848" i="4"/>
  <c r="C187" i="4"/>
  <c r="C880" i="4"/>
  <c r="C1421" i="4"/>
  <c r="C702" i="4"/>
  <c r="C1148" i="4"/>
  <c r="C270" i="4"/>
  <c r="C1018" i="4"/>
  <c r="C705" i="4"/>
  <c r="C173" i="4"/>
  <c r="C772" i="4"/>
  <c r="C273" i="4"/>
  <c r="C768" i="4"/>
  <c r="C508" i="4"/>
  <c r="C351" i="4"/>
  <c r="C157" i="4"/>
  <c r="C1208" i="4"/>
  <c r="C368" i="4"/>
  <c r="C395" i="4"/>
  <c r="C227" i="4"/>
  <c r="C969" i="4"/>
  <c r="C329" i="4"/>
  <c r="C602" i="4"/>
  <c r="C220" i="4"/>
  <c r="C93" i="4"/>
  <c r="C328" i="4"/>
  <c r="C79" i="4"/>
  <c r="C452" i="4"/>
  <c r="C50" i="4"/>
  <c r="C54" i="4"/>
  <c r="C1258" i="4"/>
  <c r="C1063" i="4"/>
  <c r="C665" i="4"/>
  <c r="C209" i="4"/>
  <c r="C103" i="4"/>
  <c r="C1127" i="4"/>
  <c r="C944" i="4"/>
  <c r="C1144" i="4"/>
  <c r="C1049" i="4"/>
  <c r="C704" i="4"/>
  <c r="C202" i="4"/>
  <c r="C1187" i="4"/>
  <c r="C1176" i="4"/>
  <c r="C753" i="4"/>
  <c r="C442" i="4"/>
  <c r="C151" i="4"/>
  <c r="C1034" i="4"/>
  <c r="C1134" i="4"/>
  <c r="C197" i="4"/>
  <c r="C465" i="4"/>
  <c r="C777" i="4"/>
  <c r="C1194" i="4"/>
  <c r="C1067" i="4"/>
  <c r="C860" i="4"/>
  <c r="C172" i="4"/>
  <c r="C193" i="4"/>
  <c r="C322" i="4"/>
  <c r="C77" i="4"/>
  <c r="C1162" i="4"/>
  <c r="C1131" i="4"/>
  <c r="C83" i="4"/>
  <c r="C1043" i="4"/>
  <c r="C933" i="4"/>
  <c r="C388" i="4"/>
  <c r="C1269" i="4"/>
  <c r="C899" i="4"/>
  <c r="C101" i="4"/>
  <c r="C298" i="4"/>
  <c r="C361" i="4"/>
  <c r="C919" i="4"/>
  <c r="C595" i="4"/>
  <c r="C638" i="4"/>
  <c r="C1307" i="4"/>
  <c r="C163" i="4"/>
  <c r="C993" i="4"/>
  <c r="C699" i="4"/>
  <c r="C1345" i="4"/>
  <c r="C535" i="4"/>
  <c r="C1331" i="4"/>
  <c r="C253" i="4"/>
  <c r="C14" i="4"/>
  <c r="C578" i="4"/>
  <c r="C518" i="4"/>
  <c r="C747" i="4"/>
  <c r="C1095" i="4"/>
  <c r="C961" i="4"/>
  <c r="C1019" i="4"/>
  <c r="C599" i="4"/>
  <c r="C600" i="4"/>
  <c r="C1324" i="4"/>
  <c r="C1070" i="4"/>
  <c r="C1432" i="4"/>
  <c r="C168" i="4"/>
  <c r="C87" i="4"/>
  <c r="C603" i="4"/>
  <c r="C1150" i="4"/>
  <c r="C136" i="4"/>
  <c r="C1022" i="4"/>
  <c r="C1322" i="4"/>
  <c r="C15" i="4"/>
  <c r="C1114" i="4"/>
  <c r="C232" i="4"/>
  <c r="C1062" i="4"/>
  <c r="C46" i="4"/>
  <c r="C1220" i="4"/>
  <c r="C1454" i="4"/>
  <c r="C875" i="4"/>
  <c r="C443" i="4"/>
  <c r="C722" i="4"/>
  <c r="C1008" i="4"/>
  <c r="C308" i="4"/>
  <c r="C81" i="4"/>
  <c r="C354" i="4"/>
  <c r="C1030" i="4"/>
  <c r="C174" i="4"/>
  <c r="C902" i="4"/>
  <c r="C870" i="4"/>
  <c r="C746" i="4"/>
  <c r="C1252" i="4"/>
  <c r="C975" i="4"/>
  <c r="C53" i="4"/>
  <c r="C237" i="4"/>
  <c r="C651" i="4"/>
  <c r="C402" i="4"/>
  <c r="C708" i="4"/>
  <c r="C751" i="4"/>
  <c r="C200" i="4"/>
  <c r="C404" i="4"/>
  <c r="C455" i="4"/>
  <c r="C1216" i="4"/>
  <c r="C771" i="4"/>
  <c r="C120" i="4"/>
  <c r="C822" i="4"/>
  <c r="C514" i="4"/>
  <c r="C100" i="4"/>
  <c r="C1223" i="4"/>
  <c r="C121" i="4"/>
  <c r="C805" i="4"/>
  <c r="C587" i="4"/>
  <c r="C1239" i="4"/>
  <c r="C1212" i="4"/>
  <c r="C347" i="4"/>
  <c r="C889" i="4"/>
  <c r="C585" i="4"/>
  <c r="C859" i="4"/>
  <c r="C286" i="4"/>
  <c r="C105" i="4"/>
  <c r="C589" i="4"/>
  <c r="C1100" i="4"/>
  <c r="C457" i="4"/>
  <c r="C432" i="4"/>
  <c r="C1436" i="4"/>
  <c r="C123" i="4"/>
  <c r="C1087" i="4"/>
  <c r="C489" i="4"/>
  <c r="C475" i="4"/>
  <c r="C640" i="4"/>
  <c r="C611" i="4"/>
  <c r="C1434" i="4"/>
  <c r="C960" i="4"/>
  <c r="C560" i="4"/>
  <c r="C1128" i="4"/>
  <c r="C629" i="4"/>
  <c r="C510" i="4"/>
  <c r="C112" i="4"/>
  <c r="C999" i="4"/>
  <c r="C733" i="4"/>
  <c r="C490" i="4"/>
  <c r="C878" i="4"/>
  <c r="C1024" i="4"/>
  <c r="C409" i="4"/>
  <c r="C1120" i="4"/>
  <c r="C188" i="4"/>
  <c r="C319" i="4"/>
  <c r="C1228" i="4"/>
  <c r="C11" i="4"/>
  <c r="C1402" i="4"/>
  <c r="C293" i="4"/>
  <c r="C942" i="4"/>
  <c r="C1224" i="4"/>
  <c r="C911" i="4"/>
  <c r="C1442" i="4"/>
  <c r="C399" i="4"/>
  <c r="C524" i="4"/>
  <c r="C1031" i="4"/>
  <c r="C408" i="4"/>
  <c r="C246" i="4"/>
  <c r="C1344" i="4"/>
  <c r="C1285" i="4"/>
  <c r="C1073" i="4"/>
  <c r="C850" i="4"/>
  <c r="C635" i="4"/>
  <c r="C991" i="4"/>
  <c r="C385" i="4"/>
  <c r="C1136" i="4"/>
  <c r="C272" i="4"/>
  <c r="C597" i="4"/>
  <c r="C659" i="4"/>
  <c r="C858" i="4"/>
  <c r="C176" i="4"/>
  <c r="C479" i="4"/>
  <c r="C549" i="4"/>
  <c r="C867" i="4"/>
  <c r="C332" i="4"/>
  <c r="C1254" i="4"/>
  <c r="C1282" i="4"/>
  <c r="C1042" i="4"/>
  <c r="C398" i="4"/>
  <c r="C180" i="4"/>
  <c r="C66" i="4"/>
  <c r="C901" i="4"/>
  <c r="C1182" i="4"/>
  <c r="C757" i="4"/>
  <c r="C845" i="4"/>
  <c r="C734" i="4"/>
  <c r="C303" i="4"/>
  <c r="C570" i="4"/>
  <c r="C204" i="4"/>
  <c r="C132" i="4"/>
  <c r="C1132" i="4"/>
  <c r="C1006" i="4"/>
  <c r="C904" i="4"/>
  <c r="C806" i="4"/>
  <c r="C1237" i="4"/>
  <c r="C692" i="4"/>
  <c r="C299" i="4"/>
  <c r="C1410" i="4"/>
  <c r="C846" i="4"/>
  <c r="C1181" i="4"/>
  <c r="C191" i="4"/>
  <c r="C1283" i="4"/>
  <c r="C817" i="4"/>
  <c r="C256" i="4"/>
  <c r="C414" i="4"/>
  <c r="C1444" i="4"/>
  <c r="C781" i="4"/>
  <c r="C1066" i="4"/>
  <c r="C812" i="4"/>
  <c r="C916" i="4"/>
  <c r="C140" i="4"/>
  <c r="C1179" i="4"/>
  <c r="C141" i="4"/>
  <c r="C1222" i="4"/>
  <c r="C715" i="4"/>
  <c r="C224" i="4"/>
  <c r="C1462" i="4"/>
  <c r="C469" i="4"/>
  <c r="C116" i="4"/>
  <c r="C1323" i="4"/>
  <c r="C584" i="4"/>
  <c r="C1403" i="4"/>
  <c r="C750" i="4"/>
  <c r="C242" i="4"/>
  <c r="C1425" i="4"/>
  <c r="C531" i="4"/>
  <c r="C561" i="4"/>
  <c r="C135" i="4"/>
  <c r="C793" i="4"/>
  <c r="C1084" i="4"/>
  <c r="C1330" i="4"/>
  <c r="C754" i="4"/>
  <c r="C1419" i="4"/>
  <c r="C652" i="4"/>
  <c r="C1168" i="4"/>
  <c r="C1460" i="4"/>
  <c r="C610" i="4"/>
  <c r="C333" i="4"/>
  <c r="C664" i="4"/>
  <c r="C598" i="4"/>
  <c r="C675" i="4"/>
  <c r="C503" i="4"/>
  <c r="C978" i="4"/>
  <c r="C712" i="4"/>
  <c r="C1171" i="4"/>
  <c r="C646" i="4"/>
  <c r="C639" i="4"/>
  <c r="C736" i="4"/>
  <c r="C726" i="4"/>
  <c r="C563" i="4"/>
  <c r="C1214" i="4"/>
  <c r="C907" i="4"/>
  <c r="C86" i="4"/>
  <c r="C1453" i="4"/>
  <c r="C350" i="4"/>
  <c r="C1004" i="4"/>
  <c r="C1047" i="4"/>
  <c r="C972" i="4"/>
  <c r="C1373" i="4"/>
  <c r="C1083" i="4"/>
  <c r="C1159" i="4"/>
  <c r="C1085" i="4"/>
  <c r="C816" i="4"/>
  <c r="C796" i="4"/>
  <c r="C1135" i="4"/>
  <c r="C819" i="4"/>
  <c r="C468" i="4"/>
  <c r="C364" i="4"/>
  <c r="C1417" i="4"/>
  <c r="C509" i="4"/>
  <c r="C370" i="4"/>
  <c r="C1260" i="4"/>
  <c r="C212" i="4"/>
  <c r="C1116" i="4"/>
  <c r="C233" i="4"/>
  <c r="C470" i="4"/>
  <c r="C729" i="4"/>
  <c r="C42" i="4"/>
  <c r="C1188" i="4"/>
  <c r="C979" i="4"/>
  <c r="C912" i="4"/>
  <c r="C1077" i="4"/>
  <c r="C1054" i="4"/>
  <c r="C387" i="4"/>
  <c r="C1291" i="4"/>
  <c r="C1184" i="4"/>
  <c r="C1424" i="4"/>
  <c r="C1097" i="4"/>
  <c r="C539" i="4"/>
  <c r="C450" i="4"/>
  <c r="C194" i="4"/>
  <c r="C621" i="4"/>
  <c r="C497" i="4"/>
  <c r="C864" i="4"/>
  <c r="C921" i="4"/>
  <c r="C707" i="4"/>
  <c r="C484" i="4"/>
  <c r="C160" i="4"/>
  <c r="C1009" i="4"/>
  <c r="C34" i="4"/>
  <c r="C462" i="4"/>
  <c r="C369" i="4"/>
  <c r="C623" i="4"/>
  <c r="C169" i="4"/>
  <c r="C776" i="4"/>
  <c r="C588" i="4"/>
  <c r="C164" i="4"/>
  <c r="C1264" i="4"/>
  <c r="C471" i="4"/>
  <c r="C915" i="4"/>
  <c r="C779" i="4"/>
  <c r="C1173" i="4"/>
  <c r="C412" i="4"/>
  <c r="C436" i="4"/>
  <c r="C292" i="4"/>
  <c r="C1420" i="4"/>
  <c r="C96" i="4"/>
  <c r="C315" i="4"/>
  <c r="C737" i="4"/>
  <c r="C60" i="4"/>
  <c r="C741" i="4"/>
  <c r="C1072" i="4"/>
  <c r="C158" i="4"/>
  <c r="C617" i="4"/>
  <c r="C434" i="4"/>
  <c r="C1327" i="4"/>
  <c r="C1119" i="4"/>
  <c r="C615" i="4"/>
  <c r="C821" i="4"/>
  <c r="C633" i="4"/>
  <c r="C150" i="4"/>
  <c r="C1339" i="4"/>
  <c r="C1059" i="4"/>
  <c r="C162" i="4"/>
  <c r="C1215" i="4"/>
  <c r="C1154" i="4"/>
  <c r="C85" i="4"/>
  <c r="C995" i="4"/>
  <c r="C1394" i="4"/>
  <c r="C1143" i="4"/>
  <c r="C327" i="4"/>
  <c r="C1359" i="4"/>
  <c r="C1225" i="4"/>
  <c r="C622" i="4"/>
  <c r="C35" i="4"/>
  <c r="C144" i="4"/>
  <c r="C1319" i="4"/>
  <c r="C206" i="4"/>
  <c r="C406" i="4"/>
  <c r="C690" i="4"/>
  <c r="C756" i="4"/>
  <c r="C265" i="4"/>
  <c r="C149" i="4"/>
  <c r="C52" i="4"/>
  <c r="C783" i="4"/>
  <c r="C89" i="4"/>
  <c r="C453" i="4"/>
  <c r="C1340" i="4"/>
  <c r="C605" i="4"/>
  <c r="C179" i="4"/>
  <c r="C91" i="4"/>
  <c r="C244" i="4"/>
  <c r="C905" i="4"/>
  <c r="C1447" i="4"/>
  <c r="AF178" i="1" l="1"/>
  <c r="AH13" i="1"/>
  <c r="AE13" i="1"/>
  <c r="AD13" i="1"/>
  <c r="AD14" i="1"/>
  <c r="AE14" i="1"/>
  <c r="AH15" i="1"/>
  <c r="AE15" i="1"/>
  <c r="AD15" i="1"/>
  <c r="AD16" i="1"/>
  <c r="AE16" i="1"/>
  <c r="AD27" i="1"/>
  <c r="AF27" i="1"/>
  <c r="AD57" i="1"/>
  <c r="AE57" i="1"/>
  <c r="AH59" i="1"/>
  <c r="AD59" i="1"/>
  <c r="AE59" i="1"/>
  <c r="AD60" i="1"/>
  <c r="AE60" i="1"/>
  <c r="AF67" i="1"/>
  <c r="AD67" i="1"/>
  <c r="AE67" i="1"/>
  <c r="AF68" i="1"/>
  <c r="AD68" i="1"/>
  <c r="AE68" i="1"/>
  <c r="AF69" i="1"/>
  <c r="AD69" i="1"/>
  <c r="AE69" i="1"/>
  <c r="AD80" i="1"/>
  <c r="AF80" i="1"/>
  <c r="AF167" i="1"/>
  <c r="AF187" i="1"/>
  <c r="AD187" i="1"/>
  <c r="AE187" i="1"/>
  <c r="AD188" i="1"/>
  <c r="AE188" i="1"/>
  <c r="AD189" i="1"/>
  <c r="AE189" i="1"/>
  <c r="AD190" i="1"/>
  <c r="AE190" i="1"/>
  <c r="AD191" i="1"/>
  <c r="AE191" i="1"/>
  <c r="AD192" i="1"/>
  <c r="AE192" i="1"/>
  <c r="AD193" i="1"/>
  <c r="AE193" i="1"/>
  <c r="AD194" i="1"/>
  <c r="AE194" i="1"/>
  <c r="AD195" i="1"/>
  <c r="AE195" i="1"/>
  <c r="AD196" i="1"/>
  <c r="AE196" i="1"/>
  <c r="AH197" i="1"/>
  <c r="AF197" i="1"/>
  <c r="AH210" i="1"/>
  <c r="AF210" i="1"/>
  <c r="AH212" i="1"/>
  <c r="AF212" i="1"/>
  <c r="AF257" i="1"/>
  <c r="AD257" i="1"/>
  <c r="AE257" i="1"/>
  <c r="AD258" i="1"/>
  <c r="AE258" i="1"/>
  <c r="AF258" i="1"/>
  <c r="AF259" i="1"/>
  <c r="AD259" i="1"/>
  <c r="AE259" i="1"/>
  <c r="AD260" i="1"/>
  <c r="AE260" i="1"/>
  <c r="AF260" i="1"/>
  <c r="AD266" i="1"/>
  <c r="AF266" i="1"/>
  <c r="AE266" i="1"/>
  <c r="AF267" i="1"/>
  <c r="AE267" i="1"/>
  <c r="AD267" i="1"/>
  <c r="AD268" i="1"/>
  <c r="AF268" i="1"/>
  <c r="AE268" i="1"/>
  <c r="AF269" i="1"/>
  <c r="AE269" i="1"/>
  <c r="AD269" i="1"/>
  <c r="AD270" i="1"/>
  <c r="AF270" i="1"/>
  <c r="AE270" i="1"/>
  <c r="AF271" i="1"/>
  <c r="AE271" i="1"/>
  <c r="AD271" i="1"/>
  <c r="AD272" i="1"/>
  <c r="AF272" i="1"/>
  <c r="AE272" i="1"/>
  <c r="AF273" i="1"/>
  <c r="AE273" i="1"/>
  <c r="AD273" i="1"/>
  <c r="AD274" i="1"/>
  <c r="AF274" i="1"/>
  <c r="AE274" i="1"/>
  <c r="AF275" i="1"/>
  <c r="AE275" i="1"/>
  <c r="AD275" i="1"/>
  <c r="AD276" i="1"/>
  <c r="AF276" i="1"/>
  <c r="AE276" i="1"/>
  <c r="AF277" i="1"/>
  <c r="AE277" i="1"/>
  <c r="AD277" i="1"/>
  <c r="AD278" i="1"/>
  <c r="AF278" i="1"/>
  <c r="AE278" i="1"/>
  <c r="AF279" i="1"/>
  <c r="AE279" i="1"/>
  <c r="AD279" i="1"/>
  <c r="AD280" i="1"/>
  <c r="AF280" i="1"/>
  <c r="AE280" i="1"/>
  <c r="AF281" i="1"/>
  <c r="AE281" i="1"/>
  <c r="AD281" i="1"/>
  <c r="AH251" i="1"/>
  <c r="AH253" i="1"/>
  <c r="AF242" i="1"/>
  <c r="AD242" i="1"/>
  <c r="AE242" i="1"/>
  <c r="AF243" i="1"/>
  <c r="AD243" i="1"/>
  <c r="AE243" i="1"/>
  <c r="AE244" i="1"/>
  <c r="AF244" i="1"/>
  <c r="AD244" i="1"/>
  <c r="AF245" i="1"/>
  <c r="AD245" i="1"/>
  <c r="AE245" i="1"/>
  <c r="AE246" i="1"/>
  <c r="AF246" i="1"/>
  <c r="AD246" i="1"/>
  <c r="AF247" i="1"/>
  <c r="AD247" i="1"/>
  <c r="AE247" i="1"/>
  <c r="AE248" i="1"/>
  <c r="AF248" i="1"/>
  <c r="AD248" i="1"/>
  <c r="AF249" i="1"/>
  <c r="AD249" i="1"/>
  <c r="AE249" i="1"/>
  <c r="AF255" i="1"/>
  <c r="AE255" i="1"/>
  <c r="AD255" i="1"/>
  <c r="AF261" i="1"/>
  <c r="AD261" i="1"/>
  <c r="AE261" i="1"/>
  <c r="AE262" i="1"/>
  <c r="AF262" i="1"/>
  <c r="AD262" i="1"/>
  <c r="AF263" i="1"/>
  <c r="AD263" i="1"/>
  <c r="AE263" i="1"/>
  <c r="AE264" i="1"/>
  <c r="AF264" i="1"/>
  <c r="AD264" i="1"/>
  <c r="AD161" i="1"/>
  <c r="AE161" i="1"/>
  <c r="AF161" i="1"/>
  <c r="AH161" i="1"/>
  <c r="AD166" i="1"/>
  <c r="AE166" i="1"/>
  <c r="AH166" i="1"/>
  <c r="AD170" i="1"/>
  <c r="AE170" i="1"/>
  <c r="AH170" i="1"/>
  <c r="AD177" i="1"/>
  <c r="AE177" i="1"/>
  <c r="AH177" i="1"/>
  <c r="AF163" i="1"/>
  <c r="AD163" i="1"/>
  <c r="AE163" i="1"/>
  <c r="AH163" i="1"/>
  <c r="AD168" i="1"/>
  <c r="AE168" i="1"/>
  <c r="AH168" i="1"/>
  <c r="AD175" i="1"/>
  <c r="AE175" i="1"/>
  <c r="AH175" i="1"/>
  <c r="AD179" i="1"/>
  <c r="AE179" i="1"/>
  <c r="AH179" i="1"/>
  <c r="AH203" i="1"/>
  <c r="AF162" i="1"/>
  <c r="AD162" i="1"/>
  <c r="AE162" i="1"/>
  <c r="AD165" i="1"/>
  <c r="AE165" i="1"/>
  <c r="AF165" i="1"/>
  <c r="AD167" i="1"/>
  <c r="AE167" i="1"/>
  <c r="AD169" i="1"/>
  <c r="AE169" i="1"/>
  <c r="AF174" i="1"/>
  <c r="AD174" i="1"/>
  <c r="AE174" i="1"/>
  <c r="AD176" i="1"/>
  <c r="AE176" i="1"/>
  <c r="AD178" i="1"/>
  <c r="AE178" i="1"/>
  <c r="AF181" i="1"/>
  <c r="AD181" i="1"/>
  <c r="AE181" i="1"/>
  <c r="AD182" i="1"/>
  <c r="AE182" i="1"/>
  <c r="AD183" i="1"/>
  <c r="AE183" i="1"/>
  <c r="AF199" i="1"/>
  <c r="AD199" i="1"/>
  <c r="AE199" i="1"/>
  <c r="AE210" i="1"/>
  <c r="AD210" i="1"/>
  <c r="AD211" i="1"/>
  <c r="AE211" i="1"/>
  <c r="AE212" i="1"/>
  <c r="AD212" i="1"/>
  <c r="AD213" i="1"/>
  <c r="AE213" i="1"/>
  <c r="AF214" i="1"/>
  <c r="AE214" i="1"/>
  <c r="AD214" i="1"/>
  <c r="AD215" i="1"/>
  <c r="AF215" i="1"/>
  <c r="AE215" i="1"/>
  <c r="AF216" i="1"/>
  <c r="AE216" i="1"/>
  <c r="AD216" i="1"/>
  <c r="AD217" i="1"/>
  <c r="AF217" i="1"/>
  <c r="AE217" i="1"/>
  <c r="AE218" i="1"/>
  <c r="AD218" i="1"/>
  <c r="AD219" i="1"/>
  <c r="AE219" i="1"/>
  <c r="AF220" i="1"/>
  <c r="AE220" i="1"/>
  <c r="AD220" i="1"/>
  <c r="AD221" i="1"/>
  <c r="AF221" i="1"/>
  <c r="AE221" i="1"/>
  <c r="AE225" i="1"/>
  <c r="AF225" i="1"/>
  <c r="AD225" i="1"/>
  <c r="AD226" i="1"/>
  <c r="AE226" i="1"/>
  <c r="AE227" i="1"/>
  <c r="AF227" i="1"/>
  <c r="AD227" i="1"/>
  <c r="AF228" i="1"/>
  <c r="AD228" i="1"/>
  <c r="AE228" i="1"/>
  <c r="AE229" i="1"/>
  <c r="AF229" i="1"/>
  <c r="AD229" i="1"/>
  <c r="AF230" i="1"/>
  <c r="AD230" i="1"/>
  <c r="AE230" i="1"/>
  <c r="AE231" i="1"/>
  <c r="AF231" i="1"/>
  <c r="AD231" i="1"/>
  <c r="AF232" i="1"/>
  <c r="AD232" i="1"/>
  <c r="AE232" i="1"/>
  <c r="AE233" i="1"/>
  <c r="AF233" i="1"/>
  <c r="AD233" i="1"/>
  <c r="AF236" i="1"/>
  <c r="AD236" i="1"/>
  <c r="AE236" i="1"/>
  <c r="AE237" i="1"/>
  <c r="AF237" i="1"/>
  <c r="AD237" i="1"/>
  <c r="AF238" i="1"/>
  <c r="AD238" i="1"/>
  <c r="AE238" i="1"/>
  <c r="AF109" i="1"/>
  <c r="AD109" i="1"/>
  <c r="AE109" i="1"/>
  <c r="AH109" i="1"/>
  <c r="AF113" i="1"/>
  <c r="AD113" i="1"/>
  <c r="AE113" i="1"/>
  <c r="AH113" i="1"/>
  <c r="AF117" i="1"/>
  <c r="AD117" i="1"/>
  <c r="AE117" i="1"/>
  <c r="AH117" i="1"/>
  <c r="AF121" i="1"/>
  <c r="AD121" i="1"/>
  <c r="AE121" i="1"/>
  <c r="AH121" i="1"/>
  <c r="AF125" i="1"/>
  <c r="AD125" i="1"/>
  <c r="AE125" i="1"/>
  <c r="AH125" i="1"/>
  <c r="AF129" i="1"/>
  <c r="AD129" i="1"/>
  <c r="AE129" i="1"/>
  <c r="AH129" i="1"/>
  <c r="AF133" i="1"/>
  <c r="AD133" i="1"/>
  <c r="AE133" i="1"/>
  <c r="AH133" i="1"/>
  <c r="AF137" i="1"/>
  <c r="AD137" i="1"/>
  <c r="AE137" i="1"/>
  <c r="AH137" i="1"/>
  <c r="AF141" i="1"/>
  <c r="AD141" i="1"/>
  <c r="AE141" i="1"/>
  <c r="AH141" i="1"/>
  <c r="AF145" i="1"/>
  <c r="AD145" i="1"/>
  <c r="AE145" i="1"/>
  <c r="AH145" i="1"/>
  <c r="AD150" i="1"/>
  <c r="AE150" i="1"/>
  <c r="AF150" i="1"/>
  <c r="AH150" i="1"/>
  <c r="AD152" i="1"/>
  <c r="AE152" i="1"/>
  <c r="AF152" i="1"/>
  <c r="AH152" i="1"/>
  <c r="AD154" i="1"/>
  <c r="AE154" i="1"/>
  <c r="AF154" i="1"/>
  <c r="AH154" i="1"/>
  <c r="AD156" i="1"/>
  <c r="AE156" i="1"/>
  <c r="AF156" i="1"/>
  <c r="AH156" i="1"/>
  <c r="AF159" i="1"/>
  <c r="AD159" i="1"/>
  <c r="AE159" i="1"/>
  <c r="AH159" i="1"/>
  <c r="AF107" i="1"/>
  <c r="AD107" i="1"/>
  <c r="AE107" i="1"/>
  <c r="AH107" i="1"/>
  <c r="AF111" i="1"/>
  <c r="AD111" i="1"/>
  <c r="AE111" i="1"/>
  <c r="AH111" i="1"/>
  <c r="AF115" i="1"/>
  <c r="AD115" i="1"/>
  <c r="AE115" i="1"/>
  <c r="AH115" i="1"/>
  <c r="AF119" i="1"/>
  <c r="AD119" i="1"/>
  <c r="AE119" i="1"/>
  <c r="AH119" i="1"/>
  <c r="AF123" i="1"/>
  <c r="AD123" i="1"/>
  <c r="AE123" i="1"/>
  <c r="AH123" i="1"/>
  <c r="AF127" i="1"/>
  <c r="AD127" i="1"/>
  <c r="AE127" i="1"/>
  <c r="AH127" i="1"/>
  <c r="AF131" i="1"/>
  <c r="AD131" i="1"/>
  <c r="AE131" i="1"/>
  <c r="AH131" i="1"/>
  <c r="AF135" i="1"/>
  <c r="AD135" i="1"/>
  <c r="AE135" i="1"/>
  <c r="AH135" i="1"/>
  <c r="AF139" i="1"/>
  <c r="AD139" i="1"/>
  <c r="AE139" i="1"/>
  <c r="AH139" i="1"/>
  <c r="AF143" i="1"/>
  <c r="AD143" i="1"/>
  <c r="AE143" i="1"/>
  <c r="AH143" i="1"/>
  <c r="AF147" i="1"/>
  <c r="AD147" i="1"/>
  <c r="AE147" i="1"/>
  <c r="AH147" i="1"/>
  <c r="AF151" i="1"/>
  <c r="AD151" i="1"/>
  <c r="AE151" i="1"/>
  <c r="AH151" i="1"/>
  <c r="AF153" i="1"/>
  <c r="AD153" i="1"/>
  <c r="AE153" i="1"/>
  <c r="AH153" i="1"/>
  <c r="AF155" i="1"/>
  <c r="AD155" i="1"/>
  <c r="AE155" i="1"/>
  <c r="AH155" i="1"/>
  <c r="AF104" i="1"/>
  <c r="AD104" i="1"/>
  <c r="AE104" i="1"/>
  <c r="AF105" i="1"/>
  <c r="AD105" i="1"/>
  <c r="AE105" i="1"/>
  <c r="AD106" i="1"/>
  <c r="AE106" i="1"/>
  <c r="AF106" i="1"/>
  <c r="AF110" i="1"/>
  <c r="AD110" i="1"/>
  <c r="AE110" i="1"/>
  <c r="AF112" i="1"/>
  <c r="AD112" i="1"/>
  <c r="AE112" i="1"/>
  <c r="AF114" i="1"/>
  <c r="AD114" i="1"/>
  <c r="AE114" i="1"/>
  <c r="AF116" i="1"/>
  <c r="AD116" i="1"/>
  <c r="AE116" i="1"/>
  <c r="AF118" i="1"/>
  <c r="AD118" i="1"/>
  <c r="AE118" i="1"/>
  <c r="AF120" i="1"/>
  <c r="AD120" i="1"/>
  <c r="AE120" i="1"/>
  <c r="AF122" i="1"/>
  <c r="AD122" i="1"/>
  <c r="AE122" i="1"/>
  <c r="AF124" i="1"/>
  <c r="AD124" i="1"/>
  <c r="AE124" i="1"/>
  <c r="AF126" i="1"/>
  <c r="AD126" i="1"/>
  <c r="AE126" i="1"/>
  <c r="AF128" i="1"/>
  <c r="AD128" i="1"/>
  <c r="AE128" i="1"/>
  <c r="AF130" i="1"/>
  <c r="AD130" i="1"/>
  <c r="AE130" i="1"/>
  <c r="AF132" i="1"/>
  <c r="AD132" i="1"/>
  <c r="AE132" i="1"/>
  <c r="AF134" i="1"/>
  <c r="AD134" i="1"/>
  <c r="AE134" i="1"/>
  <c r="AF136" i="1"/>
  <c r="AD136" i="1"/>
  <c r="AE136" i="1"/>
  <c r="AF138" i="1"/>
  <c r="AD138" i="1"/>
  <c r="AE138" i="1"/>
  <c r="AF140" i="1"/>
  <c r="AD140" i="1"/>
  <c r="AE140" i="1"/>
  <c r="AF142" i="1"/>
  <c r="AD142" i="1"/>
  <c r="AE142" i="1"/>
  <c r="AF144" i="1"/>
  <c r="AD144" i="1"/>
  <c r="AE144" i="1"/>
  <c r="AF146" i="1"/>
  <c r="AD146" i="1"/>
  <c r="AE146" i="1"/>
  <c r="AD148" i="1"/>
  <c r="AE148" i="1"/>
  <c r="AF65" i="1"/>
  <c r="AE65" i="1"/>
  <c r="AD65" i="1"/>
  <c r="AF66" i="1"/>
  <c r="AD66" i="1"/>
  <c r="AE66" i="1"/>
  <c r="AF70" i="1"/>
  <c r="AD70" i="1"/>
  <c r="AE70" i="1"/>
  <c r="AF71" i="1"/>
  <c r="AD71" i="1"/>
  <c r="AF72" i="1"/>
  <c r="AD72" i="1"/>
  <c r="AF73" i="1"/>
  <c r="AD73" i="1"/>
  <c r="AE73" i="1"/>
  <c r="AF74" i="1"/>
  <c r="AD74" i="1"/>
  <c r="AE74" i="1"/>
  <c r="AD76" i="1"/>
  <c r="AE76" i="1"/>
  <c r="AF76" i="1"/>
  <c r="AF85" i="1"/>
  <c r="AD85" i="1"/>
  <c r="AE85" i="1"/>
  <c r="AF87" i="1"/>
  <c r="AE87" i="1"/>
  <c r="AD87" i="1"/>
  <c r="AF89" i="1"/>
  <c r="AD89" i="1"/>
  <c r="AE89" i="1"/>
  <c r="AE90" i="1"/>
  <c r="AF90" i="1"/>
  <c r="AD90" i="1"/>
  <c r="AF93" i="1"/>
  <c r="AD93" i="1"/>
  <c r="AE93" i="1"/>
  <c r="AE98" i="1"/>
  <c r="AF98" i="1"/>
  <c r="AD98" i="1"/>
  <c r="AD99" i="1"/>
  <c r="AE99" i="1"/>
  <c r="AF40" i="1"/>
  <c r="AD40" i="1"/>
  <c r="AE40" i="1"/>
  <c r="AE41" i="1"/>
  <c r="AF41" i="1"/>
  <c r="AD41" i="1"/>
  <c r="AH42" i="1"/>
  <c r="AF42" i="1"/>
  <c r="AD42" i="1"/>
  <c r="AE42" i="1"/>
  <c r="AE43" i="1"/>
  <c r="AF43" i="1"/>
  <c r="AD43" i="1"/>
  <c r="AF44" i="1"/>
  <c r="AD44" i="1"/>
  <c r="AE44" i="1"/>
  <c r="AE45" i="1"/>
  <c r="AF45" i="1"/>
  <c r="AD45" i="1"/>
  <c r="AH46" i="1"/>
  <c r="AF46" i="1"/>
  <c r="AD46" i="1"/>
  <c r="AE46" i="1"/>
  <c r="AE47" i="1"/>
  <c r="AF47" i="1"/>
  <c r="AD47" i="1"/>
  <c r="AF48" i="1"/>
  <c r="AD48" i="1"/>
  <c r="AE48" i="1"/>
  <c r="AE49" i="1"/>
  <c r="AF49" i="1"/>
  <c r="AD49" i="1"/>
  <c r="AH50" i="1"/>
  <c r="AF50" i="1"/>
  <c r="AD50" i="1"/>
  <c r="AE50" i="1"/>
  <c r="AE51" i="1"/>
  <c r="AF51" i="1"/>
  <c r="AD51" i="1"/>
  <c r="AF53" i="1"/>
  <c r="AD53" i="1"/>
  <c r="AE53" i="1"/>
  <c r="AD54" i="1"/>
  <c r="AE54" i="1"/>
  <c r="AF54" i="1"/>
  <c r="AH55" i="1"/>
  <c r="AD55" i="1"/>
  <c r="AE55" i="1"/>
  <c r="AF61" i="1"/>
  <c r="AD61" i="1"/>
  <c r="AE61" i="1"/>
  <c r="AE62" i="1"/>
  <c r="AD62" i="1"/>
  <c r="AF63" i="1"/>
  <c r="AD63" i="1"/>
  <c r="AE63" i="1"/>
  <c r="AH11" i="1"/>
  <c r="AD11" i="1"/>
  <c r="AE11" i="1"/>
  <c r="AF11" i="1"/>
  <c r="AF12" i="1"/>
  <c r="AD12" i="1"/>
  <c r="AH17" i="1"/>
  <c r="AF17" i="1"/>
  <c r="AD17" i="1"/>
  <c r="AE17" i="1"/>
  <c r="AF18" i="1"/>
  <c r="AD18" i="1"/>
  <c r="AE18" i="1"/>
  <c r="AH19" i="1"/>
  <c r="AF19" i="1"/>
  <c r="AD19" i="1"/>
  <c r="AE19" i="1"/>
  <c r="AF20" i="1"/>
  <c r="AD20" i="1"/>
  <c r="AE20" i="1"/>
  <c r="AH21" i="1"/>
  <c r="AF21" i="1"/>
  <c r="AD21" i="1"/>
  <c r="AE21" i="1"/>
  <c r="AF22" i="1"/>
  <c r="AD22" i="1"/>
  <c r="AE22" i="1"/>
  <c r="AF23" i="1"/>
  <c r="AD23" i="1"/>
  <c r="AF24" i="1"/>
  <c r="AD24" i="1"/>
  <c r="AE24" i="1"/>
  <c r="AH25" i="1"/>
  <c r="AE25" i="1"/>
  <c r="AF25" i="1"/>
  <c r="AD25" i="1"/>
  <c r="AF26" i="1"/>
  <c r="AD26" i="1"/>
  <c r="AE26" i="1"/>
  <c r="AF28" i="1"/>
  <c r="AE28" i="1"/>
  <c r="AD28" i="1"/>
  <c r="AH29" i="1"/>
  <c r="AD29" i="1"/>
  <c r="AF29" i="1"/>
  <c r="AE29" i="1"/>
  <c r="AF30" i="1"/>
  <c r="AE30" i="1"/>
  <c r="AD30" i="1"/>
  <c r="AH31" i="1"/>
  <c r="AD31" i="1"/>
  <c r="AF31" i="1"/>
  <c r="AE31" i="1"/>
  <c r="AF32" i="1"/>
  <c r="AE32" i="1"/>
  <c r="AD32" i="1"/>
  <c r="AH34" i="1"/>
  <c r="AF34" i="1"/>
  <c r="AD34" i="1"/>
  <c r="AE34" i="1"/>
  <c r="AF35" i="1"/>
  <c r="AE35" i="1"/>
  <c r="AD35" i="1"/>
  <c r="AD36" i="1"/>
  <c r="AF36" i="1"/>
  <c r="AE36" i="1"/>
  <c r="AF37" i="1"/>
  <c r="AE37" i="1"/>
  <c r="AD37" i="1"/>
  <c r="AD38" i="1"/>
  <c r="AF38" i="1"/>
  <c r="AF39" i="1"/>
  <c r="AD39" i="1"/>
  <c r="AD164" i="1"/>
  <c r="AE164" i="1"/>
  <c r="AH164" i="1"/>
  <c r="AE235" i="1"/>
  <c r="AD235" i="1"/>
  <c r="AD204" i="1"/>
  <c r="AE204" i="1"/>
  <c r="AD180" i="1"/>
  <c r="AE180" i="1"/>
  <c r="AH180" i="1"/>
  <c r="AH157" i="1"/>
  <c r="AD158" i="1"/>
  <c r="AE158" i="1"/>
  <c r="AH158" i="1"/>
  <c r="AD157" i="1"/>
  <c r="AE157" i="1"/>
  <c r="AE75" i="1"/>
  <c r="AD75" i="1"/>
  <c r="AD250" i="1"/>
  <c r="AE250" i="1"/>
  <c r="AD251" i="1"/>
  <c r="AE251" i="1"/>
  <c r="AD252" i="1"/>
  <c r="AE252" i="1"/>
  <c r="AD253" i="1"/>
  <c r="AE253" i="1"/>
  <c r="AD254" i="1"/>
  <c r="AE254" i="1"/>
  <c r="AD256" i="1"/>
  <c r="AE256" i="1"/>
  <c r="AE234" i="1"/>
  <c r="AD234" i="1"/>
  <c r="AE203" i="1"/>
  <c r="AD203" i="1"/>
  <c r="AD222" i="1"/>
  <c r="AE222" i="1"/>
  <c r="AD223" i="1"/>
  <c r="AE223" i="1"/>
  <c r="AD224" i="1"/>
  <c r="AE224" i="1"/>
  <c r="AD197" i="1"/>
  <c r="AE197" i="1"/>
  <c r="AD108" i="1"/>
  <c r="AE108" i="1"/>
  <c r="AH108" i="1"/>
  <c r="AD77" i="1"/>
  <c r="AE77" i="1"/>
  <c r="AE78" i="1"/>
  <c r="AD78" i="1"/>
  <c r="AD79" i="1"/>
  <c r="AE79" i="1"/>
  <c r="AD81" i="1"/>
  <c r="AE81" i="1"/>
  <c r="AD82" i="1"/>
  <c r="AE82" i="1"/>
  <c r="AD83" i="1"/>
  <c r="AE83" i="1"/>
  <c r="AD84" i="1"/>
  <c r="AE84" i="1"/>
  <c r="AD86" i="1"/>
  <c r="AE86" i="1"/>
  <c r="AD88" i="1"/>
  <c r="AE88" i="1"/>
  <c r="AD91" i="1"/>
  <c r="AE91" i="1"/>
  <c r="AD92" i="1"/>
  <c r="AE92" i="1"/>
  <c r="AD96" i="1"/>
  <c r="AE96" i="1"/>
  <c r="AD97" i="1"/>
  <c r="AE97" i="1"/>
  <c r="AD100" i="1"/>
  <c r="AE100" i="1"/>
  <c r="AD101" i="1"/>
  <c r="AE101" i="1"/>
  <c r="AD102" i="1"/>
  <c r="AE102" i="1"/>
  <c r="AH78" i="1"/>
  <c r="AD58" i="1"/>
  <c r="AE58" i="1"/>
  <c r="A181" i="4"/>
  <c r="B181" i="4" s="1"/>
  <c r="AE72" i="1"/>
  <c r="AE80" i="1"/>
  <c r="AE71" i="1"/>
  <c r="AE56" i="1"/>
  <c r="AH38" i="1"/>
  <c r="AE38" i="1"/>
  <c r="AE39" i="1"/>
  <c r="AE12" i="1"/>
  <c r="AH27" i="1"/>
  <c r="AE27" i="1"/>
  <c r="AH23" i="1"/>
  <c r="AE23" i="1"/>
  <c r="A451" i="4"/>
  <c r="B451" i="4" s="1"/>
  <c r="A1347" i="4"/>
  <c r="B1347" i="4" s="1"/>
  <c r="A824" i="4"/>
  <c r="B824" i="4" s="1"/>
  <c r="A309" i="4"/>
  <c r="B309" i="4" s="1"/>
  <c r="A924" i="4"/>
  <c r="B924" i="4" s="1"/>
  <c r="A892" i="4"/>
  <c r="B892" i="4" s="1"/>
  <c r="A938" i="4"/>
  <c r="B938" i="4" s="1"/>
  <c r="A467" i="4"/>
  <c r="B467" i="4" s="1"/>
  <c r="A1331" i="4"/>
  <c r="B1331" i="4" s="1"/>
  <c r="A908" i="4"/>
  <c r="B908" i="4" s="1"/>
  <c r="A808" i="4"/>
  <c r="B808" i="4" s="1"/>
  <c r="A1323" i="4"/>
  <c r="B1323" i="4" s="1"/>
  <c r="A1315" i="4"/>
  <c r="B1315" i="4" s="1"/>
  <c r="A1307" i="4"/>
  <c r="B1307" i="4" s="1"/>
  <c r="A1299" i="4"/>
  <c r="B1299" i="4" s="1"/>
  <c r="A1291" i="4"/>
  <c r="B1291" i="4" s="1"/>
  <c r="A1283" i="4"/>
  <c r="B1283" i="4" s="1"/>
  <c r="A916" i="4"/>
  <c r="B916" i="4" s="1"/>
  <c r="A884" i="4"/>
  <c r="B884" i="4" s="1"/>
  <c r="A816" i="4"/>
  <c r="B816" i="4" s="1"/>
  <c r="A1355" i="4"/>
  <c r="B1355" i="4" s="1"/>
  <c r="A1339" i="4"/>
  <c r="B1339" i="4" s="1"/>
  <c r="A1058" i="4"/>
  <c r="B1058" i="4" s="1"/>
  <c r="A1054" i="4"/>
  <c r="B1054" i="4" s="1"/>
  <c r="A1016" i="4"/>
  <c r="B1016" i="4" s="1"/>
  <c r="A932" i="4"/>
  <c r="B932" i="4" s="1"/>
  <c r="A900" i="4"/>
  <c r="B900" i="4" s="1"/>
  <c r="A876" i="4"/>
  <c r="B876" i="4" s="1"/>
  <c r="A800" i="4"/>
  <c r="B800" i="4" s="1"/>
  <c r="A475" i="4"/>
  <c r="B475" i="4" s="1"/>
  <c r="A443" i="4"/>
  <c r="B443" i="4" s="1"/>
  <c r="A301" i="4"/>
  <c r="B301" i="4" s="1"/>
  <c r="A43" i="4"/>
  <c r="B43" i="4" s="1"/>
  <c r="A459" i="4"/>
  <c r="B459" i="4" s="1"/>
  <c r="A299" i="4"/>
  <c r="B299" i="4" s="1"/>
  <c r="A1435" i="4"/>
  <c r="B1435" i="4" s="1"/>
  <c r="A1431" i="4"/>
  <c r="B1431" i="4" s="1"/>
  <c r="A1427" i="4"/>
  <c r="B1427" i="4" s="1"/>
  <c r="A1423" i="4"/>
  <c r="B1423" i="4" s="1"/>
  <c r="A1419" i="4"/>
  <c r="B1419" i="4" s="1"/>
  <c r="A1415" i="4"/>
  <c r="B1415" i="4" s="1"/>
  <c r="A1411" i="4"/>
  <c r="B1411" i="4" s="1"/>
  <c r="A1407" i="4"/>
  <c r="B1407" i="4" s="1"/>
  <c r="A1403" i="4"/>
  <c r="B1403" i="4" s="1"/>
  <c r="A1399" i="4"/>
  <c r="B1399" i="4" s="1"/>
  <c r="A1395" i="4"/>
  <c r="B1395" i="4" s="1"/>
  <c r="A1391" i="4"/>
  <c r="B1391" i="4" s="1"/>
  <c r="A1387" i="4"/>
  <c r="B1387" i="4" s="1"/>
  <c r="A1383" i="4"/>
  <c r="B1383" i="4" s="1"/>
  <c r="A1379" i="4"/>
  <c r="B1379" i="4" s="1"/>
  <c r="A1375" i="4"/>
  <c r="B1375" i="4" s="1"/>
  <c r="A1371" i="4"/>
  <c r="B1371" i="4" s="1"/>
  <c r="A1367" i="4"/>
  <c r="B1367" i="4" s="1"/>
  <c r="A1363" i="4"/>
  <c r="B1363" i="4" s="1"/>
  <c r="A1433" i="4"/>
  <c r="B1433" i="4" s="1"/>
  <c r="A1425" i="4"/>
  <c r="B1425" i="4" s="1"/>
  <c r="A1417" i="4"/>
  <c r="B1417" i="4" s="1"/>
  <c r="A1409" i="4"/>
  <c r="B1409" i="4" s="1"/>
  <c r="A1401" i="4"/>
  <c r="B1401" i="4" s="1"/>
  <c r="A1393" i="4"/>
  <c r="B1393" i="4" s="1"/>
  <c r="A1385" i="4"/>
  <c r="B1385" i="4" s="1"/>
  <c r="A1377" i="4"/>
  <c r="B1377" i="4" s="1"/>
  <c r="A1369" i="4"/>
  <c r="B1369" i="4" s="1"/>
  <c r="A1361" i="4"/>
  <c r="B1361" i="4" s="1"/>
  <c r="A1421" i="4"/>
  <c r="B1421" i="4" s="1"/>
  <c r="A1413" i="4"/>
  <c r="B1413" i="4" s="1"/>
  <c r="A1405" i="4"/>
  <c r="B1405" i="4" s="1"/>
  <c r="A1397" i="4"/>
  <c r="B1397" i="4" s="1"/>
  <c r="A1389" i="4"/>
  <c r="B1389" i="4" s="1"/>
  <c r="A1351" i="4"/>
  <c r="B1351" i="4" s="1"/>
  <c r="A1335" i="4"/>
  <c r="B1335" i="4" s="1"/>
  <c r="A1321" i="4"/>
  <c r="B1321" i="4" s="1"/>
  <c r="A1303" i="4"/>
  <c r="B1303" i="4" s="1"/>
  <c r="A1289" i="4"/>
  <c r="B1289" i="4" s="1"/>
  <c r="A1062" i="4"/>
  <c r="B1062" i="4" s="1"/>
  <c r="A1050" i="4"/>
  <c r="B1050" i="4" s="1"/>
  <c r="A1046" i="4"/>
  <c r="B1046" i="4" s="1"/>
  <c r="A1042" i="4"/>
  <c r="B1042" i="4" s="1"/>
  <c r="A1038" i="4"/>
  <c r="B1038" i="4" s="1"/>
  <c r="A1034" i="4"/>
  <c r="B1034" i="4" s="1"/>
  <c r="A1030" i="4"/>
  <c r="B1030" i="4" s="1"/>
  <c r="A1026" i="4"/>
  <c r="B1026" i="4" s="1"/>
  <c r="A1022" i="4"/>
  <c r="B1022" i="4" s="1"/>
  <c r="A1018" i="4"/>
  <c r="B1018" i="4" s="1"/>
  <c r="A1014" i="4"/>
  <c r="B1014" i="4" s="1"/>
  <c r="A1429" i="4"/>
  <c r="B1429" i="4" s="1"/>
  <c r="A1381" i="4"/>
  <c r="B1381" i="4" s="1"/>
  <c r="A1373" i="4"/>
  <c r="B1373" i="4" s="1"/>
  <c r="A1365" i="4"/>
  <c r="B1365" i="4" s="1"/>
  <c r="A1353" i="4"/>
  <c r="B1353" i="4" s="1"/>
  <c r="A1349" i="4"/>
  <c r="B1349" i="4" s="1"/>
  <c r="A1337" i="4"/>
  <c r="B1337" i="4" s="1"/>
  <c r="A1333" i="4"/>
  <c r="B1333" i="4" s="1"/>
  <c r="A1319" i="4"/>
  <c r="B1319" i="4" s="1"/>
  <c r="A1317" i="4"/>
  <c r="B1317" i="4" s="1"/>
  <c r="A1305" i="4"/>
  <c r="B1305" i="4" s="1"/>
  <c r="A1301" i="4"/>
  <c r="B1301" i="4" s="1"/>
  <c r="A1287" i="4"/>
  <c r="B1287" i="4" s="1"/>
  <c r="A1285" i="4"/>
  <c r="B1285" i="4" s="1"/>
  <c r="A1066" i="4"/>
  <c r="B1066" i="4" s="1"/>
  <c r="A1359" i="4"/>
  <c r="B1359" i="4" s="1"/>
  <c r="A1357" i="4"/>
  <c r="B1357" i="4" s="1"/>
  <c r="A1345" i="4"/>
  <c r="B1345" i="4" s="1"/>
  <c r="A1343" i="4"/>
  <c r="B1343" i="4" s="1"/>
  <c r="A1341" i="4"/>
  <c r="B1341" i="4" s="1"/>
  <c r="A1329" i="4"/>
  <c r="B1329" i="4" s="1"/>
  <c r="A1327" i="4"/>
  <c r="B1327" i="4" s="1"/>
  <c r="A1325" i="4"/>
  <c r="B1325" i="4" s="1"/>
  <c r="A1313" i="4"/>
  <c r="B1313" i="4" s="1"/>
  <c r="A1311" i="4"/>
  <c r="B1311" i="4" s="1"/>
  <c r="A1309" i="4"/>
  <c r="B1309" i="4" s="1"/>
  <c r="A1297" i="4"/>
  <c r="B1297" i="4" s="1"/>
  <c r="A1295" i="4"/>
  <c r="B1295" i="4" s="1"/>
  <c r="A1293" i="4"/>
  <c r="B1293" i="4" s="1"/>
  <c r="A1281" i="4"/>
  <c r="B1281" i="4" s="1"/>
  <c r="A1068" i="4"/>
  <c r="B1068" i="4" s="1"/>
  <c r="A1060" i="4"/>
  <c r="B1060" i="4" s="1"/>
  <c r="A1052" i="4"/>
  <c r="B1052" i="4" s="1"/>
  <c r="A1044" i="4"/>
  <c r="B1044" i="4" s="1"/>
  <c r="A1036" i="4"/>
  <c r="B1036" i="4" s="1"/>
  <c r="A1028" i="4"/>
  <c r="B1028" i="4" s="1"/>
  <c r="A1024" i="4"/>
  <c r="B1024" i="4" s="1"/>
  <c r="A1020" i="4"/>
  <c r="B1020" i="4" s="1"/>
  <c r="A1012" i="4"/>
  <c r="B1012" i="4" s="1"/>
  <c r="A930" i="4"/>
  <c r="B930" i="4" s="1"/>
  <c r="A928" i="4"/>
  <c r="B928" i="4" s="1"/>
  <c r="A926" i="4"/>
  <c r="B926" i="4" s="1"/>
  <c r="A914" i="4"/>
  <c r="B914" i="4" s="1"/>
  <c r="A912" i="4"/>
  <c r="B912" i="4" s="1"/>
  <c r="A910" i="4"/>
  <c r="B910" i="4" s="1"/>
  <c r="A898" i="4"/>
  <c r="B898" i="4" s="1"/>
  <c r="A896" i="4"/>
  <c r="B896" i="4" s="1"/>
  <c r="A894" i="4"/>
  <c r="B894" i="4" s="1"/>
  <c r="A882" i="4"/>
  <c r="B882" i="4" s="1"/>
  <c r="A880" i="4"/>
  <c r="B880" i="4" s="1"/>
  <c r="A878" i="4"/>
  <c r="B878" i="4" s="1"/>
  <c r="A870" i="4"/>
  <c r="B870" i="4" s="1"/>
  <c r="A862" i="4"/>
  <c r="B862" i="4" s="1"/>
  <c r="A854" i="4"/>
  <c r="B854" i="4" s="1"/>
  <c r="A846" i="4"/>
  <c r="B846" i="4" s="1"/>
  <c r="A838" i="4"/>
  <c r="B838" i="4" s="1"/>
  <c r="A830" i="4"/>
  <c r="B830" i="4" s="1"/>
  <c r="A1064" i="4"/>
  <c r="B1064" i="4" s="1"/>
  <c r="A1056" i="4"/>
  <c r="B1056" i="4" s="1"/>
  <c r="A1048" i="4"/>
  <c r="B1048" i="4" s="1"/>
  <c r="A1040" i="4"/>
  <c r="B1040" i="4" s="1"/>
  <c r="A1032" i="4"/>
  <c r="B1032" i="4" s="1"/>
  <c r="A936" i="4"/>
  <c r="B936" i="4" s="1"/>
  <c r="A934" i="4"/>
  <c r="B934" i="4" s="1"/>
  <c r="A922" i="4"/>
  <c r="B922" i="4" s="1"/>
  <c r="A920" i="4"/>
  <c r="B920" i="4" s="1"/>
  <c r="A918" i="4"/>
  <c r="B918" i="4" s="1"/>
  <c r="A906" i="4"/>
  <c r="B906" i="4" s="1"/>
  <c r="A904" i="4"/>
  <c r="B904" i="4" s="1"/>
  <c r="A902" i="4"/>
  <c r="B902" i="4" s="1"/>
  <c r="A890" i="4"/>
  <c r="B890" i="4" s="1"/>
  <c r="A888" i="4"/>
  <c r="B888" i="4" s="1"/>
  <c r="A886" i="4"/>
  <c r="B886" i="4" s="1"/>
  <c r="A874" i="4"/>
  <c r="B874" i="4" s="1"/>
  <c r="A872" i="4"/>
  <c r="B872" i="4" s="1"/>
  <c r="A868" i="4"/>
  <c r="B868" i="4" s="1"/>
  <c r="A864" i="4"/>
  <c r="B864" i="4" s="1"/>
  <c r="A860" i="4"/>
  <c r="B860" i="4" s="1"/>
  <c r="A856" i="4"/>
  <c r="B856" i="4" s="1"/>
  <c r="A852" i="4"/>
  <c r="B852" i="4" s="1"/>
  <c r="A848" i="4"/>
  <c r="B848" i="4" s="1"/>
  <c r="A844" i="4"/>
  <c r="B844" i="4" s="1"/>
  <c r="A840" i="4"/>
  <c r="B840" i="4" s="1"/>
  <c r="A836" i="4"/>
  <c r="B836" i="4" s="1"/>
  <c r="A832" i="4"/>
  <c r="B832" i="4" s="1"/>
  <c r="A828" i="4"/>
  <c r="B828" i="4" s="1"/>
  <c r="A822" i="4"/>
  <c r="B822" i="4" s="1"/>
  <c r="A820" i="4"/>
  <c r="B820" i="4" s="1"/>
  <c r="A818" i="4"/>
  <c r="B818" i="4" s="1"/>
  <c r="A806" i="4"/>
  <c r="B806" i="4" s="1"/>
  <c r="A804" i="4"/>
  <c r="B804" i="4" s="1"/>
  <c r="A802" i="4"/>
  <c r="B802" i="4" s="1"/>
  <c r="A559" i="4"/>
  <c r="B559" i="4" s="1"/>
  <c r="A555" i="4"/>
  <c r="B555" i="4" s="1"/>
  <c r="A551" i="4"/>
  <c r="B551" i="4" s="1"/>
  <c r="A547" i="4"/>
  <c r="B547" i="4" s="1"/>
  <c r="A543" i="4"/>
  <c r="B543" i="4" s="1"/>
  <c r="A539" i="4"/>
  <c r="B539" i="4" s="1"/>
  <c r="A535" i="4"/>
  <c r="B535" i="4" s="1"/>
  <c r="A531" i="4"/>
  <c r="B531" i="4" s="1"/>
  <c r="A527" i="4"/>
  <c r="B527" i="4" s="1"/>
  <c r="A523" i="4"/>
  <c r="B523" i="4" s="1"/>
  <c r="A519" i="4"/>
  <c r="B519" i="4" s="1"/>
  <c r="A515" i="4"/>
  <c r="B515" i="4" s="1"/>
  <c r="A511" i="4"/>
  <c r="B511" i="4" s="1"/>
  <c r="A507" i="4"/>
  <c r="B507" i="4" s="1"/>
  <c r="A503" i="4"/>
  <c r="B503" i="4" s="1"/>
  <c r="A483" i="4"/>
  <c r="B483" i="4" s="1"/>
  <c r="A866" i="4"/>
  <c r="B866" i="4" s="1"/>
  <c r="A858" i="4"/>
  <c r="B858" i="4" s="1"/>
  <c r="A850" i="4"/>
  <c r="B850" i="4" s="1"/>
  <c r="A842" i="4"/>
  <c r="B842" i="4" s="1"/>
  <c r="A834" i="4"/>
  <c r="B834" i="4" s="1"/>
  <c r="A826" i="4"/>
  <c r="B826" i="4" s="1"/>
  <c r="A814" i="4"/>
  <c r="B814" i="4" s="1"/>
  <c r="A812" i="4"/>
  <c r="B812" i="4" s="1"/>
  <c r="A810" i="4"/>
  <c r="B810" i="4" s="1"/>
  <c r="A798" i="4"/>
  <c r="B798" i="4" s="1"/>
  <c r="A557" i="4"/>
  <c r="B557" i="4" s="1"/>
  <c r="A549" i="4"/>
  <c r="B549" i="4" s="1"/>
  <c r="A541" i="4"/>
  <c r="B541" i="4" s="1"/>
  <c r="A533" i="4"/>
  <c r="B533" i="4" s="1"/>
  <c r="A525" i="4"/>
  <c r="B525" i="4" s="1"/>
  <c r="A517" i="4"/>
  <c r="B517" i="4" s="1"/>
  <c r="A509" i="4"/>
  <c r="B509" i="4" s="1"/>
  <c r="A487" i="4"/>
  <c r="B487" i="4" s="1"/>
  <c r="A485" i="4"/>
  <c r="B485" i="4" s="1"/>
  <c r="A561" i="4"/>
  <c r="B561" i="4" s="1"/>
  <c r="A553" i="4"/>
  <c r="B553" i="4" s="1"/>
  <c r="A545" i="4"/>
  <c r="B545" i="4" s="1"/>
  <c r="A537" i="4"/>
  <c r="B537" i="4" s="1"/>
  <c r="A529" i="4"/>
  <c r="B529" i="4" s="1"/>
  <c r="A521" i="4"/>
  <c r="B521" i="4" s="1"/>
  <c r="A513" i="4"/>
  <c r="B513" i="4" s="1"/>
  <c r="A505" i="4"/>
  <c r="B505" i="4" s="1"/>
  <c r="A473" i="4"/>
  <c r="B473" i="4" s="1"/>
  <c r="A471" i="4"/>
  <c r="B471" i="4" s="1"/>
  <c r="A469" i="4"/>
  <c r="B469" i="4" s="1"/>
  <c r="A457" i="4"/>
  <c r="B457" i="4" s="1"/>
  <c r="A455" i="4"/>
  <c r="B455" i="4" s="1"/>
  <c r="A453" i="4"/>
  <c r="B453" i="4" s="1"/>
  <c r="A361" i="4"/>
  <c r="B361" i="4" s="1"/>
  <c r="A357" i="4"/>
  <c r="B357" i="4" s="1"/>
  <c r="A353" i="4"/>
  <c r="B353" i="4" s="1"/>
  <c r="A349" i="4"/>
  <c r="B349" i="4" s="1"/>
  <c r="A345" i="4"/>
  <c r="B345" i="4" s="1"/>
  <c r="A341" i="4"/>
  <c r="B341" i="4" s="1"/>
  <c r="A337" i="4"/>
  <c r="B337" i="4" s="1"/>
  <c r="A333" i="4"/>
  <c r="B333" i="4" s="1"/>
  <c r="A329" i="4"/>
  <c r="B329" i="4" s="1"/>
  <c r="A325" i="4"/>
  <c r="B325" i="4" s="1"/>
  <c r="A321" i="4"/>
  <c r="B321" i="4" s="1"/>
  <c r="A317" i="4"/>
  <c r="B317" i="4" s="1"/>
  <c r="A313" i="4"/>
  <c r="B313" i="4" s="1"/>
  <c r="A481" i="4"/>
  <c r="B481" i="4" s="1"/>
  <c r="A479" i="4"/>
  <c r="B479" i="4" s="1"/>
  <c r="A477" i="4"/>
  <c r="B477" i="4" s="1"/>
  <c r="A465" i="4"/>
  <c r="B465" i="4" s="1"/>
  <c r="A463" i="4"/>
  <c r="B463" i="4" s="1"/>
  <c r="A461" i="4"/>
  <c r="B461" i="4" s="1"/>
  <c r="A449" i="4"/>
  <c r="B449" i="4" s="1"/>
  <c r="A447" i="4"/>
  <c r="B447" i="4" s="1"/>
  <c r="A445" i="4"/>
  <c r="B445" i="4" s="1"/>
  <c r="A355" i="4"/>
  <c r="B355" i="4" s="1"/>
  <c r="A347" i="4"/>
  <c r="B347" i="4" s="1"/>
  <c r="A339" i="4"/>
  <c r="B339" i="4" s="1"/>
  <c r="A331" i="4"/>
  <c r="B331" i="4" s="1"/>
  <c r="A323" i="4"/>
  <c r="B323" i="4" s="1"/>
  <c r="A315" i="4"/>
  <c r="B315" i="4" s="1"/>
  <c r="A359" i="4"/>
  <c r="B359" i="4" s="1"/>
  <c r="A351" i="4"/>
  <c r="B351" i="4" s="1"/>
  <c r="A343" i="4"/>
  <c r="B343" i="4" s="1"/>
  <c r="A335" i="4"/>
  <c r="B335" i="4" s="1"/>
  <c r="A327" i="4"/>
  <c r="B327" i="4" s="1"/>
  <c r="A319" i="4"/>
  <c r="B319" i="4" s="1"/>
  <c r="A311" i="4"/>
  <c r="B311" i="4" s="1"/>
  <c r="A297" i="4"/>
  <c r="B297" i="4" s="1"/>
  <c r="A307" i="4"/>
  <c r="B307" i="4" s="1"/>
  <c r="A305" i="4"/>
  <c r="B305" i="4" s="1"/>
  <c r="A303" i="4"/>
  <c r="B303" i="4" s="1"/>
  <c r="A177" i="4"/>
  <c r="B177" i="4" s="1"/>
  <c r="A169" i="4"/>
  <c r="B169" i="4" s="1"/>
  <c r="A161" i="4"/>
  <c r="B161" i="4" s="1"/>
  <c r="A153" i="4"/>
  <c r="B153" i="4" s="1"/>
  <c r="A90" i="4"/>
  <c r="B90" i="4" s="1"/>
  <c r="A86" i="4"/>
  <c r="B86" i="4" s="1"/>
  <c r="A82" i="4"/>
  <c r="B82" i="4" s="1"/>
  <c r="A179" i="4"/>
  <c r="B179" i="4" s="1"/>
  <c r="A175" i="4"/>
  <c r="B175" i="4" s="1"/>
  <c r="A171" i="4"/>
  <c r="B171" i="4" s="1"/>
  <c r="A167" i="4"/>
  <c r="B167" i="4" s="1"/>
  <c r="A163" i="4"/>
  <c r="B163" i="4" s="1"/>
  <c r="A159" i="4"/>
  <c r="B159" i="4" s="1"/>
  <c r="A155" i="4"/>
  <c r="B155" i="4" s="1"/>
  <c r="A151" i="4"/>
  <c r="B151" i="4" s="1"/>
  <c r="A91" i="4"/>
  <c r="B91" i="4" s="1"/>
  <c r="A88" i="4"/>
  <c r="B88" i="4" s="1"/>
  <c r="A84" i="4"/>
  <c r="B84" i="4" s="1"/>
  <c r="A80" i="4"/>
  <c r="B80" i="4" s="1"/>
  <c r="A41" i="4"/>
  <c r="B41" i="4" s="1"/>
  <c r="A39" i="4"/>
  <c r="B39" i="4" s="1"/>
  <c r="A25" i="4"/>
  <c r="B25" i="4" s="1"/>
  <c r="A21" i="4"/>
  <c r="B21" i="4" s="1"/>
  <c r="A17" i="4"/>
  <c r="B17" i="4" s="1"/>
  <c r="A173" i="4"/>
  <c r="B173" i="4" s="1"/>
  <c r="A165" i="4"/>
  <c r="B165" i="4" s="1"/>
  <c r="A157" i="4"/>
  <c r="B157" i="4" s="1"/>
  <c r="A78" i="4"/>
  <c r="B78" i="4" s="1"/>
  <c r="A45" i="4"/>
  <c r="B45" i="4" s="1"/>
  <c r="A23" i="4"/>
  <c r="B23" i="4" s="1"/>
  <c r="A19" i="4"/>
  <c r="B19" i="4" s="1"/>
  <c r="AH35" i="1"/>
  <c r="AH37" i="1"/>
  <c r="AH39" i="1"/>
  <c r="AH41" i="1"/>
  <c r="AH43" i="1"/>
  <c r="AH45" i="1"/>
  <c r="AH47" i="1"/>
  <c r="AH49" i="1"/>
  <c r="AH51" i="1"/>
  <c r="AH54" i="1"/>
  <c r="AH56" i="1"/>
  <c r="AH58" i="1"/>
  <c r="AH60" i="1"/>
  <c r="AH62" i="1"/>
  <c r="AH65" i="1"/>
  <c r="AH67" i="1"/>
  <c r="AH69" i="1"/>
  <c r="AH71" i="1"/>
  <c r="AH73" i="1"/>
  <c r="AH75" i="1"/>
  <c r="AH77" i="1"/>
  <c r="AH79" i="1"/>
  <c r="AH81" i="1"/>
  <c r="AH83" i="1"/>
  <c r="AH85" i="1"/>
  <c r="AH87" i="1"/>
  <c r="AH89" i="1"/>
  <c r="AH91" i="1"/>
  <c r="AH93" i="1"/>
  <c r="AH95" i="1"/>
  <c r="AH97" i="1"/>
  <c r="AH99" i="1"/>
  <c r="AH101" i="1"/>
  <c r="AH104" i="1"/>
  <c r="A1462" i="4"/>
  <c r="B1462" i="4" s="1"/>
  <c r="A1461" i="4"/>
  <c r="B1461" i="4" s="1"/>
  <c r="A1458" i="4"/>
  <c r="B1458" i="4" s="1"/>
  <c r="A1457" i="4"/>
  <c r="B1457" i="4" s="1"/>
  <c r="A1454" i="4"/>
  <c r="B1454" i="4" s="1"/>
  <c r="A1453" i="4"/>
  <c r="B1453" i="4" s="1"/>
  <c r="A1450" i="4"/>
  <c r="B1450" i="4" s="1"/>
  <c r="A1449" i="4"/>
  <c r="B1449" i="4" s="1"/>
  <c r="A1446" i="4"/>
  <c r="B1446" i="4" s="1"/>
  <c r="A1445" i="4"/>
  <c r="B1445" i="4" s="1"/>
  <c r="A1442" i="4"/>
  <c r="B1442" i="4" s="1"/>
  <c r="A1441" i="4"/>
  <c r="B1441" i="4" s="1"/>
  <c r="A1438" i="4"/>
  <c r="B1438" i="4" s="1"/>
  <c r="A1437" i="4"/>
  <c r="B1437" i="4" s="1"/>
  <c r="A1460" i="4"/>
  <c r="B1460" i="4" s="1"/>
  <c r="A1459" i="4"/>
  <c r="B1459" i="4" s="1"/>
  <c r="A1456" i="4"/>
  <c r="B1456" i="4" s="1"/>
  <c r="A1455" i="4"/>
  <c r="B1455" i="4" s="1"/>
  <c r="A1452" i="4"/>
  <c r="B1452" i="4" s="1"/>
  <c r="A1451" i="4"/>
  <c r="B1451" i="4" s="1"/>
  <c r="A1448" i="4"/>
  <c r="B1448" i="4" s="1"/>
  <c r="A1447" i="4"/>
  <c r="B1447" i="4" s="1"/>
  <c r="A1444" i="4"/>
  <c r="B1444" i="4" s="1"/>
  <c r="A1443" i="4"/>
  <c r="B1443" i="4" s="1"/>
  <c r="A1440" i="4"/>
  <c r="B1440" i="4" s="1"/>
  <c r="A1439" i="4"/>
  <c r="B1439" i="4" s="1"/>
  <c r="A1434" i="4"/>
  <c r="B1434" i="4" s="1"/>
  <c r="A1430" i="4"/>
  <c r="B1430" i="4" s="1"/>
  <c r="A1426" i="4"/>
  <c r="B1426" i="4" s="1"/>
  <c r="A1422" i="4"/>
  <c r="B1422" i="4" s="1"/>
  <c r="A1418" i="4"/>
  <c r="B1418" i="4" s="1"/>
  <c r="A1414" i="4"/>
  <c r="B1414" i="4" s="1"/>
  <c r="A1410" i="4"/>
  <c r="B1410" i="4" s="1"/>
  <c r="A1406" i="4"/>
  <c r="B1406" i="4" s="1"/>
  <c r="A1402" i="4"/>
  <c r="B1402" i="4" s="1"/>
  <c r="A1398" i="4"/>
  <c r="B1398" i="4" s="1"/>
  <c r="A1394" i="4"/>
  <c r="B1394" i="4" s="1"/>
  <c r="A1390" i="4"/>
  <c r="B1390" i="4" s="1"/>
  <c r="A1386" i="4"/>
  <c r="B1386" i="4" s="1"/>
  <c r="A1382" i="4"/>
  <c r="B1382" i="4" s="1"/>
  <c r="A1378" i="4"/>
  <c r="B1378" i="4" s="1"/>
  <c r="A1374" i="4"/>
  <c r="B1374" i="4" s="1"/>
  <c r="A1370" i="4"/>
  <c r="B1370" i="4" s="1"/>
  <c r="A1366" i="4"/>
  <c r="B1366" i="4" s="1"/>
  <c r="A1362" i="4"/>
  <c r="B1362" i="4" s="1"/>
  <c r="A1358" i="4"/>
  <c r="B1358" i="4" s="1"/>
  <c r="A1354" i="4"/>
  <c r="B1354" i="4" s="1"/>
  <c r="A1350" i="4"/>
  <c r="B1350" i="4" s="1"/>
  <c r="A1346" i="4"/>
  <c r="B1346" i="4" s="1"/>
  <c r="A1342" i="4"/>
  <c r="B1342" i="4" s="1"/>
  <c r="A1338" i="4"/>
  <c r="B1338" i="4" s="1"/>
  <c r="A1334" i="4"/>
  <c r="B1334" i="4" s="1"/>
  <c r="A1330" i="4"/>
  <c r="B1330" i="4" s="1"/>
  <c r="A1326" i="4"/>
  <c r="B1326" i="4" s="1"/>
  <c r="A1322" i="4"/>
  <c r="B1322" i="4" s="1"/>
  <c r="A1318" i="4"/>
  <c r="B1318" i="4" s="1"/>
  <c r="A1314" i="4"/>
  <c r="B1314" i="4" s="1"/>
  <c r="A1310" i="4"/>
  <c r="B1310" i="4" s="1"/>
  <c r="A1306" i="4"/>
  <c r="B1306" i="4" s="1"/>
  <c r="A1302" i="4"/>
  <c r="B1302" i="4" s="1"/>
  <c r="A1298" i="4"/>
  <c r="B1298" i="4" s="1"/>
  <c r="A1294" i="4"/>
  <c r="B1294" i="4" s="1"/>
  <c r="A1290" i="4"/>
  <c r="B1290" i="4" s="1"/>
  <c r="A1286" i="4"/>
  <c r="B1286" i="4" s="1"/>
  <c r="A1282" i="4"/>
  <c r="B1282" i="4" s="1"/>
  <c r="A1279" i="4"/>
  <c r="B1279" i="4" s="1"/>
  <c r="A1278" i="4"/>
  <c r="B1278" i="4" s="1"/>
  <c r="A1275" i="4"/>
  <c r="B1275" i="4" s="1"/>
  <c r="A1274" i="4"/>
  <c r="B1274" i="4" s="1"/>
  <c r="A1271" i="4"/>
  <c r="B1271" i="4" s="1"/>
  <c r="A1270" i="4"/>
  <c r="B1270" i="4" s="1"/>
  <c r="A1267" i="4"/>
  <c r="B1267" i="4" s="1"/>
  <c r="A1266" i="4"/>
  <c r="B1266" i="4" s="1"/>
  <c r="A1263" i="4"/>
  <c r="B1263" i="4" s="1"/>
  <c r="A1262" i="4"/>
  <c r="B1262" i="4" s="1"/>
  <c r="A1259" i="4"/>
  <c r="B1259" i="4" s="1"/>
  <c r="A1258" i="4"/>
  <c r="B1258" i="4" s="1"/>
  <c r="A1255" i="4"/>
  <c r="B1255" i="4" s="1"/>
  <c r="A1254" i="4"/>
  <c r="B1254" i="4" s="1"/>
  <c r="A1251" i="4"/>
  <c r="B1251" i="4" s="1"/>
  <c r="A1250" i="4"/>
  <c r="B1250" i="4" s="1"/>
  <c r="A1247" i="4"/>
  <c r="B1247" i="4" s="1"/>
  <c r="A1246" i="4"/>
  <c r="B1246" i="4" s="1"/>
  <c r="A1243" i="4"/>
  <c r="B1243" i="4" s="1"/>
  <c r="A1242" i="4"/>
  <c r="B1242" i="4" s="1"/>
  <c r="A1239" i="4"/>
  <c r="B1239" i="4" s="1"/>
  <c r="A1238" i="4"/>
  <c r="B1238" i="4" s="1"/>
  <c r="A1235" i="4"/>
  <c r="B1235" i="4" s="1"/>
  <c r="A1234" i="4"/>
  <c r="B1234" i="4" s="1"/>
  <c r="A1231" i="4"/>
  <c r="B1231" i="4" s="1"/>
  <c r="A1230" i="4"/>
  <c r="B1230" i="4" s="1"/>
  <c r="A1227" i="4"/>
  <c r="B1227" i="4" s="1"/>
  <c r="A1226" i="4"/>
  <c r="B1226" i="4" s="1"/>
  <c r="A1223" i="4"/>
  <c r="B1223" i="4" s="1"/>
  <c r="A1222" i="4"/>
  <c r="B1222" i="4" s="1"/>
  <c r="A1219" i="4"/>
  <c r="B1219" i="4" s="1"/>
  <c r="A1218" i="4"/>
  <c r="B1218" i="4" s="1"/>
  <c r="A1215" i="4"/>
  <c r="B1215" i="4" s="1"/>
  <c r="A1214" i="4"/>
  <c r="B1214" i="4" s="1"/>
  <c r="A1211" i="4"/>
  <c r="B1211" i="4" s="1"/>
  <c r="A1210" i="4"/>
  <c r="B1210" i="4" s="1"/>
  <c r="A1207" i="4"/>
  <c r="B1207" i="4" s="1"/>
  <c r="A1206" i="4"/>
  <c r="B1206" i="4" s="1"/>
  <c r="A1203" i="4"/>
  <c r="B1203" i="4" s="1"/>
  <c r="A1202" i="4"/>
  <c r="B1202" i="4" s="1"/>
  <c r="A1199" i="4"/>
  <c r="B1199" i="4" s="1"/>
  <c r="A1198" i="4"/>
  <c r="B1198" i="4" s="1"/>
  <c r="A1195" i="4"/>
  <c r="B1195" i="4" s="1"/>
  <c r="A1194" i="4"/>
  <c r="B1194" i="4" s="1"/>
  <c r="A1191" i="4"/>
  <c r="B1191" i="4" s="1"/>
  <c r="A1190" i="4"/>
  <c r="B1190" i="4" s="1"/>
  <c r="A1187" i="4"/>
  <c r="B1187" i="4" s="1"/>
  <c r="A1186" i="4"/>
  <c r="B1186" i="4" s="1"/>
  <c r="A1183" i="4"/>
  <c r="B1183" i="4" s="1"/>
  <c r="A1182" i="4"/>
  <c r="B1182" i="4" s="1"/>
  <c r="A1179" i="4"/>
  <c r="B1179" i="4" s="1"/>
  <c r="A1178" i="4"/>
  <c r="B1178" i="4" s="1"/>
  <c r="A1175" i="4"/>
  <c r="B1175" i="4" s="1"/>
  <c r="A1174" i="4"/>
  <c r="B1174" i="4" s="1"/>
  <c r="A1171" i="4"/>
  <c r="B1171" i="4" s="1"/>
  <c r="A1170" i="4"/>
  <c r="B1170" i="4" s="1"/>
  <c r="A1167" i="4"/>
  <c r="B1167" i="4" s="1"/>
  <c r="A1166" i="4"/>
  <c r="B1166" i="4" s="1"/>
  <c r="A1163" i="4"/>
  <c r="B1163" i="4" s="1"/>
  <c r="A1162" i="4"/>
  <c r="B1162" i="4" s="1"/>
  <c r="A1159" i="4"/>
  <c r="B1159" i="4" s="1"/>
  <c r="A1158" i="4"/>
  <c r="B1158" i="4" s="1"/>
  <c r="A1155" i="4"/>
  <c r="B1155" i="4" s="1"/>
  <c r="A1154" i="4"/>
  <c r="B1154" i="4" s="1"/>
  <c r="A1151" i="4"/>
  <c r="B1151" i="4" s="1"/>
  <c r="A1150" i="4"/>
  <c r="B1150" i="4" s="1"/>
  <c r="A1147" i="4"/>
  <c r="B1147" i="4" s="1"/>
  <c r="A1146" i="4"/>
  <c r="B1146" i="4" s="1"/>
  <c r="A1143" i="4"/>
  <c r="B1143" i="4" s="1"/>
  <c r="A1142" i="4"/>
  <c r="B1142" i="4" s="1"/>
  <c r="A1139" i="4"/>
  <c r="B1139" i="4" s="1"/>
  <c r="A1138" i="4"/>
  <c r="B1138" i="4" s="1"/>
  <c r="A1135" i="4"/>
  <c r="B1135" i="4" s="1"/>
  <c r="A1134" i="4"/>
  <c r="B1134" i="4" s="1"/>
  <c r="A1131" i="4"/>
  <c r="B1131" i="4" s="1"/>
  <c r="A1130" i="4"/>
  <c r="B1130" i="4" s="1"/>
  <c r="A1127" i="4"/>
  <c r="B1127" i="4" s="1"/>
  <c r="A1126" i="4"/>
  <c r="B1126" i="4" s="1"/>
  <c r="A1123" i="4"/>
  <c r="B1123" i="4" s="1"/>
  <c r="A1122" i="4"/>
  <c r="B1122" i="4" s="1"/>
  <c r="A1119" i="4"/>
  <c r="B1119" i="4" s="1"/>
  <c r="A1118" i="4"/>
  <c r="B1118" i="4" s="1"/>
  <c r="A1115" i="4"/>
  <c r="B1115" i="4" s="1"/>
  <c r="A1114" i="4"/>
  <c r="B1114" i="4" s="1"/>
  <c r="A1111" i="4"/>
  <c r="B1111" i="4" s="1"/>
  <c r="A1110" i="4"/>
  <c r="B1110" i="4" s="1"/>
  <c r="A1107" i="4"/>
  <c r="B1107" i="4" s="1"/>
  <c r="A1106" i="4"/>
  <c r="B1106" i="4" s="1"/>
  <c r="A1103" i="4"/>
  <c r="B1103" i="4" s="1"/>
  <c r="A1102" i="4"/>
  <c r="B1102" i="4" s="1"/>
  <c r="A1099" i="4"/>
  <c r="B1099" i="4" s="1"/>
  <c r="A1098" i="4"/>
  <c r="B1098" i="4" s="1"/>
  <c r="A1095" i="4"/>
  <c r="B1095" i="4" s="1"/>
  <c r="A1094" i="4"/>
  <c r="B1094" i="4" s="1"/>
  <c r="A1091" i="4"/>
  <c r="B1091" i="4" s="1"/>
  <c r="A1090" i="4"/>
  <c r="B1090" i="4" s="1"/>
  <c r="A1087" i="4"/>
  <c r="B1087" i="4" s="1"/>
  <c r="A1086" i="4"/>
  <c r="B1086" i="4" s="1"/>
  <c r="A1083" i="4"/>
  <c r="B1083" i="4" s="1"/>
  <c r="A1082" i="4"/>
  <c r="B1082" i="4" s="1"/>
  <c r="A1079" i="4"/>
  <c r="B1079" i="4" s="1"/>
  <c r="A1078" i="4"/>
  <c r="B1078" i="4" s="1"/>
  <c r="A1075" i="4"/>
  <c r="B1075" i="4" s="1"/>
  <c r="A1074" i="4"/>
  <c r="B1074" i="4" s="1"/>
  <c r="A1071" i="4"/>
  <c r="B1071" i="4" s="1"/>
  <c r="A1070" i="4"/>
  <c r="B1070" i="4" s="1"/>
  <c r="A1436" i="4"/>
  <c r="B1436" i="4" s="1"/>
  <c r="A1432" i="4"/>
  <c r="B1432" i="4" s="1"/>
  <c r="A1428" i="4"/>
  <c r="B1428" i="4" s="1"/>
  <c r="A1424" i="4"/>
  <c r="B1424" i="4" s="1"/>
  <c r="A1420" i="4"/>
  <c r="B1420" i="4" s="1"/>
  <c r="A1416" i="4"/>
  <c r="B1416" i="4" s="1"/>
  <c r="A1412" i="4"/>
  <c r="B1412" i="4" s="1"/>
  <c r="A1408" i="4"/>
  <c r="B1408" i="4" s="1"/>
  <c r="A1404" i="4"/>
  <c r="B1404" i="4" s="1"/>
  <c r="A1400" i="4"/>
  <c r="B1400" i="4" s="1"/>
  <c r="A1396" i="4"/>
  <c r="B1396" i="4" s="1"/>
  <c r="A1392" i="4"/>
  <c r="B1392" i="4" s="1"/>
  <c r="A1388" i="4"/>
  <c r="B1388" i="4" s="1"/>
  <c r="A1384" i="4"/>
  <c r="B1384" i="4" s="1"/>
  <c r="A1380" i="4"/>
  <c r="B1380" i="4" s="1"/>
  <c r="A1376" i="4"/>
  <c r="B1376" i="4" s="1"/>
  <c r="A1372" i="4"/>
  <c r="B1372" i="4" s="1"/>
  <c r="A1368" i="4"/>
  <c r="B1368" i="4" s="1"/>
  <c r="A1364" i="4"/>
  <c r="B1364" i="4" s="1"/>
  <c r="A1360" i="4"/>
  <c r="B1360" i="4" s="1"/>
  <c r="A1356" i="4"/>
  <c r="B1356" i="4" s="1"/>
  <c r="A1352" i="4"/>
  <c r="B1352" i="4" s="1"/>
  <c r="A1348" i="4"/>
  <c r="B1348" i="4" s="1"/>
  <c r="A1344" i="4"/>
  <c r="B1344" i="4" s="1"/>
  <c r="A1340" i="4"/>
  <c r="B1340" i="4" s="1"/>
  <c r="A1336" i="4"/>
  <c r="B1336" i="4" s="1"/>
  <c r="A1332" i="4"/>
  <c r="B1332" i="4" s="1"/>
  <c r="A1328" i="4"/>
  <c r="B1328" i="4" s="1"/>
  <c r="A1324" i="4"/>
  <c r="B1324" i="4" s="1"/>
  <c r="A1320" i="4"/>
  <c r="B1320" i="4" s="1"/>
  <c r="A1316" i="4"/>
  <c r="B1316" i="4" s="1"/>
  <c r="A1312" i="4"/>
  <c r="B1312" i="4" s="1"/>
  <c r="A1308" i="4"/>
  <c r="B1308" i="4" s="1"/>
  <c r="A1304" i="4"/>
  <c r="B1304" i="4" s="1"/>
  <c r="A1300" i="4"/>
  <c r="B1300" i="4" s="1"/>
  <c r="A1296" i="4"/>
  <c r="B1296" i="4" s="1"/>
  <c r="A1292" i="4"/>
  <c r="B1292" i="4" s="1"/>
  <c r="A1288" i="4"/>
  <c r="B1288" i="4" s="1"/>
  <c r="A1284" i="4"/>
  <c r="B1284" i="4" s="1"/>
  <c r="A1280" i="4"/>
  <c r="B1280" i="4" s="1"/>
  <c r="A1277" i="4"/>
  <c r="B1277" i="4" s="1"/>
  <c r="A1276" i="4"/>
  <c r="B1276" i="4" s="1"/>
  <c r="A1273" i="4"/>
  <c r="B1273" i="4" s="1"/>
  <c r="A1272" i="4"/>
  <c r="B1272" i="4" s="1"/>
  <c r="A1269" i="4"/>
  <c r="B1269" i="4" s="1"/>
  <c r="A1268" i="4"/>
  <c r="B1268" i="4" s="1"/>
  <c r="A1265" i="4"/>
  <c r="B1265" i="4" s="1"/>
  <c r="A1264" i="4"/>
  <c r="B1264" i="4" s="1"/>
  <c r="A1261" i="4"/>
  <c r="B1261" i="4" s="1"/>
  <c r="A1260" i="4"/>
  <c r="B1260" i="4" s="1"/>
  <c r="A1257" i="4"/>
  <c r="B1257" i="4" s="1"/>
  <c r="A1256" i="4"/>
  <c r="B1256" i="4" s="1"/>
  <c r="A1253" i="4"/>
  <c r="B1253" i="4" s="1"/>
  <c r="A1252" i="4"/>
  <c r="B1252" i="4" s="1"/>
  <c r="A1249" i="4"/>
  <c r="B1249" i="4" s="1"/>
  <c r="A1248" i="4"/>
  <c r="B1248" i="4" s="1"/>
  <c r="A1245" i="4"/>
  <c r="B1245" i="4" s="1"/>
  <c r="A1244" i="4"/>
  <c r="B1244" i="4" s="1"/>
  <c r="A1241" i="4"/>
  <c r="B1241" i="4" s="1"/>
  <c r="A1240" i="4"/>
  <c r="B1240" i="4" s="1"/>
  <c r="A1237" i="4"/>
  <c r="B1237" i="4" s="1"/>
  <c r="A1236" i="4"/>
  <c r="B1236" i="4" s="1"/>
  <c r="A1233" i="4"/>
  <c r="B1233" i="4" s="1"/>
  <c r="A1232" i="4"/>
  <c r="B1232" i="4" s="1"/>
  <c r="A1229" i="4"/>
  <c r="B1229" i="4" s="1"/>
  <c r="A1228" i="4"/>
  <c r="B1228" i="4" s="1"/>
  <c r="A1225" i="4"/>
  <c r="B1225" i="4" s="1"/>
  <c r="A1224" i="4"/>
  <c r="B1224" i="4" s="1"/>
  <c r="A1221" i="4"/>
  <c r="B1221" i="4" s="1"/>
  <c r="A1220" i="4"/>
  <c r="B1220" i="4" s="1"/>
  <c r="A1217" i="4"/>
  <c r="B1217" i="4" s="1"/>
  <c r="A1216" i="4"/>
  <c r="B1216" i="4" s="1"/>
  <c r="A1213" i="4"/>
  <c r="B1213" i="4" s="1"/>
  <c r="A1212" i="4"/>
  <c r="B1212" i="4" s="1"/>
  <c r="A1209" i="4"/>
  <c r="B1209" i="4" s="1"/>
  <c r="A1208" i="4"/>
  <c r="B1208" i="4" s="1"/>
  <c r="A1205" i="4"/>
  <c r="B1205" i="4" s="1"/>
  <c r="A1204" i="4"/>
  <c r="B1204" i="4" s="1"/>
  <c r="A1201" i="4"/>
  <c r="B1201" i="4" s="1"/>
  <c r="A1200" i="4"/>
  <c r="B1200" i="4" s="1"/>
  <c r="A1197" i="4"/>
  <c r="B1197" i="4" s="1"/>
  <c r="A1196" i="4"/>
  <c r="B1196" i="4" s="1"/>
  <c r="A1193" i="4"/>
  <c r="B1193" i="4" s="1"/>
  <c r="A1192" i="4"/>
  <c r="B1192" i="4" s="1"/>
  <c r="A1189" i="4"/>
  <c r="B1189" i="4" s="1"/>
  <c r="A1188" i="4"/>
  <c r="B1188" i="4" s="1"/>
  <c r="A1185" i="4"/>
  <c r="B1185" i="4" s="1"/>
  <c r="A1184" i="4"/>
  <c r="B1184" i="4" s="1"/>
  <c r="A1181" i="4"/>
  <c r="B1181" i="4" s="1"/>
  <c r="A1180" i="4"/>
  <c r="B1180" i="4" s="1"/>
  <c r="A1177" i="4"/>
  <c r="B1177" i="4" s="1"/>
  <c r="A1176" i="4"/>
  <c r="B1176" i="4" s="1"/>
  <c r="A1173" i="4"/>
  <c r="B1173" i="4" s="1"/>
  <c r="A1172" i="4"/>
  <c r="B1172" i="4" s="1"/>
  <c r="A1169" i="4"/>
  <c r="B1169" i="4" s="1"/>
  <c r="A1168" i="4"/>
  <c r="B1168" i="4" s="1"/>
  <c r="A1165" i="4"/>
  <c r="B1165" i="4" s="1"/>
  <c r="A1164" i="4"/>
  <c r="B1164" i="4" s="1"/>
  <c r="A1161" i="4"/>
  <c r="B1161" i="4" s="1"/>
  <c r="A1160" i="4"/>
  <c r="B1160" i="4" s="1"/>
  <c r="A1157" i="4"/>
  <c r="B1157" i="4" s="1"/>
  <c r="A1156" i="4"/>
  <c r="B1156" i="4" s="1"/>
  <c r="A1153" i="4"/>
  <c r="B1153" i="4" s="1"/>
  <c r="A1152" i="4"/>
  <c r="B1152" i="4" s="1"/>
  <c r="A1149" i="4"/>
  <c r="B1149" i="4" s="1"/>
  <c r="A1148" i="4"/>
  <c r="B1148" i="4" s="1"/>
  <c r="A1145" i="4"/>
  <c r="B1145" i="4" s="1"/>
  <c r="A1144" i="4"/>
  <c r="B1144" i="4" s="1"/>
  <c r="A1141" i="4"/>
  <c r="B1141" i="4" s="1"/>
  <c r="A1140" i="4"/>
  <c r="B1140" i="4" s="1"/>
  <c r="A1137" i="4"/>
  <c r="B1137" i="4" s="1"/>
  <c r="A1136" i="4"/>
  <c r="B1136" i="4" s="1"/>
  <c r="A1133" i="4"/>
  <c r="B1133" i="4" s="1"/>
  <c r="A1132" i="4"/>
  <c r="B1132" i="4" s="1"/>
  <c r="A1129" i="4"/>
  <c r="B1129" i="4" s="1"/>
  <c r="A1128" i="4"/>
  <c r="B1128" i="4" s="1"/>
  <c r="A1125" i="4"/>
  <c r="B1125" i="4" s="1"/>
  <c r="A1124" i="4"/>
  <c r="B1124" i="4" s="1"/>
  <c r="A1121" i="4"/>
  <c r="B1121" i="4" s="1"/>
  <c r="A1120" i="4"/>
  <c r="B1120" i="4" s="1"/>
  <c r="A1117" i="4"/>
  <c r="B1117" i="4" s="1"/>
  <c r="A1116" i="4"/>
  <c r="B1116" i="4" s="1"/>
  <c r="A1113" i="4"/>
  <c r="B1113" i="4" s="1"/>
  <c r="A1112" i="4"/>
  <c r="B1112" i="4" s="1"/>
  <c r="A1109" i="4"/>
  <c r="B1109" i="4" s="1"/>
  <c r="A1108" i="4"/>
  <c r="B1108" i="4" s="1"/>
  <c r="A1105" i="4"/>
  <c r="B1105" i="4" s="1"/>
  <c r="A1104" i="4"/>
  <c r="B1104" i="4" s="1"/>
  <c r="A1101" i="4"/>
  <c r="B1101" i="4" s="1"/>
  <c r="A1100" i="4"/>
  <c r="B1100" i="4" s="1"/>
  <c r="A1097" i="4"/>
  <c r="B1097" i="4" s="1"/>
  <c r="A1096" i="4"/>
  <c r="B1096" i="4" s="1"/>
  <c r="A1093" i="4"/>
  <c r="B1093" i="4" s="1"/>
  <c r="A1092" i="4"/>
  <c r="B1092" i="4" s="1"/>
  <c r="A1089" i="4"/>
  <c r="B1089" i="4" s="1"/>
  <c r="A1088" i="4"/>
  <c r="B1088" i="4" s="1"/>
  <c r="A1085" i="4"/>
  <c r="B1085" i="4" s="1"/>
  <c r="A1084" i="4"/>
  <c r="B1084" i="4" s="1"/>
  <c r="A1081" i="4"/>
  <c r="B1081" i="4" s="1"/>
  <c r="A1080" i="4"/>
  <c r="B1080" i="4" s="1"/>
  <c r="A1077" i="4"/>
  <c r="B1077" i="4" s="1"/>
  <c r="A1076" i="4"/>
  <c r="B1076" i="4" s="1"/>
  <c r="A1073" i="4"/>
  <c r="B1073" i="4" s="1"/>
  <c r="A1072" i="4"/>
  <c r="B1072" i="4" s="1"/>
  <c r="A1069" i="4"/>
  <c r="B1069" i="4" s="1"/>
  <c r="A1065" i="4"/>
  <c r="B1065" i="4" s="1"/>
  <c r="A1061" i="4"/>
  <c r="B1061" i="4" s="1"/>
  <c r="A1057" i="4"/>
  <c r="B1057" i="4" s="1"/>
  <c r="A1053" i="4"/>
  <c r="B1053" i="4" s="1"/>
  <c r="A1049" i="4"/>
  <c r="B1049" i="4" s="1"/>
  <c r="A1045" i="4"/>
  <c r="B1045" i="4" s="1"/>
  <c r="A1041" i="4"/>
  <c r="B1041" i="4" s="1"/>
  <c r="A1037" i="4"/>
  <c r="B1037" i="4" s="1"/>
  <c r="A1033" i="4"/>
  <c r="B1033" i="4" s="1"/>
  <c r="A1029" i="4"/>
  <c r="B1029" i="4" s="1"/>
  <c r="A1025" i="4"/>
  <c r="B1025" i="4" s="1"/>
  <c r="A1021" i="4"/>
  <c r="B1021" i="4" s="1"/>
  <c r="A1017" i="4"/>
  <c r="B1017" i="4" s="1"/>
  <c r="A1013" i="4"/>
  <c r="B1013" i="4" s="1"/>
  <c r="A1011" i="4"/>
  <c r="B1011" i="4" s="1"/>
  <c r="A1008" i="4"/>
  <c r="B1008" i="4" s="1"/>
  <c r="A1007" i="4"/>
  <c r="B1007" i="4" s="1"/>
  <c r="A1004" i="4"/>
  <c r="B1004" i="4" s="1"/>
  <c r="A1003" i="4"/>
  <c r="B1003" i="4" s="1"/>
  <c r="A1000" i="4"/>
  <c r="B1000" i="4" s="1"/>
  <c r="A999" i="4"/>
  <c r="B999" i="4" s="1"/>
  <c r="A996" i="4"/>
  <c r="B996" i="4" s="1"/>
  <c r="A995" i="4"/>
  <c r="B995" i="4" s="1"/>
  <c r="A992" i="4"/>
  <c r="B992" i="4" s="1"/>
  <c r="A991" i="4"/>
  <c r="B991" i="4" s="1"/>
  <c r="A988" i="4"/>
  <c r="B988" i="4" s="1"/>
  <c r="A987" i="4"/>
  <c r="B987" i="4" s="1"/>
  <c r="A984" i="4"/>
  <c r="B984" i="4" s="1"/>
  <c r="A983" i="4"/>
  <c r="B983" i="4" s="1"/>
  <c r="A980" i="4"/>
  <c r="B980" i="4" s="1"/>
  <c r="A979" i="4"/>
  <c r="B979" i="4" s="1"/>
  <c r="A976" i="4"/>
  <c r="B976" i="4" s="1"/>
  <c r="A975" i="4"/>
  <c r="B975" i="4" s="1"/>
  <c r="A972" i="4"/>
  <c r="B972" i="4" s="1"/>
  <c r="A971" i="4"/>
  <c r="B971" i="4" s="1"/>
  <c r="A968" i="4"/>
  <c r="B968" i="4" s="1"/>
  <c r="A967" i="4"/>
  <c r="B967" i="4" s="1"/>
  <c r="A964" i="4"/>
  <c r="B964" i="4" s="1"/>
  <c r="A963" i="4"/>
  <c r="B963" i="4" s="1"/>
  <c r="A960" i="4"/>
  <c r="B960" i="4" s="1"/>
  <c r="A959" i="4"/>
  <c r="B959" i="4" s="1"/>
  <c r="A956" i="4"/>
  <c r="B956" i="4" s="1"/>
  <c r="A955" i="4"/>
  <c r="B955" i="4" s="1"/>
  <c r="A952" i="4"/>
  <c r="B952" i="4" s="1"/>
  <c r="A951" i="4"/>
  <c r="B951" i="4" s="1"/>
  <c r="A948" i="4"/>
  <c r="B948" i="4" s="1"/>
  <c r="A947" i="4"/>
  <c r="B947" i="4" s="1"/>
  <c r="A944" i="4"/>
  <c r="B944" i="4" s="1"/>
  <c r="A943" i="4"/>
  <c r="B943" i="4" s="1"/>
  <c r="A940" i="4"/>
  <c r="B940" i="4" s="1"/>
  <c r="A939" i="4"/>
  <c r="B939" i="4" s="1"/>
  <c r="A1067" i="4"/>
  <c r="B1067" i="4" s="1"/>
  <c r="A1063" i="4"/>
  <c r="B1063" i="4" s="1"/>
  <c r="A1059" i="4"/>
  <c r="B1059" i="4" s="1"/>
  <c r="A1055" i="4"/>
  <c r="B1055" i="4" s="1"/>
  <c r="A1051" i="4"/>
  <c r="B1051" i="4" s="1"/>
  <c r="A1047" i="4"/>
  <c r="B1047" i="4" s="1"/>
  <c r="A1043" i="4"/>
  <c r="B1043" i="4" s="1"/>
  <c r="A1039" i="4"/>
  <c r="B1039" i="4" s="1"/>
  <c r="A1035" i="4"/>
  <c r="B1035" i="4" s="1"/>
  <c r="A1031" i="4"/>
  <c r="B1031" i="4" s="1"/>
  <c r="A1027" i="4"/>
  <c r="B1027" i="4" s="1"/>
  <c r="A1023" i="4"/>
  <c r="B1023" i="4" s="1"/>
  <c r="A1019" i="4"/>
  <c r="B1019" i="4" s="1"/>
  <c r="A1015" i="4"/>
  <c r="B1015" i="4" s="1"/>
  <c r="A1010" i="4"/>
  <c r="B1010" i="4" s="1"/>
  <c r="A1009" i="4"/>
  <c r="B1009" i="4" s="1"/>
  <c r="A1006" i="4"/>
  <c r="B1006" i="4" s="1"/>
  <c r="A1005" i="4"/>
  <c r="B1005" i="4" s="1"/>
  <c r="A1002" i="4"/>
  <c r="B1002" i="4" s="1"/>
  <c r="A1001" i="4"/>
  <c r="B1001" i="4" s="1"/>
  <c r="A998" i="4"/>
  <c r="B998" i="4" s="1"/>
  <c r="A997" i="4"/>
  <c r="B997" i="4" s="1"/>
  <c r="A994" i="4"/>
  <c r="B994" i="4" s="1"/>
  <c r="A993" i="4"/>
  <c r="B993" i="4" s="1"/>
  <c r="A990" i="4"/>
  <c r="B990" i="4" s="1"/>
  <c r="A989" i="4"/>
  <c r="B989" i="4" s="1"/>
  <c r="A986" i="4"/>
  <c r="B986" i="4" s="1"/>
  <c r="A985" i="4"/>
  <c r="B985" i="4" s="1"/>
  <c r="A982" i="4"/>
  <c r="B982" i="4" s="1"/>
  <c r="A981" i="4"/>
  <c r="B981" i="4" s="1"/>
  <c r="A978" i="4"/>
  <c r="B978" i="4" s="1"/>
  <c r="A977" i="4"/>
  <c r="B977" i="4" s="1"/>
  <c r="A974" i="4"/>
  <c r="B974" i="4" s="1"/>
  <c r="A973" i="4"/>
  <c r="B973" i="4" s="1"/>
  <c r="A970" i="4"/>
  <c r="B970" i="4" s="1"/>
  <c r="A969" i="4"/>
  <c r="B969" i="4" s="1"/>
  <c r="A966" i="4"/>
  <c r="B966" i="4" s="1"/>
  <c r="A965" i="4"/>
  <c r="B965" i="4" s="1"/>
  <c r="A962" i="4"/>
  <c r="B962" i="4" s="1"/>
  <c r="A961" i="4"/>
  <c r="B961" i="4" s="1"/>
  <c r="A958" i="4"/>
  <c r="B958" i="4" s="1"/>
  <c r="A957" i="4"/>
  <c r="B957" i="4" s="1"/>
  <c r="A954" i="4"/>
  <c r="B954" i="4" s="1"/>
  <c r="A953" i="4"/>
  <c r="B953" i="4" s="1"/>
  <c r="A950" i="4"/>
  <c r="B950" i="4" s="1"/>
  <c r="A949" i="4"/>
  <c r="B949" i="4" s="1"/>
  <c r="A946" i="4"/>
  <c r="B946" i="4" s="1"/>
  <c r="A945" i="4"/>
  <c r="B945" i="4" s="1"/>
  <c r="A942" i="4"/>
  <c r="B942" i="4" s="1"/>
  <c r="A941" i="4"/>
  <c r="B941" i="4" s="1"/>
  <c r="A935" i="4"/>
  <c r="B935" i="4" s="1"/>
  <c r="A931" i="4"/>
  <c r="B931" i="4" s="1"/>
  <c r="A927" i="4"/>
  <c r="B927" i="4" s="1"/>
  <c r="A923" i="4"/>
  <c r="B923" i="4" s="1"/>
  <c r="A919" i="4"/>
  <c r="B919" i="4" s="1"/>
  <c r="A915" i="4"/>
  <c r="B915" i="4" s="1"/>
  <c r="A911" i="4"/>
  <c r="B911" i="4" s="1"/>
  <c r="A907" i="4"/>
  <c r="B907" i="4" s="1"/>
  <c r="A903" i="4"/>
  <c r="B903" i="4" s="1"/>
  <c r="A899" i="4"/>
  <c r="B899" i="4" s="1"/>
  <c r="A895" i="4"/>
  <c r="B895" i="4" s="1"/>
  <c r="A891" i="4"/>
  <c r="B891" i="4" s="1"/>
  <c r="A887" i="4"/>
  <c r="B887" i="4" s="1"/>
  <c r="A883" i="4"/>
  <c r="B883" i="4" s="1"/>
  <c r="A879" i="4"/>
  <c r="B879" i="4" s="1"/>
  <c r="A875" i="4"/>
  <c r="B875" i="4" s="1"/>
  <c r="A871" i="4"/>
  <c r="B871" i="4" s="1"/>
  <c r="A867" i="4"/>
  <c r="B867" i="4" s="1"/>
  <c r="A863" i="4"/>
  <c r="B863" i="4" s="1"/>
  <c r="A859" i="4"/>
  <c r="B859" i="4" s="1"/>
  <c r="A855" i="4"/>
  <c r="B855" i="4" s="1"/>
  <c r="A851" i="4"/>
  <c r="B851" i="4" s="1"/>
  <c r="A847" i="4"/>
  <c r="B847" i="4" s="1"/>
  <c r="A843" i="4"/>
  <c r="B843" i="4" s="1"/>
  <c r="A839" i="4"/>
  <c r="B839" i="4" s="1"/>
  <c r="A835" i="4"/>
  <c r="B835" i="4" s="1"/>
  <c r="A831" i="4"/>
  <c r="B831" i="4" s="1"/>
  <c r="A827" i="4"/>
  <c r="B827" i="4" s="1"/>
  <c r="A823" i="4"/>
  <c r="B823" i="4" s="1"/>
  <c r="A819" i="4"/>
  <c r="B819" i="4" s="1"/>
  <c r="A815" i="4"/>
  <c r="B815" i="4" s="1"/>
  <c r="A811" i="4"/>
  <c r="B811" i="4" s="1"/>
  <c r="A807" i="4"/>
  <c r="B807" i="4" s="1"/>
  <c r="A803" i="4"/>
  <c r="B803" i="4" s="1"/>
  <c r="A799" i="4"/>
  <c r="B799" i="4" s="1"/>
  <c r="A797" i="4"/>
  <c r="B797" i="4" s="1"/>
  <c r="A794" i="4"/>
  <c r="B794" i="4" s="1"/>
  <c r="A793" i="4"/>
  <c r="B793" i="4" s="1"/>
  <c r="A790" i="4"/>
  <c r="B790" i="4" s="1"/>
  <c r="A789" i="4"/>
  <c r="B789" i="4" s="1"/>
  <c r="A786" i="4"/>
  <c r="B786" i="4" s="1"/>
  <c r="A785" i="4"/>
  <c r="B785" i="4" s="1"/>
  <c r="A782" i="4"/>
  <c r="B782" i="4" s="1"/>
  <c r="A781" i="4"/>
  <c r="B781" i="4" s="1"/>
  <c r="A778" i="4"/>
  <c r="B778" i="4" s="1"/>
  <c r="A777" i="4"/>
  <c r="B777" i="4" s="1"/>
  <c r="A774" i="4"/>
  <c r="B774" i="4" s="1"/>
  <c r="A773" i="4"/>
  <c r="B773" i="4" s="1"/>
  <c r="A770" i="4"/>
  <c r="B770" i="4" s="1"/>
  <c r="A769" i="4"/>
  <c r="B769" i="4" s="1"/>
  <c r="A766" i="4"/>
  <c r="B766" i="4" s="1"/>
  <c r="A765" i="4"/>
  <c r="B765" i="4" s="1"/>
  <c r="A762" i="4"/>
  <c r="B762" i="4" s="1"/>
  <c r="A761" i="4"/>
  <c r="B761" i="4" s="1"/>
  <c r="A758" i="4"/>
  <c r="B758" i="4" s="1"/>
  <c r="A757" i="4"/>
  <c r="B757" i="4" s="1"/>
  <c r="A754" i="4"/>
  <c r="B754" i="4" s="1"/>
  <c r="A753" i="4"/>
  <c r="B753" i="4" s="1"/>
  <c r="A750" i="4"/>
  <c r="B750" i="4" s="1"/>
  <c r="A749" i="4"/>
  <c r="B749" i="4" s="1"/>
  <c r="A746" i="4"/>
  <c r="B746" i="4" s="1"/>
  <c r="A745" i="4"/>
  <c r="B745" i="4" s="1"/>
  <c r="A742" i="4"/>
  <c r="B742" i="4" s="1"/>
  <c r="A741" i="4"/>
  <c r="B741" i="4" s="1"/>
  <c r="A738" i="4"/>
  <c r="B738" i="4" s="1"/>
  <c r="A737" i="4"/>
  <c r="B737" i="4" s="1"/>
  <c r="A734" i="4"/>
  <c r="B734" i="4" s="1"/>
  <c r="A733" i="4"/>
  <c r="B733" i="4" s="1"/>
  <c r="A730" i="4"/>
  <c r="B730" i="4" s="1"/>
  <c r="A729" i="4"/>
  <c r="B729" i="4" s="1"/>
  <c r="A726" i="4"/>
  <c r="B726" i="4" s="1"/>
  <c r="A725" i="4"/>
  <c r="B725" i="4" s="1"/>
  <c r="A722" i="4"/>
  <c r="B722" i="4" s="1"/>
  <c r="A721" i="4"/>
  <c r="B721" i="4" s="1"/>
  <c r="A718" i="4"/>
  <c r="B718" i="4" s="1"/>
  <c r="A717" i="4"/>
  <c r="B717" i="4" s="1"/>
  <c r="A714" i="4"/>
  <c r="B714" i="4" s="1"/>
  <c r="A713" i="4"/>
  <c r="B713" i="4" s="1"/>
  <c r="A710" i="4"/>
  <c r="B710" i="4" s="1"/>
  <c r="A709" i="4"/>
  <c r="B709" i="4" s="1"/>
  <c r="A706" i="4"/>
  <c r="B706" i="4" s="1"/>
  <c r="A705" i="4"/>
  <c r="B705" i="4" s="1"/>
  <c r="A702" i="4"/>
  <c r="B702" i="4" s="1"/>
  <c r="A701" i="4"/>
  <c r="B701" i="4" s="1"/>
  <c r="A698" i="4"/>
  <c r="B698" i="4" s="1"/>
  <c r="A697" i="4"/>
  <c r="B697" i="4" s="1"/>
  <c r="A694" i="4"/>
  <c r="B694" i="4" s="1"/>
  <c r="A693" i="4"/>
  <c r="B693" i="4" s="1"/>
  <c r="A690" i="4"/>
  <c r="B690" i="4" s="1"/>
  <c r="A689" i="4"/>
  <c r="B689" i="4" s="1"/>
  <c r="A686" i="4"/>
  <c r="B686" i="4" s="1"/>
  <c r="A685" i="4"/>
  <c r="B685" i="4" s="1"/>
  <c r="A682" i="4"/>
  <c r="B682" i="4" s="1"/>
  <c r="A681" i="4"/>
  <c r="B681" i="4" s="1"/>
  <c r="A678" i="4"/>
  <c r="B678" i="4" s="1"/>
  <c r="A677" i="4"/>
  <c r="B677" i="4" s="1"/>
  <c r="A674" i="4"/>
  <c r="B674" i="4" s="1"/>
  <c r="A673" i="4"/>
  <c r="B673" i="4" s="1"/>
  <c r="A670" i="4"/>
  <c r="B670" i="4" s="1"/>
  <c r="A669" i="4"/>
  <c r="B669" i="4" s="1"/>
  <c r="A666" i="4"/>
  <c r="B666" i="4" s="1"/>
  <c r="A665" i="4"/>
  <c r="B665" i="4" s="1"/>
  <c r="A662" i="4"/>
  <c r="B662" i="4" s="1"/>
  <c r="A661" i="4"/>
  <c r="B661" i="4" s="1"/>
  <c r="A658" i="4"/>
  <c r="B658" i="4" s="1"/>
  <c r="A657" i="4"/>
  <c r="B657" i="4" s="1"/>
  <c r="A654" i="4"/>
  <c r="B654" i="4" s="1"/>
  <c r="A653" i="4"/>
  <c r="B653" i="4" s="1"/>
  <c r="A650" i="4"/>
  <c r="B650" i="4" s="1"/>
  <c r="A649" i="4"/>
  <c r="B649" i="4" s="1"/>
  <c r="A646" i="4"/>
  <c r="B646" i="4" s="1"/>
  <c r="A645" i="4"/>
  <c r="B645" i="4" s="1"/>
  <c r="A642" i="4"/>
  <c r="B642" i="4" s="1"/>
  <c r="A641" i="4"/>
  <c r="B641" i="4" s="1"/>
  <c r="A638" i="4"/>
  <c r="B638" i="4" s="1"/>
  <c r="A637" i="4"/>
  <c r="B637" i="4" s="1"/>
  <c r="A634" i="4"/>
  <c r="B634" i="4" s="1"/>
  <c r="A633" i="4"/>
  <c r="B633" i="4" s="1"/>
  <c r="A630" i="4"/>
  <c r="B630" i="4" s="1"/>
  <c r="A629" i="4"/>
  <c r="B629" i="4" s="1"/>
  <c r="A626" i="4"/>
  <c r="B626" i="4" s="1"/>
  <c r="A625" i="4"/>
  <c r="B625" i="4" s="1"/>
  <c r="A622" i="4"/>
  <c r="B622" i="4" s="1"/>
  <c r="A621" i="4"/>
  <c r="B621" i="4" s="1"/>
  <c r="A618" i="4"/>
  <c r="B618" i="4" s="1"/>
  <c r="A617" i="4"/>
  <c r="B617" i="4" s="1"/>
  <c r="A614" i="4"/>
  <c r="B614" i="4" s="1"/>
  <c r="A613" i="4"/>
  <c r="B613" i="4" s="1"/>
  <c r="A610" i="4"/>
  <c r="B610" i="4" s="1"/>
  <c r="A609" i="4"/>
  <c r="B609" i="4" s="1"/>
  <c r="A606" i="4"/>
  <c r="B606" i="4" s="1"/>
  <c r="A605" i="4"/>
  <c r="B605" i="4" s="1"/>
  <c r="A602" i="4"/>
  <c r="B602" i="4" s="1"/>
  <c r="A601" i="4"/>
  <c r="B601" i="4" s="1"/>
  <c r="A598" i="4"/>
  <c r="B598" i="4" s="1"/>
  <c r="A597" i="4"/>
  <c r="B597" i="4" s="1"/>
  <c r="A594" i="4"/>
  <c r="B594" i="4" s="1"/>
  <c r="A593" i="4"/>
  <c r="B593" i="4" s="1"/>
  <c r="A590" i="4"/>
  <c r="B590" i="4" s="1"/>
  <c r="A589" i="4"/>
  <c r="B589" i="4" s="1"/>
  <c r="A586" i="4"/>
  <c r="B586" i="4" s="1"/>
  <c r="A585" i="4"/>
  <c r="B585" i="4" s="1"/>
  <c r="A582" i="4"/>
  <c r="B582" i="4" s="1"/>
  <c r="A581" i="4"/>
  <c r="B581" i="4" s="1"/>
  <c r="A578" i="4"/>
  <c r="B578" i="4" s="1"/>
  <c r="A577" i="4"/>
  <c r="B577" i="4" s="1"/>
  <c r="A574" i="4"/>
  <c r="B574" i="4" s="1"/>
  <c r="A573" i="4"/>
  <c r="B573" i="4" s="1"/>
  <c r="A570" i="4"/>
  <c r="B570" i="4" s="1"/>
  <c r="A569" i="4"/>
  <c r="B569" i="4" s="1"/>
  <c r="A566" i="4"/>
  <c r="B566" i="4" s="1"/>
  <c r="A565" i="4"/>
  <c r="B565" i="4" s="1"/>
  <c r="A563" i="4"/>
  <c r="B563" i="4" s="1"/>
  <c r="A937" i="4"/>
  <c r="B937" i="4" s="1"/>
  <c r="A933" i="4"/>
  <c r="B933" i="4" s="1"/>
  <c r="A929" i="4"/>
  <c r="B929" i="4" s="1"/>
  <c r="A925" i="4"/>
  <c r="B925" i="4" s="1"/>
  <c r="A921" i="4"/>
  <c r="B921" i="4" s="1"/>
  <c r="A917" i="4"/>
  <c r="B917" i="4" s="1"/>
  <c r="A913" i="4"/>
  <c r="B913" i="4" s="1"/>
  <c r="A909" i="4"/>
  <c r="B909" i="4" s="1"/>
  <c r="A905" i="4"/>
  <c r="B905" i="4" s="1"/>
  <c r="A901" i="4"/>
  <c r="B901" i="4" s="1"/>
  <c r="A897" i="4"/>
  <c r="B897" i="4" s="1"/>
  <c r="A893" i="4"/>
  <c r="B893" i="4" s="1"/>
  <c r="A889" i="4"/>
  <c r="B889" i="4" s="1"/>
  <c r="A885" i="4"/>
  <c r="B885" i="4" s="1"/>
  <c r="A881" i="4"/>
  <c r="B881" i="4" s="1"/>
  <c r="A877" i="4"/>
  <c r="B877" i="4" s="1"/>
  <c r="A873" i="4"/>
  <c r="B873" i="4" s="1"/>
  <c r="A869" i="4"/>
  <c r="B869" i="4" s="1"/>
  <c r="A865" i="4"/>
  <c r="B865" i="4" s="1"/>
  <c r="A861" i="4"/>
  <c r="B861" i="4" s="1"/>
  <c r="A857" i="4"/>
  <c r="B857" i="4" s="1"/>
  <c r="A853" i="4"/>
  <c r="B853" i="4" s="1"/>
  <c r="A849" i="4"/>
  <c r="B849" i="4" s="1"/>
  <c r="A845" i="4"/>
  <c r="B845" i="4" s="1"/>
  <c r="A841" i="4"/>
  <c r="B841" i="4" s="1"/>
  <c r="A837" i="4"/>
  <c r="B837" i="4" s="1"/>
  <c r="A833" i="4"/>
  <c r="B833" i="4" s="1"/>
  <c r="A829" i="4"/>
  <c r="B829" i="4" s="1"/>
  <c r="A825" i="4"/>
  <c r="B825" i="4" s="1"/>
  <c r="A821" i="4"/>
  <c r="B821" i="4" s="1"/>
  <c r="A817" i="4"/>
  <c r="B817" i="4" s="1"/>
  <c r="A813" i="4"/>
  <c r="B813" i="4" s="1"/>
  <c r="A809" i="4"/>
  <c r="B809" i="4" s="1"/>
  <c r="A805" i="4"/>
  <c r="B805" i="4" s="1"/>
  <c r="A801" i="4"/>
  <c r="B801" i="4" s="1"/>
  <c r="A796" i="4"/>
  <c r="B796" i="4" s="1"/>
  <c r="A795" i="4"/>
  <c r="B795" i="4" s="1"/>
  <c r="A792" i="4"/>
  <c r="B792" i="4" s="1"/>
  <c r="A791" i="4"/>
  <c r="B791" i="4" s="1"/>
  <c r="A788" i="4"/>
  <c r="B788" i="4" s="1"/>
  <c r="A787" i="4"/>
  <c r="B787" i="4" s="1"/>
  <c r="A784" i="4"/>
  <c r="B784" i="4" s="1"/>
  <c r="A783" i="4"/>
  <c r="B783" i="4" s="1"/>
  <c r="A780" i="4"/>
  <c r="B780" i="4" s="1"/>
  <c r="A779" i="4"/>
  <c r="B779" i="4" s="1"/>
  <c r="A776" i="4"/>
  <c r="B776" i="4" s="1"/>
  <c r="A775" i="4"/>
  <c r="B775" i="4" s="1"/>
  <c r="A772" i="4"/>
  <c r="B772" i="4" s="1"/>
  <c r="A771" i="4"/>
  <c r="B771" i="4" s="1"/>
  <c r="A768" i="4"/>
  <c r="B768" i="4" s="1"/>
  <c r="A767" i="4"/>
  <c r="B767" i="4" s="1"/>
  <c r="A764" i="4"/>
  <c r="B764" i="4" s="1"/>
  <c r="A763" i="4"/>
  <c r="B763" i="4" s="1"/>
  <c r="A760" i="4"/>
  <c r="B760" i="4" s="1"/>
  <c r="A759" i="4"/>
  <c r="B759" i="4" s="1"/>
  <c r="A756" i="4"/>
  <c r="B756" i="4" s="1"/>
  <c r="A755" i="4"/>
  <c r="B755" i="4" s="1"/>
  <c r="A752" i="4"/>
  <c r="B752" i="4" s="1"/>
  <c r="A751" i="4"/>
  <c r="B751" i="4" s="1"/>
  <c r="A748" i="4"/>
  <c r="B748" i="4" s="1"/>
  <c r="A747" i="4"/>
  <c r="B747" i="4" s="1"/>
  <c r="A744" i="4"/>
  <c r="B744" i="4" s="1"/>
  <c r="A743" i="4"/>
  <c r="B743" i="4" s="1"/>
  <c r="A740" i="4"/>
  <c r="B740" i="4" s="1"/>
  <c r="A739" i="4"/>
  <c r="B739" i="4" s="1"/>
  <c r="A736" i="4"/>
  <c r="B736" i="4" s="1"/>
  <c r="A735" i="4"/>
  <c r="B735" i="4" s="1"/>
  <c r="A732" i="4"/>
  <c r="B732" i="4" s="1"/>
  <c r="A731" i="4"/>
  <c r="B731" i="4" s="1"/>
  <c r="A728" i="4"/>
  <c r="B728" i="4" s="1"/>
  <c r="A727" i="4"/>
  <c r="B727" i="4" s="1"/>
  <c r="A724" i="4"/>
  <c r="B724" i="4" s="1"/>
  <c r="A723" i="4"/>
  <c r="B723" i="4" s="1"/>
  <c r="A720" i="4"/>
  <c r="B720" i="4" s="1"/>
  <c r="A719" i="4"/>
  <c r="B719" i="4" s="1"/>
  <c r="A716" i="4"/>
  <c r="B716" i="4" s="1"/>
  <c r="A715" i="4"/>
  <c r="B715" i="4" s="1"/>
  <c r="A712" i="4"/>
  <c r="B712" i="4" s="1"/>
  <c r="A711" i="4"/>
  <c r="B711" i="4" s="1"/>
  <c r="A708" i="4"/>
  <c r="B708" i="4" s="1"/>
  <c r="A707" i="4"/>
  <c r="B707" i="4" s="1"/>
  <c r="A704" i="4"/>
  <c r="B704" i="4" s="1"/>
  <c r="A703" i="4"/>
  <c r="B703" i="4" s="1"/>
  <c r="A700" i="4"/>
  <c r="B700" i="4" s="1"/>
  <c r="A699" i="4"/>
  <c r="B699" i="4" s="1"/>
  <c r="A696" i="4"/>
  <c r="B696" i="4" s="1"/>
  <c r="A695" i="4"/>
  <c r="B695" i="4" s="1"/>
  <c r="A692" i="4"/>
  <c r="B692" i="4" s="1"/>
  <c r="A691" i="4"/>
  <c r="B691" i="4" s="1"/>
  <c r="A688" i="4"/>
  <c r="B688" i="4" s="1"/>
  <c r="A687" i="4"/>
  <c r="B687" i="4" s="1"/>
  <c r="A684" i="4"/>
  <c r="B684" i="4" s="1"/>
  <c r="A683" i="4"/>
  <c r="B683" i="4" s="1"/>
  <c r="A680" i="4"/>
  <c r="B680" i="4" s="1"/>
  <c r="A679" i="4"/>
  <c r="B679" i="4" s="1"/>
  <c r="A676" i="4"/>
  <c r="B676" i="4" s="1"/>
  <c r="A675" i="4"/>
  <c r="B675" i="4" s="1"/>
  <c r="A672" i="4"/>
  <c r="B672" i="4" s="1"/>
  <c r="A671" i="4"/>
  <c r="B671" i="4" s="1"/>
  <c r="A668" i="4"/>
  <c r="B668" i="4" s="1"/>
  <c r="A667" i="4"/>
  <c r="B667" i="4" s="1"/>
  <c r="A664" i="4"/>
  <c r="B664" i="4" s="1"/>
  <c r="A663" i="4"/>
  <c r="B663" i="4" s="1"/>
  <c r="A660" i="4"/>
  <c r="B660" i="4" s="1"/>
  <c r="A659" i="4"/>
  <c r="B659" i="4" s="1"/>
  <c r="A656" i="4"/>
  <c r="B656" i="4" s="1"/>
  <c r="A655" i="4"/>
  <c r="B655" i="4" s="1"/>
  <c r="A652" i="4"/>
  <c r="B652" i="4" s="1"/>
  <c r="A651" i="4"/>
  <c r="B651" i="4" s="1"/>
  <c r="A648" i="4"/>
  <c r="B648" i="4" s="1"/>
  <c r="A647" i="4"/>
  <c r="B647" i="4" s="1"/>
  <c r="A644" i="4"/>
  <c r="B644" i="4" s="1"/>
  <c r="A643" i="4"/>
  <c r="B643" i="4" s="1"/>
  <c r="A640" i="4"/>
  <c r="B640" i="4" s="1"/>
  <c r="A639" i="4"/>
  <c r="B639" i="4" s="1"/>
  <c r="A636" i="4"/>
  <c r="B636" i="4" s="1"/>
  <c r="A635" i="4"/>
  <c r="B635" i="4" s="1"/>
  <c r="A632" i="4"/>
  <c r="B632" i="4" s="1"/>
  <c r="A631" i="4"/>
  <c r="B631" i="4" s="1"/>
  <c r="A628" i="4"/>
  <c r="B628" i="4" s="1"/>
  <c r="A627" i="4"/>
  <c r="B627" i="4" s="1"/>
  <c r="A624" i="4"/>
  <c r="B624" i="4" s="1"/>
  <c r="A623" i="4"/>
  <c r="B623" i="4" s="1"/>
  <c r="A620" i="4"/>
  <c r="B620" i="4" s="1"/>
  <c r="A619" i="4"/>
  <c r="B619" i="4" s="1"/>
  <c r="A616" i="4"/>
  <c r="B616" i="4" s="1"/>
  <c r="A615" i="4"/>
  <c r="B615" i="4" s="1"/>
  <c r="A612" i="4"/>
  <c r="B612" i="4" s="1"/>
  <c r="A611" i="4"/>
  <c r="B611" i="4" s="1"/>
  <c r="A608" i="4"/>
  <c r="B608" i="4" s="1"/>
  <c r="A607" i="4"/>
  <c r="B607" i="4" s="1"/>
  <c r="A604" i="4"/>
  <c r="B604" i="4" s="1"/>
  <c r="A603" i="4"/>
  <c r="B603" i="4" s="1"/>
  <c r="A600" i="4"/>
  <c r="B600" i="4" s="1"/>
  <c r="A599" i="4"/>
  <c r="B599" i="4" s="1"/>
  <c r="A596" i="4"/>
  <c r="B596" i="4" s="1"/>
  <c r="A595" i="4"/>
  <c r="B595" i="4" s="1"/>
  <c r="A592" i="4"/>
  <c r="B592" i="4" s="1"/>
  <c r="A591" i="4"/>
  <c r="B591" i="4" s="1"/>
  <c r="A588" i="4"/>
  <c r="B588" i="4" s="1"/>
  <c r="A587" i="4"/>
  <c r="B587" i="4" s="1"/>
  <c r="A584" i="4"/>
  <c r="B584" i="4" s="1"/>
  <c r="A583" i="4"/>
  <c r="B583" i="4" s="1"/>
  <c r="A580" i="4"/>
  <c r="B580" i="4" s="1"/>
  <c r="A579" i="4"/>
  <c r="B579" i="4" s="1"/>
  <c r="A576" i="4"/>
  <c r="B576" i="4" s="1"/>
  <c r="A575" i="4"/>
  <c r="B575" i="4" s="1"/>
  <c r="A572" i="4"/>
  <c r="B572" i="4" s="1"/>
  <c r="A571" i="4"/>
  <c r="B571" i="4" s="1"/>
  <c r="A568" i="4"/>
  <c r="B568" i="4" s="1"/>
  <c r="A567" i="4"/>
  <c r="B567" i="4" s="1"/>
  <c r="A564" i="4"/>
  <c r="B564" i="4" s="1"/>
  <c r="A560" i="4"/>
  <c r="B560" i="4" s="1"/>
  <c r="A556" i="4"/>
  <c r="B556" i="4" s="1"/>
  <c r="A552" i="4"/>
  <c r="B552" i="4" s="1"/>
  <c r="A548" i="4"/>
  <c r="B548" i="4" s="1"/>
  <c r="A544" i="4"/>
  <c r="B544" i="4" s="1"/>
  <c r="A540" i="4"/>
  <c r="B540" i="4" s="1"/>
  <c r="A536" i="4"/>
  <c r="B536" i="4" s="1"/>
  <c r="A532" i="4"/>
  <c r="B532" i="4" s="1"/>
  <c r="A528" i="4"/>
  <c r="B528" i="4" s="1"/>
  <c r="A524" i="4"/>
  <c r="B524" i="4" s="1"/>
  <c r="A520" i="4"/>
  <c r="B520" i="4" s="1"/>
  <c r="A516" i="4"/>
  <c r="B516" i="4" s="1"/>
  <c r="A512" i="4"/>
  <c r="B512" i="4" s="1"/>
  <c r="A508" i="4"/>
  <c r="B508" i="4" s="1"/>
  <c r="A504" i="4"/>
  <c r="B504" i="4" s="1"/>
  <c r="A502" i="4"/>
  <c r="B502" i="4" s="1"/>
  <c r="A499" i="4"/>
  <c r="B499" i="4" s="1"/>
  <c r="A498" i="4"/>
  <c r="B498" i="4" s="1"/>
  <c r="A495" i="4"/>
  <c r="B495" i="4" s="1"/>
  <c r="A494" i="4"/>
  <c r="B494" i="4" s="1"/>
  <c r="A491" i="4"/>
  <c r="B491" i="4" s="1"/>
  <c r="A490" i="4"/>
  <c r="B490" i="4" s="1"/>
  <c r="A562" i="4"/>
  <c r="B562" i="4" s="1"/>
  <c r="A558" i="4"/>
  <c r="B558" i="4" s="1"/>
  <c r="A554" i="4"/>
  <c r="B554" i="4" s="1"/>
  <c r="A550" i="4"/>
  <c r="B550" i="4" s="1"/>
  <c r="A546" i="4"/>
  <c r="B546" i="4" s="1"/>
  <c r="A542" i="4"/>
  <c r="B542" i="4" s="1"/>
  <c r="A538" i="4"/>
  <c r="B538" i="4" s="1"/>
  <c r="A534" i="4"/>
  <c r="B534" i="4" s="1"/>
  <c r="A530" i="4"/>
  <c r="B530" i="4" s="1"/>
  <c r="A526" i="4"/>
  <c r="B526" i="4" s="1"/>
  <c r="A522" i="4"/>
  <c r="B522" i="4" s="1"/>
  <c r="A518" i="4"/>
  <c r="B518" i="4" s="1"/>
  <c r="A514" i="4"/>
  <c r="B514" i="4" s="1"/>
  <c r="A510" i="4"/>
  <c r="B510" i="4" s="1"/>
  <c r="A506" i="4"/>
  <c r="B506" i="4" s="1"/>
  <c r="A501" i="4"/>
  <c r="B501" i="4" s="1"/>
  <c r="A500" i="4"/>
  <c r="B500" i="4" s="1"/>
  <c r="A497" i="4"/>
  <c r="B497" i="4" s="1"/>
  <c r="A496" i="4"/>
  <c r="B496" i="4" s="1"/>
  <c r="A493" i="4"/>
  <c r="B493" i="4" s="1"/>
  <c r="A492" i="4"/>
  <c r="B492" i="4" s="1"/>
  <c r="A489" i="4"/>
  <c r="B489" i="4" s="1"/>
  <c r="A488" i="4"/>
  <c r="B488" i="4" s="1"/>
  <c r="A486" i="4"/>
  <c r="B486" i="4" s="1"/>
  <c r="A482" i="4"/>
  <c r="B482" i="4" s="1"/>
  <c r="A478" i="4"/>
  <c r="B478" i="4" s="1"/>
  <c r="A474" i="4"/>
  <c r="B474" i="4" s="1"/>
  <c r="A470" i="4"/>
  <c r="B470" i="4" s="1"/>
  <c r="A466" i="4"/>
  <c r="B466" i="4" s="1"/>
  <c r="A462" i="4"/>
  <c r="B462" i="4" s="1"/>
  <c r="A458" i="4"/>
  <c r="B458" i="4" s="1"/>
  <c r="A454" i="4"/>
  <c r="B454" i="4" s="1"/>
  <c r="A450" i="4"/>
  <c r="B450" i="4" s="1"/>
  <c r="A446" i="4"/>
  <c r="B446" i="4" s="1"/>
  <c r="A441" i="4"/>
  <c r="B441" i="4" s="1"/>
  <c r="A440" i="4"/>
  <c r="B440" i="4" s="1"/>
  <c r="A437" i="4"/>
  <c r="B437" i="4" s="1"/>
  <c r="A436" i="4"/>
  <c r="B436" i="4" s="1"/>
  <c r="A433" i="4"/>
  <c r="B433" i="4" s="1"/>
  <c r="A432" i="4"/>
  <c r="B432" i="4" s="1"/>
  <c r="A429" i="4"/>
  <c r="B429" i="4" s="1"/>
  <c r="A428" i="4"/>
  <c r="B428" i="4" s="1"/>
  <c r="A425" i="4"/>
  <c r="B425" i="4" s="1"/>
  <c r="A424" i="4"/>
  <c r="B424" i="4" s="1"/>
  <c r="A421" i="4"/>
  <c r="B421" i="4" s="1"/>
  <c r="A420" i="4"/>
  <c r="B420" i="4" s="1"/>
  <c r="A417" i="4"/>
  <c r="B417" i="4" s="1"/>
  <c r="A416" i="4"/>
  <c r="B416" i="4" s="1"/>
  <c r="A413" i="4"/>
  <c r="B413" i="4" s="1"/>
  <c r="A412" i="4"/>
  <c r="B412" i="4" s="1"/>
  <c r="A409" i="4"/>
  <c r="B409" i="4" s="1"/>
  <c r="A408" i="4"/>
  <c r="B408" i="4" s="1"/>
  <c r="A405" i="4"/>
  <c r="B405" i="4" s="1"/>
  <c r="A404" i="4"/>
  <c r="B404" i="4" s="1"/>
  <c r="A401" i="4"/>
  <c r="B401" i="4" s="1"/>
  <c r="A400" i="4"/>
  <c r="B400" i="4" s="1"/>
  <c r="A397" i="4"/>
  <c r="B397" i="4" s="1"/>
  <c r="A396" i="4"/>
  <c r="B396" i="4" s="1"/>
  <c r="A393" i="4"/>
  <c r="B393" i="4" s="1"/>
  <c r="A392" i="4"/>
  <c r="B392" i="4" s="1"/>
  <c r="A389" i="4"/>
  <c r="B389" i="4" s="1"/>
  <c r="A388" i="4"/>
  <c r="B388" i="4" s="1"/>
  <c r="A385" i="4"/>
  <c r="B385" i="4" s="1"/>
  <c r="A384" i="4"/>
  <c r="B384" i="4" s="1"/>
  <c r="A381" i="4"/>
  <c r="B381" i="4" s="1"/>
  <c r="A380" i="4"/>
  <c r="B380" i="4" s="1"/>
  <c r="A377" i="4"/>
  <c r="B377" i="4" s="1"/>
  <c r="A376" i="4"/>
  <c r="B376" i="4" s="1"/>
  <c r="A373" i="4"/>
  <c r="B373" i="4" s="1"/>
  <c r="A372" i="4"/>
  <c r="B372" i="4" s="1"/>
  <c r="A369" i="4"/>
  <c r="B369" i="4" s="1"/>
  <c r="A368" i="4"/>
  <c r="B368" i="4" s="1"/>
  <c r="A365" i="4"/>
  <c r="B365" i="4" s="1"/>
  <c r="A364" i="4"/>
  <c r="B364" i="4" s="1"/>
  <c r="A484" i="4"/>
  <c r="B484" i="4" s="1"/>
  <c r="A480" i="4"/>
  <c r="B480" i="4" s="1"/>
  <c r="A476" i="4"/>
  <c r="B476" i="4" s="1"/>
  <c r="A472" i="4"/>
  <c r="B472" i="4" s="1"/>
  <c r="A468" i="4"/>
  <c r="B468" i="4" s="1"/>
  <c r="A464" i="4"/>
  <c r="B464" i="4" s="1"/>
  <c r="A460" i="4"/>
  <c r="B460" i="4" s="1"/>
  <c r="A456" i="4"/>
  <c r="B456" i="4" s="1"/>
  <c r="A452" i="4"/>
  <c r="B452" i="4" s="1"/>
  <c r="A448" i="4"/>
  <c r="B448" i="4" s="1"/>
  <c r="A444" i="4"/>
  <c r="B444" i="4" s="1"/>
  <c r="A442" i="4"/>
  <c r="B442" i="4" s="1"/>
  <c r="A439" i="4"/>
  <c r="B439" i="4" s="1"/>
  <c r="A438" i="4"/>
  <c r="B438" i="4" s="1"/>
  <c r="A435" i="4"/>
  <c r="B435" i="4" s="1"/>
  <c r="A434" i="4"/>
  <c r="B434" i="4" s="1"/>
  <c r="A431" i="4"/>
  <c r="B431" i="4" s="1"/>
  <c r="A430" i="4"/>
  <c r="B430" i="4" s="1"/>
  <c r="A427" i="4"/>
  <c r="B427" i="4" s="1"/>
  <c r="A426" i="4"/>
  <c r="B426" i="4" s="1"/>
  <c r="A423" i="4"/>
  <c r="B423" i="4" s="1"/>
  <c r="A422" i="4"/>
  <c r="B422" i="4" s="1"/>
  <c r="A419" i="4"/>
  <c r="B419" i="4" s="1"/>
  <c r="A418" i="4"/>
  <c r="B418" i="4" s="1"/>
  <c r="A415" i="4"/>
  <c r="B415" i="4" s="1"/>
  <c r="A414" i="4"/>
  <c r="B414" i="4" s="1"/>
  <c r="A411" i="4"/>
  <c r="B411" i="4" s="1"/>
  <c r="A410" i="4"/>
  <c r="B410" i="4" s="1"/>
  <c r="A407" i="4"/>
  <c r="B407" i="4" s="1"/>
  <c r="A406" i="4"/>
  <c r="B406" i="4" s="1"/>
  <c r="A403" i="4"/>
  <c r="B403" i="4" s="1"/>
  <c r="A402" i="4"/>
  <c r="B402" i="4" s="1"/>
  <c r="A399" i="4"/>
  <c r="B399" i="4" s="1"/>
  <c r="A398" i="4"/>
  <c r="B398" i="4" s="1"/>
  <c r="A395" i="4"/>
  <c r="B395" i="4" s="1"/>
  <c r="A394" i="4"/>
  <c r="B394" i="4" s="1"/>
  <c r="A391" i="4"/>
  <c r="B391" i="4" s="1"/>
  <c r="A390" i="4"/>
  <c r="B390" i="4" s="1"/>
  <c r="A387" i="4"/>
  <c r="B387" i="4" s="1"/>
  <c r="A386" i="4"/>
  <c r="B386" i="4" s="1"/>
  <c r="A383" i="4"/>
  <c r="B383" i="4" s="1"/>
  <c r="A382" i="4"/>
  <c r="B382" i="4" s="1"/>
  <c r="A379" i="4"/>
  <c r="B379" i="4" s="1"/>
  <c r="A378" i="4"/>
  <c r="B378" i="4" s="1"/>
  <c r="A375" i="4"/>
  <c r="B375" i="4" s="1"/>
  <c r="A374" i="4"/>
  <c r="B374" i="4" s="1"/>
  <c r="A371" i="4"/>
  <c r="B371" i="4" s="1"/>
  <c r="A370" i="4"/>
  <c r="B370" i="4" s="1"/>
  <c r="A367" i="4"/>
  <c r="B367" i="4" s="1"/>
  <c r="A366" i="4"/>
  <c r="B366" i="4" s="1"/>
  <c r="A363" i="4"/>
  <c r="B363" i="4" s="1"/>
  <c r="A362" i="4"/>
  <c r="B362" i="4" s="1"/>
  <c r="A358" i="4"/>
  <c r="B358" i="4" s="1"/>
  <c r="A354" i="4"/>
  <c r="B354" i="4" s="1"/>
  <c r="A350" i="4"/>
  <c r="B350" i="4" s="1"/>
  <c r="A346" i="4"/>
  <c r="B346" i="4" s="1"/>
  <c r="A342" i="4"/>
  <c r="B342" i="4" s="1"/>
  <c r="A338" i="4"/>
  <c r="B338" i="4" s="1"/>
  <c r="A334" i="4"/>
  <c r="B334" i="4" s="1"/>
  <c r="A330" i="4"/>
  <c r="B330" i="4" s="1"/>
  <c r="A326" i="4"/>
  <c r="B326" i="4" s="1"/>
  <c r="A322" i="4"/>
  <c r="B322" i="4" s="1"/>
  <c r="A318" i="4"/>
  <c r="B318" i="4" s="1"/>
  <c r="A314" i="4"/>
  <c r="B314" i="4" s="1"/>
  <c r="A310" i="4"/>
  <c r="B310" i="4" s="1"/>
  <c r="A306" i="4"/>
  <c r="B306" i="4" s="1"/>
  <c r="A302" i="4"/>
  <c r="B302" i="4" s="1"/>
  <c r="A298" i="4"/>
  <c r="B298" i="4" s="1"/>
  <c r="A295" i="4"/>
  <c r="B295" i="4" s="1"/>
  <c r="A294" i="4"/>
  <c r="B294" i="4" s="1"/>
  <c r="A291" i="4"/>
  <c r="B291" i="4" s="1"/>
  <c r="A290" i="4"/>
  <c r="B290" i="4" s="1"/>
  <c r="A287" i="4"/>
  <c r="B287" i="4" s="1"/>
  <c r="A286" i="4"/>
  <c r="B286" i="4" s="1"/>
  <c r="A283" i="4"/>
  <c r="B283" i="4" s="1"/>
  <c r="A282" i="4"/>
  <c r="B282" i="4" s="1"/>
  <c r="A279" i="4"/>
  <c r="B279" i="4" s="1"/>
  <c r="A278" i="4"/>
  <c r="B278" i="4" s="1"/>
  <c r="A275" i="4"/>
  <c r="B275" i="4" s="1"/>
  <c r="A274" i="4"/>
  <c r="B274" i="4" s="1"/>
  <c r="A271" i="4"/>
  <c r="B271" i="4" s="1"/>
  <c r="A270" i="4"/>
  <c r="B270" i="4" s="1"/>
  <c r="A267" i="4"/>
  <c r="B267" i="4" s="1"/>
  <c r="A266" i="4"/>
  <c r="B266" i="4" s="1"/>
  <c r="A263" i="4"/>
  <c r="B263" i="4" s="1"/>
  <c r="A262" i="4"/>
  <c r="B262" i="4" s="1"/>
  <c r="A259" i="4"/>
  <c r="B259" i="4" s="1"/>
  <c r="A258" i="4"/>
  <c r="B258" i="4" s="1"/>
  <c r="A255" i="4"/>
  <c r="B255" i="4" s="1"/>
  <c r="A254" i="4"/>
  <c r="B254" i="4" s="1"/>
  <c r="A251" i="4"/>
  <c r="B251" i="4" s="1"/>
  <c r="A250" i="4"/>
  <c r="B250" i="4" s="1"/>
  <c r="A247" i="4"/>
  <c r="B247" i="4" s="1"/>
  <c r="A246" i="4"/>
  <c r="B246" i="4" s="1"/>
  <c r="A243" i="4"/>
  <c r="B243" i="4" s="1"/>
  <c r="A242" i="4"/>
  <c r="B242" i="4" s="1"/>
  <c r="A239" i="4"/>
  <c r="B239" i="4" s="1"/>
  <c r="A238" i="4"/>
  <c r="B238" i="4" s="1"/>
  <c r="A235" i="4"/>
  <c r="B235" i="4" s="1"/>
  <c r="A234" i="4"/>
  <c r="B234" i="4" s="1"/>
  <c r="A231" i="4"/>
  <c r="B231" i="4" s="1"/>
  <c r="A230" i="4"/>
  <c r="B230" i="4" s="1"/>
  <c r="A227" i="4"/>
  <c r="B227" i="4" s="1"/>
  <c r="A226" i="4"/>
  <c r="B226" i="4" s="1"/>
  <c r="A223" i="4"/>
  <c r="B223" i="4" s="1"/>
  <c r="A222" i="4"/>
  <c r="B222" i="4" s="1"/>
  <c r="A219" i="4"/>
  <c r="B219" i="4" s="1"/>
  <c r="A218" i="4"/>
  <c r="B218" i="4" s="1"/>
  <c r="A215" i="4"/>
  <c r="B215" i="4" s="1"/>
  <c r="A214" i="4"/>
  <c r="B214" i="4" s="1"/>
  <c r="A211" i="4"/>
  <c r="B211" i="4" s="1"/>
  <c r="A210" i="4"/>
  <c r="B210" i="4" s="1"/>
  <c r="A207" i="4"/>
  <c r="B207" i="4" s="1"/>
  <c r="A206" i="4"/>
  <c r="B206" i="4" s="1"/>
  <c r="A203" i="4"/>
  <c r="B203" i="4" s="1"/>
  <c r="A202" i="4"/>
  <c r="B202" i="4" s="1"/>
  <c r="A199" i="4"/>
  <c r="B199" i="4" s="1"/>
  <c r="A198" i="4"/>
  <c r="B198" i="4" s="1"/>
  <c r="A195" i="4"/>
  <c r="B195" i="4" s="1"/>
  <c r="A194" i="4"/>
  <c r="B194" i="4" s="1"/>
  <c r="A191" i="4"/>
  <c r="B191" i="4" s="1"/>
  <c r="A190" i="4"/>
  <c r="B190" i="4" s="1"/>
  <c r="A187" i="4"/>
  <c r="B187" i="4" s="1"/>
  <c r="A186" i="4"/>
  <c r="B186" i="4" s="1"/>
  <c r="A183" i="4"/>
  <c r="B183" i="4" s="1"/>
  <c r="A182" i="4"/>
  <c r="B182" i="4" s="1"/>
  <c r="A360" i="4"/>
  <c r="B360" i="4" s="1"/>
  <c r="A356" i="4"/>
  <c r="B356" i="4" s="1"/>
  <c r="A352" i="4"/>
  <c r="B352" i="4" s="1"/>
  <c r="A348" i="4"/>
  <c r="B348" i="4" s="1"/>
  <c r="A344" i="4"/>
  <c r="B344" i="4" s="1"/>
  <c r="A340" i="4"/>
  <c r="B340" i="4" s="1"/>
  <c r="A336" i="4"/>
  <c r="B336" i="4" s="1"/>
  <c r="A332" i="4"/>
  <c r="B332" i="4" s="1"/>
  <c r="A328" i="4"/>
  <c r="B328" i="4" s="1"/>
  <c r="A324" i="4"/>
  <c r="B324" i="4" s="1"/>
  <c r="A320" i="4"/>
  <c r="B320" i="4" s="1"/>
  <c r="A316" i="4"/>
  <c r="B316" i="4" s="1"/>
  <c r="A312" i="4"/>
  <c r="B312" i="4" s="1"/>
  <c r="A308" i="4"/>
  <c r="B308" i="4" s="1"/>
  <c r="A304" i="4"/>
  <c r="B304" i="4" s="1"/>
  <c r="A300" i="4"/>
  <c r="B300" i="4" s="1"/>
  <c r="A296" i="4"/>
  <c r="B296" i="4" s="1"/>
  <c r="A293" i="4"/>
  <c r="B293" i="4" s="1"/>
  <c r="A292" i="4"/>
  <c r="B292" i="4" s="1"/>
  <c r="A289" i="4"/>
  <c r="B289" i="4" s="1"/>
  <c r="A288" i="4"/>
  <c r="B288" i="4" s="1"/>
  <c r="A285" i="4"/>
  <c r="B285" i="4" s="1"/>
  <c r="A284" i="4"/>
  <c r="B284" i="4" s="1"/>
  <c r="A281" i="4"/>
  <c r="B281" i="4" s="1"/>
  <c r="A280" i="4"/>
  <c r="B280" i="4" s="1"/>
  <c r="A277" i="4"/>
  <c r="B277" i="4" s="1"/>
  <c r="A276" i="4"/>
  <c r="B276" i="4" s="1"/>
  <c r="A273" i="4"/>
  <c r="B273" i="4" s="1"/>
  <c r="A272" i="4"/>
  <c r="B272" i="4" s="1"/>
  <c r="A269" i="4"/>
  <c r="B269" i="4" s="1"/>
  <c r="A268" i="4"/>
  <c r="B268" i="4" s="1"/>
  <c r="A265" i="4"/>
  <c r="B265" i="4" s="1"/>
  <c r="A264" i="4"/>
  <c r="B264" i="4" s="1"/>
  <c r="A261" i="4"/>
  <c r="B261" i="4" s="1"/>
  <c r="A260" i="4"/>
  <c r="B260" i="4" s="1"/>
  <c r="A257" i="4"/>
  <c r="B257" i="4" s="1"/>
  <c r="A256" i="4"/>
  <c r="B256" i="4" s="1"/>
  <c r="A253" i="4"/>
  <c r="B253" i="4" s="1"/>
  <c r="A252" i="4"/>
  <c r="B252" i="4" s="1"/>
  <c r="A249" i="4"/>
  <c r="B249" i="4" s="1"/>
  <c r="A248" i="4"/>
  <c r="B248" i="4" s="1"/>
  <c r="A245" i="4"/>
  <c r="B245" i="4" s="1"/>
  <c r="A244" i="4"/>
  <c r="B244" i="4" s="1"/>
  <c r="A241" i="4"/>
  <c r="B241" i="4" s="1"/>
  <c r="A240" i="4"/>
  <c r="B240" i="4" s="1"/>
  <c r="A237" i="4"/>
  <c r="B237" i="4" s="1"/>
  <c r="A236" i="4"/>
  <c r="B236" i="4" s="1"/>
  <c r="A233" i="4"/>
  <c r="B233" i="4" s="1"/>
  <c r="A232" i="4"/>
  <c r="B232" i="4" s="1"/>
  <c r="A229" i="4"/>
  <c r="B229" i="4" s="1"/>
  <c r="A228" i="4"/>
  <c r="B228" i="4" s="1"/>
  <c r="A225" i="4"/>
  <c r="B225" i="4" s="1"/>
  <c r="A224" i="4"/>
  <c r="B224" i="4" s="1"/>
  <c r="A221" i="4"/>
  <c r="B221" i="4" s="1"/>
  <c r="A220" i="4"/>
  <c r="B220" i="4" s="1"/>
  <c r="A217" i="4"/>
  <c r="B217" i="4" s="1"/>
  <c r="A216" i="4"/>
  <c r="B216" i="4" s="1"/>
  <c r="A213" i="4"/>
  <c r="B213" i="4" s="1"/>
  <c r="A212" i="4"/>
  <c r="B212" i="4" s="1"/>
  <c r="A209" i="4"/>
  <c r="B209" i="4" s="1"/>
  <c r="A208" i="4"/>
  <c r="B208" i="4" s="1"/>
  <c r="A205" i="4"/>
  <c r="B205" i="4" s="1"/>
  <c r="A204" i="4"/>
  <c r="B204" i="4" s="1"/>
  <c r="A201" i="4"/>
  <c r="B201" i="4" s="1"/>
  <c r="A200" i="4"/>
  <c r="B200" i="4" s="1"/>
  <c r="A197" i="4"/>
  <c r="B197" i="4" s="1"/>
  <c r="A196" i="4"/>
  <c r="B196" i="4" s="1"/>
  <c r="A193" i="4"/>
  <c r="B193" i="4" s="1"/>
  <c r="A192" i="4"/>
  <c r="B192" i="4" s="1"/>
  <c r="A189" i="4"/>
  <c r="B189" i="4" s="1"/>
  <c r="A188" i="4"/>
  <c r="B188" i="4" s="1"/>
  <c r="A185" i="4"/>
  <c r="B185" i="4" s="1"/>
  <c r="A184" i="4"/>
  <c r="B184" i="4" s="1"/>
  <c r="A180" i="4"/>
  <c r="B180" i="4" s="1"/>
  <c r="A176" i="4"/>
  <c r="B176" i="4" s="1"/>
  <c r="A172" i="4"/>
  <c r="B172" i="4" s="1"/>
  <c r="A168" i="4"/>
  <c r="B168" i="4" s="1"/>
  <c r="A164" i="4"/>
  <c r="B164" i="4" s="1"/>
  <c r="A160" i="4"/>
  <c r="B160" i="4" s="1"/>
  <c r="A156" i="4"/>
  <c r="B156" i="4" s="1"/>
  <c r="A152" i="4"/>
  <c r="B152" i="4" s="1"/>
  <c r="A150" i="4"/>
  <c r="B150" i="4" s="1"/>
  <c r="A147" i="4"/>
  <c r="B147" i="4" s="1"/>
  <c r="A146" i="4"/>
  <c r="B146" i="4" s="1"/>
  <c r="A143" i="4"/>
  <c r="B143" i="4" s="1"/>
  <c r="A142" i="4"/>
  <c r="B142" i="4" s="1"/>
  <c r="A139" i="4"/>
  <c r="B139" i="4" s="1"/>
  <c r="A138" i="4"/>
  <c r="B138" i="4" s="1"/>
  <c r="A135" i="4"/>
  <c r="B135" i="4" s="1"/>
  <c r="A134" i="4"/>
  <c r="B134" i="4" s="1"/>
  <c r="A131" i="4"/>
  <c r="B131" i="4" s="1"/>
  <c r="A130" i="4"/>
  <c r="B130" i="4" s="1"/>
  <c r="A127" i="4"/>
  <c r="B127" i="4" s="1"/>
  <c r="A126" i="4"/>
  <c r="B126" i="4" s="1"/>
  <c r="A123" i="4"/>
  <c r="B123" i="4" s="1"/>
  <c r="A122" i="4"/>
  <c r="B122" i="4" s="1"/>
  <c r="A119" i="4"/>
  <c r="B119" i="4" s="1"/>
  <c r="A118" i="4"/>
  <c r="B118" i="4" s="1"/>
  <c r="A115" i="4"/>
  <c r="B115" i="4" s="1"/>
  <c r="A114" i="4"/>
  <c r="B114" i="4" s="1"/>
  <c r="A111" i="4"/>
  <c r="B111" i="4" s="1"/>
  <c r="A110" i="4"/>
  <c r="B110" i="4" s="1"/>
  <c r="A107" i="4"/>
  <c r="B107" i="4" s="1"/>
  <c r="A106" i="4"/>
  <c r="B106" i="4" s="1"/>
  <c r="A103" i="4"/>
  <c r="B103" i="4" s="1"/>
  <c r="A102" i="4"/>
  <c r="B102" i="4" s="1"/>
  <c r="A99" i="4"/>
  <c r="B99" i="4" s="1"/>
  <c r="A98" i="4"/>
  <c r="B98" i="4" s="1"/>
  <c r="A95" i="4"/>
  <c r="B95" i="4" s="1"/>
  <c r="A94" i="4"/>
  <c r="B94" i="4" s="1"/>
  <c r="A178" i="4"/>
  <c r="B178" i="4" s="1"/>
  <c r="A174" i="4"/>
  <c r="B174" i="4" s="1"/>
  <c r="A170" i="4"/>
  <c r="B170" i="4" s="1"/>
  <c r="A166" i="4"/>
  <c r="B166" i="4" s="1"/>
  <c r="A162" i="4"/>
  <c r="B162" i="4" s="1"/>
  <c r="A158" i="4"/>
  <c r="B158" i="4" s="1"/>
  <c r="A154" i="4"/>
  <c r="B154" i="4" s="1"/>
  <c r="A149" i="4"/>
  <c r="B149" i="4" s="1"/>
  <c r="A148" i="4"/>
  <c r="B148" i="4" s="1"/>
  <c r="A145" i="4"/>
  <c r="B145" i="4" s="1"/>
  <c r="A144" i="4"/>
  <c r="B144" i="4" s="1"/>
  <c r="A141" i="4"/>
  <c r="B141" i="4" s="1"/>
  <c r="A140" i="4"/>
  <c r="B140" i="4" s="1"/>
  <c r="A137" i="4"/>
  <c r="B137" i="4" s="1"/>
  <c r="A136" i="4"/>
  <c r="B136" i="4" s="1"/>
  <c r="A133" i="4"/>
  <c r="B133" i="4" s="1"/>
  <c r="A132" i="4"/>
  <c r="B132" i="4" s="1"/>
  <c r="A129" i="4"/>
  <c r="B129" i="4" s="1"/>
  <c r="A128" i="4"/>
  <c r="B128" i="4" s="1"/>
  <c r="A125" i="4"/>
  <c r="B125" i="4" s="1"/>
  <c r="A124" i="4"/>
  <c r="B124" i="4" s="1"/>
  <c r="A121" i="4"/>
  <c r="B121" i="4" s="1"/>
  <c r="A120" i="4"/>
  <c r="B120" i="4" s="1"/>
  <c r="A117" i="4"/>
  <c r="B117" i="4" s="1"/>
  <c r="A116" i="4"/>
  <c r="B116" i="4" s="1"/>
  <c r="A113" i="4"/>
  <c r="B113" i="4" s="1"/>
  <c r="A112" i="4"/>
  <c r="B112" i="4" s="1"/>
  <c r="A109" i="4"/>
  <c r="B109" i="4" s="1"/>
  <c r="A108" i="4"/>
  <c r="B108" i="4" s="1"/>
  <c r="A105" i="4"/>
  <c r="B105" i="4" s="1"/>
  <c r="A104" i="4"/>
  <c r="B104" i="4" s="1"/>
  <c r="A101" i="4"/>
  <c r="B101" i="4" s="1"/>
  <c r="A100" i="4"/>
  <c r="B100" i="4" s="1"/>
  <c r="A97" i="4"/>
  <c r="B97" i="4" s="1"/>
  <c r="A96" i="4"/>
  <c r="B96" i="4" s="1"/>
  <c r="A93" i="4"/>
  <c r="B93" i="4" s="1"/>
  <c r="A92" i="4"/>
  <c r="B92" i="4" s="1"/>
  <c r="A87" i="4"/>
  <c r="B87" i="4" s="1"/>
  <c r="A83" i="4"/>
  <c r="B83" i="4" s="1"/>
  <c r="A79" i="4"/>
  <c r="B79" i="4" s="1"/>
  <c r="A76" i="4"/>
  <c r="B76" i="4" s="1"/>
  <c r="A75" i="4"/>
  <c r="B75" i="4" s="1"/>
  <c r="A72" i="4"/>
  <c r="B72" i="4" s="1"/>
  <c r="A71" i="4"/>
  <c r="B71" i="4" s="1"/>
  <c r="A68" i="4"/>
  <c r="B68" i="4" s="1"/>
  <c r="A67" i="4"/>
  <c r="B67" i="4" s="1"/>
  <c r="A64" i="4"/>
  <c r="B64" i="4" s="1"/>
  <c r="A63" i="4"/>
  <c r="B63" i="4" s="1"/>
  <c r="A60" i="4"/>
  <c r="B60" i="4" s="1"/>
  <c r="A59" i="4"/>
  <c r="B59" i="4" s="1"/>
  <c r="A56" i="4"/>
  <c r="B56" i="4" s="1"/>
  <c r="A55" i="4"/>
  <c r="B55" i="4" s="1"/>
  <c r="A52" i="4"/>
  <c r="B52" i="4" s="1"/>
  <c r="A51" i="4"/>
  <c r="B51" i="4" s="1"/>
  <c r="A48" i="4"/>
  <c r="B48" i="4" s="1"/>
  <c r="A47" i="4"/>
  <c r="B47" i="4" s="1"/>
  <c r="A89" i="4"/>
  <c r="B89" i="4" s="1"/>
  <c r="A85" i="4"/>
  <c r="B85" i="4" s="1"/>
  <c r="A81" i="4"/>
  <c r="B81" i="4" s="1"/>
  <c r="A77" i="4"/>
  <c r="B77" i="4" s="1"/>
  <c r="A74" i="4"/>
  <c r="B74" i="4" s="1"/>
  <c r="A73" i="4"/>
  <c r="B73" i="4" s="1"/>
  <c r="A70" i="4"/>
  <c r="B70" i="4" s="1"/>
  <c r="A69" i="4"/>
  <c r="B69" i="4" s="1"/>
  <c r="A66" i="4"/>
  <c r="B66" i="4" s="1"/>
  <c r="A65" i="4"/>
  <c r="B65" i="4" s="1"/>
  <c r="A62" i="4"/>
  <c r="B62" i="4" s="1"/>
  <c r="A61" i="4"/>
  <c r="B61" i="4" s="1"/>
  <c r="A58" i="4"/>
  <c r="B58" i="4" s="1"/>
  <c r="A57" i="4"/>
  <c r="B57" i="4" s="1"/>
  <c r="A54" i="4"/>
  <c r="B54" i="4" s="1"/>
  <c r="A53" i="4"/>
  <c r="B53" i="4" s="1"/>
  <c r="A50" i="4"/>
  <c r="B50" i="4" s="1"/>
  <c r="A49" i="4"/>
  <c r="B49" i="4" s="1"/>
  <c r="A44" i="4"/>
  <c r="B44" i="4" s="1"/>
  <c r="A40" i="4"/>
  <c r="B40" i="4" s="1"/>
  <c r="A37" i="4"/>
  <c r="B37" i="4" s="1"/>
  <c r="A36" i="4"/>
  <c r="B36" i="4" s="1"/>
  <c r="A33" i="4"/>
  <c r="B33" i="4" s="1"/>
  <c r="A32" i="4"/>
  <c r="B32" i="4" s="1"/>
  <c r="A29" i="4"/>
  <c r="B29" i="4" s="1"/>
  <c r="A28" i="4"/>
  <c r="B28" i="4" s="1"/>
  <c r="A26" i="4"/>
  <c r="B26" i="4" s="1"/>
  <c r="A46" i="4"/>
  <c r="B46" i="4" s="1"/>
  <c r="A42" i="4"/>
  <c r="B42" i="4" s="1"/>
  <c r="A38" i="4"/>
  <c r="B38" i="4" s="1"/>
  <c r="A35" i="4"/>
  <c r="B35" i="4" s="1"/>
  <c r="A34" i="4"/>
  <c r="B34" i="4" s="1"/>
  <c r="A31" i="4"/>
  <c r="B31" i="4" s="1"/>
  <c r="A30" i="4"/>
  <c r="B30" i="4" s="1"/>
  <c r="A27" i="4"/>
  <c r="B27" i="4" s="1"/>
  <c r="A24" i="4"/>
  <c r="B24" i="4" s="1"/>
  <c r="A20" i="4"/>
  <c r="B20" i="4" s="1"/>
  <c r="A15" i="4"/>
  <c r="B15" i="4" s="1"/>
  <c r="A14" i="4"/>
  <c r="B14" i="4" s="1"/>
  <c r="A11" i="4"/>
  <c r="B11" i="4" s="1"/>
  <c r="A10" i="4"/>
  <c r="B10" i="4" s="1"/>
  <c r="A7" i="4"/>
  <c r="B7" i="4" s="1"/>
  <c r="A6" i="4"/>
  <c r="B6" i="4" s="1"/>
  <c r="A3" i="4"/>
  <c r="B3" i="4" s="1"/>
  <c r="A2" i="4"/>
  <c r="B2" i="4" s="1"/>
  <c r="A22" i="4"/>
  <c r="B22" i="4" s="1"/>
  <c r="A18" i="4"/>
  <c r="B18" i="4" s="1"/>
  <c r="A16" i="4"/>
  <c r="B16" i="4" s="1"/>
  <c r="A13" i="4"/>
  <c r="B13" i="4" s="1"/>
  <c r="A12" i="4"/>
  <c r="B12" i="4" s="1"/>
  <c r="A9" i="4"/>
  <c r="B9" i="4" s="1"/>
  <c r="A8" i="4"/>
  <c r="B8" i="4" s="1"/>
  <c r="A5" i="4"/>
  <c r="B5" i="4" s="1"/>
  <c r="A4" i="4"/>
  <c r="B4" i="4" s="1"/>
  <c r="D45" i="7" l="1"/>
  <c r="E45" i="7"/>
  <c r="G45" i="7"/>
  <c r="H25" i="7"/>
  <c r="D25" i="7"/>
  <c r="F25" i="7"/>
  <c r="G38" i="7"/>
  <c r="H38" i="7"/>
  <c r="H47" i="7"/>
  <c r="G47" i="7"/>
  <c r="C47" i="7"/>
  <c r="E23" i="7"/>
  <c r="F23" i="7"/>
  <c r="G23" i="7"/>
  <c r="E11" i="7"/>
  <c r="G11" i="7"/>
  <c r="C11" i="7"/>
  <c r="G44" i="7"/>
  <c r="E44" i="7"/>
  <c r="F44" i="7"/>
  <c r="C28" i="7"/>
  <c r="H28" i="7"/>
  <c r="D28" i="7"/>
  <c r="F12" i="7"/>
  <c r="E12" i="7"/>
  <c r="D12" i="7"/>
  <c r="D49" i="7"/>
  <c r="H49" i="7"/>
  <c r="C49" i="7"/>
  <c r="G33" i="7"/>
  <c r="C33" i="7"/>
  <c r="D33" i="7"/>
  <c r="H21" i="7"/>
  <c r="F21" i="7"/>
  <c r="E21" i="7"/>
  <c r="G51" i="7"/>
  <c r="H51" i="7"/>
  <c r="C51" i="7"/>
  <c r="D35" i="7"/>
  <c r="E35" i="7"/>
  <c r="H35" i="7"/>
  <c r="E15" i="7"/>
  <c r="F15" i="7"/>
  <c r="G15" i="7"/>
  <c r="F52" i="7"/>
  <c r="E52" i="7"/>
  <c r="D52" i="7"/>
  <c r="E32" i="7"/>
  <c r="C32" i="7"/>
  <c r="H32" i="7"/>
  <c r="G16" i="7"/>
  <c r="D16" i="7"/>
  <c r="F16" i="7"/>
  <c r="F46" i="7"/>
  <c r="C46" i="7"/>
  <c r="G46" i="7"/>
  <c r="G34" i="7"/>
  <c r="E34" i="7"/>
  <c r="C34" i="7"/>
  <c r="F26" i="7"/>
  <c r="C26" i="7"/>
  <c r="G26" i="7"/>
  <c r="C18" i="7"/>
  <c r="F18" i="7"/>
  <c r="D18" i="7"/>
  <c r="E10" i="7"/>
  <c r="D10" i="7"/>
  <c r="F10" i="7"/>
  <c r="H37" i="7"/>
  <c r="C37" i="7"/>
  <c r="G37" i="7"/>
  <c r="H3" i="7"/>
  <c r="D3" i="7"/>
  <c r="E3" i="7"/>
  <c r="C17" i="7"/>
  <c r="H17" i="7"/>
  <c r="D17" i="7"/>
  <c r="G4" i="7"/>
  <c r="H4" i="7"/>
  <c r="E4" i="7"/>
  <c r="E39" i="7"/>
  <c r="F39" i="7"/>
  <c r="G39" i="7"/>
  <c r="C19" i="7"/>
  <c r="H19" i="7"/>
  <c r="F19" i="7"/>
  <c r="E48" i="7"/>
  <c r="G48" i="7"/>
  <c r="H48" i="7"/>
  <c r="C36" i="7"/>
  <c r="H36" i="7"/>
  <c r="D36" i="7"/>
  <c r="D20" i="7"/>
  <c r="E20" i="7"/>
  <c r="F20" i="7"/>
  <c r="C6" i="7"/>
  <c r="G6" i="7"/>
  <c r="H6" i="7"/>
  <c r="C41" i="7"/>
  <c r="H41" i="7"/>
  <c r="D41" i="7"/>
  <c r="H29" i="7"/>
  <c r="F29" i="7"/>
  <c r="G29" i="7"/>
  <c r="G13" i="7"/>
  <c r="H13" i="7"/>
  <c r="D13" i="7"/>
  <c r="H43" i="7"/>
  <c r="G43" i="7"/>
  <c r="C43" i="7"/>
  <c r="F27" i="7"/>
  <c r="H27" i="7"/>
  <c r="D27" i="7"/>
  <c r="C7" i="7"/>
  <c r="D7" i="7"/>
  <c r="E7" i="7"/>
  <c r="H40" i="7"/>
  <c r="C40" i="7"/>
  <c r="F40" i="7"/>
  <c r="F24" i="7"/>
  <c r="C24" i="7"/>
  <c r="G24" i="7"/>
  <c r="E8" i="7"/>
  <c r="C8" i="7"/>
  <c r="G8" i="7"/>
  <c r="C50" i="7"/>
  <c r="D50" i="7"/>
  <c r="E50" i="7"/>
  <c r="D42" i="7"/>
  <c r="E42" i="7"/>
  <c r="F42" i="7"/>
  <c r="H30" i="7"/>
  <c r="G30" i="7"/>
  <c r="C30" i="7"/>
  <c r="H22" i="7"/>
  <c r="C22" i="7"/>
  <c r="F22" i="7"/>
  <c r="E14" i="7"/>
  <c r="G14" i="7"/>
  <c r="H14" i="7"/>
  <c r="G5" i="7"/>
  <c r="C5" i="7"/>
  <c r="E5" i="7"/>
  <c r="C31" i="7"/>
  <c r="D31" i="7"/>
  <c r="E31" i="7"/>
  <c r="C9" i="7"/>
  <c r="H9" i="7"/>
  <c r="D9" i="7"/>
  <c r="G19" i="7"/>
  <c r="D48" i="7"/>
  <c r="C48" i="7"/>
  <c r="F36" i="7"/>
  <c r="C20" i="7"/>
  <c r="G20" i="7"/>
  <c r="F6" i="7"/>
  <c r="E41" i="7"/>
  <c r="F41" i="7"/>
  <c r="D29" i="7"/>
  <c r="E13" i="7"/>
  <c r="D43" i="7"/>
  <c r="E43" i="7"/>
  <c r="G27" i="7"/>
  <c r="F7" i="7"/>
  <c r="H7" i="7"/>
  <c r="D40" i="7"/>
  <c r="H24" i="7"/>
  <c r="E24" i="7"/>
  <c r="D8" i="7"/>
  <c r="G50" i="7"/>
  <c r="F50" i="7"/>
  <c r="H42" i="7"/>
  <c r="D30" i="7"/>
  <c r="E30" i="7"/>
  <c r="D22" i="7"/>
  <c r="D14" i="7"/>
  <c r="C14" i="7"/>
  <c r="F5" i="7"/>
  <c r="F31" i="7"/>
  <c r="H31" i="7"/>
  <c r="G9" i="7"/>
  <c r="E38" i="7"/>
  <c r="F45" i="7"/>
  <c r="C45" i="7"/>
  <c r="H45" i="7"/>
  <c r="E25" i="7"/>
  <c r="G25" i="7"/>
  <c r="C25" i="7"/>
  <c r="D38" i="7"/>
  <c r="F38" i="7"/>
  <c r="C38" i="7"/>
  <c r="D47" i="7"/>
  <c r="E47" i="7"/>
  <c r="F47" i="7"/>
  <c r="C23" i="7"/>
  <c r="D23" i="7"/>
  <c r="H23" i="7"/>
  <c r="D11" i="7"/>
  <c r="F11" i="7"/>
  <c r="H11" i="7"/>
  <c r="C44" i="7"/>
  <c r="H44" i="7"/>
  <c r="D44" i="7"/>
  <c r="E28" i="7"/>
  <c r="F28" i="7"/>
  <c r="G28" i="7"/>
  <c r="C12" i="7"/>
  <c r="H12" i="7"/>
  <c r="G12" i="7"/>
  <c r="E49" i="7"/>
  <c r="G49" i="7"/>
  <c r="F49" i="7"/>
  <c r="H33" i="7"/>
  <c r="E33" i="7"/>
  <c r="F33" i="7"/>
  <c r="G21" i="7"/>
  <c r="C21" i="7"/>
  <c r="D21" i="7"/>
  <c r="B21" i="7" s="1"/>
  <c r="D51" i="7"/>
  <c r="F51" i="7"/>
  <c r="E51" i="7"/>
  <c r="G35" i="7"/>
  <c r="C35" i="7"/>
  <c r="F35" i="7"/>
  <c r="C15" i="7"/>
  <c r="D15" i="7"/>
  <c r="H15" i="7"/>
  <c r="C52" i="7"/>
  <c r="H52" i="7"/>
  <c r="G52" i="7"/>
  <c r="G32" i="7"/>
  <c r="D32" i="7"/>
  <c r="F32" i="7"/>
  <c r="C16" i="7"/>
  <c r="H16" i="7"/>
  <c r="E16" i="7"/>
  <c r="H46" i="7"/>
  <c r="D46" i="7"/>
  <c r="E46" i="7"/>
  <c r="H34" i="7"/>
  <c r="D34" i="7"/>
  <c r="F34" i="7"/>
  <c r="D26" i="7"/>
  <c r="E26" i="7"/>
  <c r="H26" i="7"/>
  <c r="H18" i="7"/>
  <c r="G18" i="7"/>
  <c r="E18" i="7"/>
  <c r="G10" i="7"/>
  <c r="H10" i="7"/>
  <c r="C10" i="7"/>
  <c r="F37" i="7"/>
  <c r="E37" i="7"/>
  <c r="D37" i="7"/>
  <c r="G3" i="7"/>
  <c r="C3" i="7"/>
  <c r="F3" i="7"/>
  <c r="E17" i="7"/>
  <c r="G17" i="7"/>
  <c r="F17" i="7"/>
  <c r="D4" i="7"/>
  <c r="F4" i="7"/>
  <c r="C4" i="7"/>
  <c r="C39" i="7"/>
  <c r="D39" i="7"/>
  <c r="H39" i="7"/>
  <c r="D19" i="7"/>
  <c r="E19" i="7"/>
  <c r="F48" i="7"/>
  <c r="E36" i="7"/>
  <c r="G36" i="7"/>
  <c r="H20" i="7"/>
  <c r="D6" i="7"/>
  <c r="E6" i="7"/>
  <c r="G41" i="7"/>
  <c r="C29" i="7"/>
  <c r="E29" i="7"/>
  <c r="F13" i="7"/>
  <c r="C13" i="7"/>
  <c r="F43" i="7"/>
  <c r="E27" i="7"/>
  <c r="C27" i="7"/>
  <c r="G7" i="7"/>
  <c r="G40" i="7"/>
  <c r="E40" i="7"/>
  <c r="D24" i="7"/>
  <c r="H8" i="7"/>
  <c r="F8" i="7"/>
  <c r="H50" i="7"/>
  <c r="G42" i="7"/>
  <c r="C42" i="7"/>
  <c r="F30" i="7"/>
  <c r="G22" i="7"/>
  <c r="E22" i="7"/>
  <c r="F14" i="7"/>
  <c r="H5" i="7"/>
  <c r="D5" i="7"/>
  <c r="G31" i="7"/>
  <c r="E9" i="7"/>
  <c r="F9" i="7"/>
  <c r="B24" i="7" l="1"/>
  <c r="B5" i="7"/>
  <c r="B6" i="7"/>
  <c r="B19" i="7"/>
  <c r="B39" i="7"/>
  <c r="B4" i="7"/>
  <c r="B34" i="7"/>
  <c r="B44" i="7"/>
  <c r="B38" i="7"/>
  <c r="B37" i="7"/>
  <c r="B46" i="7"/>
  <c r="B32" i="7"/>
  <c r="B15" i="7"/>
  <c r="B11" i="7"/>
  <c r="B23" i="7"/>
  <c r="B47" i="7"/>
  <c r="B14" i="7"/>
  <c r="B40" i="7"/>
  <c r="B36" i="7"/>
  <c r="B16" i="7"/>
  <c r="B33" i="7"/>
  <c r="B12" i="7"/>
  <c r="B26" i="7"/>
  <c r="B51" i="7"/>
  <c r="B22" i="7"/>
  <c r="B30" i="7"/>
  <c r="B8" i="7"/>
  <c r="B43" i="7"/>
  <c r="B29" i="7"/>
  <c r="B48" i="7"/>
  <c r="B9" i="7"/>
  <c r="B31" i="7"/>
  <c r="B42" i="7"/>
  <c r="B50" i="7"/>
  <c r="B7" i="7"/>
  <c r="B27" i="7"/>
  <c r="B13" i="7"/>
  <c r="B41" i="7"/>
  <c r="B20" i="7"/>
  <c r="B17" i="7"/>
  <c r="B3" i="7"/>
  <c r="B10" i="7"/>
  <c r="B18" i="7"/>
  <c r="B52" i="7"/>
  <c r="B35" i="7"/>
  <c r="B49" i="7"/>
  <c r="B28" i="7"/>
  <c r="B25" i="7"/>
  <c r="B45" i="7"/>
</calcChain>
</file>

<file path=xl/comments1.xml><?xml version="1.0" encoding="utf-8"?>
<comments xmlns="http://schemas.openxmlformats.org/spreadsheetml/2006/main">
  <authors>
    <author>Windows User</author>
  </authors>
  <commentList>
    <comment ref="AA7" authorId="0">
      <text>
        <r>
          <rPr>
            <sz val="9"/>
            <color indexed="81"/>
            <rFont val="Tahoma"/>
            <family val="2"/>
          </rPr>
          <t>Indicates details of the usage selected for pin:
- Unused
- GPIO
- 0, 1, 2 or 3 (if SFIO)
Pinmux register field selects one of the 4 possible functions (SFIO[3:0]) if value is 0 to 3.  If Unused or GPIO, an SFIO setting must still be chosen and must not conflict with settings for the other pins.  Conflicts can occur if same controller is assigned to multiple pins, even if one set is not actually used in a design or set as GPIO.  Conflicts would be internal, but may adversely affect controller functionality.</t>
        </r>
      </text>
    </comment>
    <comment ref="AB7" authorId="0">
      <text>
        <r>
          <rPr>
            <sz val="9"/>
            <color indexed="81"/>
            <rFont val="Tahoma"/>
            <family val="2"/>
          </rPr>
          <t>Indicates basic ussge selected for pin:
- Unused
- GPIO
- SFIO
Not used directly by SW, but a step towards generating PINMUX column</t>
        </r>
      </text>
    </comment>
    <comment ref="AC7" authorId="0">
      <text>
        <r>
          <rPr>
            <sz val="9"/>
            <color indexed="81"/>
            <rFont val="Tahoma"/>
            <family val="2"/>
          </rPr>
          <t>Indicates whether function is SDMMC CMD/DATA.  Not used directly by SW, but to help generate values in PU/PD column.  Internal PU assumed if function is SDMMC CMD/DATA, unless customer enters external resistor value in Ext PU/PD Value columns.</t>
        </r>
      </text>
    </comment>
    <comment ref="AD7" authorId="0">
      <text>
        <r>
          <rPr>
            <sz val="9"/>
            <color indexed="81"/>
            <rFont val="Tahoma"/>
            <family val="2"/>
          </rPr>
          <t xml:space="preserve">Indicates setting for Pinmux register TRISTATE parameter.  Current function has TRISTATE disabled (NORMAL, output can drive) if pin is GPIO and "Req. Initial State" is Drive 0/1, otherwise, ENABLED (output tristated). </t>
        </r>
      </text>
    </comment>
    <comment ref="AE7" authorId="0">
      <text>
        <r>
          <rPr>
            <sz val="9"/>
            <color indexed="81"/>
            <rFont val="Tahoma"/>
            <family val="2"/>
          </rPr>
          <t xml:space="preserve">Indicates setting for Pinmux register E_INPUT parameter.  Will set E_INPUT to "DISABLE" if pin is unused or "GPIO Dir" column has "Out".  Set to ENABLE if "Type" is "SFIO", or "GPIO Dir" is "In" or "Bidir".
Currently, the inputs are not disabled if selection is SFIO type.  Ideally, the E_INPUT could be disabled for truly output only functions.  This is not obvious by just knowing the function, however, and a table may be required that maps functions to whether they require inputs enabled.
</t>
        </r>
      </text>
    </comment>
    <comment ref="AF7" authorId="0">
      <text>
        <r>
          <rPr>
            <sz val="9"/>
            <color indexed="81"/>
            <rFont val="Tahoma"/>
            <family val="2"/>
          </rPr>
          <t>Indicates setting for Pinmux register PU/PD parameter.
Selects Pull-up if
- "SDMMC DAT/CMD" column value is Yes and "Ext PU/PD Value" column values are blank
- "Req. Initial State" is Int PU and Ext PU/PD Value" column values are blank
Selects Pull-down if
- "Req. Initial State" is Int PD and Ext PU/PD Value" column values are blank
Selects NORMAL (no PU/PD) if
- Pin is unused
- "Req. Initial State" is Int Drive 1, Drive 0, Z, na or blank
- "Ext PU/PD Value" column values are not blank</t>
        </r>
      </text>
    </comment>
    <comment ref="AG7" authorId="0">
      <text>
        <r>
          <rPr>
            <sz val="9"/>
            <color indexed="81"/>
            <rFont val="Tahoma"/>
            <family val="2"/>
          </rPr>
          <t xml:space="preserve">Indicates whether OD should be enabled or not.  Only applicable for few pads (I2C &amp; CEC).  Others are Gray'd out indicating the OD option is not available.  OD is enabled if function is I2C on one of these pads (CEC not supported at this time).  </t>
        </r>
      </text>
    </comment>
    <comment ref="AH7" authorId="0">
      <text>
        <r>
          <rPr>
            <sz val="9"/>
            <color indexed="81"/>
            <rFont val="Tahoma"/>
            <family val="2"/>
          </rPr>
          <t xml:space="preserve">Indicates setting for GPIO Port Enable registers.  Current function has TRISTATE (output disabled - GPI mode) if pin is unused or if "GPIO Dir" column has "In", otherwise sets to DRIVEN (Output enabled - GPO mode). </t>
        </r>
      </text>
    </comment>
    <comment ref="AI7" authorId="0">
      <text>
        <r>
          <rPr>
            <sz val="9"/>
            <color indexed="81"/>
            <rFont val="Tahoma"/>
            <family val="2"/>
          </rPr>
          <t xml:space="preserve">Indicates setting for GPIO Port Output Value registers.  Current function has HIGH unless "Req. Initial State" is "Drive 0" in which case it is LOW. </t>
        </r>
      </text>
    </comment>
    <comment ref="AJ7" authorId="0">
      <text>
        <r>
          <rPr>
            <sz val="9"/>
            <color indexed="81"/>
            <rFont val="Tahoma"/>
            <family val="2"/>
          </rPr>
          <t>Select function of pin to be either Unused, GPIO, SFIO0/1/2/3 using pulldown menu for each orange cell, or copy from corresponding cell to the left (same row) and paste value.  
Copy &amp; pasting can make it easier tochange select sections of pins quickly instead of having to select from dropdown menu one by one.  Care must be taken to choose the correct cell from the same row and to use paste value only.
A Warning (Bright orange highlighted cell) indicates that cell is one of the OD type which has limited functions as a GPIO and may not be suitable.  These Cells have no capability to drive high, and only internal pulldown capabilities.</t>
        </r>
      </text>
    </comment>
    <comment ref="AK7" authorId="0">
      <text>
        <r>
          <rPr>
            <sz val="9"/>
            <color indexed="81"/>
            <rFont val="Tahoma"/>
            <family val="2"/>
          </rPr>
          <t xml:space="preserve">Used if pin is selected to be GPIO.  Choose either In (Input), Out (Output) or Bidir (Bidirectional - Input &amp; Output capable) from dropdown list depending on the desired direction of the GPIO.  Dark gray means cell has no GPIO capability.
Warning Formula(s)
Mid level warning (highlight in orange) if 
- "POR: Pin State After Reset" is ("0" OR "1" OR "Toggle") AND ("GPIO Dir" is "In")
  o =OR(AND($AH11="In",$Y11="0"),AND($AH11="In",$Y11="1"),AND($AH11="In",$Y11="Toggle"))
</t>
        </r>
      </text>
    </comment>
    <comment ref="AL7" authorId="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1 Not tristate, output set high
- Drive 1 Not tristate, output set low
- na State not critical (true for inputs, or where initial output state is don't care)
Dark gray means cell has no GPIO capability.
Warning Formula(s)
Mid level warning (highlight in orange) if 
- "POR: Pin State After Reset" is "0" AND "Req. Initial State" is "Drive 1" OR "Int PU"
  o =OR(AND($Y11="0",$AI11="Drive 1"),AND($Y11="0",$AI11="Int PU"),AND
       ($Y11="pd",$AI11="Drive 1"),AND($Y11="pd",$AI11="Int PU"))
- "POR: Pin State After Reset" is "1" AND "Req. Initial State" is "Drive 0" OR "Int PD"
  o =OR(AND($Y11="1",$AI11="Drive 0"),AND($Y11="1",$AI11="Int PD"),AND
     ($Y11="pu",$AI11="Drive 0"),AND($Y11="pu",$AI11="Int PD"))
</t>
        </r>
      </text>
    </comment>
    <comment ref="AM7" authorId="0">
      <text>
        <r>
          <rPr>
            <sz val="9"/>
            <color indexed="81"/>
            <rFont val="Tahoma"/>
            <family val="2"/>
          </rPr>
          <t>For pins that support Wake capability (orange, not gray), select whether pin will be used as wake or not by selecting Yes (will be used as wake) or No (will not be used as wake) using dropdown list</t>
        </r>
      </text>
    </comment>
    <comment ref="AN7" authorId="0">
      <text>
        <r>
          <rPr>
            <sz val="9"/>
            <color indexed="81"/>
            <rFont val="Tahoma"/>
            <family val="2"/>
          </rPr>
          <t xml:space="preserve">Enter the numeric value (in K ohms) of external pull-up (PU) if one will be used in a design.  Typically external pull-ups are not required on SDMMCx_CMD/DATA pins as the internal resistors are adequate.  If an external resistor value is added to any of the cells in this column, the internal PU/PD resistors are disabled.
Warning Formula(s)
Low level warning (highlight in yellow) if 
- “GPIO Dir" is "Out" AND "Ext PU Value" not blank
- "POR: Pin State After Reset" is "pd" OR "0" AND "Ext PU Value" is not blank
</t>
        </r>
      </text>
    </comment>
    <comment ref="AO7" authorId="0">
      <text>
        <r>
          <rPr>
            <sz val="9"/>
            <color indexed="81"/>
            <rFont val="Tahoma"/>
            <family val="2"/>
          </rPr>
          <t>Enter numeric value (in K ohms) of external pull-down (PD) if one will be used in a design.  If an external resistor value is added to any of the cells in this column, the internal PU/PD resistors are disabled.
Warning Formula(s)
Low level warning (highlight in yellow) if 
- “GPIO Dir" is "Out" AND "Ext PD Value" not blank
- "POR: Pin State After Reset" is "pu" OR "0" AND "Ext PD Value" is not blank</t>
        </r>
      </text>
    </comment>
    <comment ref="AP7" authorId="0">
      <text>
        <r>
          <rPr>
            <sz val="9"/>
            <color indexed="81"/>
            <rFont val="Tahoma"/>
            <family val="2"/>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1 Not tristate, output set high
- Drive 0 Not tristate, output set low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Dark gray means cell has no GPIO capability.
Warning Formula(s)
Mid level warning (highlight in orange) if 
- "After Wake"="reset", "Req. Deep Sleep State" is "Drive 0" AND "POR: Pin State After Reset" is not "0" OR "pd"
- "After Wake"="reset", "Req. Deep Sleep State" is "Drive 1" AND "POR: Pin State After Reset" is not "1" OR "pu"
- If "After Wake"="reset", "Req. Deep Sleep State" is "Int PD"  AND "POR: Pin State After Reset" is not "0" OR "pd"
- "After Wake"="reset", "Req. Deep Sleep State" is "Int PU"  AND "POR: Pin State After Reset" is not "1" OR "pu"
- If "After Wake"="reset", "Req. Deep Sleep State" is "Z" AND "POR: Pin State After Reset" is not "z"
- "Deep Sleep: PU/PD" is "disabled" &amp; "Req. Deep Sleep State" is Int PU or Int PD
</t>
        </r>
      </text>
    </comment>
  </commentList>
</comments>
</file>

<file path=xl/sharedStrings.xml><?xml version="1.0" encoding="utf-8"?>
<sst xmlns="http://schemas.openxmlformats.org/spreadsheetml/2006/main" count="23760" uniqueCount="3742">
  <si>
    <t>Pin Muxing</t>
  </si>
  <si>
    <t>General</t>
  </si>
  <si>
    <t>Ball Name</t>
  </si>
  <si>
    <t>GPIO</t>
  </si>
  <si>
    <t>SFIO0</t>
  </si>
  <si>
    <t>SFIO1</t>
  </si>
  <si>
    <t>SFIO2</t>
  </si>
  <si>
    <t>SFIO3</t>
  </si>
  <si>
    <t>CLK1_OUT</t>
  </si>
  <si>
    <t>CLK1_REQ</t>
  </si>
  <si>
    <t>DAP1_DIN</t>
  </si>
  <si>
    <t>DAP1_DOUT</t>
  </si>
  <si>
    <t>DAP1_FS</t>
  </si>
  <si>
    <t>DAP1_SCLK</t>
  </si>
  <si>
    <t>DAP2_DIN</t>
  </si>
  <si>
    <t>DAP2_DOUT</t>
  </si>
  <si>
    <t>DAP2_FS</t>
  </si>
  <si>
    <t>DAP2_SCLK</t>
  </si>
  <si>
    <t>SPDIF_IN</t>
  </si>
  <si>
    <t>SPDIF_OUT</t>
  </si>
  <si>
    <t>SPI1_CS0_N</t>
  </si>
  <si>
    <t>SPI1_MISO</t>
  </si>
  <si>
    <t>SPI1_MOSI</t>
  </si>
  <si>
    <t>SPI1_SCK</t>
  </si>
  <si>
    <t>SPI2_CS0_N</t>
  </si>
  <si>
    <t>SPI2_CS1_N</t>
  </si>
  <si>
    <t>SPI2_CS2_N</t>
  </si>
  <si>
    <t>SPI2_MISO</t>
  </si>
  <si>
    <t>SPI2_MOSI</t>
  </si>
  <si>
    <t>SPI2_SCK</t>
  </si>
  <si>
    <t>DAP3_DIN</t>
  </si>
  <si>
    <t>DAP3_DOUT</t>
  </si>
  <si>
    <t>DAP3_FS</t>
  </si>
  <si>
    <t>DAP3_SCLK</t>
  </si>
  <si>
    <t>GPIO_PV0</t>
  </si>
  <si>
    <t>GPIO_PV1</t>
  </si>
  <si>
    <t>ULPI_CLK</t>
  </si>
  <si>
    <t>ULPI_DATA0</t>
  </si>
  <si>
    <t>ULPI_DATA1</t>
  </si>
  <si>
    <t>ULPI_DATA2</t>
  </si>
  <si>
    <t>ULPI_DATA3</t>
  </si>
  <si>
    <t>ULPI_DATA4</t>
  </si>
  <si>
    <t>ULPI_DATA5</t>
  </si>
  <si>
    <t>ULPI_DATA6</t>
  </si>
  <si>
    <t>ULPI_DATA7</t>
  </si>
  <si>
    <t>ULPI_DIR</t>
  </si>
  <si>
    <t>ULPI_NXT</t>
  </si>
  <si>
    <t>ULPI_STP</t>
  </si>
  <si>
    <t>CAM_I2C_SCL</t>
  </si>
  <si>
    <t>CAM_I2C_SDA</t>
  </si>
  <si>
    <t>CAM_MCLK</t>
  </si>
  <si>
    <t>GPIO_PBB0</t>
  </si>
  <si>
    <t>GPIO_PBB3</t>
  </si>
  <si>
    <t>GPIO_PBB4</t>
  </si>
  <si>
    <t>GPIO_PBB5</t>
  </si>
  <si>
    <t>GPIO_PBB6</t>
  </si>
  <si>
    <t>GPIO_PBB7</t>
  </si>
  <si>
    <t>GPIO_PCC1</t>
  </si>
  <si>
    <t>GPIO_PCC2</t>
  </si>
  <si>
    <t>GEN2_I2C_SCL</t>
  </si>
  <si>
    <t>GEN2_I2C_SDA</t>
  </si>
  <si>
    <t>GMI_A16</t>
  </si>
  <si>
    <t>GMI_A17</t>
  </si>
  <si>
    <t>GMI_A18</t>
  </si>
  <si>
    <t>GMI_A19</t>
  </si>
  <si>
    <t>GMI_AD0</t>
  </si>
  <si>
    <t>GMI_AD1</t>
  </si>
  <si>
    <t>GMI_AD10</t>
  </si>
  <si>
    <t>GMI_AD11</t>
  </si>
  <si>
    <t>GMI_AD12</t>
  </si>
  <si>
    <t>GMI_AD13</t>
  </si>
  <si>
    <t>GMI_AD14</t>
  </si>
  <si>
    <t>GMI_AD15</t>
  </si>
  <si>
    <t>GMI_AD2</t>
  </si>
  <si>
    <t>GMI_AD3</t>
  </si>
  <si>
    <t>GMI_AD4</t>
  </si>
  <si>
    <t>GMI_AD5</t>
  </si>
  <si>
    <t>GMI_AD6</t>
  </si>
  <si>
    <t>GMI_AD7</t>
  </si>
  <si>
    <t>GMI_AD8</t>
  </si>
  <si>
    <t>GMI_AD9</t>
  </si>
  <si>
    <t>GMI_ADV_N</t>
  </si>
  <si>
    <t>GMI_CLK</t>
  </si>
  <si>
    <t>GMI_CS0_N</t>
  </si>
  <si>
    <t>GMI_CS1_N</t>
  </si>
  <si>
    <t>GMI_CS2_N</t>
  </si>
  <si>
    <t>GMI_CS3_N</t>
  </si>
  <si>
    <t>GMI_CS4_N</t>
  </si>
  <si>
    <t>GMI_CS6_N</t>
  </si>
  <si>
    <t>GMI_CS7_N</t>
  </si>
  <si>
    <t>GMI_DQS</t>
  </si>
  <si>
    <t>GMI_IORDY</t>
  </si>
  <si>
    <t>GMI_OE_N</t>
  </si>
  <si>
    <t>GMI_RST_N</t>
  </si>
  <si>
    <t>GMI_WAIT</t>
  </si>
  <si>
    <t>GMI_WP_N</t>
  </si>
  <si>
    <t>GMI_WR_N</t>
  </si>
  <si>
    <t>CRT_HSYNC</t>
  </si>
  <si>
    <t>CRT_VSYNC</t>
  </si>
  <si>
    <t>DDC_SCL</t>
  </si>
  <si>
    <t>DDC_SDA</t>
  </si>
  <si>
    <t>HDMI_INT</t>
  </si>
  <si>
    <t>LCD_CS0_N</t>
  </si>
  <si>
    <t>LCD_CS1_N</t>
  </si>
  <si>
    <t>LCD_D0</t>
  </si>
  <si>
    <t>LCD_D1</t>
  </si>
  <si>
    <t>LCD_D10</t>
  </si>
  <si>
    <t>LCD_D11</t>
  </si>
  <si>
    <t>LCD_D12</t>
  </si>
  <si>
    <t>LCD_D13</t>
  </si>
  <si>
    <t>LCD_D14</t>
  </si>
  <si>
    <t>LCD_D15</t>
  </si>
  <si>
    <t>LCD_D16</t>
  </si>
  <si>
    <t>LCD_D17</t>
  </si>
  <si>
    <t>LCD_D18</t>
  </si>
  <si>
    <t>LCD_D19</t>
  </si>
  <si>
    <t>LCD_D2</t>
  </si>
  <si>
    <t>LCD_D20</t>
  </si>
  <si>
    <t>LCD_D21</t>
  </si>
  <si>
    <t>LCD_D22</t>
  </si>
  <si>
    <t>LCD_D23</t>
  </si>
  <si>
    <t>LCD_D3</t>
  </si>
  <si>
    <t>LCD_D4</t>
  </si>
  <si>
    <t>LCD_D5</t>
  </si>
  <si>
    <t>LCD_D6</t>
  </si>
  <si>
    <t>LCD_D7</t>
  </si>
  <si>
    <t>LCD_D8</t>
  </si>
  <si>
    <t>LCD_D9</t>
  </si>
  <si>
    <t>LCD_DC0</t>
  </si>
  <si>
    <t>LCD_DC1</t>
  </si>
  <si>
    <t>LCD_DE</t>
  </si>
  <si>
    <t>LCD_HSYNC</t>
  </si>
  <si>
    <t>LCD_M1</t>
  </si>
  <si>
    <t>LCD_PCLK</t>
  </si>
  <si>
    <t>LCD_PWR0</t>
  </si>
  <si>
    <t>LCD_PWR1</t>
  </si>
  <si>
    <t>LCD_PWR2</t>
  </si>
  <si>
    <t>LCD_SCK</t>
  </si>
  <si>
    <t>LCD_SDIN</t>
  </si>
  <si>
    <t>LCD_SDOUT</t>
  </si>
  <si>
    <t>LCD_VSYNC</t>
  </si>
  <si>
    <t>LCD_WR_N</t>
  </si>
  <si>
    <t>PEX_L0_CLKREQ_N</t>
  </si>
  <si>
    <t>PEX_L0_PRSNT_N</t>
  </si>
  <si>
    <t>PEX_L0_RST_N</t>
  </si>
  <si>
    <t>PEX_L1_CLKREQ_N</t>
  </si>
  <si>
    <t>PEX_L1_PRSNT_N</t>
  </si>
  <si>
    <t>PEX_L1_RST_N</t>
  </si>
  <si>
    <t>PEX_L2_CLKREQ_N</t>
  </si>
  <si>
    <t>PEX_L2_PRSNT_N</t>
  </si>
  <si>
    <t>PEX_L2_RST_N</t>
  </si>
  <si>
    <t>PEX_WAKE_N</t>
  </si>
  <si>
    <t>CLK2_OUT</t>
  </si>
  <si>
    <t>CLK2_REQ</t>
  </si>
  <si>
    <t>GPIO_PV2</t>
  </si>
  <si>
    <t>GPIO_PV3</t>
  </si>
  <si>
    <t>SDMMC1_CLK</t>
  </si>
  <si>
    <t>SDMMC1_CMD</t>
  </si>
  <si>
    <t>SDMMC1_DAT0</t>
  </si>
  <si>
    <t>SDMMC1_DAT1</t>
  </si>
  <si>
    <t>SDMMC1_DAT2</t>
  </si>
  <si>
    <t>SDMMC1_DAT3</t>
  </si>
  <si>
    <t>SDMMC3_CLK</t>
  </si>
  <si>
    <t>SDMMC3_CMD</t>
  </si>
  <si>
    <t>SDMMC3_DAT0</t>
  </si>
  <si>
    <t>SDMMC3_DAT1</t>
  </si>
  <si>
    <t>SDMMC3_DAT2</t>
  </si>
  <si>
    <t>SDMMC3_DAT3</t>
  </si>
  <si>
    <t>SDMMC3_DAT4</t>
  </si>
  <si>
    <t>SDMMC3_DAT5</t>
  </si>
  <si>
    <t>SDMMC3_DAT6</t>
  </si>
  <si>
    <t>SDMMC3_DAT7</t>
  </si>
  <si>
    <t>SDMMC4_CLK</t>
  </si>
  <si>
    <t>SDMMC4_CMD</t>
  </si>
  <si>
    <t>SDMMC4_DAT0</t>
  </si>
  <si>
    <t>SDMMC4_DAT1</t>
  </si>
  <si>
    <t>SDMMC4_DAT2</t>
  </si>
  <si>
    <t>SDMMC4_DAT3</t>
  </si>
  <si>
    <t>SDMMC4_DAT4</t>
  </si>
  <si>
    <t>SDMMC4_DAT5</t>
  </si>
  <si>
    <t>SDMMC4_DAT6</t>
  </si>
  <si>
    <t>SDMMC4_DAT7</t>
  </si>
  <si>
    <t>SDMMC4_RST_N</t>
  </si>
  <si>
    <t>CLK_32K_OUT</t>
  </si>
  <si>
    <t>HDMI_CEC</t>
  </si>
  <si>
    <t>KB_COL0</t>
  </si>
  <si>
    <t>KB_COL1</t>
  </si>
  <si>
    <t>KB_COL2</t>
  </si>
  <si>
    <t>KB_COL3</t>
  </si>
  <si>
    <t>KB_COL4</t>
  </si>
  <si>
    <t>KB_COL5</t>
  </si>
  <si>
    <t>KB_COL6</t>
  </si>
  <si>
    <t>KB_COL7</t>
  </si>
  <si>
    <t>KB_ROW0</t>
  </si>
  <si>
    <t>KB_ROW1</t>
  </si>
  <si>
    <t>KB_ROW10</t>
  </si>
  <si>
    <t>KB_ROW11</t>
  </si>
  <si>
    <t>KB_ROW12</t>
  </si>
  <si>
    <t>KB_ROW13</t>
  </si>
  <si>
    <t>KB_ROW14</t>
  </si>
  <si>
    <t>KB_ROW15</t>
  </si>
  <si>
    <t>KB_ROW2</t>
  </si>
  <si>
    <t>KB_ROW3</t>
  </si>
  <si>
    <t>KB_ROW4</t>
  </si>
  <si>
    <t>KB_ROW5</t>
  </si>
  <si>
    <t>KB_ROW6</t>
  </si>
  <si>
    <t>KB_ROW7</t>
  </si>
  <si>
    <t>KB_ROW8</t>
  </si>
  <si>
    <t>KB_ROW9</t>
  </si>
  <si>
    <t>OWR</t>
  </si>
  <si>
    <t>PWR_I2C_SCL</t>
  </si>
  <si>
    <t>PWR_I2C_SDA</t>
  </si>
  <si>
    <t>SYS_CLK_REQ</t>
  </si>
  <si>
    <t>CLK3_OUT</t>
  </si>
  <si>
    <t>CLK3_REQ</t>
  </si>
  <si>
    <t>DAP4_DIN</t>
  </si>
  <si>
    <t>DAP4_DOUT</t>
  </si>
  <si>
    <t>DAP4_FS</t>
  </si>
  <si>
    <t>DAP4_SCLK</t>
  </si>
  <si>
    <t>GEN1_I2C_SCL</t>
  </si>
  <si>
    <t>GEN1_I2C_SDA</t>
  </si>
  <si>
    <t>GPIO_PU0</t>
  </si>
  <si>
    <t>GPIO_PU1</t>
  </si>
  <si>
    <t>GPIO_PU2</t>
  </si>
  <si>
    <t>GPIO_PU3</t>
  </si>
  <si>
    <t>GPIO_PU4</t>
  </si>
  <si>
    <t>GPIO_PU5</t>
  </si>
  <si>
    <t>GPIO_PU6</t>
  </si>
  <si>
    <t>UART2_CTS_N</t>
  </si>
  <si>
    <t>UART2_RTS_N</t>
  </si>
  <si>
    <t>UART2_RXD</t>
  </si>
  <si>
    <t>UART2_TXD</t>
  </si>
  <si>
    <t>UART3_CTS_N</t>
  </si>
  <si>
    <t>UART3_RTS_N</t>
  </si>
  <si>
    <t>UART3_RXD</t>
  </si>
  <si>
    <t>UART3_TXD</t>
  </si>
  <si>
    <t>VI_D0</t>
  </si>
  <si>
    <t>VI_D1</t>
  </si>
  <si>
    <t>VI_D10</t>
  </si>
  <si>
    <t>VI_D11</t>
  </si>
  <si>
    <t>VI_D2</t>
  </si>
  <si>
    <t>VI_D3</t>
  </si>
  <si>
    <t>VI_D4</t>
  </si>
  <si>
    <t>VI_D5</t>
  </si>
  <si>
    <t>VI_D6</t>
  </si>
  <si>
    <t>VI_D7</t>
  </si>
  <si>
    <t>VI_D8</t>
  </si>
  <si>
    <t>VI_D9</t>
  </si>
  <si>
    <t>VI_HSYNC</t>
  </si>
  <si>
    <t>VI_MCLK</t>
  </si>
  <si>
    <t>VI_PCLK</t>
  </si>
  <si>
    <t>VI_VSYNC</t>
  </si>
  <si>
    <t>CLK-EXTCLK1</t>
  </si>
  <si>
    <t/>
  </si>
  <si>
    <t>special</t>
  </si>
  <si>
    <t>hold</t>
  </si>
  <si>
    <t>VDDIO_AUDIO</t>
  </si>
  <si>
    <t>ST</t>
  </si>
  <si>
    <t>cdev1cfg</t>
  </si>
  <si>
    <t>down</t>
  </si>
  <si>
    <t>pd</t>
  </si>
  <si>
    <t>CLK-DAP_MCLK1_REQ</t>
  </si>
  <si>
    <t>HDA.A-RESET</t>
  </si>
  <si>
    <t>reset</t>
  </si>
  <si>
    <t>none</t>
  </si>
  <si>
    <t>z</t>
  </si>
  <si>
    <t>I2S0-SDATA_IN</t>
  </si>
  <si>
    <t>HDA.A-SDI</t>
  </si>
  <si>
    <t>GMI-D29</t>
  </si>
  <si>
    <t>SDMMC2.C-DAT0</t>
  </si>
  <si>
    <t>disabled</t>
  </si>
  <si>
    <t>dap1cfg</t>
  </si>
  <si>
    <t>I2S0-SDATA_OUT</t>
  </si>
  <si>
    <t>HDA.A-SDO</t>
  </si>
  <si>
    <t>GMI-D30</t>
  </si>
  <si>
    <t>SDMMC2.C-DAT1</t>
  </si>
  <si>
    <t>I2S0-LRCK</t>
  </si>
  <si>
    <t>HDA.A-SYNC</t>
  </si>
  <si>
    <t>GMI-D28</t>
  </si>
  <si>
    <t>SDMMC2.C-CMD</t>
  </si>
  <si>
    <t>I2S0-SCLK</t>
  </si>
  <si>
    <t>HDA.A-BCLK</t>
  </si>
  <si>
    <t>GMI-D31</t>
  </si>
  <si>
    <t>SDMMC2.C-SCLK</t>
  </si>
  <si>
    <t>I2S1-SDATA_IN</t>
  </si>
  <si>
    <t>HDA.B-SDI</t>
  </si>
  <si>
    <t>GMI-A19</t>
  </si>
  <si>
    <t>dap2cfg</t>
  </si>
  <si>
    <t>I2S1-SDATA_OUT</t>
  </si>
  <si>
    <t>HDA.B-SDO</t>
  </si>
  <si>
    <t>GMI-A20</t>
  </si>
  <si>
    <t>I2S1-LRCK</t>
  </si>
  <si>
    <t>HDA.B-SYNC</t>
  </si>
  <si>
    <t>GMI-A17</t>
  </si>
  <si>
    <t>I2S1-SCLK</t>
  </si>
  <si>
    <t>HDA.B-BCLK</t>
  </si>
  <si>
    <t>GMI-A18</t>
  </si>
  <si>
    <t>SPDIF1.A-IN</t>
  </si>
  <si>
    <t>HDA.B-RESET</t>
  </si>
  <si>
    <t>SDMMC2.C-DAT3</t>
  </si>
  <si>
    <t>up</t>
  </si>
  <si>
    <t>pu</t>
  </si>
  <si>
    <t>SPDIF1.A-OUT</t>
  </si>
  <si>
    <t>SDMMC2.C-DAT2</t>
  </si>
  <si>
    <t>GMI-A27</t>
  </si>
  <si>
    <t>spicfg</t>
  </si>
  <si>
    <t>SPI1.B-MISO</t>
  </si>
  <si>
    <t>SPI2.E-MOSI</t>
  </si>
  <si>
    <t>SPI1.B-MOSI</t>
  </si>
  <si>
    <t>GMI-A25</t>
  </si>
  <si>
    <t>SPI2.E-SCK</t>
  </si>
  <si>
    <t>SPI1.B-SCK</t>
  </si>
  <si>
    <t>GMI-A26</t>
  </si>
  <si>
    <t>SPI6-CS0</t>
  </si>
  <si>
    <t>GMI-A24</t>
  </si>
  <si>
    <t>SPI6-MISO</t>
  </si>
  <si>
    <t>SPI2.B-MISO</t>
  </si>
  <si>
    <t>GMI-A22</t>
  </si>
  <si>
    <t>SPI6-MOSI</t>
  </si>
  <si>
    <t>SPI2.B-MOSI</t>
  </si>
  <si>
    <t>GMI-A21</t>
  </si>
  <si>
    <t>SPI6-SCK</t>
  </si>
  <si>
    <t>SPI2.B-SCK</t>
  </si>
  <si>
    <t>GMI-A23</t>
  </si>
  <si>
    <t>I2S2-SDATA_IN</t>
  </si>
  <si>
    <t>LCD0.B-HSYNC</t>
  </si>
  <si>
    <t>LCD1.B-HSYNC</t>
  </si>
  <si>
    <t>VDDIO_BB</t>
  </si>
  <si>
    <t>dap3cfg</t>
  </si>
  <si>
    <t>I2S2-SDATA_OUT</t>
  </si>
  <si>
    <t>LCD0.B-VSYNC</t>
  </si>
  <si>
    <t>LCD1.B-VSYNC</t>
  </si>
  <si>
    <t>I2S2-LRCK</t>
  </si>
  <si>
    <t>LCD0.B-DE</t>
  </si>
  <si>
    <t>LCD1.B-DE</t>
  </si>
  <si>
    <t>I2S2-SCLK</t>
  </si>
  <si>
    <t>LCD0.B-PCLK</t>
  </si>
  <si>
    <t>LCD1.B-PCLK</t>
  </si>
  <si>
    <t>uabcfg</t>
  </si>
  <si>
    <t>SPI1.A-MOSI</t>
  </si>
  <si>
    <t>UART4.A-TXD</t>
  </si>
  <si>
    <t>ULPI-CLOCK</t>
  </si>
  <si>
    <t>udacfg</t>
  </si>
  <si>
    <t>SPI3.E-MOSI</t>
  </si>
  <si>
    <t>UART1.A-TXD</t>
  </si>
  <si>
    <t>ULPI-DATA0</t>
  </si>
  <si>
    <t>uaacfg</t>
  </si>
  <si>
    <t>SPI3.E-MISO</t>
  </si>
  <si>
    <t>UART1.A-RXD</t>
  </si>
  <si>
    <t>ULPI-DATA1</t>
  </si>
  <si>
    <t>SPI3.E-SCK</t>
  </si>
  <si>
    <t>ULPI-DATA2</t>
  </si>
  <si>
    <t>ULPI-DATA3</t>
  </si>
  <si>
    <t>SPI2.A-MOSI</t>
  </si>
  <si>
    <t>ULPI-DATA4</t>
  </si>
  <si>
    <t>SPI2.A-MISO</t>
  </si>
  <si>
    <t>ULPI-DATA5</t>
  </si>
  <si>
    <t>SPI2.A-SCK</t>
  </si>
  <si>
    <t>ULPI-DATA6</t>
  </si>
  <si>
    <t>ULPI-DATA7</t>
  </si>
  <si>
    <t>SPI1.A-MISO</t>
  </si>
  <si>
    <t>UART4.A-RXD</t>
  </si>
  <si>
    <t>ULPI-DIR</t>
  </si>
  <si>
    <t>SPI1.A-SCK</t>
  </si>
  <si>
    <t>ULPI-NXT</t>
  </si>
  <si>
    <t>ULPI-STP</t>
  </si>
  <si>
    <t>SDMMC4.B-DAT1</t>
  </si>
  <si>
    <t>VDDIO_CAM</t>
  </si>
  <si>
    <t>DD</t>
  </si>
  <si>
    <t>gmecfg</t>
  </si>
  <si>
    <t>SDMMC4.B-DAT2</t>
  </si>
  <si>
    <t>CLK-VI_MCLK</t>
  </si>
  <si>
    <t>SDMMC4.B-SCLK</t>
  </si>
  <si>
    <t>gmgcfg</t>
  </si>
  <si>
    <t>I2S4.A-SDATA_IN</t>
  </si>
  <si>
    <t>SDMMC4.B-DAT0</t>
  </si>
  <si>
    <t>VI.A-VGP3</t>
  </si>
  <si>
    <t>LCD0.C-DE</t>
  </si>
  <si>
    <t>LCD1.C-DE</t>
  </si>
  <si>
    <t>SDMMC4.B-DAT3</t>
  </si>
  <si>
    <t>VI.A-VGP4</t>
  </si>
  <si>
    <t>LCD0.C-HSYNC</t>
  </si>
  <si>
    <t>LCD1.C-HSYNC</t>
  </si>
  <si>
    <t>SDMMC4.B-DAT4</t>
  </si>
  <si>
    <t>gmfcfg</t>
  </si>
  <si>
    <t>VI.A-VGP5</t>
  </si>
  <si>
    <t>LCD0.C-VSYNC</t>
  </si>
  <si>
    <t>LCD1.C-VSYNC</t>
  </si>
  <si>
    <t>SDMMC4.B-DAT5</t>
  </si>
  <si>
    <t>VI.A-VGP6</t>
  </si>
  <si>
    <t>LCD0.C-PCLK</t>
  </si>
  <si>
    <t>LCD1.C-PCLK</t>
  </si>
  <si>
    <t>SDMMC4.B-DAT6</t>
  </si>
  <si>
    <t>I2S4.A-SDATA_OUT</t>
  </si>
  <si>
    <t>SDMMC4.B-DAT7</t>
  </si>
  <si>
    <t>I2S4.A-LRCK</t>
  </si>
  <si>
    <t>SDMMC4.B-CMD</t>
  </si>
  <si>
    <t>gmhcfg</t>
  </si>
  <si>
    <t>I2S4.A-SCLK</t>
  </si>
  <si>
    <t>SDMMC4.B-RST_N</t>
  </si>
  <si>
    <t>I2C2-CLK</t>
  </si>
  <si>
    <t>VDDIO_GMI</t>
  </si>
  <si>
    <t>atcfg5</t>
  </si>
  <si>
    <t>I2C2-DAT</t>
  </si>
  <si>
    <t>SPI4.C-SCK</t>
  </si>
  <si>
    <t>GMI-AD16</t>
  </si>
  <si>
    <t>GMI-INT2</t>
  </si>
  <si>
    <t>atcfg4</t>
  </si>
  <si>
    <t>SPI4.C-MOSI</t>
  </si>
  <si>
    <t>GMI-AD17</t>
  </si>
  <si>
    <t>UART4.B-RXD</t>
  </si>
  <si>
    <t>SPI4.C-MISO</t>
  </si>
  <si>
    <t>GMI-AD18</t>
  </si>
  <si>
    <t>UART4.B-TXD</t>
  </si>
  <si>
    <t>GMI-AD19</t>
  </si>
  <si>
    <t>NAND-D0</t>
  </si>
  <si>
    <t>GMI-AD00</t>
  </si>
  <si>
    <t>atcfg2</t>
  </si>
  <si>
    <t>NAND-D1</t>
  </si>
  <si>
    <t>GMI-AD01</t>
  </si>
  <si>
    <t>PWFM-PWM2</t>
  </si>
  <si>
    <t>NAND-D10</t>
  </si>
  <si>
    <t>GMI-AD10</t>
  </si>
  <si>
    <t>atcfg1</t>
  </si>
  <si>
    <t>PWFM-PWM3</t>
  </si>
  <si>
    <t>NAND-D11</t>
  </si>
  <si>
    <t>GMI-AD11</t>
  </si>
  <si>
    <t>NAND-D12</t>
  </si>
  <si>
    <t>GMI-AD12</t>
  </si>
  <si>
    <t>NAND-D13</t>
  </si>
  <si>
    <t>GMI-AD13</t>
  </si>
  <si>
    <t>NAND-D14</t>
  </si>
  <si>
    <t>GMI-AD14</t>
  </si>
  <si>
    <t>NAND-D15</t>
  </si>
  <si>
    <t>GMI-AD15</t>
  </si>
  <si>
    <t>NAND-D2</t>
  </si>
  <si>
    <t>GMI-AD02</t>
  </si>
  <si>
    <t>NAND-D3</t>
  </si>
  <si>
    <t>GMI-AD03</t>
  </si>
  <si>
    <t>NAND-D4</t>
  </si>
  <si>
    <t>GMI-AD04</t>
  </si>
  <si>
    <t>NAND-D5</t>
  </si>
  <si>
    <t>GMI-AD05</t>
  </si>
  <si>
    <t>NAND-D6</t>
  </si>
  <si>
    <t>GMI-AD06</t>
  </si>
  <si>
    <t>NAND-D7</t>
  </si>
  <si>
    <t>GMI-AD07</t>
  </si>
  <si>
    <t>PWFM-PWM0</t>
  </si>
  <si>
    <t>NAND-D8</t>
  </si>
  <si>
    <t>GMI-AD08</t>
  </si>
  <si>
    <t>PWFM-PWM1</t>
  </si>
  <si>
    <t>NAND-D9</t>
  </si>
  <si>
    <t>GMI-AD09</t>
  </si>
  <si>
    <t>NAND-ALE</t>
  </si>
  <si>
    <t>GMI-ADV_N</t>
  </si>
  <si>
    <t>NAND-CLE</t>
  </si>
  <si>
    <t>GMI-CLK</t>
  </si>
  <si>
    <t>atcfg3</t>
  </si>
  <si>
    <t>DTV-CLK</t>
  </si>
  <si>
    <t>GMI-INT1</t>
  </si>
  <si>
    <t>NAND-BSY1</t>
  </si>
  <si>
    <t>SATA-ACTIVE</t>
  </si>
  <si>
    <t>NAND-BSY2</t>
  </si>
  <si>
    <t>GMI-RST_N</t>
  </si>
  <si>
    <t>NAND-DQS</t>
  </si>
  <si>
    <t>GMI-WAIT</t>
  </si>
  <si>
    <t>GMI-IORDY</t>
  </si>
  <si>
    <t>GMI-OE_N</t>
  </si>
  <si>
    <t>NAND-BSY3</t>
  </si>
  <si>
    <t>NAND-BSY0</t>
  </si>
  <si>
    <t>GMI-WP_N</t>
  </si>
  <si>
    <t>GMI-WR_N</t>
  </si>
  <si>
    <t>TVO-HSYNC</t>
  </si>
  <si>
    <t>VDDIO_LCD</t>
  </si>
  <si>
    <t>crtcfg</t>
  </si>
  <si>
    <t>TVO-VSYNC</t>
  </si>
  <si>
    <t>I2C4-CLK</t>
  </si>
  <si>
    <t>OD</t>
  </si>
  <si>
    <t>100 down</t>
  </si>
  <si>
    <t>ddccfg</t>
  </si>
  <si>
    <t>I2C4-DAT</t>
  </si>
  <si>
    <t>lcdcfg2</t>
  </si>
  <si>
    <t>lcdcfg1</t>
  </si>
  <si>
    <t>LCD0-M0</t>
  </si>
  <si>
    <t>LCD1-M0</t>
  </si>
  <si>
    <t>LCD0-D0</t>
  </si>
  <si>
    <t>LCD1-D0</t>
  </si>
  <si>
    <t>LCD0-D1</t>
  </si>
  <si>
    <t>LCD1-D1</t>
  </si>
  <si>
    <t>LCD0-D10</t>
  </si>
  <si>
    <t>LCD1-D10</t>
  </si>
  <si>
    <t>LCD0-D11</t>
  </si>
  <si>
    <t>LCD1-D11</t>
  </si>
  <si>
    <t>LCD0-D12</t>
  </si>
  <si>
    <t>LCD1-D12</t>
  </si>
  <si>
    <t>LCD0-D13</t>
  </si>
  <si>
    <t>LCD1-D13</t>
  </si>
  <si>
    <t>LCD0-D14</t>
  </si>
  <si>
    <t>LCD1-D14</t>
  </si>
  <si>
    <t>LCD0-D15</t>
  </si>
  <si>
    <t>LCD1-D15</t>
  </si>
  <si>
    <t>LCD0-D16</t>
  </si>
  <si>
    <t>LCD1-D16</t>
  </si>
  <si>
    <t>LCD0-D17</t>
  </si>
  <si>
    <t>LCD1-D17</t>
  </si>
  <si>
    <t>LCD0-HP1</t>
  </si>
  <si>
    <t>LCD1-HP1</t>
  </si>
  <si>
    <t>LCD0-HP2</t>
  </si>
  <si>
    <t>LCD1-HP2</t>
  </si>
  <si>
    <t>LCD0-D2</t>
  </si>
  <si>
    <t>LCD1-D2</t>
  </si>
  <si>
    <t>LCD0-VP1</t>
  </si>
  <si>
    <t>LCD1-VP1</t>
  </si>
  <si>
    <t>LCD0-HP0</t>
  </si>
  <si>
    <t>LCD1-HP0</t>
  </si>
  <si>
    <t>LCD0-DI</t>
  </si>
  <si>
    <t>LCD1-DI</t>
  </si>
  <si>
    <t>LCD0-PP</t>
  </si>
  <si>
    <t>LCD1-PP</t>
  </si>
  <si>
    <t>LCD0-D3</t>
  </si>
  <si>
    <t>LCD1-D3</t>
  </si>
  <si>
    <t>LCD0-D4</t>
  </si>
  <si>
    <t>LCD1-D4</t>
  </si>
  <si>
    <t>LCD0-D5</t>
  </si>
  <si>
    <t>LCD1-D5</t>
  </si>
  <si>
    <t>LCD0-D6</t>
  </si>
  <si>
    <t>LCD1-D6</t>
  </si>
  <si>
    <t>LCD0-D7</t>
  </si>
  <si>
    <t>LCD1-D7</t>
  </si>
  <si>
    <t>LCD0-D8</t>
  </si>
  <si>
    <t>LCD1-D8</t>
  </si>
  <si>
    <t>LCD0-D9</t>
  </si>
  <si>
    <t>LCD1-D9</t>
  </si>
  <si>
    <t>LCD0-DC</t>
  </si>
  <si>
    <t>LCD1-DC</t>
  </si>
  <si>
    <t>LCD0-VP0</t>
  </si>
  <si>
    <t>LCD1-VP0</t>
  </si>
  <si>
    <t>LCD0.A-DE</t>
  </si>
  <si>
    <t>LCD1.A-DE</t>
  </si>
  <si>
    <t>LCD0.A-HSYNC</t>
  </si>
  <si>
    <t>LCD1.A-HSYNC</t>
  </si>
  <si>
    <t>LCD0-M1</t>
  </si>
  <si>
    <t>LCD1-M1</t>
  </si>
  <si>
    <t>LCD0.A-PCLK</t>
  </si>
  <si>
    <t>LCD1.A-PCLK</t>
  </si>
  <si>
    <t>LCD0-PW0</t>
  </si>
  <si>
    <t>LCD1-PW0</t>
  </si>
  <si>
    <t>SPI5.B-MOSI</t>
  </si>
  <si>
    <t>LCD0-PW1</t>
  </si>
  <si>
    <t>LCD1-PW1</t>
  </si>
  <si>
    <t>LCD0-PW2</t>
  </si>
  <si>
    <t>LCD1-PW2</t>
  </si>
  <si>
    <t>SPI5.B-MISO</t>
  </si>
  <si>
    <t>LCD0-SCK</t>
  </si>
  <si>
    <t>LCD1-SCK</t>
  </si>
  <si>
    <t>SPI5.A-SCK</t>
  </si>
  <si>
    <t>LCD0-SDI</t>
  </si>
  <si>
    <t>LCD1-SDI</t>
  </si>
  <si>
    <t>SPI5.A-MISO</t>
  </si>
  <si>
    <t>LCD0-SDA</t>
  </si>
  <si>
    <t>LCD1-SDA</t>
  </si>
  <si>
    <t>SPI5.A-MOSI</t>
  </si>
  <si>
    <t>LCD0.A-VSYNC</t>
  </si>
  <si>
    <t>LCD1.A-VSYNC</t>
  </si>
  <si>
    <t>LCD0-SC1</t>
  </si>
  <si>
    <t>LCD1-SC1</t>
  </si>
  <si>
    <t>SPI5.B-SCK</t>
  </si>
  <si>
    <t>HDA.C-SDO</t>
  </si>
  <si>
    <t>VDDIO_PEX_CTL</t>
  </si>
  <si>
    <t>gpvcfg</t>
  </si>
  <si>
    <t>HDA.C-SYNC</t>
  </si>
  <si>
    <t>HDA.C-SDI</t>
  </si>
  <si>
    <t>HDA.D-BCLK</t>
  </si>
  <si>
    <t>HDA.C-RESET</t>
  </si>
  <si>
    <t>HDA.D-RESET</t>
  </si>
  <si>
    <t>HDA.D-SYNC</t>
  </si>
  <si>
    <t>HDA.D-SDI</t>
  </si>
  <si>
    <t>HDA.D-SDO</t>
  </si>
  <si>
    <t>HDA.C-BCLK</t>
  </si>
  <si>
    <t>CLK-EXTCLK2</t>
  </si>
  <si>
    <t>VDDIO_SDMMC1</t>
  </si>
  <si>
    <t>cdev2cfg</t>
  </si>
  <si>
    <t>CLK-DAP_MCLK2_REQ</t>
  </si>
  <si>
    <t>OWR-PCTLZ</t>
  </si>
  <si>
    <t>SDMMC1-SCLK</t>
  </si>
  <si>
    <t>CZ</t>
  </si>
  <si>
    <t>sdio1cfg</t>
  </si>
  <si>
    <t>SDMMC1-CMD</t>
  </si>
  <si>
    <t>SDMMC1-DAT0</t>
  </si>
  <si>
    <t>SDMMC1-DAT1</t>
  </si>
  <si>
    <t>SDMMC1-DAT2</t>
  </si>
  <si>
    <t>UART5.A-RXD</t>
  </si>
  <si>
    <t>SDMMC1-DAT3</t>
  </si>
  <si>
    <t>UART5.A-TXD</t>
  </si>
  <si>
    <t>UART1.E-TXD</t>
  </si>
  <si>
    <t>SDMMC3-SCLK</t>
  </si>
  <si>
    <t>VDDIO_SDMMC3</t>
  </si>
  <si>
    <t>sdio3cfg</t>
  </si>
  <si>
    <t>UART1.E-RXD</t>
  </si>
  <si>
    <t>SDMMC3-CMD</t>
  </si>
  <si>
    <t>SDMMC3-DAT0</t>
  </si>
  <si>
    <t>SDMMC3-DAT1</t>
  </si>
  <si>
    <t>SDMMC3-DAT2</t>
  </si>
  <si>
    <t>SDMMC3-DAT3</t>
  </si>
  <si>
    <t>SDMMC3-DAT4</t>
  </si>
  <si>
    <t>sdio2cfg</t>
  </si>
  <si>
    <t>SDMMC3-DAT5</t>
  </si>
  <si>
    <t>SPDIF1.B-IN</t>
  </si>
  <si>
    <t>SDMMC3-DAT6</t>
  </si>
  <si>
    <t>SPDIF1.B-OUT</t>
  </si>
  <si>
    <t>SDMMC3-DAT7</t>
  </si>
  <si>
    <t>SDMMC4.A-SCLK</t>
  </si>
  <si>
    <t>VDDIO_SDMMC4</t>
  </si>
  <si>
    <t>LV</t>
  </si>
  <si>
    <t>gmccfg</t>
  </si>
  <si>
    <t>GMI-DPD</t>
  </si>
  <si>
    <t>SDMMC4.A-CMD</t>
  </si>
  <si>
    <t>gmdcfg</t>
  </si>
  <si>
    <t>SPI3.A-SCK</t>
  </si>
  <si>
    <t>GMI-AD20</t>
  </si>
  <si>
    <t>SDMMC4.A-DAT0</t>
  </si>
  <si>
    <t>gmacfg</t>
  </si>
  <si>
    <t>SPI3.A-MOSI</t>
  </si>
  <si>
    <t>GMI-AD21</t>
  </si>
  <si>
    <t>SDMMC4.A-DAT1</t>
  </si>
  <si>
    <t>UART5.B-RXD</t>
  </si>
  <si>
    <t>SPI3.A-MISO</t>
  </si>
  <si>
    <t>GMI-AD22</t>
  </si>
  <si>
    <t>SDMMC4.A-DAT2</t>
  </si>
  <si>
    <t>UART5.B-TXD</t>
  </si>
  <si>
    <t>GMI-AD23</t>
  </si>
  <si>
    <t>SDMMC4.A-DAT3</t>
  </si>
  <si>
    <t>I2S4.B-LRCK</t>
  </si>
  <si>
    <t>GMI-AD24</t>
  </si>
  <si>
    <t>SDMMC4.A-DAT4</t>
  </si>
  <si>
    <t>gmbcfg</t>
  </si>
  <si>
    <t>VI.B-VGP3</t>
  </si>
  <si>
    <t>I2S4.B-SDATA_IN</t>
  </si>
  <si>
    <t>GMI-AD25</t>
  </si>
  <si>
    <t>SDMMC4.A-DAT5</t>
  </si>
  <si>
    <t>VI.B-VGP4</t>
  </si>
  <si>
    <t>I2S4.B-SDATA_OUT</t>
  </si>
  <si>
    <t>GMI-AD26</t>
  </si>
  <si>
    <t>SDMMC4.A-DAT6</t>
  </si>
  <si>
    <t>VI.B-VGP5</t>
  </si>
  <si>
    <t>I2S4.B-SCLK</t>
  </si>
  <si>
    <t>GMI-AD27</t>
  </si>
  <si>
    <t>SDMMC4.A-DAT7</t>
  </si>
  <si>
    <t>VI.B-VGP6</t>
  </si>
  <si>
    <t>SDMMC4.A-RST_N</t>
  </si>
  <si>
    <t>VDDIO_SYS</t>
  </si>
  <si>
    <t>aocfg2</t>
  </si>
  <si>
    <t>PMC-BLINK</t>
  </si>
  <si>
    <t>ceccfg</t>
  </si>
  <si>
    <t>dbgcfg</t>
  </si>
  <si>
    <t>KBC-COL0</t>
  </si>
  <si>
    <t>TRACE-DATA0</t>
  </si>
  <si>
    <t>KBC-COL1</t>
  </si>
  <si>
    <t>TRACE-DATA1</t>
  </si>
  <si>
    <t>KBC-COL2</t>
  </si>
  <si>
    <t>TRACE-DATA2</t>
  </si>
  <si>
    <t>KBC-COL3</t>
  </si>
  <si>
    <t>TRACE-DATA3</t>
  </si>
  <si>
    <t>KBC-COL4</t>
  </si>
  <si>
    <t>TRACE-DATA4</t>
  </si>
  <si>
    <t>KBC-COL5</t>
  </si>
  <si>
    <t>TRACE-DATA5</t>
  </si>
  <si>
    <t>KBC-COL6</t>
  </si>
  <si>
    <t>TRACE-DATA6</t>
  </si>
  <si>
    <t>KBC-COL7</t>
  </si>
  <si>
    <t>TRACE-DATA7</t>
  </si>
  <si>
    <t>KBC-ROW0</t>
  </si>
  <si>
    <t>aocfg1</t>
  </si>
  <si>
    <t>KBC-ROW1</t>
  </si>
  <si>
    <t>KBC-ROW10</t>
  </si>
  <si>
    <t>SDMMC2.A-SCLK</t>
  </si>
  <si>
    <t>KBC-ROW11</t>
  </si>
  <si>
    <t>SDMMC2.A-CMD</t>
  </si>
  <si>
    <t>KBC-ROW12</t>
  </si>
  <si>
    <t>SDMMC2.A-DAT0</t>
  </si>
  <si>
    <t>KBC-ROW13</t>
  </si>
  <si>
    <t>SDMMC2.A-DAT1</t>
  </si>
  <si>
    <t>KBC-ROW14</t>
  </si>
  <si>
    <t>SDMMC2.A-DAT2</t>
  </si>
  <si>
    <t>KBC-ROW15</t>
  </si>
  <si>
    <t>SDMMC2.A-DAT3</t>
  </si>
  <si>
    <t>KBC-ROW2</t>
  </si>
  <si>
    <t>KBC-ROW3</t>
  </si>
  <si>
    <t>KBC-ROW4</t>
  </si>
  <si>
    <t>TRACE-CLK</t>
  </si>
  <si>
    <t>KBC-ROW5</t>
  </si>
  <si>
    <t>TRACE-CTL</t>
  </si>
  <si>
    <t>KBC-ROW6</t>
  </si>
  <si>
    <t>SDMMC2.A-DAT4</t>
  </si>
  <si>
    <t>KBC-ROW7</t>
  </si>
  <si>
    <t>SDMMC2.A-DAT5</t>
  </si>
  <si>
    <t>KBC-ROW8</t>
  </si>
  <si>
    <t>SDMMC2.A-DAT6</t>
  </si>
  <si>
    <t>KBC-ROW9</t>
  </si>
  <si>
    <t>SDMMC2.A-DAT7</t>
  </si>
  <si>
    <t>OWR-IO</t>
  </si>
  <si>
    <t>owrcfg</t>
  </si>
  <si>
    <t>PMC-SYS_CLK_REQ</t>
  </si>
  <si>
    <t>CLK-EXTCLK3</t>
  </si>
  <si>
    <t>VDDIO_UART</t>
  </si>
  <si>
    <t>dev3cfg</t>
  </si>
  <si>
    <t>CLK-EXTREQ3</t>
  </si>
  <si>
    <t>I2S3-SDATA_IN</t>
  </si>
  <si>
    <t>GMI-A14</t>
  </si>
  <si>
    <t>dap4cfg</t>
  </si>
  <si>
    <t>I2S3-SDATA_OUT</t>
  </si>
  <si>
    <t>GMI-A15</t>
  </si>
  <si>
    <t>I2S3-LRCK</t>
  </si>
  <si>
    <t>GMI-A13</t>
  </si>
  <si>
    <t>I2S3-SCLK</t>
  </si>
  <si>
    <t>GMI-A16</t>
  </si>
  <si>
    <t>I2C1-CLK</t>
  </si>
  <si>
    <t>I2C1-DAT</t>
  </si>
  <si>
    <t>UART1.B-TXD</t>
  </si>
  <si>
    <t>GMI-A6</t>
  </si>
  <si>
    <t>UART1.B-RXD</t>
  </si>
  <si>
    <t>GMI-A7</t>
  </si>
  <si>
    <t>GMI-A8</t>
  </si>
  <si>
    <t>GMI-A9</t>
  </si>
  <si>
    <t>GMI-A10</t>
  </si>
  <si>
    <t>GMI-A11</t>
  </si>
  <si>
    <t>GMI-A12</t>
  </si>
  <si>
    <t>UART1.C-RXD</t>
  </si>
  <si>
    <t>GMI-A1</t>
  </si>
  <si>
    <t>uart2cfg</t>
  </si>
  <si>
    <t>UART1.C-TXD</t>
  </si>
  <si>
    <t>GMI-A0</t>
  </si>
  <si>
    <t>SPI4.B-MISO</t>
  </si>
  <si>
    <t>UART2-RXD</t>
  </si>
  <si>
    <t>SPDIF1.C-OUT</t>
  </si>
  <si>
    <t>SPI4.B-MOSI</t>
  </si>
  <si>
    <t>UART2-TXD</t>
  </si>
  <si>
    <t>SPDIF1.C-IN</t>
  </si>
  <si>
    <t>SPI4.B-SCK</t>
  </si>
  <si>
    <t>GMI-A5</t>
  </si>
  <si>
    <t>uart3cfg</t>
  </si>
  <si>
    <t>GMI-A4</t>
  </si>
  <si>
    <t>UART3-RXD</t>
  </si>
  <si>
    <t>GMI-A3</t>
  </si>
  <si>
    <t>UART3-TXD</t>
  </si>
  <si>
    <t>GMI-A2</t>
  </si>
  <si>
    <t>VI-D0</t>
  </si>
  <si>
    <t>VDDIO_VI</t>
  </si>
  <si>
    <t>vicfg1</t>
  </si>
  <si>
    <t>SDMMC2.B-CMD</t>
  </si>
  <si>
    <t>VI-D1</t>
  </si>
  <si>
    <t>VI-D10</t>
  </si>
  <si>
    <t>VI-D11</t>
  </si>
  <si>
    <t>SDMMC2.B-DAT0</t>
  </si>
  <si>
    <t>VI-D2</t>
  </si>
  <si>
    <t>SDMMC2.B-DAT1</t>
  </si>
  <si>
    <t>VI-D3</t>
  </si>
  <si>
    <t>SDMMC2.B-DAT2</t>
  </si>
  <si>
    <t>VI-D4</t>
  </si>
  <si>
    <t>SDMMC2.B-DAT3</t>
  </si>
  <si>
    <t>VI-D5</t>
  </si>
  <si>
    <t>SDMMC2.B-DAT4</t>
  </si>
  <si>
    <t>VI-D6</t>
  </si>
  <si>
    <t>SDMMC2.B-DAT5</t>
  </si>
  <si>
    <t>VI-D7</t>
  </si>
  <si>
    <t>SDMMC2.B-DAT6</t>
  </si>
  <si>
    <t>VI-D8</t>
  </si>
  <si>
    <t>SDMMC2.B-DAT7</t>
  </si>
  <si>
    <t>VI-D9</t>
  </si>
  <si>
    <t>VI-HSYNC</t>
  </si>
  <si>
    <t>csuscfg</t>
  </si>
  <si>
    <t>SDMMC2.B-SCLK</t>
  </si>
  <si>
    <t>VI-CLK</t>
  </si>
  <si>
    <t>VI-VSYNC</t>
  </si>
  <si>
    <t>Function</t>
  </si>
  <si>
    <t>GPIO-W.04</t>
  </si>
  <si>
    <t>GPIO-EE.02</t>
  </si>
  <si>
    <t>GPIO-N.01</t>
  </si>
  <si>
    <t>GPIO-N.02</t>
  </si>
  <si>
    <t>GPIO-N.00</t>
  </si>
  <si>
    <t>GPIO-N.03</t>
  </si>
  <si>
    <t>GPIO-A.04</t>
  </si>
  <si>
    <t>GPIO-A.05</t>
  </si>
  <si>
    <t>GPIO-A.02</t>
  </si>
  <si>
    <t>GPIO-A.03</t>
  </si>
  <si>
    <t>GPIO-K.06</t>
  </si>
  <si>
    <t>GPIO-K.05</t>
  </si>
  <si>
    <t>GPIO-X.06</t>
  </si>
  <si>
    <t>GPIO-X.07</t>
  </si>
  <si>
    <t>GPIO-X.04</t>
  </si>
  <si>
    <t>GPIO-X.05</t>
  </si>
  <si>
    <t>GPIO-X.03</t>
  </si>
  <si>
    <t>GPIO-W.02</t>
  </si>
  <si>
    <t>GPIO-W.03</t>
  </si>
  <si>
    <t>GPIO-X.01</t>
  </si>
  <si>
    <t>GPIO-X.00</t>
  </si>
  <si>
    <t>GPIO-X.02</t>
  </si>
  <si>
    <t>GPIO-P.01</t>
  </si>
  <si>
    <t>GPIO-P.02</t>
  </si>
  <si>
    <t>GPIO-P.00</t>
  </si>
  <si>
    <t>GPIO-P.03</t>
  </si>
  <si>
    <t>GPIO-V.00</t>
  </si>
  <si>
    <t>GPIO-V.01</t>
  </si>
  <si>
    <t>GPIO-Y.00</t>
  </si>
  <si>
    <t>GPIO-O.01</t>
  </si>
  <si>
    <t>GPIO-O.02</t>
  </si>
  <si>
    <t>GPIO-O.03</t>
  </si>
  <si>
    <t>GPIO-O.04</t>
  </si>
  <si>
    <t>GPIO-O.05</t>
  </si>
  <si>
    <t>GPIO-O.06</t>
  </si>
  <si>
    <t>GPIO-O.07</t>
  </si>
  <si>
    <t>GPIO-O.00</t>
  </si>
  <si>
    <t>GPIO-Y.01</t>
  </si>
  <si>
    <t>GPIO-Y.02</t>
  </si>
  <si>
    <t>GPIO-Y.03</t>
  </si>
  <si>
    <t>GPIO-BB.01</t>
  </si>
  <si>
    <t>GPIO-BB.02</t>
  </si>
  <si>
    <t>GPIO-CC.00</t>
  </si>
  <si>
    <t>GPIO-BB.00</t>
  </si>
  <si>
    <t>GPIO-BB.03</t>
  </si>
  <si>
    <t>GPIO-BB.04</t>
  </si>
  <si>
    <t>GPIO-BB.05</t>
  </si>
  <si>
    <t>GPIO-BB.06</t>
  </si>
  <si>
    <t>GPIO-BB.07</t>
  </si>
  <si>
    <t>GPIO-CC.01</t>
  </si>
  <si>
    <t>GPIO-CC.02</t>
  </si>
  <si>
    <t>GPIO-T.05</t>
  </si>
  <si>
    <t>GPIO-T.06</t>
  </si>
  <si>
    <t>GPIO-J.07</t>
  </si>
  <si>
    <t>GPIO-B.00</t>
  </si>
  <si>
    <t>GPIO-B.01</t>
  </si>
  <si>
    <t>GPIO-K.07</t>
  </si>
  <si>
    <t>GPIO-G.00</t>
  </si>
  <si>
    <t>GPIO-G.01</t>
  </si>
  <si>
    <t>GPIO-H.02</t>
  </si>
  <si>
    <t>GPIO-H.03</t>
  </si>
  <si>
    <t>GPIO-H.04</t>
  </si>
  <si>
    <t>GPIO-H.05</t>
  </si>
  <si>
    <t>GPIO-H.06</t>
  </si>
  <si>
    <t>GPIO-H.07</t>
  </si>
  <si>
    <t>GPIO-G.02</t>
  </si>
  <si>
    <t>GPIO-G.03</t>
  </si>
  <si>
    <t>GPIO-G.04</t>
  </si>
  <si>
    <t>GPIO-G.05</t>
  </si>
  <si>
    <t>GPIO-G.06</t>
  </si>
  <si>
    <t>GPIO-G.07</t>
  </si>
  <si>
    <t>GPIO-H.00</t>
  </si>
  <si>
    <t>GPIO-H.01</t>
  </si>
  <si>
    <t>GPIO-K.00</t>
  </si>
  <si>
    <t>GPIO-K.01</t>
  </si>
  <si>
    <t>GPIO-J.00</t>
  </si>
  <si>
    <t>GPIO-J.02</t>
  </si>
  <si>
    <t>GPIO-K.03</t>
  </si>
  <si>
    <t>GPIO-K.04</t>
  </si>
  <si>
    <t>GPIO-K.02</t>
  </si>
  <si>
    <t>GPIO-I.03</t>
  </si>
  <si>
    <t>GPIO-I.06</t>
  </si>
  <si>
    <t>GPIO-I.02</t>
  </si>
  <si>
    <t>GPIO-I.05</t>
  </si>
  <si>
    <t>GPIO-I.01</t>
  </si>
  <si>
    <t>GPIO-I.04</t>
  </si>
  <si>
    <t>GPIO-I.07</t>
  </si>
  <si>
    <t>GPIO-C.07</t>
  </si>
  <si>
    <t>GPIO-I.00</t>
  </si>
  <si>
    <t>GPIO-V.06</t>
  </si>
  <si>
    <t>GPIO-V.07</t>
  </si>
  <si>
    <t>GPIO-V.04</t>
  </si>
  <si>
    <t>GPIO-V.05</t>
  </si>
  <si>
    <t>GPIO-N.07</t>
  </si>
  <si>
    <t>GPIO-N.04</t>
  </si>
  <si>
    <t>GPIO-W.00</t>
  </si>
  <si>
    <t>GPIO-E.00</t>
  </si>
  <si>
    <t>GPIO-E.01</t>
  </si>
  <si>
    <t>GPIO-F.02</t>
  </si>
  <si>
    <t>GPIO-F.03</t>
  </si>
  <si>
    <t>GPIO-F.04</t>
  </si>
  <si>
    <t>GPIO-F.05</t>
  </si>
  <si>
    <t>GPIO-F.06</t>
  </si>
  <si>
    <t>GPIO-F.07</t>
  </si>
  <si>
    <t>GPIO-M.00</t>
  </si>
  <si>
    <t>GPIO-M.01</t>
  </si>
  <si>
    <t>GPIO-M.02</t>
  </si>
  <si>
    <t>GPIO-M.03</t>
  </si>
  <si>
    <t>GPIO-E.02</t>
  </si>
  <si>
    <t>GPIO-M.04</t>
  </si>
  <si>
    <t>GPIO-M.05</t>
  </si>
  <si>
    <t>GPIO-M.06</t>
  </si>
  <si>
    <t>GPIO-M.07</t>
  </si>
  <si>
    <t>GPIO-E.03</t>
  </si>
  <si>
    <t>GPIO-E.04</t>
  </si>
  <si>
    <t>GPIO-E.05</t>
  </si>
  <si>
    <t>GPIO-E.06</t>
  </si>
  <si>
    <t>GPIO-E.07</t>
  </si>
  <si>
    <t>GPIO-F.00</t>
  </si>
  <si>
    <t>GPIO-F.01</t>
  </si>
  <si>
    <t>GPIO-N.06</t>
  </si>
  <si>
    <t>GPIO-D.02</t>
  </si>
  <si>
    <t>GPIO-J.01</t>
  </si>
  <si>
    <t>GPIO-J.03</t>
  </si>
  <si>
    <t>GPIO-W.01</t>
  </si>
  <si>
    <t>GPIO-B.03</t>
  </si>
  <si>
    <t>GPIO-B.02</t>
  </si>
  <si>
    <t>GPIO-C.01</t>
  </si>
  <si>
    <t>GPIO-C.06</t>
  </si>
  <si>
    <t>GPIO-Z.04</t>
  </si>
  <si>
    <t>GPIO-Z.02</t>
  </si>
  <si>
    <t>GPIO-N.05</t>
  </si>
  <si>
    <t>GPIO-J.04</t>
  </si>
  <si>
    <t>GPIO-Z.03</t>
  </si>
  <si>
    <t>GPIO-DD.02</t>
  </si>
  <si>
    <t>GPIO-DD.00</t>
  </si>
  <si>
    <t>GPIO-DD.01</t>
  </si>
  <si>
    <t>GPIO-DD.06</t>
  </si>
  <si>
    <t>GPIO-DD.04</t>
  </si>
  <si>
    <t>GPIO-DD.05</t>
  </si>
  <si>
    <t>GPIO-CC.07</t>
  </si>
  <si>
    <t>GPIO-DD.07</t>
  </si>
  <si>
    <t>GPIO-CC.06</t>
  </si>
  <si>
    <t>GPIO-DD.03</t>
  </si>
  <si>
    <t>GPIO-W.05</t>
  </si>
  <si>
    <t>GPIO-CC.05</t>
  </si>
  <si>
    <t>GPIO-V.02</t>
  </si>
  <si>
    <t>GPIO-V.03</t>
  </si>
  <si>
    <t>GPIO-Z.00</t>
  </si>
  <si>
    <t>GPIO-Z.01</t>
  </si>
  <si>
    <t>GPIO-Y.07</t>
  </si>
  <si>
    <t>GPIO-Y.06</t>
  </si>
  <si>
    <t>GPIO-Y.05</t>
  </si>
  <si>
    <t>GPIO-Y.04</t>
  </si>
  <si>
    <t>GPIO-A.06</t>
  </si>
  <si>
    <t>GPIO-A.07</t>
  </si>
  <si>
    <t>GPIO-B.07</t>
  </si>
  <si>
    <t>GPIO-B.06</t>
  </si>
  <si>
    <t>GPIO-B.05</t>
  </si>
  <si>
    <t>GPIO-B.04</t>
  </si>
  <si>
    <t>GPIO-D.01</t>
  </si>
  <si>
    <t>GPIO-D.00</t>
  </si>
  <si>
    <t>GPIO-D.03</t>
  </si>
  <si>
    <t>GPIO-D.04</t>
  </si>
  <si>
    <t>GPIO-CC.04</t>
  </si>
  <si>
    <t>GPIO-T.07</t>
  </si>
  <si>
    <t>GPIO-AA.00</t>
  </si>
  <si>
    <t>GPIO-AA.01</t>
  </si>
  <si>
    <t>GPIO-AA.02</t>
  </si>
  <si>
    <t>GPIO-AA.03</t>
  </si>
  <si>
    <t>GPIO-AA.04</t>
  </si>
  <si>
    <t>GPIO-AA.05</t>
  </si>
  <si>
    <t>GPIO-AA.06</t>
  </si>
  <si>
    <t>GPIO-AA.07</t>
  </si>
  <si>
    <t>GPIO-CC.03</t>
  </si>
  <si>
    <t>GPIO-A.00</t>
  </si>
  <si>
    <t>GPIO-EE.03</t>
  </si>
  <si>
    <t>GPIO-Q.00</t>
  </si>
  <si>
    <t>GPIO-Q.01</t>
  </si>
  <si>
    <t>GPIO-Q.02</t>
  </si>
  <si>
    <t>GPIO-Q.03</t>
  </si>
  <si>
    <t>GPIO-Q.04</t>
  </si>
  <si>
    <t>GPIO-Q.05</t>
  </si>
  <si>
    <t>GPIO-Q.06</t>
  </si>
  <si>
    <t>GPIO-Q.07</t>
  </si>
  <si>
    <t>GPIO-R.00</t>
  </si>
  <si>
    <t>GPIO-R.01</t>
  </si>
  <si>
    <t>GPIO-S.02</t>
  </si>
  <si>
    <t>GPIO-S.03</t>
  </si>
  <si>
    <t>GPIO-S.04</t>
  </si>
  <si>
    <t>GPIO-S.05</t>
  </si>
  <si>
    <t>GPIO-S.06</t>
  </si>
  <si>
    <t>GPIO-S.07</t>
  </si>
  <si>
    <t>GPIO-R.02</t>
  </si>
  <si>
    <t>GPIO-R.03</t>
  </si>
  <si>
    <t>GPIO-R.04</t>
  </si>
  <si>
    <t>GPIO-R.05</t>
  </si>
  <si>
    <t>GPIO-R.06</t>
  </si>
  <si>
    <t>GPIO-R.07</t>
  </si>
  <si>
    <t>GPIO-S.00</t>
  </si>
  <si>
    <t>GPIO-S.01</t>
  </si>
  <si>
    <t>GPIO-Z.06</t>
  </si>
  <si>
    <t>GPIO-Z.07</t>
  </si>
  <si>
    <t>GPIO-Z.05</t>
  </si>
  <si>
    <t>GPIO-EE.00</t>
  </si>
  <si>
    <t>GPIO-EE.01</t>
  </si>
  <si>
    <t>GPIO-P.05</t>
  </si>
  <si>
    <t>GPIO-P.06</t>
  </si>
  <si>
    <t>GPIO-P.04</t>
  </si>
  <si>
    <t>GPIO-P.07</t>
  </si>
  <si>
    <t>GPIO-C.04</t>
  </si>
  <si>
    <t>GPIO-C.05</t>
  </si>
  <si>
    <t>GPIO-U.00</t>
  </si>
  <si>
    <t>GPIO-U.01</t>
  </si>
  <si>
    <t>GPIO-U.02</t>
  </si>
  <si>
    <t>GPIO-U.03</t>
  </si>
  <si>
    <t>GPIO-U.04</t>
  </si>
  <si>
    <t>GPIO-U.05</t>
  </si>
  <si>
    <t>GPIO-U.06</t>
  </si>
  <si>
    <t>GPIO-J.05</t>
  </si>
  <si>
    <t>GPIO-J.06</t>
  </si>
  <si>
    <t>GPIO-C.03</t>
  </si>
  <si>
    <t>GPIO-C.02</t>
  </si>
  <si>
    <t>GPIO-A.01</t>
  </si>
  <si>
    <t>GPIO-C.00</t>
  </si>
  <si>
    <t>GPIO-W.07</t>
  </si>
  <si>
    <t>GPIO-W.06</t>
  </si>
  <si>
    <t>GPIO-T.04</t>
  </si>
  <si>
    <t>GPIO-D.05</t>
  </si>
  <si>
    <t>GPIO-T.02</t>
  </si>
  <si>
    <t>GPIO-T.03</t>
  </si>
  <si>
    <t>GPIO-L.00</t>
  </si>
  <si>
    <t>GPIO-L.01</t>
  </si>
  <si>
    <t>GPIO-L.02</t>
  </si>
  <si>
    <t>GPIO-L.03</t>
  </si>
  <si>
    <t>GPIO-L.04</t>
  </si>
  <si>
    <t>GPIO-L.05</t>
  </si>
  <si>
    <t>GPIO-L.06</t>
  </si>
  <si>
    <t>GPIO-L.07</t>
  </si>
  <si>
    <t>GPIO-D.07</t>
  </si>
  <si>
    <t>GPIO-T.01</t>
  </si>
  <si>
    <t>GPIO-T.00</t>
  </si>
  <si>
    <t>GPIO-D.06</t>
  </si>
  <si>
    <t>mpio_table row for this ball name</t>
  </si>
  <si>
    <t>Selected Function for this ball name</t>
  </si>
  <si>
    <t>Enabled</t>
  </si>
  <si>
    <t>Is this ball name acting as this function?</t>
  </si>
  <si>
    <t>Controller</t>
  </si>
  <si>
    <t>Signal</t>
  </si>
  <si>
    <t>Controller Sans Interface</t>
  </si>
  <si>
    <t>Interface</t>
  </si>
  <si>
    <t>A</t>
  </si>
  <si>
    <t>B</t>
  </si>
  <si>
    <t>C</t>
  </si>
  <si>
    <t>D</t>
  </si>
  <si>
    <t>E</t>
  </si>
  <si>
    <t>Active Interface Count</t>
  </si>
  <si>
    <t>ControllerAndInterfaceIfEnabled</t>
  </si>
  <si>
    <t>Ball Names</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</si>
  <si>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</si>
  <si>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</si>
  <si>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</si>
  <si>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</si>
  <si>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</si>
  <si>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I2C3.A-CLK</t>
  </si>
  <si>
    <t>I2C3.A-DAT</t>
  </si>
  <si>
    <t>I2C3.B-CLK</t>
  </si>
  <si>
    <t>I2C3.B-DAT</t>
  </si>
  <si>
    <t>I2C0-CLK</t>
  </si>
  <si>
    <t>I2C0-DAT</t>
  </si>
  <si>
    <t>Customer Usage Comment</t>
  </si>
  <si>
    <t>(common)</t>
  </si>
  <si>
    <t>Customer Usage</t>
  </si>
  <si>
    <t>unused_GMI_AD0</t>
  </si>
  <si>
    <t>unused_GMI_AD1</t>
  </si>
  <si>
    <t>unused_GMI_AD11</t>
  </si>
  <si>
    <t>unused_GMI_AD2</t>
  </si>
  <si>
    <t>unused_GMI_AD3</t>
  </si>
  <si>
    <t>unused_GMI_AD4</t>
  </si>
  <si>
    <t>unused_GMI_AD5</t>
  </si>
  <si>
    <t>unused_GMI_AD6</t>
  </si>
  <si>
    <t>unused_GMI_AD7</t>
  </si>
  <si>
    <t>unused_GMI_ADV_N</t>
  </si>
  <si>
    <t>unused_GMI_CLK</t>
  </si>
  <si>
    <t>unused_GMI_CS0_N</t>
  </si>
  <si>
    <t>unused_GMI_CS2_N</t>
  </si>
  <si>
    <t>unused_GMI_CS3_N</t>
  </si>
  <si>
    <t>unused_GMI_CS6_N</t>
  </si>
  <si>
    <t>unused_GMI_CS7_N</t>
  </si>
  <si>
    <t>unused_GMI_DQS</t>
  </si>
  <si>
    <t>unused_GMI_OE_N</t>
  </si>
  <si>
    <t>unused_GMI_RST_N</t>
  </si>
  <si>
    <t>unused_GMI_WAIT</t>
  </si>
  <si>
    <t>unused_GMI_WP_N</t>
  </si>
  <si>
    <t>unused_GMI_WR_N</t>
  </si>
  <si>
    <t>unused_CRT_HSYNC</t>
  </si>
  <si>
    <t>unused_CRT_VSYNC</t>
  </si>
  <si>
    <t>unused_LCD_CS1_N</t>
  </si>
  <si>
    <t>unused_LCD_D4</t>
  </si>
  <si>
    <t>unused_LCD_D5</t>
  </si>
  <si>
    <t>unused_LCD_D6</t>
  </si>
  <si>
    <t>unused_LCD_HSYNC</t>
  </si>
  <si>
    <t>unused_LCD_PCLK</t>
  </si>
  <si>
    <t>unused_LCD_PWR0</t>
  </si>
  <si>
    <t>unused_LCD_SCK</t>
  </si>
  <si>
    <t>unused_LCD_SDIN</t>
  </si>
  <si>
    <t>unused_LCD_SDOUT</t>
  </si>
  <si>
    <t>unused_LCD_VSYNC</t>
  </si>
  <si>
    <t>unused_LCD_WR_N</t>
  </si>
  <si>
    <t>unused_PEX_L0_CLKREQ_N</t>
  </si>
  <si>
    <t>unused_PEX_L0_PRSNT_N</t>
  </si>
  <si>
    <t>unused_PEX_L0_RST_N</t>
  </si>
  <si>
    <t>unused_PEX_L1_CLKREQ_N</t>
  </si>
  <si>
    <t>unused_PEX_L1_PRSNT_N</t>
  </si>
  <si>
    <t>unused_PEX_L1_RST_N</t>
  </si>
  <si>
    <t>unused_PEX_L2_CLKREQ_N</t>
  </si>
  <si>
    <t>unused_PEX_L2_PRSNT_N</t>
  </si>
  <si>
    <t>unused_PEX_L2_RST_N</t>
  </si>
  <si>
    <t>unused_PEX_WAKE_N</t>
  </si>
  <si>
    <t>unused_CLK2_OUT</t>
  </si>
  <si>
    <t>unused_CLK2_REQ</t>
  </si>
  <si>
    <t>unused_SDMMC3_DAT4</t>
  </si>
  <si>
    <t>unused_SDMMC3_DAT5</t>
  </si>
  <si>
    <t>unused_SDMMC3_DAT6</t>
  </si>
  <si>
    <t>unused_SDMMC3_DAT7</t>
  </si>
  <si>
    <t>unused_KB_COL7</t>
  </si>
  <si>
    <t>unused_CLK3_REQ</t>
  </si>
  <si>
    <t>unused_VI_D0</t>
  </si>
  <si>
    <t>unused_VI_D1</t>
  </si>
  <si>
    <t>unused_VI_D10</t>
  </si>
  <si>
    <t>unused_VI_D11</t>
  </si>
  <si>
    <t>unused_VI_D2</t>
  </si>
  <si>
    <t>unused_VI_D3</t>
  </si>
  <si>
    <t>unused_VI_D4</t>
  </si>
  <si>
    <t>unused_VI_D5</t>
  </si>
  <si>
    <t>unused_VI_D6</t>
  </si>
  <si>
    <t>unused_VI_D7</t>
  </si>
  <si>
    <t>unused_VI_D8</t>
  </si>
  <si>
    <t>unused_VI_D9</t>
  </si>
  <si>
    <t>unused_VI_HSYNC</t>
  </si>
  <si>
    <t>unused_VI_MCLK</t>
  </si>
  <si>
    <t>unused_VI_PCLK</t>
  </si>
  <si>
    <t>unused_VI_VSYNC</t>
  </si>
  <si>
    <t>Pins Used Per Interface</t>
  </si>
  <si>
    <t>The only cells that need to be edited are the orange highlighted cells on the MPIO worksheet.</t>
  </si>
  <si>
    <t>This spreadsheet is a companion to the Tegra3 datasheet.  It is designed to help system designers specify the pinmux configuration for each new system design.</t>
  </si>
  <si>
    <t>unused_CLK1_REQ</t>
  </si>
  <si>
    <t>unused_SPDIF_IN</t>
  </si>
  <si>
    <t>unused_SPDIF_OUT</t>
  </si>
  <si>
    <t>unused_SPI2_CS0_N</t>
  </si>
  <si>
    <t>unused_SPI2_SCK</t>
  </si>
  <si>
    <t>unused_DAP3_DIN</t>
  </si>
  <si>
    <t>unused_DAP3_DOUT</t>
  </si>
  <si>
    <t>unused_DAP3_FS</t>
  </si>
  <si>
    <t>unused_DAP3_SCLK</t>
  </si>
  <si>
    <t>unused_GPIO_PV1</t>
  </si>
  <si>
    <t>unused_GPIO_PBB6</t>
  </si>
  <si>
    <t>unused_GMI_AD9</t>
  </si>
  <si>
    <t>unused_LCD_CS0_N</t>
  </si>
  <si>
    <t>unused_LCD_D18</t>
  </si>
  <si>
    <t>unused_LCD_D19</t>
  </si>
  <si>
    <t>unused_LCD_D20</t>
  </si>
  <si>
    <t>unused_LCD_D21</t>
  </si>
  <si>
    <t>unused_LCD_D22</t>
  </si>
  <si>
    <t>unused_LCD_D23</t>
  </si>
  <si>
    <t>unused_LCD_DC0</t>
  </si>
  <si>
    <t>unused_LCD_DC1</t>
  </si>
  <si>
    <t>unused_LCD_M1</t>
  </si>
  <si>
    <t>unused_LCD_PWR1</t>
  </si>
  <si>
    <t>unused_LCD_PWR2</t>
  </si>
  <si>
    <t>unused_GPIO_PV2</t>
  </si>
  <si>
    <t>unused_GPIO_PV3</t>
  </si>
  <si>
    <t>unused_KB_COL4</t>
  </si>
  <si>
    <t>unused_KB_COL5</t>
  </si>
  <si>
    <t>unused_KB_COL6</t>
  </si>
  <si>
    <t>unused_KB_ROW10</t>
  </si>
  <si>
    <t>unused_KB_ROW12</t>
  </si>
  <si>
    <t>unused_KB_ROW13</t>
  </si>
  <si>
    <t>unused_KB_ROW14</t>
  </si>
  <si>
    <t>unused_KB_ROW15</t>
  </si>
  <si>
    <t>unused_KB_ROW3</t>
  </si>
  <si>
    <t>unused_KB_ROW9</t>
  </si>
  <si>
    <t>unused_OWR</t>
  </si>
  <si>
    <t>unused_SYS_CLK_REQ</t>
  </si>
  <si>
    <t>Date</t>
  </si>
  <si>
    <t>Revision</t>
  </si>
  <si>
    <t>Description</t>
  </si>
  <si>
    <t>v01</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</si>
  <si>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</si>
  <si>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</si>
  <si>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</si>
  <si>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Modem I2S</t>
  </si>
  <si>
    <t>Audio CODEC</t>
  </si>
  <si>
    <t>SPI Touchscreen</t>
  </si>
  <si>
    <t>HEAD_DET_L</t>
  </si>
  <si>
    <t>CDC_IRQ</t>
  </si>
  <si>
    <t>GYRO_IRQ_L</t>
  </si>
  <si>
    <t>NFC_IRQ_L</t>
  </si>
  <si>
    <t>UART4 (SQA)</t>
  </si>
  <si>
    <t>DEBUG_GPIO0</t>
  </si>
  <si>
    <t>DEBUG_GPIO1</t>
  </si>
  <si>
    <t>CAM_I2C</t>
  </si>
  <si>
    <t>CAM_FLASH</t>
  </si>
  <si>
    <t>EN_1V8_CAM</t>
  </si>
  <si>
    <t>CAM1_PWDN</t>
  </si>
  <si>
    <t>CAM3_PWDN</t>
  </si>
  <si>
    <t>FRONT_SEL</t>
  </si>
  <si>
    <t>GEN2_I2C</t>
  </si>
  <si>
    <t>SPI Boot</t>
  </si>
  <si>
    <t>LCD1_BL_EN</t>
  </si>
  <si>
    <t>LCD1_BL_PWM</t>
  </si>
  <si>
    <t>CHARGER_STAT</t>
  </si>
  <si>
    <t>EN_VDD_BL1</t>
  </si>
  <si>
    <t>MFG_MODE</t>
  </si>
  <si>
    <t>HDMI_DDC</t>
  </si>
  <si>
    <t>HDMI_HPD_L</t>
  </si>
  <si>
    <t>SDMMC3 (Wi-Fi)</t>
  </si>
  <si>
    <t>EN_3V3_EMMC</t>
  </si>
  <si>
    <t>EN_3V3_COM</t>
  </si>
  <si>
    <t>WF_EN</t>
  </si>
  <si>
    <t>SDMMC4 (eMMC)</t>
  </si>
  <si>
    <t>CAM3_AF_PWDN_L</t>
  </si>
  <si>
    <t>CAM_I2C_SEL0</t>
  </si>
  <si>
    <t>CAM_I2C_SEL1</t>
  </si>
  <si>
    <t>CAM1_LDO_EN</t>
  </si>
  <si>
    <t>CAM2_LDO_EN</t>
  </si>
  <si>
    <t>CAM3_LDO_EN</t>
  </si>
  <si>
    <t>PWR_I2C</t>
  </si>
  <si>
    <t>BT Audio</t>
  </si>
  <si>
    <t>GEN1_I2C</t>
  </si>
  <si>
    <t>BT_WAKEUP</t>
  </si>
  <si>
    <t>GPS_EN</t>
  </si>
  <si>
    <t>GPS UART2</t>
  </si>
  <si>
    <t>BT UART3</t>
  </si>
  <si>
    <t>COMPASS_DRDY</t>
  </si>
  <si>
    <t>EN_VDD_PNL1</t>
  </si>
  <si>
    <t>EN_3V3_FUSE</t>
  </si>
  <si>
    <t>EN_3V3_PEX_HVDD</t>
  </si>
  <si>
    <t>EN_VDD_SDMMC1</t>
  </si>
  <si>
    <t>EN_3V3_MODEM</t>
  </si>
  <si>
    <t>AUDIO_MCLK</t>
  </si>
  <si>
    <t>RAM Code Straps[3:0]</t>
  </si>
  <si>
    <t>GPS_RST*</t>
  </si>
  <si>
    <t>GPS_IRQ*</t>
  </si>
  <si>
    <t>PEX Lane 2 Control</t>
  </si>
  <si>
    <t>SPI2 (Debug)</t>
  </si>
  <si>
    <t>GYRO_IRQ*</t>
  </si>
  <si>
    <t>TP_IRQ*</t>
  </si>
  <si>
    <t>FORCE_RECOVERY Strap</t>
  </si>
  <si>
    <t>JTAG Straps [1:0]</t>
  </si>
  <si>
    <t>Boot Select Straps[3:2]</t>
  </si>
  <si>
    <t>Boot Select Straps[1:0]</t>
  </si>
  <si>
    <t>FRONT_CAM_PWDN</t>
  </si>
  <si>
    <t>BT_RST*</t>
  </si>
  <si>
    <t>Not available on AP30</t>
  </si>
  <si>
    <t>AUDIO</t>
  </si>
  <si>
    <t>CAM</t>
  </si>
  <si>
    <t>BB</t>
  </si>
  <si>
    <t>GMI</t>
  </si>
  <si>
    <t>LCD</t>
  </si>
  <si>
    <t>PEX_CTL</t>
  </si>
  <si>
    <t>SDMMC1</t>
  </si>
  <si>
    <t>SDMMC3</t>
  </si>
  <si>
    <t>SDMMC4</t>
  </si>
  <si>
    <t>SYS</t>
  </si>
  <si>
    <t>UART</t>
  </si>
  <si>
    <t>VI</t>
  </si>
  <si>
    <t>T30</t>
  </si>
  <si>
    <t>T30S</t>
  </si>
  <si>
    <t>AP30</t>
  </si>
  <si>
    <t>Ball Locations</t>
  </si>
  <si>
    <t>Output Buffer</t>
  </si>
  <si>
    <t>Input
Buffer</t>
  </si>
  <si>
    <t>PU/PD</t>
  </si>
  <si>
    <t>After
Wake</t>
  </si>
  <si>
    <t>Power Rail</t>
  </si>
  <si>
    <t>Pad Type</t>
  </si>
  <si>
    <t>Unused</t>
  </si>
  <si>
    <t>MPIO</t>
  </si>
  <si>
    <t>DDR</t>
  </si>
  <si>
    <t>Dedicated SFIOs</t>
  </si>
  <si>
    <t>DSI_CSI</t>
  </si>
  <si>
    <t>HSIC</t>
  </si>
  <si>
    <t>HDMI</t>
  </si>
  <si>
    <t>PCIE</t>
  </si>
  <si>
    <t>SATA</t>
  </si>
  <si>
    <t>USB</t>
  </si>
  <si>
    <t>XTAL</t>
  </si>
  <si>
    <t>DDR_A0</t>
  </si>
  <si>
    <t>DDR_A1</t>
  </si>
  <si>
    <t>DDR_A10</t>
  </si>
  <si>
    <t>DDR_A11</t>
  </si>
  <si>
    <t>DDR_A12</t>
  </si>
  <si>
    <t>DDR_A13</t>
  </si>
  <si>
    <t>DDR_A14</t>
  </si>
  <si>
    <t>DDR_A2</t>
  </si>
  <si>
    <t>DDR_A3</t>
  </si>
  <si>
    <t>DDR_A4</t>
  </si>
  <si>
    <t>DDR_A5</t>
  </si>
  <si>
    <t>DDR_A6</t>
  </si>
  <si>
    <t>DDR_A7</t>
  </si>
  <si>
    <t>DDR_A8</t>
  </si>
  <si>
    <t>DDR_A9</t>
  </si>
  <si>
    <t>DDR_BA0</t>
  </si>
  <si>
    <t>DDR_BA1</t>
  </si>
  <si>
    <t>DDR_BA2</t>
  </si>
  <si>
    <t>DDR_CAS_N</t>
  </si>
  <si>
    <t>DDR_CKE0</t>
  </si>
  <si>
    <t>DDR_CKE1</t>
  </si>
  <si>
    <t>DDR_CLK</t>
  </si>
  <si>
    <t>DDR_CLK_N</t>
  </si>
  <si>
    <t>DDR_CS0_N</t>
  </si>
  <si>
    <t>DDR_CS1_N</t>
  </si>
  <si>
    <t>DDR_DM0</t>
  </si>
  <si>
    <t>DDR_DM1</t>
  </si>
  <si>
    <t>DDR_DM2</t>
  </si>
  <si>
    <t>DDR_DM3</t>
  </si>
  <si>
    <t>DDR_DQ0</t>
  </si>
  <si>
    <t>DDR_DQ1</t>
  </si>
  <si>
    <t>DDR_DQ10</t>
  </si>
  <si>
    <t>DDR_DQ11</t>
  </si>
  <si>
    <t>DDR_DQ12</t>
  </si>
  <si>
    <t>DDR_DQ13</t>
  </si>
  <si>
    <t>DDR_DQ14</t>
  </si>
  <si>
    <t>DDR_DQ15</t>
  </si>
  <si>
    <t>DDR_DQ16</t>
  </si>
  <si>
    <t>DDR_DQ17</t>
  </si>
  <si>
    <t>DDR_DQ18</t>
  </si>
  <si>
    <t>DDR_DQ19</t>
  </si>
  <si>
    <t>DDR_DQ2</t>
  </si>
  <si>
    <t>DDR_DQ20</t>
  </si>
  <si>
    <t>DDR_DQ21</t>
  </si>
  <si>
    <t>DDR_DQ22</t>
  </si>
  <si>
    <t>DDR_DQ23</t>
  </si>
  <si>
    <t>DDR_DQ24</t>
  </si>
  <si>
    <t>DDR_DQ25</t>
  </si>
  <si>
    <t>DDR_DQ26</t>
  </si>
  <si>
    <t>DDR_DQ27</t>
  </si>
  <si>
    <t>DDR_DQ28</t>
  </si>
  <si>
    <t>DDR_DQ29</t>
  </si>
  <si>
    <t>DDR_DQ3</t>
  </si>
  <si>
    <t>DDR_DQ30</t>
  </si>
  <si>
    <t>DDR_DQ31</t>
  </si>
  <si>
    <t>DDR_DQ4</t>
  </si>
  <si>
    <t>DDR_DQ5</t>
  </si>
  <si>
    <t>DDR_DQ6</t>
  </si>
  <si>
    <t>DDR_DQ7</t>
  </si>
  <si>
    <t>DDR_DQ8</t>
  </si>
  <si>
    <t>DDR_DQ9</t>
  </si>
  <si>
    <t>DDR_DQS0N</t>
  </si>
  <si>
    <t>DDR_DQS0P</t>
  </si>
  <si>
    <t>DDR_DQS1N</t>
  </si>
  <si>
    <t>DDR_DQS1P</t>
  </si>
  <si>
    <t>DDR_DQS2N</t>
  </si>
  <si>
    <t>DDR_DQS2P</t>
  </si>
  <si>
    <t>DDR_DQS3N</t>
  </si>
  <si>
    <t>DDR_DQS3P</t>
  </si>
  <si>
    <t>DDR_ODT0</t>
  </si>
  <si>
    <t>DDR_ODT1</t>
  </si>
  <si>
    <t>DDR_QUSE0</t>
  </si>
  <si>
    <t>DDR_QUSE1</t>
  </si>
  <si>
    <t>DDR_QUSE2</t>
  </si>
  <si>
    <t>DDR_QUSE3</t>
  </si>
  <si>
    <t>DDR_RAS_N</t>
  </si>
  <si>
    <t>DDR_RESET</t>
  </si>
  <si>
    <t>DDR_WE_N</t>
  </si>
  <si>
    <t>D20</t>
  </si>
  <si>
    <t>G15</t>
  </si>
  <si>
    <t>E16</t>
  </si>
  <si>
    <t>D18</t>
  </si>
  <si>
    <t>E15</t>
  </si>
  <si>
    <t>A19</t>
  </si>
  <si>
    <t>B16</t>
  </si>
  <si>
    <t>A18</t>
  </si>
  <si>
    <t>D14</t>
  </si>
  <si>
    <t>B19</t>
  </si>
  <si>
    <t>A16</t>
  </si>
  <si>
    <t>C21</t>
  </si>
  <si>
    <t>A15</t>
  </si>
  <si>
    <t>D15</t>
  </si>
  <si>
    <t>C16</t>
  </si>
  <si>
    <t>F15</t>
  </si>
  <si>
    <t>E21</t>
  </si>
  <si>
    <t>F21</t>
  </si>
  <si>
    <t>D17</t>
  </si>
  <si>
    <t>F19</t>
  </si>
  <si>
    <t>E18</t>
  </si>
  <si>
    <t>C18</t>
  </si>
  <si>
    <t>B18</t>
  </si>
  <si>
    <t>F16</t>
  </si>
  <si>
    <t>E19</t>
  </si>
  <si>
    <t>C22</t>
  </si>
  <si>
    <t>D12</t>
  </si>
  <si>
    <t>E22</t>
  </si>
  <si>
    <t>G12</t>
  </si>
  <si>
    <t>D24</t>
  </si>
  <si>
    <t>B25</t>
  </si>
  <si>
    <t>C12</t>
  </si>
  <si>
    <t>B13</t>
  </si>
  <si>
    <t>C13</t>
  </si>
  <si>
    <t>A10</t>
  </si>
  <si>
    <t>B10</t>
  </si>
  <si>
    <t>C10</t>
  </si>
  <si>
    <t>G22</t>
  </si>
  <si>
    <t>D22</t>
  </si>
  <si>
    <t>D25</t>
  </si>
  <si>
    <t>F23</t>
  </si>
  <si>
    <t>A25</t>
  </si>
  <si>
    <t>G21</t>
  </si>
  <si>
    <t>E25</t>
  </si>
  <si>
    <t>F24</t>
  </si>
  <si>
    <t>F22</t>
  </si>
  <si>
    <t>F13</t>
  </si>
  <si>
    <t>G13</t>
  </si>
  <si>
    <t>G10</t>
  </si>
  <si>
    <t>D13</t>
  </si>
  <si>
    <t>G9</t>
  </si>
  <si>
    <t>F10</t>
  </si>
  <si>
    <t>D21</t>
  </si>
  <si>
    <t>D10</t>
  </si>
  <si>
    <t>F12</t>
  </si>
  <si>
    <t>A24</t>
  </si>
  <si>
    <t>A21</t>
  </si>
  <si>
    <t>A22</t>
  </si>
  <si>
    <t>B22</t>
  </si>
  <si>
    <t>C15</t>
  </si>
  <si>
    <t>A13</t>
  </si>
  <si>
    <t>B24</t>
  </si>
  <si>
    <t>C24</t>
  </si>
  <si>
    <t>B12</t>
  </si>
  <si>
    <t>A12</t>
  </si>
  <si>
    <t>E24</t>
  </si>
  <si>
    <t>D23</t>
  </si>
  <si>
    <t>E12</t>
  </si>
  <si>
    <t>D11</t>
  </si>
  <si>
    <t>D16</t>
  </si>
  <si>
    <t>F18</t>
  </si>
  <si>
    <t>D27</t>
  </si>
  <si>
    <t>D26</t>
  </si>
  <si>
    <t>E9</t>
  </si>
  <si>
    <t>F9</t>
  </si>
  <si>
    <t>G18</t>
  </si>
  <si>
    <t>C19</t>
  </si>
  <si>
    <t>D19</t>
  </si>
  <si>
    <t>CSI_CLKAN</t>
  </si>
  <si>
    <t>AC4</t>
  </si>
  <si>
    <t>CSI_CLKAP</t>
  </si>
  <si>
    <t>AD4</t>
  </si>
  <si>
    <t>CSI_CLKBN</t>
  </si>
  <si>
    <t>AG3</t>
  </si>
  <si>
    <t>CSI_CLKBP</t>
  </si>
  <si>
    <t>AG2</t>
  </si>
  <si>
    <t>CSI_D1AN</t>
  </si>
  <si>
    <t>AD3</t>
  </si>
  <si>
    <t>CSI_D1AP</t>
  </si>
  <si>
    <t>AD2</t>
  </si>
  <si>
    <t>CSI_D1BN</t>
  </si>
  <si>
    <t>AD1</t>
  </si>
  <si>
    <t>CSI_D1BP</t>
  </si>
  <si>
    <t>AE1</t>
  </si>
  <si>
    <t>CSI_D2AN</t>
  </si>
  <si>
    <t>AE2</t>
  </si>
  <si>
    <t>CSI_D2AP</t>
  </si>
  <si>
    <t>AE3</t>
  </si>
  <si>
    <t>CSI_D2BN</t>
  </si>
  <si>
    <t>AH2</t>
  </si>
  <si>
    <t>CSI_D2BP</t>
  </si>
  <si>
    <t>AH1</t>
  </si>
  <si>
    <t>DSI_CLKAN</t>
  </si>
  <si>
    <t>AA1</t>
  </si>
  <si>
    <t>DSI_CLKAP</t>
  </si>
  <si>
    <t>AB1</t>
  </si>
  <si>
    <t>AJ3</t>
  </si>
  <si>
    <t>DSI_D1AN</t>
  </si>
  <si>
    <t>AB2</t>
  </si>
  <si>
    <t>DSI_D1AP</t>
  </si>
  <si>
    <t>AB3</t>
  </si>
  <si>
    <t>DSI_D2AN</t>
  </si>
  <si>
    <t>AA2</t>
  </si>
  <si>
    <t>DSI_D2AP</t>
  </si>
  <si>
    <t>AA3</t>
  </si>
  <si>
    <t>AG1</t>
  </si>
  <si>
    <t>HDMI_TXCN</t>
  </si>
  <si>
    <t>AK3</t>
  </si>
  <si>
    <t>HDMI_TXCP</t>
  </si>
  <si>
    <t>AK4</t>
  </si>
  <si>
    <t>HDMI_TXD0N</t>
  </si>
  <si>
    <t>AJ4</t>
  </si>
  <si>
    <t>HDMI_TXD0P</t>
  </si>
  <si>
    <t>AH4</t>
  </si>
  <si>
    <t>HDMI_TXD1N</t>
  </si>
  <si>
    <t>AH6</t>
  </si>
  <si>
    <t>HDMI_TXD1P</t>
  </si>
  <si>
    <t>AJ6</t>
  </si>
  <si>
    <t>HDMI_TXD2N</t>
  </si>
  <si>
    <t>AK7</t>
  </si>
  <si>
    <t>HDMI_TXD2P</t>
  </si>
  <si>
    <t>AJ7</t>
  </si>
  <si>
    <t>HSIC_DATA</t>
  </si>
  <si>
    <t>V6</t>
  </si>
  <si>
    <t>HSIC_STROBE</t>
  </si>
  <si>
    <t>V7</t>
  </si>
  <si>
    <t>PEX_CLK1N</t>
  </si>
  <si>
    <t>AK28</t>
  </si>
  <si>
    <t>PEX_CLK1P</t>
  </si>
  <si>
    <t>AK27</t>
  </si>
  <si>
    <t>PEX_CLK2N</t>
  </si>
  <si>
    <t>AB24</t>
  </si>
  <si>
    <t>PEX_CLK2P</t>
  </si>
  <si>
    <t>AB23</t>
  </si>
  <si>
    <t>PEX_CLK3N</t>
  </si>
  <si>
    <t>AH27</t>
  </si>
  <si>
    <t>PEX_CLK3P</t>
  </si>
  <si>
    <t>AJ27</t>
  </si>
  <si>
    <t>AG24</t>
  </si>
  <si>
    <t>AD25</t>
  </si>
  <si>
    <t>AG26</t>
  </si>
  <si>
    <t>PEX_L0_RXN</t>
  </si>
  <si>
    <t>AJ19</t>
  </si>
  <si>
    <t>PEX_L0_RXP</t>
  </si>
  <si>
    <t>AH19</t>
  </si>
  <si>
    <t>PEX_L0_TXN</t>
  </si>
  <si>
    <t>AG18</t>
  </si>
  <si>
    <t>PEX_L0_TXP</t>
  </si>
  <si>
    <t>AF18</t>
  </si>
  <si>
    <t>AD26</t>
  </si>
  <si>
    <t>AD24</t>
  </si>
  <si>
    <t>AG27</t>
  </si>
  <si>
    <t>PEX_L1_RXN</t>
  </si>
  <si>
    <t>AK22</t>
  </si>
  <si>
    <t>PEX_L1_RXP</t>
  </si>
  <si>
    <t>AK21</t>
  </si>
  <si>
    <t>PEX_L1_TXN</t>
  </si>
  <si>
    <t>AF19</t>
  </si>
  <si>
    <t>PEX_L1_TXP</t>
  </si>
  <si>
    <t>AG19</t>
  </si>
  <si>
    <t>AC21</t>
  </si>
  <si>
    <t>AE22</t>
  </si>
  <si>
    <t>AG25</t>
  </si>
  <si>
    <t>PEX_L2_RXN</t>
  </si>
  <si>
    <t>AK19</t>
  </si>
  <si>
    <t>PEX_L2_RXP</t>
  </si>
  <si>
    <t>AK18</t>
  </si>
  <si>
    <t>PEX_L2_TXN</t>
  </si>
  <si>
    <t>AJ18</t>
  </si>
  <si>
    <t>PEX_L2_TXP</t>
  </si>
  <si>
    <t>AH18</t>
  </si>
  <si>
    <t>PEX_L3_RXN</t>
  </si>
  <si>
    <t>AJ21</t>
  </si>
  <si>
    <t>PEX_L3_RXP</t>
  </si>
  <si>
    <t>AH21</t>
  </si>
  <si>
    <t>PEX_L3_TXN</t>
  </si>
  <si>
    <t>AK24</t>
  </si>
  <si>
    <t>PEX_L3_TXP</t>
  </si>
  <si>
    <t>AK25</t>
  </si>
  <si>
    <t>PEX_L4_RXN</t>
  </si>
  <si>
    <t>AJ24</t>
  </si>
  <si>
    <t>PEX_L4_RXP</t>
  </si>
  <si>
    <t>AH24</t>
  </si>
  <si>
    <t>PEX_L4_TXN</t>
  </si>
  <si>
    <t>AG21</t>
  </si>
  <si>
    <t>PEX_L4_TXP</t>
  </si>
  <si>
    <t>AF21</t>
  </si>
  <si>
    <t>PEX_L5_RXN</t>
  </si>
  <si>
    <t>AG22</t>
  </si>
  <si>
    <t>PEX_L5_RXP</t>
  </si>
  <si>
    <t>AG23</t>
  </si>
  <si>
    <t>PEX_L5_TXN</t>
  </si>
  <si>
    <t>AJ25</t>
  </si>
  <si>
    <t>PEX_L5_TXP</t>
  </si>
  <si>
    <t>AH25</t>
  </si>
  <si>
    <t>SATA_L0_RXN</t>
  </si>
  <si>
    <t>AE19</t>
  </si>
  <si>
    <t>SATA_L0_RXP</t>
  </si>
  <si>
    <t>AD19</t>
  </si>
  <si>
    <t>SATA_L0_TXN</t>
  </si>
  <si>
    <t>AD16</t>
  </si>
  <si>
    <t>SATA_L0_TXP</t>
  </si>
  <si>
    <t>AE16</t>
  </si>
  <si>
    <t>Y4</t>
  </si>
  <si>
    <t>USB1_DN</t>
  </si>
  <si>
    <t>W3</t>
  </si>
  <si>
    <t>USB1_DP</t>
  </si>
  <si>
    <t>W2</t>
  </si>
  <si>
    <t>T7</t>
  </si>
  <si>
    <t>USB1_VBUS</t>
  </si>
  <si>
    <t>W5</t>
  </si>
  <si>
    <t>USB2_DN</t>
  </si>
  <si>
    <t>T6</t>
  </si>
  <si>
    <t>USB2_DP</t>
  </si>
  <si>
    <t>T5</t>
  </si>
  <si>
    <t>USB2_VBUS</t>
  </si>
  <si>
    <t>USB3_DN</t>
  </si>
  <si>
    <t>V3</t>
  </si>
  <si>
    <t>USB3_DP</t>
  </si>
  <si>
    <t>V2</t>
  </si>
  <si>
    <t>V4</t>
  </si>
  <si>
    <t>USB3_VBUS</t>
  </si>
  <si>
    <t>R5</t>
  </si>
  <si>
    <t>ACC1_DETECT</t>
  </si>
  <si>
    <t>ACC2_DETECT</t>
  </si>
  <si>
    <t>ACC3_DETECT</t>
  </si>
  <si>
    <t>IC_USB</t>
  </si>
  <si>
    <t>IC_USB_DN</t>
  </si>
  <si>
    <t>W8</t>
  </si>
  <si>
    <t>IC_USB_DP</t>
  </si>
  <si>
    <t>W9</t>
  </si>
  <si>
    <t>V8</t>
  </si>
  <si>
    <t>XTAL_IN</t>
  </si>
  <si>
    <t>XTAL_OUT</t>
  </si>
  <si>
    <t>T29</t>
  </si>
  <si>
    <t>VDAC</t>
  </si>
  <si>
    <t>VDAC_B</t>
  </si>
  <si>
    <t>AA7</t>
  </si>
  <si>
    <t>VDAC_G</t>
  </si>
  <si>
    <t>AA9</t>
  </si>
  <si>
    <t>VDAC_R</t>
  </si>
  <si>
    <t>AB7</t>
  </si>
  <si>
    <t>AA5</t>
  </si>
  <si>
    <t>C27</t>
  </si>
  <si>
    <t>E35</t>
  </si>
  <si>
    <t>F26</t>
  </si>
  <si>
    <t>G25</t>
  </si>
  <si>
    <t>A33</t>
  </si>
  <si>
    <t>G26</t>
  </si>
  <si>
    <t>D32</t>
  </si>
  <si>
    <t>D28</t>
  </si>
  <si>
    <t>B34</t>
  </si>
  <si>
    <t>G29</t>
  </si>
  <si>
    <t>L29</t>
  </si>
  <si>
    <t>F27</t>
  </si>
  <si>
    <t>C33</t>
  </si>
  <si>
    <t>G27</t>
  </si>
  <si>
    <t>F34</t>
  </si>
  <si>
    <t>C29</t>
  </si>
  <si>
    <t>K30</t>
  </si>
  <si>
    <t>C28</t>
  </si>
  <si>
    <t>H34</t>
  </si>
  <si>
    <t>H27</t>
  </si>
  <si>
    <t>L31</t>
  </si>
  <si>
    <t>A28</t>
  </si>
  <si>
    <t>J31</t>
  </si>
  <si>
    <t>J24</t>
  </si>
  <si>
    <t>H36</t>
  </si>
  <si>
    <t>F28</t>
  </si>
  <si>
    <t>F36</t>
  </si>
  <si>
    <t>F29</t>
  </si>
  <si>
    <t>L33</t>
  </si>
  <si>
    <t>B28</t>
  </si>
  <si>
    <t>G35</t>
  </si>
  <si>
    <t>G28</t>
  </si>
  <si>
    <t>J33</t>
  </si>
  <si>
    <t>F25</t>
  </si>
  <si>
    <t>B32</t>
  </si>
  <si>
    <t>E27</t>
  </si>
  <si>
    <t>F30</t>
  </si>
  <si>
    <t>D30</t>
  </si>
  <si>
    <t>E37</t>
  </si>
  <si>
    <t>B27</t>
  </si>
  <si>
    <t>D36</t>
  </si>
  <si>
    <t>D29</t>
  </si>
  <si>
    <t>K32</t>
  </si>
  <si>
    <t>N3</t>
  </si>
  <si>
    <t>M3</t>
  </si>
  <si>
    <t>R4</t>
  </si>
  <si>
    <t>R6</t>
  </si>
  <si>
    <t>R1</t>
  </si>
  <si>
    <t>Y8</t>
  </si>
  <si>
    <t>R2</t>
  </si>
  <si>
    <t>M2</t>
  </si>
  <si>
    <t>AC1</t>
  </si>
  <si>
    <t>R3</t>
  </si>
  <si>
    <t>V1</t>
  </si>
  <si>
    <t>AC7</t>
  </si>
  <si>
    <t>N1</t>
  </si>
  <si>
    <t>T3</t>
  </si>
  <si>
    <t>AC3</t>
  </si>
  <si>
    <t>P4</t>
  </si>
  <si>
    <t>T4</t>
  </si>
  <si>
    <t>AC11</t>
  </si>
  <si>
    <t>T1</t>
  </si>
  <si>
    <t>AF6</t>
  </si>
  <si>
    <t>T2</t>
  </si>
  <si>
    <t>M4</t>
  </si>
  <si>
    <t>N2</t>
  </si>
  <si>
    <t>AC9</t>
  </si>
  <si>
    <t>N4</t>
  </si>
  <si>
    <t>V10</t>
  </si>
  <si>
    <t>AG5</t>
  </si>
  <si>
    <t>AK14</t>
  </si>
  <si>
    <t>AH7</t>
  </si>
  <si>
    <t>AN15</t>
  </si>
  <si>
    <t>AD5</t>
  </si>
  <si>
    <t>AG15</t>
  </si>
  <si>
    <t>AM10</t>
  </si>
  <si>
    <t>AD6</t>
  </si>
  <si>
    <t>AM14</t>
  </si>
  <si>
    <t>AG7</t>
  </si>
  <si>
    <t>AL15</t>
  </si>
  <si>
    <t>AE5</t>
  </si>
  <si>
    <t>AJ15</t>
  </si>
  <si>
    <t>AE6</t>
  </si>
  <si>
    <t>AM16</t>
  </si>
  <si>
    <t>AE7</t>
  </si>
  <si>
    <t>AT14</t>
  </si>
  <si>
    <t>AC6</t>
  </si>
  <si>
    <t>AU15</t>
  </si>
  <si>
    <t>AG6</t>
  </si>
  <si>
    <t>AR15</t>
  </si>
  <si>
    <t>G5</t>
  </si>
  <si>
    <t>D2</t>
  </si>
  <si>
    <t>G7</t>
  </si>
  <si>
    <t>E3</t>
  </si>
  <si>
    <t>H4</t>
  </si>
  <si>
    <t>P8</t>
  </si>
  <si>
    <t>J6</t>
  </si>
  <si>
    <t>M8</t>
  </si>
  <si>
    <t>C4</t>
  </si>
  <si>
    <t>N9</t>
  </si>
  <si>
    <t>J3</t>
  </si>
  <si>
    <t>R9</t>
  </si>
  <si>
    <t>F8</t>
  </si>
  <si>
    <t>J7</t>
  </si>
  <si>
    <t>G6</t>
  </si>
  <si>
    <t>K6</t>
  </si>
  <si>
    <t>E7</t>
  </si>
  <si>
    <t>J5</t>
  </si>
  <si>
    <t>F3</t>
  </si>
  <si>
    <t>J1</t>
  </si>
  <si>
    <t>F5</t>
  </si>
  <si>
    <t>F2</t>
  </si>
  <si>
    <t>F7</t>
  </si>
  <si>
    <t>F4</t>
  </si>
  <si>
    <t>J2</t>
  </si>
  <si>
    <t>P2</t>
  </si>
  <si>
    <t>F1</t>
  </si>
  <si>
    <t>D3</t>
  </si>
  <si>
    <t>E4</t>
  </si>
  <si>
    <t>H2</t>
  </si>
  <si>
    <t>G2</t>
  </si>
  <si>
    <t>P6</t>
  </si>
  <si>
    <t>B3</t>
  </si>
  <si>
    <t>G1</t>
  </si>
  <si>
    <t>H6</t>
  </si>
  <si>
    <t>G3</t>
  </si>
  <si>
    <t>E1</t>
  </si>
  <si>
    <t>E6</t>
  </si>
  <si>
    <t>A4</t>
  </si>
  <si>
    <t>L1</t>
  </si>
  <si>
    <t>J4</t>
  </si>
  <si>
    <t>R11</t>
  </si>
  <si>
    <t>K7</t>
  </si>
  <si>
    <t>P10</t>
  </si>
  <si>
    <t>F6</t>
  </si>
  <si>
    <t>A3</t>
  </si>
  <si>
    <t>K8</t>
  </si>
  <si>
    <t>D6</t>
  </si>
  <si>
    <t>M10</t>
  </si>
  <si>
    <t>L9</t>
  </si>
  <si>
    <t>L7</t>
  </si>
  <si>
    <t>C3</t>
  </si>
  <si>
    <t>R7</t>
  </si>
  <si>
    <t>D4</t>
  </si>
  <si>
    <t>L5</t>
  </si>
  <si>
    <t>B4</t>
  </si>
  <si>
    <t>N5</t>
  </si>
  <si>
    <t>D5</t>
  </si>
  <si>
    <t>L3</t>
  </si>
  <si>
    <t>G4</t>
  </si>
  <si>
    <t>M6</t>
  </si>
  <si>
    <t>AD13</t>
  </si>
  <si>
    <t>AJ16</t>
  </si>
  <si>
    <t>AG14</t>
  </si>
  <si>
    <t>AH20</t>
  </si>
  <si>
    <t>AJ10</t>
  </si>
  <si>
    <t>AT26</t>
  </si>
  <si>
    <t>AG13</t>
  </si>
  <si>
    <t>AN23</t>
  </si>
  <si>
    <t>AL23</t>
  </si>
  <si>
    <t>AC10</t>
  </si>
  <si>
    <t>AP18</t>
  </si>
  <si>
    <t>AE8</t>
  </si>
  <si>
    <t>AR17</t>
  </si>
  <si>
    <t>AF12</t>
  </si>
  <si>
    <t>AP26</t>
  </si>
  <si>
    <t>AK9</t>
  </si>
  <si>
    <t>AR21</t>
  </si>
  <si>
    <t>AJ12</t>
  </si>
  <si>
    <t>AU27</t>
  </si>
  <si>
    <t>AF9</t>
  </si>
  <si>
    <t>AT18</t>
  </si>
  <si>
    <t>AC12</t>
  </si>
  <si>
    <t>AJ17</t>
  </si>
  <si>
    <t>AD12</t>
  </si>
  <si>
    <t>AE18</t>
  </si>
  <si>
    <t>AL21</t>
  </si>
  <si>
    <t>AF13</t>
  </si>
  <si>
    <t>AM22</t>
  </si>
  <si>
    <t>AH15</t>
  </si>
  <si>
    <t>AE9</t>
  </si>
  <si>
    <t>AT20</t>
  </si>
  <si>
    <t>AE10</t>
  </si>
  <si>
    <t>AT24</t>
  </si>
  <si>
    <t>AD10</t>
  </si>
  <si>
    <t>AM18</t>
  </si>
  <si>
    <t>AH13</t>
  </si>
  <si>
    <t>AN27</t>
  </si>
  <si>
    <t>AH9</t>
  </si>
  <si>
    <t>AU23</t>
  </si>
  <si>
    <t>AE13</t>
  </si>
  <si>
    <t>AR27</t>
  </si>
  <si>
    <t>AK13</t>
  </si>
  <si>
    <t>AM24</t>
  </si>
  <si>
    <t>AK15</t>
  </si>
  <si>
    <t>AN19</t>
  </si>
  <si>
    <t>AK16</t>
  </si>
  <si>
    <t>AJ23</t>
  </si>
  <si>
    <t>AK10</t>
  </si>
  <si>
    <t>AR23</t>
  </si>
  <si>
    <t>AK12</t>
  </si>
  <si>
    <t>AG16</t>
  </si>
  <si>
    <t>AG8</t>
  </si>
  <si>
    <t>AU21</t>
  </si>
  <si>
    <t>AD15</t>
  </si>
  <si>
    <t>AM26</t>
  </si>
  <si>
    <t>AE15</t>
  </si>
  <si>
    <t>AL27</t>
  </si>
  <si>
    <t>AE12</t>
  </si>
  <si>
    <t>AP24</t>
  </si>
  <si>
    <t>AG9</t>
  </si>
  <si>
    <t>AR19</t>
  </si>
  <si>
    <t>AF16</t>
  </si>
  <si>
    <t>AK20</t>
  </si>
  <si>
    <t>AG12</t>
  </si>
  <si>
    <t>AM20</t>
  </si>
  <si>
    <t>AG11</t>
  </si>
  <si>
    <t>AN21</t>
  </si>
  <si>
    <t>AJ9</t>
  </si>
  <si>
    <t>AN17</t>
  </si>
  <si>
    <t>AG10</t>
  </si>
  <si>
    <t>AP20</t>
  </si>
  <si>
    <t>AH12</t>
  </si>
  <si>
    <t>AN25</t>
  </si>
  <si>
    <t>AK26</t>
  </si>
  <si>
    <t>AH10</t>
  </si>
  <si>
    <t>AR25</t>
  </si>
  <si>
    <t>AJ13</t>
  </si>
  <si>
    <t>AM28</t>
  </si>
  <si>
    <t>AF10</t>
  </si>
  <si>
    <t>AL17</t>
  </si>
  <si>
    <t>AH16</t>
  </si>
  <si>
    <t>AF22</t>
  </si>
  <si>
    <t>K5</t>
  </si>
  <si>
    <t>U3</t>
  </si>
  <si>
    <t>U5</t>
  </si>
  <si>
    <t>M5</t>
  </si>
  <si>
    <t>Y6</t>
  </si>
  <si>
    <t>M1</t>
  </si>
  <si>
    <t>N6</t>
  </si>
  <si>
    <t>T8</t>
  </si>
  <si>
    <t>K1</t>
  </si>
  <si>
    <t>U7</t>
  </si>
  <si>
    <t>K3</t>
  </si>
  <si>
    <t>W11</t>
  </si>
  <si>
    <t>K2</t>
  </si>
  <si>
    <t>U1</t>
  </si>
  <si>
    <t>K4</t>
  </si>
  <si>
    <t>Y10</t>
  </si>
  <si>
    <t>G30</t>
  </si>
  <si>
    <t>J35</t>
  </si>
  <si>
    <t>J29</t>
  </si>
  <si>
    <t>M30</t>
  </si>
  <si>
    <t>L27</t>
  </si>
  <si>
    <t>N33</t>
  </si>
  <si>
    <t>J26</t>
  </si>
  <si>
    <t>L37</t>
  </si>
  <si>
    <t>J28</t>
  </si>
  <si>
    <t>M34</t>
  </si>
  <si>
    <t>K26</t>
  </si>
  <si>
    <t>P34</t>
  </si>
  <si>
    <t>J27</t>
  </si>
  <si>
    <t>J37</t>
  </si>
  <si>
    <t>K25</t>
  </si>
  <si>
    <t>N29</t>
  </si>
  <si>
    <t>K24</t>
  </si>
  <si>
    <t>M32</t>
  </si>
  <si>
    <t>K28</t>
  </si>
  <si>
    <t>M28</t>
  </si>
  <si>
    <t>A9</t>
  </si>
  <si>
    <t>C7</t>
  </si>
  <si>
    <t>H10</t>
  </si>
  <si>
    <t>B9</t>
  </si>
  <si>
    <t>B6</t>
  </si>
  <si>
    <t>C6</t>
  </si>
  <si>
    <t>C5</t>
  </si>
  <si>
    <t>A6</t>
  </si>
  <si>
    <t>B7</t>
  </si>
  <si>
    <t>A5</t>
  </si>
  <si>
    <t>A7</t>
  </si>
  <si>
    <t>D7</t>
  </si>
  <si>
    <t>D9</t>
  </si>
  <si>
    <t>D8</t>
  </si>
  <si>
    <t>C9</t>
  </si>
  <si>
    <t>B8</t>
  </si>
  <si>
    <t>U27</t>
  </si>
  <si>
    <t>AB32</t>
  </si>
  <si>
    <t>J30</t>
  </si>
  <si>
    <t>U37</t>
  </si>
  <si>
    <t>N26</t>
  </si>
  <si>
    <t>U29</t>
  </si>
  <si>
    <t>V25</t>
  </si>
  <si>
    <t>AD32</t>
  </si>
  <si>
    <t>R26</t>
  </si>
  <si>
    <t>AD36</t>
  </si>
  <si>
    <t>W26</t>
  </si>
  <si>
    <t>AC31</t>
  </si>
  <si>
    <t>R30</t>
  </si>
  <si>
    <t>Y30</t>
  </si>
  <si>
    <t>P27</t>
  </si>
  <si>
    <t>AD30</t>
  </si>
  <si>
    <t>W35</t>
  </si>
  <si>
    <t>T26</t>
  </si>
  <si>
    <t>AC33</t>
  </si>
  <si>
    <t>M23</t>
  </si>
  <si>
    <t>R37</t>
  </si>
  <si>
    <t>R25</t>
  </si>
  <si>
    <t>AA29</t>
  </si>
  <si>
    <t>M27</t>
  </si>
  <si>
    <t>Y36</t>
  </si>
  <si>
    <t>N23</t>
  </si>
  <si>
    <t>P30</t>
  </si>
  <si>
    <t>V28</t>
  </si>
  <si>
    <t>AC29</t>
  </si>
  <si>
    <t>M25</t>
  </si>
  <si>
    <t>P32</t>
  </si>
  <si>
    <t>V26</t>
  </si>
  <si>
    <t>AB30</t>
  </si>
  <si>
    <t>V27</t>
  </si>
  <si>
    <t>W29</t>
  </si>
  <si>
    <t>R31</t>
  </si>
  <si>
    <t>N24</t>
  </si>
  <si>
    <t>U35</t>
  </si>
  <si>
    <t>N30</t>
  </si>
  <si>
    <t>V34</t>
  </si>
  <si>
    <t>T24</t>
  </si>
  <si>
    <t>U33</t>
  </si>
  <si>
    <t>T25</t>
  </si>
  <si>
    <t>AE35</t>
  </si>
  <si>
    <t>R27</t>
  </si>
  <si>
    <t>AA35</t>
  </si>
  <si>
    <t>M26</t>
  </si>
  <si>
    <t>AA37</t>
  </si>
  <si>
    <t>N22</t>
  </si>
  <si>
    <t>R29</t>
  </si>
  <si>
    <t>M24</t>
  </si>
  <si>
    <t>V36</t>
  </si>
  <si>
    <t>N27</t>
  </si>
  <si>
    <t>V30</t>
  </si>
  <si>
    <t>T23</t>
  </si>
  <si>
    <t>W27</t>
  </si>
  <si>
    <t>Y27</t>
  </si>
  <si>
    <t>AH32</t>
  </si>
  <si>
    <t>W24</t>
  </si>
  <si>
    <t>AF32</t>
  </si>
  <si>
    <t>AF34</t>
  </si>
  <si>
    <t>W28</t>
  </si>
  <si>
    <t>AG35</t>
  </si>
  <si>
    <t>AA24</t>
  </si>
  <si>
    <t>AF28</t>
  </si>
  <si>
    <t>AA26</t>
  </si>
  <si>
    <t>AL35</t>
  </si>
  <si>
    <t>AB25</t>
  </si>
  <si>
    <t>AH30</t>
  </si>
  <si>
    <t>V29</t>
  </si>
  <si>
    <t>AE29</t>
  </si>
  <si>
    <t>AA28</t>
  </si>
  <si>
    <t>AK34</t>
  </si>
  <si>
    <t>AF36</t>
  </si>
  <si>
    <t>AN37</t>
  </si>
  <si>
    <t>AB27</t>
  </si>
  <si>
    <t>AG33</t>
  </si>
  <si>
    <t>AC25</t>
  </si>
  <si>
    <t>AM36</t>
  </si>
  <si>
    <t>W30</t>
  </si>
  <si>
    <t>AG37</t>
  </si>
  <si>
    <t>AA27</t>
  </si>
  <si>
    <t>AJ33</t>
  </si>
  <si>
    <t>AA25</t>
  </si>
  <si>
    <t>AJ31</t>
  </si>
  <si>
    <t>AB26</t>
  </si>
  <si>
    <t>AG31</t>
  </si>
  <si>
    <t>AB28</t>
  </si>
  <si>
    <t>AG29</t>
  </si>
  <si>
    <t>W25</t>
  </si>
  <si>
    <t>AN35</t>
  </si>
  <si>
    <t>AJ37</t>
  </si>
  <si>
    <t>AB29</t>
  </si>
  <si>
    <t>AK36</t>
  </si>
  <si>
    <t>AJ35</t>
  </si>
  <si>
    <t>AC27</t>
  </si>
  <si>
    <t>AE33</t>
  </si>
  <si>
    <t>AF27</t>
  </si>
  <si>
    <t>AE30</t>
  </si>
  <si>
    <t>AE28</t>
  </si>
  <si>
    <t>AH29</t>
  </si>
  <si>
    <t>AG28</t>
  </si>
  <si>
    <t>AE27</t>
  </si>
  <si>
    <t>AE25</t>
  </si>
  <si>
    <t>AD29</t>
  </si>
  <si>
    <t>AD28</t>
  </si>
  <si>
    <t>AD27</t>
  </si>
  <si>
    <t>AE26</t>
  </si>
  <si>
    <t>AF25</t>
  </si>
  <si>
    <t>AG30</t>
  </si>
  <si>
    <t>J23</t>
  </si>
  <si>
    <t>C23</t>
  </si>
  <si>
    <t>G17</t>
  </si>
  <si>
    <t>J17</t>
  </si>
  <si>
    <t>H18</t>
  </si>
  <si>
    <t>J19</t>
  </si>
  <si>
    <t>A23</t>
  </si>
  <si>
    <t>E23</t>
  </si>
  <si>
    <t>A17</t>
  </si>
  <si>
    <t>B14</t>
  </si>
  <si>
    <t>C17</t>
  </si>
  <si>
    <t>F20</t>
  </si>
  <si>
    <t>H20</t>
  </si>
  <si>
    <t>B20</t>
  </si>
  <si>
    <t>E13</t>
  </si>
  <si>
    <t>J13</t>
  </si>
  <si>
    <t>E29</t>
  </si>
  <si>
    <t>H14</t>
  </si>
  <si>
    <t>C11</t>
  </si>
  <si>
    <t>H24</t>
  </si>
  <si>
    <t>B30</t>
  </si>
  <si>
    <t>H28</t>
  </si>
  <si>
    <t>J25</t>
  </si>
  <si>
    <t>K14</t>
  </si>
  <si>
    <t>L15</t>
  </si>
  <si>
    <t>J15</t>
  </si>
  <si>
    <t>H12</t>
  </si>
  <si>
    <t>G11</t>
  </si>
  <si>
    <t>A29</t>
  </si>
  <si>
    <t>C25</t>
  </si>
  <si>
    <t>F14</t>
  </si>
  <si>
    <t>B26</t>
  </si>
  <si>
    <t>A27</t>
  </si>
  <si>
    <t>A11</t>
  </si>
  <si>
    <t>H26</t>
  </si>
  <si>
    <t>E11</t>
  </si>
  <si>
    <t>G23</t>
  </si>
  <si>
    <t>L19</t>
  </si>
  <si>
    <t>H16</t>
  </si>
  <si>
    <t>J21</t>
  </si>
  <si>
    <t>K20</t>
  </si>
  <si>
    <t>H22</t>
  </si>
  <si>
    <t>AP2</t>
  </si>
  <si>
    <t>AN3</t>
  </si>
  <si>
    <t>AR7</t>
  </si>
  <si>
    <t>AN7</t>
  </si>
  <si>
    <t>AJ5</t>
  </si>
  <si>
    <t>AL3</t>
  </si>
  <si>
    <t>AL9</t>
  </si>
  <si>
    <t>AT6</t>
  </si>
  <si>
    <t>AP6</t>
  </si>
  <si>
    <t>AJ1</t>
  </si>
  <si>
    <t>AK2</t>
  </si>
  <si>
    <t>AN1</t>
  </si>
  <si>
    <t>AM2</t>
  </si>
  <si>
    <t>AH8</t>
  </si>
  <si>
    <t>AR9</t>
  </si>
  <si>
    <t>AN9</t>
  </si>
  <si>
    <t>AP12</t>
  </si>
  <si>
    <t>AN13</t>
  </si>
  <si>
    <t>AR13</t>
  </si>
  <si>
    <t>AP14</t>
  </si>
  <si>
    <t>AU11</t>
  </si>
  <si>
    <t>AT12</t>
  </si>
  <si>
    <t>AC5</t>
  </si>
  <si>
    <t>AL5</t>
  </si>
  <si>
    <t>AM4</t>
  </si>
  <si>
    <t>AU5</t>
  </si>
  <si>
    <t>AF8</t>
  </si>
  <si>
    <t>AF4</t>
  </si>
  <si>
    <t>AH14</t>
  </si>
  <si>
    <t>R33</t>
  </si>
  <si>
    <t>R35</t>
  </si>
  <si>
    <t>config</t>
  </si>
  <si>
    <t>Pad Ctrl Group</t>
  </si>
  <si>
    <t>unused_DSI_CLKAN</t>
  </si>
  <si>
    <t>unused_DSI_CLKAP</t>
  </si>
  <si>
    <t>unused_DSI_D1AN</t>
  </si>
  <si>
    <t>unused_DSI_D1AP</t>
  </si>
  <si>
    <t>unused_DSI_D2AN</t>
  </si>
  <si>
    <t>unused_DSI_D2AP</t>
  </si>
  <si>
    <t>unused_HSIC_DATA</t>
  </si>
  <si>
    <t>unused_HSIC_STROBE</t>
  </si>
  <si>
    <t>unused_IC_USB_DN</t>
  </si>
  <si>
    <t>unused_IC_USB_DP</t>
  </si>
  <si>
    <t>unused_PEX_CLK1N</t>
  </si>
  <si>
    <t>unused_PEX_CLK1P</t>
  </si>
  <si>
    <t>unused_PEX_CLK2N</t>
  </si>
  <si>
    <t>unused_PEX_CLK2P</t>
  </si>
  <si>
    <t>unused_PEX_L0_RXN</t>
  </si>
  <si>
    <t>unused_PEX_L0_RXP</t>
  </si>
  <si>
    <t>unused_PEX_L0_TXN</t>
  </si>
  <si>
    <t>unused_PEX_L0_TXP</t>
  </si>
  <si>
    <t>unused_PEX_L1_RXN</t>
  </si>
  <si>
    <t>unused_PEX_L1_RXP</t>
  </si>
  <si>
    <t>unused_PEX_L1_TXN</t>
  </si>
  <si>
    <t>unused_PEX_L1_TXP</t>
  </si>
  <si>
    <t>unused_PEX_L2_RXN</t>
  </si>
  <si>
    <t>unused_PEX_L2_RXP</t>
  </si>
  <si>
    <t>unused_PEX_L2_TXN</t>
  </si>
  <si>
    <t>unused_PEX_L2_TXP</t>
  </si>
  <si>
    <t>unused_PEX_L3_RXN</t>
  </si>
  <si>
    <t>unused_PEX_L3_RXP</t>
  </si>
  <si>
    <t>unused_PEX_L3_TXN</t>
  </si>
  <si>
    <t>unused_PEX_L3_TXP</t>
  </si>
  <si>
    <t>unused_PEX_L4_RXN</t>
  </si>
  <si>
    <t>unused_PEX_L4_RXP</t>
  </si>
  <si>
    <t>unused_PEX_L4_TXN</t>
  </si>
  <si>
    <t>unused_PEX_L4_TXP</t>
  </si>
  <si>
    <t>unused_SATA_L0_RXN</t>
  </si>
  <si>
    <t>unused_SATA_L0_RXP</t>
  </si>
  <si>
    <t>unused_SATA_L0_TXN</t>
  </si>
  <si>
    <t>unused_SATA_L0_TXP</t>
  </si>
  <si>
    <t>unused_ACC2_DETECT</t>
  </si>
  <si>
    <t>unused_USB2_VBUS</t>
  </si>
  <si>
    <t>unused_ACC3_DETECT</t>
  </si>
  <si>
    <t>unused_USB3_VBUS</t>
  </si>
  <si>
    <t>unused_VDAC_B</t>
  </si>
  <si>
    <t>unused_VDAC_G</t>
  </si>
  <si>
    <t>unused_VDAC_R</t>
  </si>
  <si>
    <t>DDR3</t>
  </si>
  <si>
    <t>Mini-Card for 3G</t>
  </si>
  <si>
    <t>Type A Host</t>
  </si>
  <si>
    <t>Micro AB</t>
  </si>
  <si>
    <t>PEX</t>
  </si>
  <si>
    <t>Camera
Rear-Facing ( Left)</t>
  </si>
  <si>
    <t>Cameras
Rear-Facing Right &amp; 
Front-Facing</t>
  </si>
  <si>
    <t>unused_SPI1_MISO</t>
  </si>
  <si>
    <t>unused_SPI1_MOSI</t>
  </si>
  <si>
    <t>unused_SPI1_SCK</t>
  </si>
  <si>
    <t>unused_SPI2_CS1_N</t>
  </si>
  <si>
    <t>unused_GMI_AD13</t>
  </si>
  <si>
    <t>unused_GMI_AD15</t>
  </si>
  <si>
    <t>unused_GMI_AD8</t>
  </si>
  <si>
    <t>unused_KB_ROW11</t>
  </si>
  <si>
    <t>unused_KB_ROW4</t>
  </si>
  <si>
    <t>unused_KB_ROW6</t>
  </si>
  <si>
    <t>unused_KB_ROW7</t>
  </si>
  <si>
    <t>unused_DDR_A10</t>
  </si>
  <si>
    <t>unused_DDR_A11</t>
  </si>
  <si>
    <t>unused_DDR_A12</t>
  </si>
  <si>
    <t>unused_DDR_A13</t>
  </si>
  <si>
    <t>unused_DDR_A14</t>
  </si>
  <si>
    <t>unused_DDR_BA0</t>
  </si>
  <si>
    <t>unused_DDR_BA2</t>
  </si>
  <si>
    <t>unused_DDR_CKE1</t>
  </si>
  <si>
    <t>unused_DDR_CS1_N</t>
  </si>
  <si>
    <t>unused_DDR_ODT0</t>
  </si>
  <si>
    <t>unused_DDR_ODT1</t>
  </si>
  <si>
    <t>unused_CSI_CLKAP</t>
  </si>
  <si>
    <t>unused_CSI_CLKBN</t>
  </si>
  <si>
    <t>unused_CSI_D1AN</t>
  </si>
  <si>
    <t>unused_CSI_D1AP</t>
  </si>
  <si>
    <t>unused_CSI_D1BP</t>
  </si>
  <si>
    <t>unused_CSI_D2AN</t>
  </si>
  <si>
    <t>unused_CSI_D2BN</t>
  </si>
  <si>
    <t>unused_CSI_D2BP</t>
  </si>
  <si>
    <t>unused_HDMI_TXCP</t>
  </si>
  <si>
    <t>unused_HDMI_TXD0N</t>
  </si>
  <si>
    <t>unused_HDMI_TXD1N</t>
  </si>
  <si>
    <t>unused_HDMI_TXD1P</t>
  </si>
  <si>
    <t>unused_HDMI_TXD2P</t>
  </si>
  <si>
    <t>unused_PEX_CLK3N</t>
  </si>
  <si>
    <t>unused_PEX_CLK3P</t>
  </si>
  <si>
    <t>unused_PEX_L5_RXN</t>
  </si>
  <si>
    <t>unused_PEX_L5_TXN</t>
  </si>
  <si>
    <t>unused_PEX_L5_TXP</t>
  </si>
  <si>
    <t>unused_USB2_DN</t>
  </si>
  <si>
    <t>unused_USB3_DN</t>
  </si>
  <si>
    <t>BUTTONS</t>
  </si>
  <si>
    <t>LPDDR2</t>
  </si>
  <si>
    <t>SPI2.E-CS1_N</t>
  </si>
  <si>
    <t>SPI1.B-CS0_N</t>
  </si>
  <si>
    <t>SPI2.B-CS0_N</t>
  </si>
  <si>
    <t>SPI2.B-CS1_N</t>
  </si>
  <si>
    <t>SPI2.B-CS2_N</t>
  </si>
  <si>
    <t>SPI2.A-CS1_N</t>
  </si>
  <si>
    <t>SPI3.E-CS1_N</t>
  </si>
  <si>
    <t>SPI1.A-CS0_N</t>
  </si>
  <si>
    <t>UART4.A-RTS_N</t>
  </si>
  <si>
    <t>UART4.A-CTS_N</t>
  </si>
  <si>
    <t>UART1.A-DSR_N</t>
  </si>
  <si>
    <t>UART1.A-DTR_N</t>
  </si>
  <si>
    <t>UART1.A-RI_N</t>
  </si>
  <si>
    <t>UART1.A-DCD_N</t>
  </si>
  <si>
    <t>UART1.A-RTS_N</t>
  </si>
  <si>
    <t>UART1.A-CTS_N</t>
  </si>
  <si>
    <t>UART4.B-CTS_N</t>
  </si>
  <si>
    <t>UART4.B-RTS_N</t>
  </si>
  <si>
    <t>SPI4.C-CS1_N</t>
  </si>
  <si>
    <t>GMI-CS7_N</t>
  </si>
  <si>
    <t>GMI-CS6_N</t>
  </si>
  <si>
    <t>GMI-CS0_N</t>
  </si>
  <si>
    <t>GMI-CS1_N</t>
  </si>
  <si>
    <t>GMI-CS2_N</t>
  </si>
  <si>
    <t>GMI-CS3_N</t>
  </si>
  <si>
    <t>GMI-CS4_N</t>
  </si>
  <si>
    <t>LCD0-CS_N</t>
  </si>
  <si>
    <t>LCD1-CS_N</t>
  </si>
  <si>
    <t>SPI5.A-CS2_N</t>
  </si>
  <si>
    <t>SPI5.B-CS3_N</t>
  </si>
  <si>
    <t>PEXCLK0-CLKREQ_N</t>
  </si>
  <si>
    <t>PEX0-PRSNT_N</t>
  </si>
  <si>
    <t>PEX0-RST_N</t>
  </si>
  <si>
    <t>PEXCLK1-CLKREQ_N</t>
  </si>
  <si>
    <t>PEX1-PRSNT_N</t>
  </si>
  <si>
    <t>PEX1-RST_N</t>
  </si>
  <si>
    <t>PEXCLK2-CLKREQ_N</t>
  </si>
  <si>
    <t>PEX2-PRSNT_N</t>
  </si>
  <si>
    <t>PEX2-RST_N</t>
  </si>
  <si>
    <t>PEX-WAKE_N</t>
  </si>
  <si>
    <t>UART5.A-RTS_N</t>
  </si>
  <si>
    <t>UART5.A-CTS_N</t>
  </si>
  <si>
    <t>UART5.B-CTS_N</t>
  </si>
  <si>
    <t>UART5.B-RTS_N</t>
  </si>
  <si>
    <t>NAND-CE6_N</t>
  </si>
  <si>
    <t>GMI-CS5_N</t>
  </si>
  <si>
    <t>SPI3.A-CS0_N</t>
  </si>
  <si>
    <t>NAND-WE_N</t>
  </si>
  <si>
    <t>NAND-RE_N</t>
  </si>
  <si>
    <t>NAND-CE3_N</t>
  </si>
  <si>
    <t>NAND-CE5_N</t>
  </si>
  <si>
    <t>NAND-CE4_N</t>
  </si>
  <si>
    <t>NAND-CE2_N</t>
  </si>
  <si>
    <t>NAND-CE1_N</t>
  </si>
  <si>
    <t>NAND-CE0_N</t>
  </si>
  <si>
    <t>NAND-CE7_N</t>
  </si>
  <si>
    <t>UART1.B-CTS_N</t>
  </si>
  <si>
    <t>UART1.B-RTS_N</t>
  </si>
  <si>
    <t>UART1.B-DTR_N</t>
  </si>
  <si>
    <t>UART1.B-RI_N</t>
  </si>
  <si>
    <t>UART1.B-DSR_N</t>
  </si>
  <si>
    <t>UART2-CTS_N</t>
  </si>
  <si>
    <t>UART2-RTS_N</t>
  </si>
  <si>
    <t>UART3-CTS_N</t>
  </si>
  <si>
    <t>UART3-RTS_N</t>
  </si>
  <si>
    <t>UART1.C-RTS_N</t>
  </si>
  <si>
    <t>UART1.C-CTS_N</t>
  </si>
  <si>
    <t>SPI4.B-CS1_N</t>
  </si>
  <si>
    <t>unused_SPI1_CS0_N</t>
  </si>
  <si>
    <t>unused_GPIO_PBB5</t>
  </si>
  <si>
    <t>unused_KB_ROW5</t>
  </si>
  <si>
    <t>unused_GPIO_PU4</t>
  </si>
  <si>
    <t>unused_CSI_CLKAN</t>
  </si>
  <si>
    <t>unused_CSI_CLKBP</t>
  </si>
  <si>
    <t>unused_CSI_D1BN</t>
  </si>
  <si>
    <t>unused_CSI_D2AP</t>
  </si>
  <si>
    <t>unused_HDMI_TXCN</t>
  </si>
  <si>
    <t>unused_HDMI_TXD0P</t>
  </si>
  <si>
    <t>unused_HDMI_TXD2N</t>
  </si>
  <si>
    <t>unused_PEX_L5_RXP</t>
  </si>
  <si>
    <t>unused_USB2_DP</t>
  </si>
  <si>
    <t>unused_USB3_DP</t>
  </si>
  <si>
    <t>unused_XTAL_IN</t>
  </si>
  <si>
    <t>EN_VDD_BL2</t>
  </si>
  <si>
    <t>EN_USB1_VBUS_EN_OC</t>
  </si>
  <si>
    <t>EN_USB3_VBUS_EN_OC</t>
  </si>
  <si>
    <t>WW_WAKE*</t>
  </si>
  <si>
    <t>TS_IRQ*</t>
  </si>
  <si>
    <t>TS_RESET*</t>
  </si>
  <si>
    <t>SDMMC1_CD*</t>
  </si>
  <si>
    <t>Reserved for Modem I2S</t>
  </si>
  <si>
    <t>AP_ONKEY</t>
  </si>
  <si>
    <t>DEBUG_IRQ*</t>
  </si>
  <si>
    <t>WF_WAKEUP</t>
  </si>
  <si>
    <t>CAM_RST*</t>
  </si>
  <si>
    <t>TEMP_ALERT*</t>
  </si>
  <si>
    <t>EN_3V3_PU</t>
  </si>
  <si>
    <t>W_DISABLE*</t>
  </si>
  <si>
    <t>WF_RST*</t>
  </si>
  <si>
    <t>MB_DET_DOCK*</t>
  </si>
  <si>
    <t>BT_IRQ*</t>
  </si>
  <si>
    <t>BAT_DET*</t>
  </si>
  <si>
    <t>SDMMC_WP*</t>
  </si>
  <si>
    <t>ALS_IRQ*</t>
  </si>
  <si>
    <t>ACC_IRQ*</t>
  </si>
  <si>
    <t>LVDS1_SHTDN*</t>
  </si>
  <si>
    <t>EN_VDDIO_VID_OC*</t>
  </si>
  <si>
    <t>NFC_IRQ*</t>
  </si>
  <si>
    <t>unused_DDR_BA1</t>
  </si>
  <si>
    <t>unused_DDR_CAS_N</t>
  </si>
  <si>
    <t>unused_DDR_RAS_N</t>
  </si>
  <si>
    <t>unused_DDR_RESET</t>
  </si>
  <si>
    <t>unused_DDR_WE_N</t>
  </si>
  <si>
    <t>v02</t>
  </si>
  <si>
    <t>DTV-PSYNC_ERROR</t>
  </si>
  <si>
    <t>DTV-VALID</t>
  </si>
  <si>
    <t>DTV-DATA</t>
  </si>
  <si>
    <t>DAP_MCLK1</t>
  </si>
  <si>
    <t>DEV_MODE</t>
  </si>
  <si>
    <t>RECOVERY_MODE</t>
  </si>
  <si>
    <t>Not available on T30S</t>
  </si>
  <si>
    <t>LCD Data</t>
  </si>
  <si>
    <t xml:space="preserve"> LCD Data</t>
  </si>
  <si>
    <t>unused_ACC1_DETECT</t>
  </si>
  <si>
    <t>v03</t>
  </si>
  <si>
    <t xml:space="preserve"> Strap (Reserved)</t>
  </si>
  <si>
    <t>PEX_REFCLKN</t>
  </si>
  <si>
    <t>PEX_REFCLKP</t>
  </si>
  <si>
    <t>PEX_TERMP</t>
  </si>
  <si>
    <t>PEX_TESTCLKN</t>
  </si>
  <si>
    <t>PEX_TESTCLKP</t>
  </si>
  <si>
    <t>unused_PEX_REFCLKN</t>
  </si>
  <si>
    <t>unused_PEX_REFCLKP</t>
  </si>
  <si>
    <t>unused_PEX_TERMP</t>
  </si>
  <si>
    <t>unused_PEX_TESTCLKN</t>
  </si>
  <si>
    <t>unused_PEX_TESTCLKP</t>
  </si>
  <si>
    <t>AJ22</t>
  </si>
  <si>
    <t>AH22</t>
  </si>
  <si>
    <t>AG20</t>
  </si>
  <si>
    <t>AJ28</t>
  </si>
  <si>
    <t>AH28</t>
  </si>
  <si>
    <t>SATA_TERMP</t>
  </si>
  <si>
    <t>SATA_TESTCLKP</t>
  </si>
  <si>
    <t>SATA_TESTCLKN</t>
  </si>
  <si>
    <t>AD18</t>
  </si>
  <si>
    <t>AD21</t>
  </si>
  <si>
    <t>AE21</t>
  </si>
  <si>
    <t>unused_SATA_TERMP</t>
  </si>
  <si>
    <t>unused_SATA_TESTCLKP</t>
  </si>
  <si>
    <t>unused_SATA_TESTCLKN</t>
  </si>
  <si>
    <t>SDMMC1_COMP_PD</t>
  </si>
  <si>
    <t>SDMMC1_COMP_PU</t>
  </si>
  <si>
    <t>U9</t>
  </si>
  <si>
    <t>L4</t>
  </si>
  <si>
    <t>SDMMC3_COMP_PD</t>
  </si>
  <si>
    <t>SDMMC3_COMP_PU</t>
  </si>
  <si>
    <t>K27</t>
  </si>
  <si>
    <t>N35</t>
  </si>
  <si>
    <t>L25</t>
  </si>
  <si>
    <t>THERM</t>
  </si>
  <si>
    <t>DDR_COMP_PU</t>
  </si>
  <si>
    <t>DDR_COMP_PD</t>
  </si>
  <si>
    <t>B21</t>
  </si>
  <si>
    <t>B15</t>
  </si>
  <si>
    <t>E17</t>
  </si>
  <si>
    <t>THERM_DP</t>
  </si>
  <si>
    <t>THERM_DN</t>
  </si>
  <si>
    <t>unused_THERM_DP</t>
  </si>
  <si>
    <t>unused_THERM_DN</t>
  </si>
  <si>
    <t>Thermal Sensor</t>
  </si>
  <si>
    <t>M29</t>
  </si>
  <si>
    <t>C31</t>
  </si>
  <si>
    <t>E31</t>
  </si>
  <si>
    <t>JTAG</t>
  </si>
  <si>
    <t>JTAG_RTCK</t>
  </si>
  <si>
    <t>JTAG_TRST_N</t>
  </si>
  <si>
    <t>JTAG_TDO</t>
  </si>
  <si>
    <t>JTAG_TMS</t>
  </si>
  <si>
    <t>JTAG_TCK</t>
  </si>
  <si>
    <t>JTAG_TDI</t>
  </si>
  <si>
    <t>AD34</t>
  </si>
  <si>
    <t>W33</t>
  </si>
  <si>
    <t>Y28</t>
  </si>
  <si>
    <t>AA33</t>
  </si>
  <si>
    <t>AA31</t>
  </si>
  <si>
    <t>AC35</t>
  </si>
  <si>
    <t>V24</t>
  </si>
  <si>
    <t>T22</t>
  </si>
  <si>
    <t>T28</t>
  </si>
  <si>
    <t>R23</t>
  </si>
  <si>
    <t>T27</t>
  </si>
  <si>
    <t>Note 1</t>
  </si>
  <si>
    <t>GPIO mode only supported</t>
  </si>
  <si>
    <t>SFIO</t>
  </si>
  <si>
    <t>STRAP</t>
  </si>
  <si>
    <t>UNUSED</t>
  </si>
  <si>
    <t>USB_REXT</t>
  </si>
  <si>
    <t>No function supported.  See Tegra 3 Interface Design Guide for proper connection of unused pin.</t>
  </si>
  <si>
    <t>VDAC_VREF</t>
  </si>
  <si>
    <t>VDAC_RSET</t>
  </si>
  <si>
    <t>AA6</t>
  </si>
  <si>
    <t>AN11</t>
  </si>
  <si>
    <t>AM12</t>
  </si>
  <si>
    <t>unused_VDAC_VREF</t>
  </si>
  <si>
    <t>unused_VDAC_RSET</t>
  </si>
  <si>
    <t>TEST_MODE_EN</t>
  </si>
  <si>
    <t>SYS_RESET_N</t>
  </si>
  <si>
    <t>CORE_PWR_REQ</t>
  </si>
  <si>
    <t>CPU_PWR_REQ</t>
  </si>
  <si>
    <t>PWR_INT_N</t>
  </si>
  <si>
    <t>CLK_32K_IN</t>
  </si>
  <si>
    <t>TEST MODE</t>
  </si>
  <si>
    <t>RESET</t>
  </si>
  <si>
    <t>CORE POWER REQUEST</t>
  </si>
  <si>
    <t>CPU POWER REQUEST</t>
  </si>
  <si>
    <t>POWER INTERRUPT</t>
  </si>
  <si>
    <t>32KHZ CLOCK IN</t>
  </si>
  <si>
    <t>R28</t>
  </si>
  <si>
    <t>N28</t>
  </si>
  <si>
    <t>N25</t>
  </si>
  <si>
    <t>R24</t>
  </si>
  <si>
    <t>M22</t>
  </si>
  <si>
    <t>R22</t>
  </si>
  <si>
    <t>U31</t>
  </si>
  <si>
    <t>T32</t>
  </si>
  <si>
    <t>Y34</t>
  </si>
  <si>
    <t>P28</t>
  </si>
  <si>
    <t>GPIO-U.07</t>
  </si>
  <si>
    <t>T</t>
  </si>
  <si>
    <t>HDMI_RSET</t>
  </si>
  <si>
    <t>HDMI_PROBE</t>
  </si>
  <si>
    <t>AH3</t>
  </si>
  <si>
    <t>AR11</t>
  </si>
  <si>
    <t>AM8</t>
  </si>
  <si>
    <t>unused_HDMI_RSET</t>
  </si>
  <si>
    <t>unused_HDMI_PROBE</t>
  </si>
  <si>
    <t>HSIC_REXT</t>
  </si>
  <si>
    <t>IC_USB_REXT</t>
  </si>
  <si>
    <t>AD8</t>
  </si>
  <si>
    <t>W6</t>
  </si>
  <si>
    <t>unused_HSIC_REXT</t>
  </si>
  <si>
    <t>unused_IC_USB_REXT</t>
  </si>
  <si>
    <t>DSI_CSI_RDN</t>
  </si>
  <si>
    <t>DSI_CSI_RUP</t>
  </si>
  <si>
    <t>DSI_CSI_TEST_OUT</t>
  </si>
  <si>
    <t>AG4</t>
  </si>
  <si>
    <t>AB4</t>
  </si>
  <si>
    <t>AT4</t>
  </si>
  <si>
    <t>DSI/CSI</t>
  </si>
  <si>
    <t>unused_DSI_CSI_TEST_OUT</t>
  </si>
  <si>
    <t>unused_DSI_CSI_RUP</t>
  </si>
  <si>
    <t>unused_DSI_CSI_RDN</t>
  </si>
  <si>
    <t>CSI</t>
  </si>
  <si>
    <t>v04</t>
  </si>
  <si>
    <t>- Added columns for T30, T30S &amp; AP30 ball numbers
- Added Dedicated SFIO blocks after MPIO table (DDR, HDMI, USB, etc.)
- Added highlighted rows above each block w/block name
- Added MPIO Details page &amp; hid some details from MPIO_SFIO worksheet</t>
  </si>
  <si>
    <t xml:space="preserve">- Added pin mux usage for a T30S based tablet in the MPIO_SFIO Table Tab
- Corrected Pin Muxing transposition errors for: GMI_A[19:16], SDMMC4_DAT[3:0]
- Removed MIPI HSI MPIO options </t>
  </si>
  <si>
    <t xml:space="preserve">- Added all missing signal balls for completeness (i.e. PWR_INT_N, USB_REXT, etc.)
- Added Ball locations for all pins w/notes indicating balls with no functional option or only GPIO
- Indicated USB[3:2] VBUS &amp; ID (DETECT) are not available on any skew </t>
  </si>
  <si>
    <t>Not Available on T30</t>
  </si>
  <si>
    <t>Not Available on T30S</t>
  </si>
  <si>
    <t>Not Available on AP30</t>
  </si>
  <si>
    <t>Note 4</t>
  </si>
  <si>
    <t>FRONT_CAM_AF_PWDN*</t>
  </si>
  <si>
    <t>CARD_PEX_RST1*</t>
  </si>
  <si>
    <t>PWM_3D</t>
  </si>
  <si>
    <t>LCD_2D &amp; JTAG Strap 1</t>
  </si>
  <si>
    <t>AP_THERM &amp; JTAG Strap 0</t>
  </si>
  <si>
    <t>SDMMC_CD*</t>
  </si>
  <si>
    <t>REAR_CAM_PWDN</t>
  </si>
  <si>
    <t>HDMI_HPD*</t>
  </si>
  <si>
    <t>HEAD_DET*</t>
  </si>
  <si>
    <t>LVDS_SHTDN*</t>
  </si>
  <si>
    <t>REAR_CAM*DO_EN</t>
  </si>
  <si>
    <t>FRONT_CAM*DO_EN</t>
  </si>
  <si>
    <t>SDMMC_WP</t>
  </si>
  <si>
    <t>Optional to WiFi/BT/GPS Slot</t>
  </si>
  <si>
    <t>SD Card</t>
  </si>
  <si>
    <t>Wi-Fi</t>
  </si>
  <si>
    <t>GAIN_SPKR</t>
  </si>
  <si>
    <t>EN_NFC</t>
  </si>
  <si>
    <t>AP_ONKEY*</t>
  </si>
  <si>
    <t>DBG_IRQ*</t>
  </si>
  <si>
    <t>ACCEL_IRQ*</t>
  </si>
  <si>
    <t>NFC_GP1</t>
  </si>
  <si>
    <t>NFC_GP2</t>
  </si>
  <si>
    <t>EN_SENSOR</t>
  </si>
  <si>
    <t>EN_USB3_VBUS_OC*</t>
  </si>
  <si>
    <t>EN_USB1_VBUS_OC*</t>
  </si>
  <si>
    <t>LCD LANDSCAPE</t>
  </si>
  <si>
    <t>BLINK</t>
  </si>
  <si>
    <t>DSI LCD</t>
  </si>
  <si>
    <t>Camera
Rear-Facing</t>
  </si>
  <si>
    <t>Camera
Front-Facing</t>
  </si>
  <si>
    <t>LCD_2D</t>
  </si>
  <si>
    <t>Note 5</t>
  </si>
  <si>
    <t>Pin state matches POR awhen SYS_RESET_N goes high, but may change state under hardware/BootROM control shortly afterwards</t>
  </si>
  <si>
    <t>Reserved for Sensor use</t>
  </si>
  <si>
    <t>Pin state is "z" w/input enabled, until shortly after SYS_RESET_N goes high, at which point the state transitions to listed POR pin state</t>
  </si>
  <si>
    <t>Pin state is "1" or "pu" (internal Pull-up) when SYS_RESET_N is low.  After SYS_RESET_N goes high, pin transitions to POR state.</t>
  </si>
  <si>
    <t>EN_MIC2_INT</t>
  </si>
  <si>
    <t>AUDIO_DET</t>
  </si>
  <si>
    <t>AP_LID_OPEN</t>
  </si>
  <si>
    <t>VGA_DET</t>
  </si>
  <si>
    <t>MFG_MODE_R</t>
  </si>
  <si>
    <t>Boot Select Strap[3:2]</t>
  </si>
  <si>
    <t>EN_VDD_SATA</t>
  </si>
  <si>
    <t>EN_3V3_USB_HUB</t>
  </si>
  <si>
    <t>16x8
Keyboard</t>
  </si>
  <si>
    <t>PMU_IRQ*</t>
  </si>
  <si>
    <t>LVDS2_SHTDN*</t>
  </si>
  <si>
    <t>Optional to
WiFi/BT/GPS Slot</t>
  </si>
  <si>
    <t>Proprietary
Mini Card
for MSATA</t>
  </si>
  <si>
    <t>2 Port USB Hub or
Type A Host</t>
  </si>
  <si>
    <t>Mini-Card for Baseband</t>
  </si>
  <si>
    <t>Type A Host &amp; Device for
Recovery (requires special Type A-A cable)</t>
  </si>
  <si>
    <t>VGA Connector</t>
  </si>
  <si>
    <t>v05</t>
  </si>
  <si>
    <t>v06</t>
  </si>
  <si>
    <t>- Non-mux related pins added in the Dedicated SFIO section
- Notes added at top of MPIO_SFIO Table Tab</t>
  </si>
  <si>
    <t>CLK</t>
  </si>
  <si>
    <t>DTV</t>
  </si>
  <si>
    <t>HDA</t>
  </si>
  <si>
    <t>I2C0</t>
  </si>
  <si>
    <t>I2C1</t>
  </si>
  <si>
    <t>I2C2</t>
  </si>
  <si>
    <t>I2C3</t>
  </si>
  <si>
    <t>I2C4</t>
  </si>
  <si>
    <t>I2S0</t>
  </si>
  <si>
    <t>I2S1</t>
  </si>
  <si>
    <t>I2S2</t>
  </si>
  <si>
    <t>I2S3</t>
  </si>
  <si>
    <t>I2S4</t>
  </si>
  <si>
    <t>KBC</t>
  </si>
  <si>
    <t>LCD0</t>
  </si>
  <si>
    <t>LCD1</t>
  </si>
  <si>
    <t>NAND</t>
  </si>
  <si>
    <t>PEX0</t>
  </si>
  <si>
    <t>PEX1</t>
  </si>
  <si>
    <t>PEX2</t>
  </si>
  <si>
    <t>PEXCLK0</t>
  </si>
  <si>
    <t>PEXCLK1</t>
  </si>
  <si>
    <t>PEXCLK2</t>
  </si>
  <si>
    <t>PMC</t>
  </si>
  <si>
    <t>PWFM</t>
  </si>
  <si>
    <t>SDMMC2</t>
  </si>
  <si>
    <t>SPDIF1</t>
  </si>
  <si>
    <t>SPI1</t>
  </si>
  <si>
    <t>SPI2</t>
  </si>
  <si>
    <t>SPI3</t>
  </si>
  <si>
    <t>SPI4</t>
  </si>
  <si>
    <t>SPI5</t>
  </si>
  <si>
    <t>SPI6</t>
  </si>
  <si>
    <t>TRACE</t>
  </si>
  <si>
    <t>TVO</t>
  </si>
  <si>
    <t>UART1</t>
  </si>
  <si>
    <t>UART2</t>
  </si>
  <si>
    <t>UART3</t>
  </si>
  <si>
    <t>UART4</t>
  </si>
  <si>
    <t>UART5</t>
  </si>
  <si>
    <t>ULPI</t>
  </si>
  <si>
    <t>IO</t>
  </si>
  <si>
    <t>DAP_MCLK1_REQ</t>
  </si>
  <si>
    <t>DAP_MCLK2_REQ</t>
  </si>
  <si>
    <t>EXTCLK1</t>
  </si>
  <si>
    <t>EXTCLK2</t>
  </si>
  <si>
    <t>EXTCLK3</t>
  </si>
  <si>
    <t>EXTREQ3</t>
  </si>
  <si>
    <t>DATA</t>
  </si>
  <si>
    <t>PSYNC_ERROR</t>
  </si>
  <si>
    <t>VALID</t>
  </si>
  <si>
    <t>A0</t>
  </si>
  <si>
    <t>A1</t>
  </si>
  <si>
    <t>A14</t>
  </si>
  <si>
    <t>A2</t>
  </si>
  <si>
    <t>A20</t>
  </si>
  <si>
    <t>A26</t>
  </si>
  <si>
    <t>A8</t>
  </si>
  <si>
    <t>AD00</t>
  </si>
  <si>
    <t>AD01</t>
  </si>
  <si>
    <t>AD02</t>
  </si>
  <si>
    <t>AD03</t>
  </si>
  <si>
    <t>AD04</t>
  </si>
  <si>
    <t>AD05</t>
  </si>
  <si>
    <t>AD06</t>
  </si>
  <si>
    <t>AD07</t>
  </si>
  <si>
    <t>AD08</t>
  </si>
  <si>
    <t>AD09</t>
  </si>
  <si>
    <t>AD11</t>
  </si>
  <si>
    <t>AD14</t>
  </si>
  <si>
    <t>AD17</t>
  </si>
  <si>
    <t>AD20</t>
  </si>
  <si>
    <t>AD22</t>
  </si>
  <si>
    <t>AD23</t>
  </si>
  <si>
    <t>ADV_N</t>
  </si>
  <si>
    <t>CS0_N</t>
  </si>
  <si>
    <t>CS1_N</t>
  </si>
  <si>
    <t>CS2_N</t>
  </si>
  <si>
    <t>CS3_N</t>
  </si>
  <si>
    <t>CS4_N</t>
  </si>
  <si>
    <t>CS5_N</t>
  </si>
  <si>
    <t>CS6_N</t>
  </si>
  <si>
    <t>CS7_N</t>
  </si>
  <si>
    <t>D31</t>
  </si>
  <si>
    <t>DPD</t>
  </si>
  <si>
    <t>INT1</t>
  </si>
  <si>
    <t>INT2</t>
  </si>
  <si>
    <t>IORDY</t>
  </si>
  <si>
    <t>OE_N</t>
  </si>
  <si>
    <t>RST_N</t>
  </si>
  <si>
    <t>WAIT</t>
  </si>
  <si>
    <t>WP_N</t>
  </si>
  <si>
    <t>WR_N</t>
  </si>
  <si>
    <t>A.00</t>
  </si>
  <si>
    <t>A.01</t>
  </si>
  <si>
    <t>A.02</t>
  </si>
  <si>
    <t>A.03</t>
  </si>
  <si>
    <t>A.04</t>
  </si>
  <si>
    <t>A.05</t>
  </si>
  <si>
    <t>A.06</t>
  </si>
  <si>
    <t>A.07</t>
  </si>
  <si>
    <t>AA.00</t>
  </si>
  <si>
    <t>AA.01</t>
  </si>
  <si>
    <t>AA.02</t>
  </si>
  <si>
    <t>AA.03</t>
  </si>
  <si>
    <t>AA.04</t>
  </si>
  <si>
    <t>AA.05</t>
  </si>
  <si>
    <t>AA.06</t>
  </si>
  <si>
    <t>AA.07</t>
  </si>
  <si>
    <t>B.00</t>
  </si>
  <si>
    <t>B.01</t>
  </si>
  <si>
    <t>B.02</t>
  </si>
  <si>
    <t>B.03</t>
  </si>
  <si>
    <t>B.04</t>
  </si>
  <si>
    <t>B.05</t>
  </si>
  <si>
    <t>B.06</t>
  </si>
  <si>
    <t>B.07</t>
  </si>
  <si>
    <t>BB.00</t>
  </si>
  <si>
    <t>BB.01</t>
  </si>
  <si>
    <t>BB.02</t>
  </si>
  <si>
    <t>BB.03</t>
  </si>
  <si>
    <t>BB.04</t>
  </si>
  <si>
    <t>BB.05</t>
  </si>
  <si>
    <t>BB.06</t>
  </si>
  <si>
    <t>BB.07</t>
  </si>
  <si>
    <t>C.00</t>
  </si>
  <si>
    <t>C.01</t>
  </si>
  <si>
    <t>C.02</t>
  </si>
  <si>
    <t>C.03</t>
  </si>
  <si>
    <t>C.04</t>
  </si>
  <si>
    <t>C.05</t>
  </si>
  <si>
    <t>C.06</t>
  </si>
  <si>
    <t>C.07</t>
  </si>
  <si>
    <t>CC.00</t>
  </si>
  <si>
    <t>CC.01</t>
  </si>
  <si>
    <t>CC.02</t>
  </si>
  <si>
    <t>CC.03</t>
  </si>
  <si>
    <t>CC.04</t>
  </si>
  <si>
    <t>CC.05</t>
  </si>
  <si>
    <t>CC.06</t>
  </si>
  <si>
    <t>CC.07</t>
  </si>
  <si>
    <t>D.00</t>
  </si>
  <si>
    <t>D.01</t>
  </si>
  <si>
    <t>D.02</t>
  </si>
  <si>
    <t>D.03</t>
  </si>
  <si>
    <t>D.04</t>
  </si>
  <si>
    <t>D.05</t>
  </si>
  <si>
    <t>D.06</t>
  </si>
  <si>
    <t>D.07</t>
  </si>
  <si>
    <t>DD.00</t>
  </si>
  <si>
    <t>DD.01</t>
  </si>
  <si>
    <t>DD.02</t>
  </si>
  <si>
    <t>DD.03</t>
  </si>
  <si>
    <t>DD.04</t>
  </si>
  <si>
    <t>DD.05</t>
  </si>
  <si>
    <t>DD.06</t>
  </si>
  <si>
    <t>DD.07</t>
  </si>
  <si>
    <t>E.00</t>
  </si>
  <si>
    <t>E.01</t>
  </si>
  <si>
    <t>E.02</t>
  </si>
  <si>
    <t>E.03</t>
  </si>
  <si>
    <t>E.04</t>
  </si>
  <si>
    <t>E.05</t>
  </si>
  <si>
    <t>E.06</t>
  </si>
  <si>
    <t>E.07</t>
  </si>
  <si>
    <t>EE.00</t>
  </si>
  <si>
    <t>EE.01</t>
  </si>
  <si>
    <t>EE.02</t>
  </si>
  <si>
    <t>EE.03</t>
  </si>
  <si>
    <t>F.00</t>
  </si>
  <si>
    <t>F.01</t>
  </si>
  <si>
    <t>F.02</t>
  </si>
  <si>
    <t>F.03</t>
  </si>
  <si>
    <t>F.04</t>
  </si>
  <si>
    <t>F.05</t>
  </si>
  <si>
    <t>F.06</t>
  </si>
  <si>
    <t>F.07</t>
  </si>
  <si>
    <t>G.00</t>
  </si>
  <si>
    <t>G.01</t>
  </si>
  <si>
    <t>G.02</t>
  </si>
  <si>
    <t>G.03</t>
  </si>
  <si>
    <t>G.04</t>
  </si>
  <si>
    <t>G.05</t>
  </si>
  <si>
    <t>G.06</t>
  </si>
  <si>
    <t>G.07</t>
  </si>
  <si>
    <t>H.00</t>
  </si>
  <si>
    <t>H.01</t>
  </si>
  <si>
    <t>H.02</t>
  </si>
  <si>
    <t>H.03</t>
  </si>
  <si>
    <t>H.04</t>
  </si>
  <si>
    <t>H.05</t>
  </si>
  <si>
    <t>H.06</t>
  </si>
  <si>
    <t>H.07</t>
  </si>
  <si>
    <t>I.00</t>
  </si>
  <si>
    <t>I.01</t>
  </si>
  <si>
    <t>I.02</t>
  </si>
  <si>
    <t>I.03</t>
  </si>
  <si>
    <t>I.04</t>
  </si>
  <si>
    <t>I.05</t>
  </si>
  <si>
    <t>I.06</t>
  </si>
  <si>
    <t>I.07</t>
  </si>
  <si>
    <t>J.00</t>
  </si>
  <si>
    <t>J.01</t>
  </si>
  <si>
    <t>J.02</t>
  </si>
  <si>
    <t>J.03</t>
  </si>
  <si>
    <t>J.04</t>
  </si>
  <si>
    <t>J.05</t>
  </si>
  <si>
    <t>J.06</t>
  </si>
  <si>
    <t>J.07</t>
  </si>
  <si>
    <t>K.00</t>
  </si>
  <si>
    <t>K.01</t>
  </si>
  <si>
    <t>K.02</t>
  </si>
  <si>
    <t>K.03</t>
  </si>
  <si>
    <t>K.04</t>
  </si>
  <si>
    <t>K.05</t>
  </si>
  <si>
    <t>K.06</t>
  </si>
  <si>
    <t>K.07</t>
  </si>
  <si>
    <t>L.00</t>
  </si>
  <si>
    <t>L.01</t>
  </si>
  <si>
    <t>L.02</t>
  </si>
  <si>
    <t>L.03</t>
  </si>
  <si>
    <t>L.04</t>
  </si>
  <si>
    <t>L.05</t>
  </si>
  <si>
    <t>L.06</t>
  </si>
  <si>
    <t>L.07</t>
  </si>
  <si>
    <t>M.00</t>
  </si>
  <si>
    <t>M.01</t>
  </si>
  <si>
    <t>M.02</t>
  </si>
  <si>
    <t>M.03</t>
  </si>
  <si>
    <t>M.04</t>
  </si>
  <si>
    <t>M.05</t>
  </si>
  <si>
    <t>M.06</t>
  </si>
  <si>
    <t>M.07</t>
  </si>
  <si>
    <t>N.00</t>
  </si>
  <si>
    <t>N.01</t>
  </si>
  <si>
    <t>N.02</t>
  </si>
  <si>
    <t>N.03</t>
  </si>
  <si>
    <t>N.04</t>
  </si>
  <si>
    <t>N.05</t>
  </si>
  <si>
    <t>N.06</t>
  </si>
  <si>
    <t>N.07</t>
  </si>
  <si>
    <t>O.00</t>
  </si>
  <si>
    <t>O.01</t>
  </si>
  <si>
    <t>O.02</t>
  </si>
  <si>
    <t>O.03</t>
  </si>
  <si>
    <t>O.04</t>
  </si>
  <si>
    <t>O.05</t>
  </si>
  <si>
    <t>O.06</t>
  </si>
  <si>
    <t>O.07</t>
  </si>
  <si>
    <t>P.00</t>
  </si>
  <si>
    <t>P.01</t>
  </si>
  <si>
    <t>P.02</t>
  </si>
  <si>
    <t>P.03</t>
  </si>
  <si>
    <t>P.04</t>
  </si>
  <si>
    <t>P.05</t>
  </si>
  <si>
    <t>P.06</t>
  </si>
  <si>
    <t>P.07</t>
  </si>
  <si>
    <t>Q.00</t>
  </si>
  <si>
    <t>Q.01</t>
  </si>
  <si>
    <t>Q.02</t>
  </si>
  <si>
    <t>Q.03</t>
  </si>
  <si>
    <t>Q.04</t>
  </si>
  <si>
    <t>Q.05</t>
  </si>
  <si>
    <t>Q.06</t>
  </si>
  <si>
    <t>Q.07</t>
  </si>
  <si>
    <t>R.00</t>
  </si>
  <si>
    <t>R.01</t>
  </si>
  <si>
    <t>R.02</t>
  </si>
  <si>
    <t>R.03</t>
  </si>
  <si>
    <t>R.04</t>
  </si>
  <si>
    <t>R.05</t>
  </si>
  <si>
    <t>R.06</t>
  </si>
  <si>
    <t>R.07</t>
  </si>
  <si>
    <t>S.00</t>
  </si>
  <si>
    <t>S.01</t>
  </si>
  <si>
    <t>S.02</t>
  </si>
  <si>
    <t>S.03</t>
  </si>
  <si>
    <t>S.04</t>
  </si>
  <si>
    <t>S.05</t>
  </si>
  <si>
    <t>S.06</t>
  </si>
  <si>
    <t>S.07</t>
  </si>
  <si>
    <t>T.00</t>
  </si>
  <si>
    <t>T.01</t>
  </si>
  <si>
    <t>T.02</t>
  </si>
  <si>
    <t>T.03</t>
  </si>
  <si>
    <t>T.04</t>
  </si>
  <si>
    <t>T.05</t>
  </si>
  <si>
    <t>T.06</t>
  </si>
  <si>
    <t>T.07</t>
  </si>
  <si>
    <t>U.00</t>
  </si>
  <si>
    <t>U.01</t>
  </si>
  <si>
    <t>U.02</t>
  </si>
  <si>
    <t>U.03</t>
  </si>
  <si>
    <t>U.04</t>
  </si>
  <si>
    <t>U.05</t>
  </si>
  <si>
    <t>U.06</t>
  </si>
  <si>
    <t>V.00</t>
  </si>
  <si>
    <t>V.01</t>
  </si>
  <si>
    <t>V.02</t>
  </si>
  <si>
    <t>V.03</t>
  </si>
  <si>
    <t>V.04</t>
  </si>
  <si>
    <t>V.05</t>
  </si>
  <si>
    <t>V.06</t>
  </si>
  <si>
    <t>V.07</t>
  </si>
  <si>
    <t>W.00</t>
  </si>
  <si>
    <t>W.01</t>
  </si>
  <si>
    <t>W.02</t>
  </si>
  <si>
    <t>W.03</t>
  </si>
  <si>
    <t>W.04</t>
  </si>
  <si>
    <t>W.05</t>
  </si>
  <si>
    <t>W.06</t>
  </si>
  <si>
    <t>W.07</t>
  </si>
  <si>
    <t>X.00</t>
  </si>
  <si>
    <t>X.01</t>
  </si>
  <si>
    <t>X.02</t>
  </si>
  <si>
    <t>X.03</t>
  </si>
  <si>
    <t>X.04</t>
  </si>
  <si>
    <t>X.05</t>
  </si>
  <si>
    <t>X.06</t>
  </si>
  <si>
    <t>X.07</t>
  </si>
  <si>
    <t>Y.00</t>
  </si>
  <si>
    <t>Y.01</t>
  </si>
  <si>
    <t>Y.02</t>
  </si>
  <si>
    <t>Y.03</t>
  </si>
  <si>
    <t>Y.04</t>
  </si>
  <si>
    <t>Y.05</t>
  </si>
  <si>
    <t>Y.06</t>
  </si>
  <si>
    <t>Y.07</t>
  </si>
  <si>
    <t>Z.00</t>
  </si>
  <si>
    <t>Z.01</t>
  </si>
  <si>
    <t>Z.02</t>
  </si>
  <si>
    <t>Z.03</t>
  </si>
  <si>
    <t>Z.04</t>
  </si>
  <si>
    <t>Z.05</t>
  </si>
  <si>
    <t>Z.06</t>
  </si>
  <si>
    <t>Z.07</t>
  </si>
  <si>
    <t>BCLK</t>
  </si>
  <si>
    <t>SDI</t>
  </si>
  <si>
    <t>SDO</t>
  </si>
  <si>
    <t>SYNC</t>
  </si>
  <si>
    <t>DAT</t>
  </si>
  <si>
    <t>LRCK</t>
  </si>
  <si>
    <t>SCLK</t>
  </si>
  <si>
    <t>SDATA_IN</t>
  </si>
  <si>
    <t>SDATA_OUT</t>
  </si>
  <si>
    <t>COL0</t>
  </si>
  <si>
    <t>COL1</t>
  </si>
  <si>
    <t>COL2</t>
  </si>
  <si>
    <t>COL3</t>
  </si>
  <si>
    <t>COL4</t>
  </si>
  <si>
    <t>COL5</t>
  </si>
  <si>
    <t>COL6</t>
  </si>
  <si>
    <t>COL7</t>
  </si>
  <si>
    <t>ROW0</t>
  </si>
  <si>
    <t>ROW1</t>
  </si>
  <si>
    <t>ROW10</t>
  </si>
  <si>
    <t>ROW11</t>
  </si>
  <si>
    <t>ROW12</t>
  </si>
  <si>
    <t>ROW13</t>
  </si>
  <si>
    <t>ROW14</t>
  </si>
  <si>
    <t>ROW15</t>
  </si>
  <si>
    <t>ROW2</t>
  </si>
  <si>
    <t>ROW3</t>
  </si>
  <si>
    <t>ROW4</t>
  </si>
  <si>
    <t>ROW5</t>
  </si>
  <si>
    <t>ROW6</t>
  </si>
  <si>
    <t>ROW7</t>
  </si>
  <si>
    <t>ROW8</t>
  </si>
  <si>
    <t>ROW9</t>
  </si>
  <si>
    <t>DE</t>
  </si>
  <si>
    <t>HSYNC</t>
  </si>
  <si>
    <t>PCLK</t>
  </si>
  <si>
    <t>VSYNC</t>
  </si>
  <si>
    <t>CS_N</t>
  </si>
  <si>
    <t>D0</t>
  </si>
  <si>
    <t>D1</t>
  </si>
  <si>
    <t>DC</t>
  </si>
  <si>
    <t>DI</t>
  </si>
  <si>
    <t>HP0</t>
  </si>
  <si>
    <t>HP1</t>
  </si>
  <si>
    <t>HP2</t>
  </si>
  <si>
    <t>M0</t>
  </si>
  <si>
    <t>PP</t>
  </si>
  <si>
    <t>PW0</t>
  </si>
  <si>
    <t>PW1</t>
  </si>
  <si>
    <t>PW2</t>
  </si>
  <si>
    <t>SC1</t>
  </si>
  <si>
    <t>SCK</t>
  </si>
  <si>
    <t>SDA</t>
  </si>
  <si>
    <t>VP0</t>
  </si>
  <si>
    <t>VP1</t>
  </si>
  <si>
    <t>ALE</t>
  </si>
  <si>
    <t>BSY0</t>
  </si>
  <si>
    <t>BSY1</t>
  </si>
  <si>
    <t>BSY2</t>
  </si>
  <si>
    <t>BSY3</t>
  </si>
  <si>
    <t>CE0_N</t>
  </si>
  <si>
    <t>CE1_N</t>
  </si>
  <si>
    <t>CE2_N</t>
  </si>
  <si>
    <t>CE3_N</t>
  </si>
  <si>
    <t>CE4_N</t>
  </si>
  <si>
    <t>CE5_N</t>
  </si>
  <si>
    <t>CE6_N</t>
  </si>
  <si>
    <t>CE7_N</t>
  </si>
  <si>
    <t>CLE</t>
  </si>
  <si>
    <t>DQS</t>
  </si>
  <si>
    <t>RE_N</t>
  </si>
  <si>
    <t>WE_N</t>
  </si>
  <si>
    <t>PCTLZ</t>
  </si>
  <si>
    <t>PRSNT_N</t>
  </si>
  <si>
    <t>CLKREQ_N</t>
  </si>
  <si>
    <t>WAKE_N</t>
  </si>
  <si>
    <t>PWM0</t>
  </si>
  <si>
    <t>PWM1</t>
  </si>
  <si>
    <t>PWM2</t>
  </si>
  <si>
    <t>PWM3</t>
  </si>
  <si>
    <t>ACTIVE</t>
  </si>
  <si>
    <t>CMD</t>
  </si>
  <si>
    <t>DAT0</t>
  </si>
  <si>
    <t>DAT1</t>
  </si>
  <si>
    <t>DAT2</t>
  </si>
  <si>
    <t>DAT3</t>
  </si>
  <si>
    <t>DAT4</t>
  </si>
  <si>
    <t>DAT5</t>
  </si>
  <si>
    <t>DAT6</t>
  </si>
  <si>
    <t>DAT7</t>
  </si>
  <si>
    <t>IN</t>
  </si>
  <si>
    <t>OUT</t>
  </si>
  <si>
    <t>MISO</t>
  </si>
  <si>
    <t>MOSI</t>
  </si>
  <si>
    <t>CS0</t>
  </si>
  <si>
    <t>CTL</t>
  </si>
  <si>
    <t>DATA0</t>
  </si>
  <si>
    <t>DATA1</t>
  </si>
  <si>
    <t>DATA2</t>
  </si>
  <si>
    <t>DATA3</t>
  </si>
  <si>
    <t>DATA4</t>
  </si>
  <si>
    <t>DATA5</t>
  </si>
  <si>
    <t>DATA6</t>
  </si>
  <si>
    <t>DATA7</t>
  </si>
  <si>
    <t>CTS_N</t>
  </si>
  <si>
    <t>DCD_N</t>
  </si>
  <si>
    <t>DSR_N</t>
  </si>
  <si>
    <t>DTR_N</t>
  </si>
  <si>
    <t>RI_N</t>
  </si>
  <si>
    <t>RTS_N</t>
  </si>
  <si>
    <t>RXD</t>
  </si>
  <si>
    <t>TXD</t>
  </si>
  <si>
    <t>na</t>
  </si>
  <si>
    <t>T3x + DDR3L
Single-cell
Tablet usage</t>
  </si>
  <si>
    <t>T3xS + DDR3
Single-cell
Tablet usage</t>
  </si>
  <si>
    <t>T3x + DDR3L
Multi-cell
Clamshell usage</t>
  </si>
  <si>
    <t>Tristate</t>
  </si>
  <si>
    <t>Pinmux</t>
  </si>
  <si>
    <t>E_Input</t>
  </si>
  <si>
    <r>
      <t>PU/PD
 (k</t>
    </r>
    <r>
      <rPr>
        <b/>
        <sz val="10"/>
        <color theme="1"/>
        <rFont val="Calibri"/>
        <family val="2"/>
      </rPr>
      <t>Ω</t>
    </r>
    <r>
      <rPr>
        <b/>
        <sz val="10"/>
        <color theme="1"/>
        <rFont val="Calibri"/>
        <family val="2"/>
        <scheme val="minor"/>
      </rPr>
      <t>)</t>
    </r>
  </si>
  <si>
    <t>Wake
#</t>
  </si>
  <si>
    <t>Wake
Pin</t>
  </si>
  <si>
    <t>Req.
Deep
Sleep
State</t>
  </si>
  <si>
    <t>Pinmux  POR State</t>
  </si>
  <si>
    <t>Deep Sleep</t>
  </si>
  <si>
    <t>Filled in by Customer</t>
  </si>
  <si>
    <t>Result after Customer Selections</t>
  </si>
  <si>
    <t>T30 Tablet Usage Comment</t>
  </si>
  <si>
    <t>T30S Tablet Usage Comment</t>
  </si>
  <si>
    <t>Phone Usage Comment</t>
  </si>
  <si>
    <t>Type</t>
  </si>
  <si>
    <t>Req.
Initial
State</t>
  </si>
  <si>
    <t>Readme</t>
  </si>
  <si>
    <t>Ext PU
Value (Kohms)</t>
  </si>
  <si>
    <t>Ext PD
Value
(Kohms)</t>
  </si>
  <si>
    <t>v07</t>
  </si>
  <si>
    <t>- Updated usage columns to include:   AP30 DVT (phone),  T30_DDR3L Single-cell (Tablet), T30S+DDR3L Single-cell (Tablet), T30S+LPDDR2 Single-cell (Tablet), T30+DDR3L Multi-cell (Tablet) &amp; D23     T30+DDR3L Multi-cell (Clamshell)
- Changed OD pads to show Output Buffer &amp; PU/PD disabled in Sleep</t>
  </si>
  <si>
    <t>Revision History (reverse order)</t>
  </si>
  <si>
    <r>
      <t xml:space="preserve">     </t>
    </r>
    <r>
      <rPr>
        <b/>
        <sz val="11"/>
        <color theme="1"/>
        <rFont val="Calibri"/>
        <family val="2"/>
        <scheme val="minor"/>
      </rPr>
      <t xml:space="preserve"> Req. Initial State</t>
    </r>
    <r>
      <rPr>
        <sz val="11"/>
        <color theme="1"/>
        <rFont val="Calibri"/>
        <family val="2"/>
        <scheme val="minor"/>
      </rPr>
      <t xml:space="preserve"> (Required Initial Pin State) - If pin selected to be GPIO, select what state the pin should be in when first configured from the dropdown list. Options are:  Z (Tristate output), Int PU (Tristate output &amp; internal pull-up enabled), Int PD (Tristate output &amp; internal pull-down enabled), Drive High  (Not tristate, output set high), Drive Low  (Not tristate, output set low), na (Output state not critical as with inputs, or where initial output state is don't care)</t>
    </r>
  </si>
  <si>
    <r>
      <t xml:space="preserve">      </t>
    </r>
    <r>
      <rPr>
        <b/>
        <sz val="11"/>
        <color theme="1"/>
        <rFont val="Calibri"/>
        <family val="2"/>
        <scheme val="minor"/>
      </rPr>
      <t>Wake Pin</t>
    </r>
    <r>
      <rPr>
        <sz val="11"/>
        <color theme="1"/>
        <rFont val="Calibri"/>
        <family val="2"/>
        <scheme val="minor"/>
      </rPr>
      <t xml:space="preserve"> - For pins that support Wake capability (orange, not gray), select whether pin will be used as wake or not by
selecting Yes (will be used as wake) or No (will not be used as wake) using dropdown list</t>
    </r>
    <r>
      <rPr>
        <sz val="11"/>
        <color theme="1"/>
        <rFont val="Calibri"/>
        <family val="2"/>
        <scheme val="minor"/>
      </rPr>
      <t xml:space="preserve">
</t>
    </r>
  </si>
  <si>
    <r>
      <t xml:space="preserve">      </t>
    </r>
    <r>
      <rPr>
        <b/>
        <sz val="11"/>
        <color theme="1"/>
        <rFont val="Calibri"/>
        <family val="2"/>
        <scheme val="minor"/>
      </rPr>
      <t>Ext PU Value (Kohms)</t>
    </r>
    <r>
      <rPr>
        <sz val="11"/>
        <color theme="1"/>
        <rFont val="Calibri"/>
        <family val="2"/>
        <scheme val="minor"/>
      </rPr>
      <t xml:space="preserve"> - Enter the numeric value (in K ohms) of external pull-up (PU) if one will be used in a design.  Typically external pull-ups are not required on SDMMCx_CMD/DATA pins as the internal resistors are adequate.  If an external resistor value is added to any of
the cells in this column, the internal PU/PD resistors are disabled.
      </t>
    </r>
    <r>
      <rPr>
        <b/>
        <sz val="11"/>
        <color theme="1"/>
        <rFont val="Calibri"/>
        <family val="2"/>
        <scheme val="minor"/>
      </rPr>
      <t>Ext PD Value (Kohms)</t>
    </r>
    <r>
      <rPr>
        <sz val="11"/>
        <color theme="1"/>
        <rFont val="Calibri"/>
        <family val="2"/>
        <scheme val="minor"/>
      </rPr>
      <t xml:space="preserve"> - Enter numeric value (in K ohms) of external pull-down (PD) if one will be used in a design.  If an external resistor value is
added to any of the cells in this column, the internal PU/PD resistors are disabled.</t>
    </r>
    <r>
      <rPr>
        <sz val="11"/>
        <color theme="1"/>
        <rFont val="Calibri"/>
        <family val="2"/>
        <scheme val="minor"/>
      </rPr>
      <t xml:space="preserve">
</t>
    </r>
  </si>
  <si>
    <r>
      <t xml:space="preserve"> </t>
    </r>
    <r>
      <rPr>
        <b/>
        <sz val="11"/>
        <color theme="1"/>
        <rFont val="Calibri"/>
        <family val="2"/>
        <scheme val="minor"/>
      </rPr>
      <t xml:space="preserve">NOTE:  </t>
    </r>
    <r>
      <rPr>
        <sz val="11"/>
        <color theme="1"/>
        <rFont val="Calibri"/>
        <family val="2"/>
        <scheme val="minor"/>
      </rPr>
      <t xml:space="preserve">Dark Gray cells under "Filled in by Customer" section indicate the column function does not apply. 
</t>
    </r>
  </si>
  <si>
    <r>
      <t xml:space="preserve">      </t>
    </r>
    <r>
      <rPr>
        <b/>
        <sz val="11"/>
        <color theme="1"/>
        <rFont val="Calibri"/>
        <family val="2"/>
        <scheme val="minor"/>
      </rPr>
      <t>Req. Deep Sleep</t>
    </r>
    <r>
      <rPr>
        <sz val="11"/>
        <color theme="1"/>
        <rFont val="Calibri"/>
        <family val="2"/>
        <scheme val="minor"/>
      </rPr>
      <t xml:space="preserve"> - If pin selected to be GPIO, select what state the pin should be in from dropdown list when system is in Deep Sleep mode. Options are the same as for Req. Initial State above.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11"/>
        <color theme="1"/>
        <rFont val="Calibri"/>
        <family val="2"/>
        <scheme val="minor"/>
      </rPr>
      <t xml:space="preserve">
</t>
    </r>
  </si>
  <si>
    <t xml:space="preserve">- Added additional columns for customer to complete including:
</t>
  </si>
  <si>
    <r>
      <t xml:space="preserve">      </t>
    </r>
    <r>
      <rPr>
        <b/>
        <sz val="11"/>
        <color theme="1"/>
        <rFont val="Calibri"/>
        <family val="2"/>
        <scheme val="minor"/>
      </rPr>
      <t>GPIO Dir</t>
    </r>
    <r>
      <rPr>
        <sz val="11"/>
        <color theme="1"/>
        <rFont val="Calibri"/>
        <family val="2"/>
        <scheme val="minor"/>
      </rPr>
      <t xml:space="preserve"> - Used if pin is selected to be GPIO.  Choose either In (Input), Out (Output) or Bidir (Bidirectional - Input &amp; Output capable)
from dropdown list depending on the desired direction of the GPIO.  
</t>
    </r>
  </si>
  <si>
    <t>- Added comments (labeled "Readme") above new columns in customer section describing the usage of the cells in that column.D30</t>
  </si>
  <si>
    <t>1</t>
  </si>
  <si>
    <t>0</t>
  </si>
  <si>
    <t>Pin state matches POR when SYS_RESET_N goes high, but may change state under hardware/BootROM control shortly afterwards</t>
  </si>
  <si>
    <t>Pin
State
After
Reset</t>
  </si>
  <si>
    <t>Pin
State
During
Reset</t>
  </si>
  <si>
    <t>CEC-IO</t>
  </si>
  <si>
    <t>DAP</t>
  </si>
  <si>
    <t>EXTPERIPH1</t>
  </si>
  <si>
    <t>EXTPERIPH2</t>
  </si>
  <si>
    <t>EXTPERIPH3</t>
  </si>
  <si>
    <t>DEV3</t>
  </si>
  <si>
    <t>GMI_ALT</t>
  </si>
  <si>
    <t>I2CPWR</t>
  </si>
  <si>
    <t>DISPLAYA</t>
  </si>
  <si>
    <t>DISPLAYB</t>
  </si>
  <si>
    <t>NAND_ALT</t>
  </si>
  <si>
    <t>SYSCLK</t>
  </si>
  <si>
    <t>DAPSDMMC2</t>
  </si>
  <si>
    <t>POPSDMMC4</t>
  </si>
  <si>
    <t>SPDIF</t>
  </si>
  <si>
    <t>CRT</t>
  </si>
  <si>
    <t>UARTA</t>
  </si>
  <si>
    <t>UARTB</t>
  </si>
  <si>
    <t>UARTC</t>
  </si>
  <si>
    <t>UARTD</t>
  </si>
  <si>
    <t>UARTE</t>
  </si>
  <si>
    <t>VGP3</t>
  </si>
  <si>
    <t>VGP4</t>
  </si>
  <si>
    <t>VGP5</t>
  </si>
  <si>
    <t>VGP6</t>
  </si>
  <si>
    <t>Notes</t>
  </si>
  <si>
    <t>2 (AP30)</t>
  </si>
  <si>
    <t>3 (AP30)</t>
  </si>
  <si>
    <t>Note 3</t>
  </si>
  <si>
    <t>Note 2</t>
  </si>
  <si>
    <t>AR31</t>
  </si>
  <si>
    <t>AT32</t>
  </si>
  <si>
    <t>AU3</t>
  </si>
  <si>
    <t>AP32</t>
  </si>
  <si>
    <t>AU33</t>
  </si>
  <si>
    <t>AC18</t>
  </si>
  <si>
    <t>V32</t>
  </si>
  <si>
    <t>AR5</t>
  </si>
  <si>
    <t>W4</t>
  </si>
  <si>
    <t>V5</t>
  </si>
  <si>
    <t xml:space="preserve">AH12 </t>
  </si>
  <si>
    <t>UART4.B-CTS</t>
  </si>
  <si>
    <t>UART4.B-RTS</t>
  </si>
  <si>
    <t>unused_CLK3_OUT</t>
  </si>
  <si>
    <t>UART1.B-CTS</t>
  </si>
  <si>
    <t>UART1.B-RTS</t>
  </si>
  <si>
    <t>UART2-CTS</t>
  </si>
  <si>
    <t>UART2-RTS</t>
  </si>
  <si>
    <t>UART3-CTS</t>
  </si>
  <si>
    <t>UART3-RTS</t>
  </si>
  <si>
    <t>SPI1.B-CS0</t>
  </si>
  <si>
    <t>SPI2.A-CS1</t>
  </si>
  <si>
    <t>UART4.A-CTS</t>
  </si>
  <si>
    <t>UART4.A-RTS</t>
  </si>
  <si>
    <t>SPI4.C-CS1</t>
  </si>
  <si>
    <t>PEXCLK2-CLKREQ_L</t>
  </si>
  <si>
    <t>PEX2-PRSNT_L</t>
  </si>
  <si>
    <t>PEX2-RST_L</t>
  </si>
  <si>
    <t>PEX-WAKE_L</t>
  </si>
  <si>
    <t>T3x + DDR3L
Single-cell
Tablet usage Details</t>
  </si>
  <si>
    <t>AP3x _LPDDR2
Phone usage Details</t>
  </si>
  <si>
    <t>T3 PINGROUP Entries</t>
  </si>
  <si>
    <t>See source file ../kernel/arch/arm/mach-tegra/pinmux-t3-tables.c</t>
  </si>
  <si>
    <t>VDD</t>
  </si>
  <si>
    <t>SFIO-0</t>
  </si>
  <si>
    <t>SFIO-1</t>
  </si>
  <si>
    <t>SFIO-2</t>
  </si>
  <si>
    <t>SFIO-3</t>
  </si>
  <si>
    <t>SFIO-safe</t>
  </si>
  <si>
    <t>I/O</t>
  </si>
  <si>
    <t>reg</t>
  </si>
  <si>
    <t>PO1</t>
  </si>
  <si>
    <t>RSVD</t>
  </si>
  <si>
    <t>INPUT</t>
  </si>
  <si>
    <t>0x3000</t>
  </si>
  <si>
    <t>PO2</t>
  </si>
  <si>
    <t>0x3004</t>
  </si>
  <si>
    <t>PO3</t>
  </si>
  <si>
    <t>0x3008</t>
  </si>
  <si>
    <t>PO4</t>
  </si>
  <si>
    <t>0x300c</t>
  </si>
  <si>
    <t>PO5</t>
  </si>
  <si>
    <t>0x3010</t>
  </si>
  <si>
    <t>PO6</t>
  </si>
  <si>
    <t>0x3014</t>
  </si>
  <si>
    <t>PO7</t>
  </si>
  <si>
    <t>0x3018</t>
  </si>
  <si>
    <t>PO0</t>
  </si>
  <si>
    <t>0x301c</t>
  </si>
  <si>
    <t>PY0</t>
  </si>
  <si>
    <t>0x3020</t>
  </si>
  <si>
    <t>PY1</t>
  </si>
  <si>
    <t>0x3024</t>
  </si>
  <si>
    <t>PY2</t>
  </si>
  <si>
    <t>0x3028</t>
  </si>
  <si>
    <t>PY3</t>
  </si>
  <si>
    <t>0x302c</t>
  </si>
  <si>
    <t>PP0</t>
  </si>
  <si>
    <t>RSVD1</t>
  </si>
  <si>
    <t>0x3030</t>
  </si>
  <si>
    <t>PP1</t>
  </si>
  <si>
    <t>0x3034</t>
  </si>
  <si>
    <t>PP2</t>
  </si>
  <si>
    <t>0x3038</t>
  </si>
  <si>
    <t>PP3</t>
  </si>
  <si>
    <t>0x303c</t>
  </si>
  <si>
    <t>PV0</t>
  </si>
  <si>
    <t>0x3040</t>
  </si>
  <si>
    <t>PV1</t>
  </si>
  <si>
    <t>0x3044</t>
  </si>
  <si>
    <t>PZ0</t>
  </si>
  <si>
    <t>RSVD2</t>
  </si>
  <si>
    <t>INVALID</t>
  </si>
  <si>
    <t>0x3048</t>
  </si>
  <si>
    <t>PZ1</t>
  </si>
  <si>
    <t>0x304c</t>
  </si>
  <si>
    <t>PY4</t>
  </si>
  <si>
    <t>0x3050</t>
  </si>
  <si>
    <t>PY5</t>
  </si>
  <si>
    <t>0x3054</t>
  </si>
  <si>
    <t>PY6</t>
  </si>
  <si>
    <t>0x3058</t>
  </si>
  <si>
    <t>PY7</t>
  </si>
  <si>
    <t>0x305c</t>
  </si>
  <si>
    <t>PV2</t>
  </si>
  <si>
    <t>RSVD3</t>
  </si>
  <si>
    <t>0x3060</t>
  </si>
  <si>
    <t>PV3</t>
  </si>
  <si>
    <t>0x3064</t>
  </si>
  <si>
    <t>PW5</t>
  </si>
  <si>
    <t>0x3068</t>
  </si>
  <si>
    <t>PCC5</t>
  </si>
  <si>
    <t>0x306c</t>
  </si>
  <si>
    <t>PC1</t>
  </si>
  <si>
    <t>OUTPUT</t>
  </si>
  <si>
    <t>0x3070</t>
  </si>
  <si>
    <t>PC6</t>
  </si>
  <si>
    <t>0x3074</t>
  </si>
  <si>
    <t>PZ2</t>
  </si>
  <si>
    <t>0x3078</t>
  </si>
  <si>
    <t>PN5</t>
  </si>
  <si>
    <t>0x307c</t>
  </si>
  <si>
    <t>PZ3</t>
  </si>
  <si>
    <t>0x3080</t>
  </si>
  <si>
    <t>PN4</t>
  </si>
  <si>
    <t>0x3084</t>
  </si>
  <si>
    <t>PN6</t>
  </si>
  <si>
    <t>0x3088</t>
  </si>
  <si>
    <t>PZ4</t>
  </si>
  <si>
    <t>0x308c</t>
  </si>
  <si>
    <t>PB2</t>
  </si>
  <si>
    <t>0x3090</t>
  </si>
  <si>
    <t>PB3</t>
  </si>
  <si>
    <t>0x3094</t>
  </si>
  <si>
    <t>PJ1</t>
  </si>
  <si>
    <t>0x3098</t>
  </si>
  <si>
    <t>PJ3</t>
  </si>
  <si>
    <t>0x309c</t>
  </si>
  <si>
    <t>PJ4</t>
  </si>
  <si>
    <t>0x30a0</t>
  </si>
  <si>
    <t>PE0</t>
  </si>
  <si>
    <t>0x30a4</t>
  </si>
  <si>
    <t>PE1</t>
  </si>
  <si>
    <t>0x30a8</t>
  </si>
  <si>
    <t>PE2</t>
  </si>
  <si>
    <t>0x30ac</t>
  </si>
  <si>
    <t>PE3</t>
  </si>
  <si>
    <t>0x30b0</t>
  </si>
  <si>
    <t>PE4</t>
  </si>
  <si>
    <t>0x30b4</t>
  </si>
  <si>
    <t>PE5</t>
  </si>
  <si>
    <t>0x30b8</t>
  </si>
  <si>
    <t>PE6</t>
  </si>
  <si>
    <t>0x30bc</t>
  </si>
  <si>
    <t>PE7</t>
  </si>
  <si>
    <t>0x30c0</t>
  </si>
  <si>
    <t>PF0</t>
  </si>
  <si>
    <t>0x30c4</t>
  </si>
  <si>
    <t>PF1</t>
  </si>
  <si>
    <t>0x30c8</t>
  </si>
  <si>
    <t>PF2</t>
  </si>
  <si>
    <t>0x30cc</t>
  </si>
  <si>
    <t>PF3</t>
  </si>
  <si>
    <t>0x30d0</t>
  </si>
  <si>
    <t>PF4</t>
  </si>
  <si>
    <t>0x30d4</t>
  </si>
  <si>
    <t>PF5</t>
  </si>
  <si>
    <t>0x30d8</t>
  </si>
  <si>
    <t>PF6</t>
  </si>
  <si>
    <t>0x30dc</t>
  </si>
  <si>
    <t>PF7</t>
  </si>
  <si>
    <t>0x30e0</t>
  </si>
  <si>
    <t>PM0</t>
  </si>
  <si>
    <t>0x30e4</t>
  </si>
  <si>
    <t>PM1</t>
  </si>
  <si>
    <t>0x30e8</t>
  </si>
  <si>
    <t>PM2</t>
  </si>
  <si>
    <t>0x30ec</t>
  </si>
  <si>
    <t>PM3</t>
  </si>
  <si>
    <t>0x30f0</t>
  </si>
  <si>
    <t>PM4</t>
  </si>
  <si>
    <t>0x30f4</t>
  </si>
  <si>
    <t>PM5</t>
  </si>
  <si>
    <t>0x30f8</t>
  </si>
  <si>
    <t>PM6</t>
  </si>
  <si>
    <t>0x30fc</t>
  </si>
  <si>
    <t>PM7</t>
  </si>
  <si>
    <t>0x3100</t>
  </si>
  <si>
    <t>0x3104</t>
  </si>
  <si>
    <t>0x3108</t>
  </si>
  <si>
    <t>PD2</t>
  </si>
  <si>
    <t>0x310c</t>
  </si>
  <si>
    <t>PN7</t>
  </si>
  <si>
    <t>0x3110</t>
  </si>
  <si>
    <t>PV4</t>
  </si>
  <si>
    <t>0x3114</t>
  </si>
  <si>
    <t>PV5</t>
  </si>
  <si>
    <t>0x3118</t>
  </si>
  <si>
    <t>PV6</t>
  </si>
  <si>
    <t>0x311c</t>
  </si>
  <si>
    <t>PV7</t>
  </si>
  <si>
    <t>0x3120</t>
  </si>
  <si>
    <t>PT4</t>
  </si>
  <si>
    <t>0x3124</t>
  </si>
  <si>
    <t>PD5</t>
  </si>
  <si>
    <t>0x3128</t>
  </si>
  <si>
    <t>PL0</t>
  </si>
  <si>
    <t>0x312c</t>
  </si>
  <si>
    <t>PL1</t>
  </si>
  <si>
    <t>0x3130</t>
  </si>
  <si>
    <t>PL2</t>
  </si>
  <si>
    <t>0x3134</t>
  </si>
  <si>
    <t>PL3</t>
  </si>
  <si>
    <t>0x3138</t>
  </si>
  <si>
    <t>PL4</t>
  </si>
  <si>
    <t>0x313c</t>
  </si>
  <si>
    <t>PL5</t>
  </si>
  <si>
    <t>0x3140</t>
  </si>
  <si>
    <t>PL6</t>
  </si>
  <si>
    <t>0x3144</t>
  </si>
  <si>
    <t>PL7</t>
  </si>
  <si>
    <t>0x3148</t>
  </si>
  <si>
    <t>PT2</t>
  </si>
  <si>
    <t>0x314c</t>
  </si>
  <si>
    <t>PT3</t>
  </si>
  <si>
    <t>0x3150</t>
  </si>
  <si>
    <t>PT0</t>
  </si>
  <si>
    <t>0x3154</t>
  </si>
  <si>
    <t>PT1</t>
  </si>
  <si>
    <t>0x3158</t>
  </si>
  <si>
    <t>PD6</t>
  </si>
  <si>
    <t>0x315c</t>
  </si>
  <si>
    <t>PD7</t>
  </si>
  <si>
    <t>0x3160</t>
  </si>
  <si>
    <t>PC3</t>
  </si>
  <si>
    <t>IRDA</t>
  </si>
  <si>
    <t>0x3164</t>
  </si>
  <si>
    <t>PC2</t>
  </si>
  <si>
    <t>0x3168</t>
  </si>
  <si>
    <t>PJ6</t>
  </si>
  <si>
    <t>0x316c</t>
  </si>
  <si>
    <t>PJ5</t>
  </si>
  <si>
    <t>0x3170</t>
  </si>
  <si>
    <t>PW6</t>
  </si>
  <si>
    <t>0x3174</t>
  </si>
  <si>
    <t>PW7</t>
  </si>
  <si>
    <t>0x3178</t>
  </si>
  <si>
    <t>PA1</t>
  </si>
  <si>
    <t>0x317c</t>
  </si>
  <si>
    <t>PC0</t>
  </si>
  <si>
    <t>0x3180</t>
  </si>
  <si>
    <t>PU0</t>
  </si>
  <si>
    <t>0x3184</t>
  </si>
  <si>
    <t>PU1</t>
  </si>
  <si>
    <t>0x3188</t>
  </si>
  <si>
    <t>PU2</t>
  </si>
  <si>
    <t>0x318c</t>
  </si>
  <si>
    <t>PU3</t>
  </si>
  <si>
    <t>0x3190</t>
  </si>
  <si>
    <t>PU4</t>
  </si>
  <si>
    <t>0x3194</t>
  </si>
  <si>
    <t>PU5</t>
  </si>
  <si>
    <t>0x3198</t>
  </si>
  <si>
    <t>PU6</t>
  </si>
  <si>
    <t>0x319c</t>
  </si>
  <si>
    <t>PC5</t>
  </si>
  <si>
    <t>0x31a0</t>
  </si>
  <si>
    <t>PC4</t>
  </si>
  <si>
    <t>0x31a4</t>
  </si>
  <si>
    <t>PP4</t>
  </si>
  <si>
    <t>0x31a8</t>
  </si>
  <si>
    <t>PP5</t>
  </si>
  <si>
    <t>0x31ac</t>
  </si>
  <si>
    <t>PP6</t>
  </si>
  <si>
    <t>0x31b0</t>
  </si>
  <si>
    <t>PP7</t>
  </si>
  <si>
    <t>0x31b4</t>
  </si>
  <si>
    <t>PEE0</t>
  </si>
  <si>
    <t>0x31b8</t>
  </si>
  <si>
    <t>PEE1</t>
  </si>
  <si>
    <t>0x31bc</t>
  </si>
  <si>
    <t>PC7</t>
  </si>
  <si>
    <t>0x31c0</t>
  </si>
  <si>
    <t>PI5</t>
  </si>
  <si>
    <t>0x31c4</t>
  </si>
  <si>
    <t>PI7</t>
  </si>
  <si>
    <t>0x31c8</t>
  </si>
  <si>
    <t>PK0</t>
  </si>
  <si>
    <t>0x31cc</t>
  </si>
  <si>
    <t>PK1</t>
  </si>
  <si>
    <t>0x31d0</t>
  </si>
  <si>
    <t>PJ0</t>
  </si>
  <si>
    <t>0x31d4</t>
  </si>
  <si>
    <t>PJ2</t>
  </si>
  <si>
    <t>0x31d8</t>
  </si>
  <si>
    <t>PK3</t>
  </si>
  <si>
    <t>0x31dc</t>
  </si>
  <si>
    <t>PK4</t>
  </si>
  <si>
    <t>0x31e0</t>
  </si>
  <si>
    <t>PK2</t>
  </si>
  <si>
    <t>0x31e4</t>
  </si>
  <si>
    <t>PI3</t>
  </si>
  <si>
    <t>0x31e8</t>
  </si>
  <si>
    <t>PI6</t>
  </si>
  <si>
    <t>0x31ec</t>
  </si>
  <si>
    <t>PG0</t>
  </si>
  <si>
    <t>0x31f0</t>
  </si>
  <si>
    <t>PG1</t>
  </si>
  <si>
    <t>0x31f4</t>
  </si>
  <si>
    <t>PG2</t>
  </si>
  <si>
    <t>0x31f8</t>
  </si>
  <si>
    <t>PG3</t>
  </si>
  <si>
    <t>0x31fc</t>
  </si>
  <si>
    <t>PG4</t>
  </si>
  <si>
    <t>0x3200</t>
  </si>
  <si>
    <t>PG5</t>
  </si>
  <si>
    <t>0x3204</t>
  </si>
  <si>
    <t>PG6</t>
  </si>
  <si>
    <t>0x3208</t>
  </si>
  <si>
    <t>PG7</t>
  </si>
  <si>
    <t>0x320c</t>
  </si>
  <si>
    <t>PH0</t>
  </si>
  <si>
    <t>0x3210</t>
  </si>
  <si>
    <t>PH1</t>
  </si>
  <si>
    <t>0x3214</t>
  </si>
  <si>
    <t>PH2</t>
  </si>
  <si>
    <t>0x3218</t>
  </si>
  <si>
    <t>PH3</t>
  </si>
  <si>
    <t>0x321c</t>
  </si>
  <si>
    <t>PH4</t>
  </si>
  <si>
    <t>0x3220</t>
  </si>
  <si>
    <t>PH5</t>
  </si>
  <si>
    <t>0x3224</t>
  </si>
  <si>
    <t>PH6</t>
  </si>
  <si>
    <t>0x3228</t>
  </si>
  <si>
    <t>PH7</t>
  </si>
  <si>
    <t>0x322c</t>
  </si>
  <si>
    <t>PJ7</t>
  </si>
  <si>
    <t>0x3230</t>
  </si>
  <si>
    <t>PB0</t>
  </si>
  <si>
    <t>0x3234</t>
  </si>
  <si>
    <t>PB1</t>
  </si>
  <si>
    <t>0x3238</t>
  </si>
  <si>
    <t>PK7</t>
  </si>
  <si>
    <t>0x323c</t>
  </si>
  <si>
    <t>PI0</t>
  </si>
  <si>
    <t>0x3240</t>
  </si>
  <si>
    <t>PI1</t>
  </si>
  <si>
    <t>0x3244</t>
  </si>
  <si>
    <t>PI2</t>
  </si>
  <si>
    <t>0x3248</t>
  </si>
  <si>
    <t>PI4</t>
  </si>
  <si>
    <t>0x324c</t>
  </si>
  <si>
    <t>PT5</t>
  </si>
  <si>
    <t>0x3250</t>
  </si>
  <si>
    <t>PT6</t>
  </si>
  <si>
    <t>0x3254</t>
  </si>
  <si>
    <t>PCC4</t>
  </si>
  <si>
    <t>0x3258</t>
  </si>
  <si>
    <t>PT7</t>
  </si>
  <si>
    <t>0x325c</t>
  </si>
  <si>
    <t>PAA0</t>
  </si>
  <si>
    <t>0x3260</t>
  </si>
  <si>
    <t>PAA1</t>
  </si>
  <si>
    <t>0x3264</t>
  </si>
  <si>
    <t>PAA2</t>
  </si>
  <si>
    <t>0x3268</t>
  </si>
  <si>
    <t>PAA3</t>
  </si>
  <si>
    <t>0x326c</t>
  </si>
  <si>
    <t>PAA4</t>
  </si>
  <si>
    <t>0x3270</t>
  </si>
  <si>
    <t>PAA5</t>
  </si>
  <si>
    <t>0x3274</t>
  </si>
  <si>
    <t>PAA6</t>
  </si>
  <si>
    <t>0x3278</t>
  </si>
  <si>
    <t>PAA7</t>
  </si>
  <si>
    <t>0x327c</t>
  </si>
  <si>
    <t>PCC3</t>
  </si>
  <si>
    <t>0x3280</t>
  </si>
  <si>
    <t>PCC0</t>
  </si>
  <si>
    <t>VI_ALT2</t>
  </si>
  <si>
    <t>0x3284</t>
  </si>
  <si>
    <t>PCC1</t>
  </si>
  <si>
    <t>0x3288</t>
  </si>
  <si>
    <t>PBB0</t>
  </si>
  <si>
    <t>0x328c</t>
  </si>
  <si>
    <t>PBB1</t>
  </si>
  <si>
    <t>0x3290</t>
  </si>
  <si>
    <t>PBB2</t>
  </si>
  <si>
    <t>0x3294</t>
  </si>
  <si>
    <t>PBB3</t>
  </si>
  <si>
    <t>0x3298</t>
  </si>
  <si>
    <t>PBB4</t>
  </si>
  <si>
    <t>0x329c</t>
  </si>
  <si>
    <t>PBB5</t>
  </si>
  <si>
    <t>0x32a0</t>
  </si>
  <si>
    <t>PBB6</t>
  </si>
  <si>
    <t>0x32a4</t>
  </si>
  <si>
    <t>PBB7</t>
  </si>
  <si>
    <t>0x32a8</t>
  </si>
  <si>
    <t>PCC2</t>
  </si>
  <si>
    <t>0x32ac</t>
  </si>
  <si>
    <t>PU7</t>
  </si>
  <si>
    <t>RTCK</t>
  </si>
  <si>
    <t>0x32b0</t>
  </si>
  <si>
    <t>PZ6</t>
  </si>
  <si>
    <t>0x32b4</t>
  </si>
  <si>
    <t>PZ7</t>
  </si>
  <si>
    <t>0x32b8</t>
  </si>
  <si>
    <t>PR0</t>
  </si>
  <si>
    <t>0x32bc</t>
  </si>
  <si>
    <t>PR1</t>
  </si>
  <si>
    <t>0x32c0</t>
  </si>
  <si>
    <t>PR2</t>
  </si>
  <si>
    <t>0x32c4</t>
  </si>
  <si>
    <t>PR3</t>
  </si>
  <si>
    <t>0x32c8</t>
  </si>
  <si>
    <t>PR4</t>
  </si>
  <si>
    <t>0x32cc</t>
  </si>
  <si>
    <t>PR5</t>
  </si>
  <si>
    <t>0x32d0</t>
  </si>
  <si>
    <t>PR6</t>
  </si>
  <si>
    <t>0x32d4</t>
  </si>
  <si>
    <t>PR7</t>
  </si>
  <si>
    <t>0x32d8</t>
  </si>
  <si>
    <t>PS0</t>
  </si>
  <si>
    <t>0x32dc</t>
  </si>
  <si>
    <t>PS1</t>
  </si>
  <si>
    <t>0x32e0</t>
  </si>
  <si>
    <t>PS2</t>
  </si>
  <si>
    <t>0x32e4</t>
  </si>
  <si>
    <t>PS3</t>
  </si>
  <si>
    <t>0x32e8</t>
  </si>
  <si>
    <t>PS4</t>
  </si>
  <si>
    <t>0x32ec</t>
  </si>
  <si>
    <t>PS5</t>
  </si>
  <si>
    <t>0x32f0</t>
  </si>
  <si>
    <t>PS6</t>
  </si>
  <si>
    <t>0x32f4</t>
  </si>
  <si>
    <t>PS7</t>
  </si>
  <si>
    <t>0x32f8</t>
  </si>
  <si>
    <t>PQ0</t>
  </si>
  <si>
    <t>0x32fc</t>
  </si>
  <si>
    <t>PQ1</t>
  </si>
  <si>
    <t>0x3300</t>
  </si>
  <si>
    <t>PQ2</t>
  </si>
  <si>
    <t>0x3304</t>
  </si>
  <si>
    <t>PQ3</t>
  </si>
  <si>
    <t>0x3308</t>
  </si>
  <si>
    <t>PQ4</t>
  </si>
  <si>
    <t>0x330c</t>
  </si>
  <si>
    <t>PQ5</t>
  </si>
  <si>
    <t>0x3310</t>
  </si>
  <si>
    <t>PQ6</t>
  </si>
  <si>
    <t>0x3314</t>
  </si>
  <si>
    <t>PQ7</t>
  </si>
  <si>
    <t>0x3318</t>
  </si>
  <si>
    <t>PA0</t>
  </si>
  <si>
    <t>0x331c</t>
  </si>
  <si>
    <t>PZ5</t>
  </si>
  <si>
    <t>0x3320</t>
  </si>
  <si>
    <t>0x3324</t>
  </si>
  <si>
    <t>0x3328</t>
  </si>
  <si>
    <t>0x332c</t>
  </si>
  <si>
    <t>0x3330</t>
  </si>
  <si>
    <t>0x3334</t>
  </si>
  <si>
    <t>PN0</t>
  </si>
  <si>
    <t>0x3338</t>
  </si>
  <si>
    <t>PN1</t>
  </si>
  <si>
    <t>0x333c</t>
  </si>
  <si>
    <t>PN2</t>
  </si>
  <si>
    <t>0x3340</t>
  </si>
  <si>
    <t>PN3</t>
  </si>
  <si>
    <t>0x3344</t>
  </si>
  <si>
    <t>PEE2</t>
  </si>
  <si>
    <t>0x3348</t>
  </si>
  <si>
    <t>PW4</t>
  </si>
  <si>
    <t>0x334c</t>
  </si>
  <si>
    <t>PK6</t>
  </si>
  <si>
    <t>0x3350</t>
  </si>
  <si>
    <t>PK5</t>
  </si>
  <si>
    <t>0x3354</t>
  </si>
  <si>
    <t>PA2</t>
  </si>
  <si>
    <t>0x3358</t>
  </si>
  <si>
    <t>PA4</t>
  </si>
  <si>
    <t>0x335c</t>
  </si>
  <si>
    <t>PA5</t>
  </si>
  <si>
    <t>0x3360</t>
  </si>
  <si>
    <t>PA3</t>
  </si>
  <si>
    <t>0x3364</t>
  </si>
  <si>
    <t>PX0</t>
  </si>
  <si>
    <t>0x3368</t>
  </si>
  <si>
    <t>PX1</t>
  </si>
  <si>
    <t>0x336c</t>
  </si>
  <si>
    <t>PX3</t>
  </si>
  <si>
    <t>0x3370</t>
  </si>
  <si>
    <t>PX2</t>
  </si>
  <si>
    <t>0x3374</t>
  </si>
  <si>
    <t>PX4</t>
  </si>
  <si>
    <t>0x3378</t>
  </si>
  <si>
    <t>PX5</t>
  </si>
  <si>
    <t>0x337c</t>
  </si>
  <si>
    <t>PX6</t>
  </si>
  <si>
    <t>0x3380</t>
  </si>
  <si>
    <t>PX7</t>
  </si>
  <si>
    <t>0x3384</t>
  </si>
  <si>
    <t>0x3388</t>
  </si>
  <si>
    <t>PW3</t>
  </si>
  <si>
    <t>0x338c</t>
  </si>
  <si>
    <t>PA6</t>
  </si>
  <si>
    <t>0x3390</t>
  </si>
  <si>
    <t>PA7</t>
  </si>
  <si>
    <t>0x3394</t>
  </si>
  <si>
    <t>PB7</t>
  </si>
  <si>
    <t>RSVD0</t>
  </si>
  <si>
    <t>0x3398</t>
  </si>
  <si>
    <t>PB6</t>
  </si>
  <si>
    <t>0x339c</t>
  </si>
  <si>
    <t>PB5</t>
  </si>
  <si>
    <t>0x33a0</t>
  </si>
  <si>
    <t>PB4</t>
  </si>
  <si>
    <t>0x33a4</t>
  </si>
  <si>
    <t>PD1</t>
  </si>
  <si>
    <t>0x33a8</t>
  </si>
  <si>
    <t>PD0</t>
  </si>
  <si>
    <t>0x33ac</t>
  </si>
  <si>
    <t>PD3</t>
  </si>
  <si>
    <t>0x33b0</t>
  </si>
  <si>
    <t>PD4</t>
  </si>
  <si>
    <t>0x33b4</t>
  </si>
  <si>
    <t>PDD0</t>
  </si>
  <si>
    <t>PEXCTL</t>
  </si>
  <si>
    <t>0x33b8</t>
  </si>
  <si>
    <t>PDD1</t>
  </si>
  <si>
    <t>0x33bc</t>
  </si>
  <si>
    <t>PDD2</t>
  </si>
  <si>
    <t>0x33c0</t>
  </si>
  <si>
    <t>PDD3</t>
  </si>
  <si>
    <t>0x33c4</t>
  </si>
  <si>
    <t>PDD4</t>
  </si>
  <si>
    <t>0x33c8</t>
  </si>
  <si>
    <t>PDD5</t>
  </si>
  <si>
    <t>0x33cc</t>
  </si>
  <si>
    <t>PDD6</t>
  </si>
  <si>
    <t>0x33d0</t>
  </si>
  <si>
    <t>PDD7</t>
  </si>
  <si>
    <t>0x33d4</t>
  </si>
  <si>
    <t>PCC6</t>
  </si>
  <si>
    <t>0x33d8</t>
  </si>
  <si>
    <t>PCC7</t>
  </si>
  <si>
    <t>0x33dc</t>
  </si>
  <si>
    <t>PEE3</t>
  </si>
  <si>
    <t>0x33e0</t>
  </si>
  <si>
    <t>unused_GMI_CS4_N</t>
  </si>
  <si>
    <t>unused_SDMMC1_COMP_PD</t>
  </si>
  <si>
    <t>unused_SDMMC1_COMP_PU</t>
  </si>
  <si>
    <t>unused_SDMMC3_COMP_PD</t>
  </si>
  <si>
    <t>unused_SDMMC3_COMP_PU</t>
  </si>
  <si>
    <t>unused_CLK_32K_IN</t>
  </si>
  <si>
    <t>unused_CORE_PWR_REQ</t>
  </si>
  <si>
    <t>unused_CPU_PWR_REQ</t>
  </si>
  <si>
    <t>unused_JTAG_RTCK</t>
  </si>
  <si>
    <t>unused_JTAG_TRST_N</t>
  </si>
  <si>
    <t>unused_JTAG_TDO</t>
  </si>
  <si>
    <t>unused_JTAG_TMS</t>
  </si>
  <si>
    <t>unused_JTAG_TCK</t>
  </si>
  <si>
    <t>unused_JTAG_TDI</t>
  </si>
  <si>
    <t>unused_PWR_INT_N</t>
  </si>
  <si>
    <t>unused_SYS_RESET_N</t>
  </si>
  <si>
    <t>unused_TEST_MODE_EN</t>
  </si>
  <si>
    <t>GPIO
Mode</t>
  </si>
  <si>
    <t>GPIO Initial
Output State</t>
  </si>
  <si>
    <t>SDMMC
DAT/
CMD?</t>
  </si>
  <si>
    <t>SPDIF IO Reserved</t>
  </si>
  <si>
    <t>CDC_IRQ_L</t>
  </si>
  <si>
    <t>ACC_IRQ_L</t>
  </si>
  <si>
    <t>CDC_EN</t>
  </si>
  <si>
    <t>Kai Usage</t>
  </si>
  <si>
    <t>AP_READY</t>
  </si>
  <si>
    <t>MODEM_READY</t>
  </si>
  <si>
    <t>AP_WAKE_MODEM</t>
  </si>
  <si>
    <t>MODEM_WAKE_AP</t>
  </si>
  <si>
    <t>WF_WOW_L</t>
  </si>
  <si>
    <t>MODEM ULPI</t>
  </si>
  <si>
    <t>CAM_RST_L</t>
  </si>
  <si>
    <t>CAM2_PWDN</t>
  </si>
  <si>
    <t>LCD_UD</t>
  </si>
  <si>
    <t>LCD_LR</t>
  </si>
  <si>
    <t>LCD_VGH_EN</t>
  </si>
  <si>
    <t>LCD_VGL_EN</t>
  </si>
  <si>
    <t>LCD_AVDD_EN</t>
  </si>
  <si>
    <t>CARD_PEX_RST1_L</t>
  </si>
  <si>
    <t>LCD_MODE0</t>
  </si>
  <si>
    <t>LCD_MODE1</t>
  </si>
  <si>
    <t>RAM_CODE0</t>
  </si>
  <si>
    <t>LCD_STDBY</t>
  </si>
  <si>
    <t>LCD_SELB</t>
  </si>
  <si>
    <t>LCD_RESET</t>
  </si>
  <si>
    <t>AP_THERM</t>
  </si>
  <si>
    <t>AP_SMB_DET_L</t>
  </si>
  <si>
    <t>FG_ALERT_L</t>
  </si>
  <si>
    <t>SDMMC1_CD_L</t>
  </si>
  <si>
    <t>RESERVED1 (TS_ID1)</t>
  </si>
  <si>
    <t>RESERVED2 (TS_ID2)</t>
  </si>
  <si>
    <t>LCD_RS</t>
  </si>
  <si>
    <t>BAT_DET_L</t>
  </si>
  <si>
    <t xml:space="preserve"> D[0-23]</t>
  </si>
  <si>
    <t>LVDS_SHTDN_L</t>
  </si>
  <si>
    <t>TS_SHUTDOWN_L</t>
  </si>
  <si>
    <t>EN_VDD_PNL</t>
  </si>
  <si>
    <t>EN_VDDIO_VID_OC_L</t>
  </si>
  <si>
    <t>SDMMC1_WP</t>
  </si>
  <si>
    <t>ALS_IRQ_L</t>
  </si>
  <si>
    <t>TS_RESET_L</t>
  </si>
  <si>
    <t>TS_IRQ_L</t>
  </si>
  <si>
    <t>W_DISABLE_L</t>
  </si>
  <si>
    <t>EN_USB3_VBUS_OC</t>
  </si>
  <si>
    <t>EN_USB1_VBUS_OC</t>
  </si>
  <si>
    <t>SDMMC1 (SD Card)</t>
  </si>
  <si>
    <t>WF_RST_L</t>
  </si>
  <si>
    <t>KB_COL0 (Home)</t>
  </si>
  <si>
    <t>KB_KOL1 (Back)</t>
  </si>
  <si>
    <t>CAM2_AF_PWDN_L</t>
  </si>
  <si>
    <t>TEMP_ALERT_L</t>
  </si>
  <si>
    <t>DEBUG_IRQ_L</t>
  </si>
  <si>
    <t>NFC_EN</t>
  </si>
  <si>
    <t>NFC_DATA</t>
  </si>
  <si>
    <t>CAMERA_FOCUS</t>
  </si>
  <si>
    <t>CAMERA_SHUTTER</t>
  </si>
  <si>
    <t>CAM1_AF_PWDN_L</t>
  </si>
  <si>
    <t>BT_RST_L</t>
  </si>
  <si>
    <t>GPS_RST_L</t>
  </si>
  <si>
    <t>DOCK_DET_L</t>
  </si>
  <si>
    <t>GPS_IRQ_L</t>
  </si>
  <si>
    <t>BT_IRQ_L</t>
  </si>
  <si>
    <t>unused_ULPI_CLK</t>
  </si>
  <si>
    <t>unused_ULPI_DATA0</t>
  </si>
  <si>
    <t>unused_ULPI_DATA1</t>
  </si>
  <si>
    <t>unused_ULPI_DATA2</t>
  </si>
  <si>
    <t>unused_ULPI_DATA3</t>
  </si>
  <si>
    <t>unused_ULPI_DATA4</t>
  </si>
  <si>
    <t>unused_ULPI_DATA5</t>
  </si>
  <si>
    <t>unused_ULPI_DATA6</t>
  </si>
  <si>
    <t>unused_ULPI_DATA7</t>
  </si>
  <si>
    <t>unused_ULPI_DIR</t>
  </si>
  <si>
    <t>unused_ULPI_NXT</t>
  </si>
  <si>
    <t>unused_ULPI_STP</t>
  </si>
  <si>
    <t>unused_GMI_AD10</t>
  </si>
  <si>
    <t>unused_GMI_AD12</t>
  </si>
  <si>
    <t>unused_GMI_CS1_N</t>
  </si>
  <si>
    <t>unused_HDMI_CEC</t>
  </si>
  <si>
    <t>unused_GPIO_PV0</t>
  </si>
  <si>
    <t>unused_GPIO_PBB0</t>
  </si>
  <si>
    <t>unused_GPIO_PCC1</t>
  </si>
  <si>
    <t>unused_GMI_AD14</t>
  </si>
  <si>
    <t>unused_GMI_IORDY</t>
  </si>
  <si>
    <t>unused_HDMI_INT</t>
  </si>
  <si>
    <t>unused_SDMMC4_RST_N</t>
  </si>
  <si>
    <t>unused_GPIO_PU0</t>
  </si>
  <si>
    <t>unused_GPIO_PU1</t>
  </si>
  <si>
    <t>unused_GPIO_PU2</t>
  </si>
  <si>
    <t>unused_GPIO_PU3</t>
  </si>
  <si>
    <t>unused_GPIO_PU6</t>
  </si>
  <si>
    <t>Pin
Dir</t>
  </si>
  <si>
    <t>unused_GPIO_PBB4</t>
  </si>
  <si>
    <t>RSDV1</t>
  </si>
  <si>
    <t xml:space="preserve">RSVD1 </t>
  </si>
  <si>
    <t>unused_CLK1_OUT</t>
  </si>
  <si>
    <t>unused_DAP1_DIN</t>
  </si>
  <si>
    <t>unused_DAP1_DOUT</t>
  </si>
  <si>
    <t>unused_DAP1_FS</t>
  </si>
  <si>
    <t>unused_DAP1_SCLK</t>
  </si>
  <si>
    <t>unused_DAP2_DIN</t>
  </si>
  <si>
    <t>unused_DAP2_DOUT</t>
  </si>
  <si>
    <t>unused_DAP2_FS</t>
  </si>
  <si>
    <t>unused_DAP2_SCLK</t>
  </si>
  <si>
    <t>unused_SPI2_CS2_N</t>
  </si>
  <si>
    <t>unused_SPI2_MISO</t>
  </si>
  <si>
    <t>unused_SPI2_MOSI</t>
  </si>
  <si>
    <t>unused_CAM_I2C_SCL</t>
  </si>
  <si>
    <t>unused_CAM_I2C_SDA</t>
  </si>
  <si>
    <t>unused_CAM_MCLK</t>
  </si>
  <si>
    <t>unused_GPIO_PBB3</t>
  </si>
  <si>
    <t>unused_GPIO_PBB7</t>
  </si>
  <si>
    <t>unused_GPIO_PCC2</t>
  </si>
  <si>
    <t>unused_GEN2_I2C_SCL</t>
  </si>
  <si>
    <t>unused_GEN2_I2C_SDA</t>
  </si>
  <si>
    <t>unused_GMI_A16</t>
  </si>
  <si>
    <t>unused_GMI_A17</t>
  </si>
  <si>
    <t>unused_GMI_A18</t>
  </si>
  <si>
    <t>unused_GMI_A19</t>
  </si>
  <si>
    <t>unused_DDC_SCL</t>
  </si>
  <si>
    <t>unused_DDC_SDA</t>
  </si>
  <si>
    <t>unused_LCD_D0</t>
  </si>
  <si>
    <t>unused_LCD_D1</t>
  </si>
  <si>
    <t>unused_LCD_D10</t>
  </si>
  <si>
    <t>unused_LCD_D11</t>
  </si>
  <si>
    <t>unused_LCD_D12</t>
  </si>
  <si>
    <t>unused_LCD_D13</t>
  </si>
  <si>
    <t>unused_LCD_D14</t>
  </si>
  <si>
    <t>unused_LCD_D15</t>
  </si>
  <si>
    <t>unused_LCD_D16</t>
  </si>
  <si>
    <t>unused_LCD_D17</t>
  </si>
  <si>
    <t>unused_LCD_D2</t>
  </si>
  <si>
    <t>unused_LCD_D3</t>
  </si>
  <si>
    <t>unused_LCD_D7</t>
  </si>
  <si>
    <t>unused_LCD_D8</t>
  </si>
  <si>
    <t>unused_LCD_D9</t>
  </si>
  <si>
    <t>unused_LCD_DE</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</si>
  <si>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</si>
  <si>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</si>
  <si>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</si>
  <si>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</si>
  <si>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</si>
  <si>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</si>
  <si>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</si>
  <si>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</si>
  <si>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</si>
  <si>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</si>
  <si>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</si>
  <si>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</si>
  <si>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</si>
  <si>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</si>
  <si>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</si>
  <si>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</si>
  <si>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</si>
  <si>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</si>
  <si>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</si>
  <si>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</si>
  <si>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</si>
  <si>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</si>
  <si>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unused_CLK_32K_OUT</t>
  </si>
  <si>
    <t>unused_KB_COL0</t>
  </si>
  <si>
    <t>unused_KB_COL1</t>
  </si>
  <si>
    <t>unused_KB_COL2</t>
  </si>
  <si>
    <t>unused_KB_COL3</t>
  </si>
  <si>
    <t>unused_KB_ROW0</t>
  </si>
  <si>
    <t>unused_KB_ROW1</t>
  </si>
  <si>
    <t>unused_KB_ROW2</t>
  </si>
  <si>
    <t>unused_KB_ROW8</t>
  </si>
  <si>
    <t>unused_PWR_I2C_SCL</t>
  </si>
  <si>
    <t>unused_PWR_I2C_SDA</t>
  </si>
  <si>
    <t>unused_DAP4_DIN</t>
  </si>
  <si>
    <t>unused_DAP4_DOUT</t>
  </si>
  <si>
    <t>unused_DAP4_FS</t>
  </si>
  <si>
    <t>unused_DAP4_SCLK</t>
  </si>
  <si>
    <t>unused_GEN1_I2C_SCL</t>
  </si>
  <si>
    <t>unused_GEN1_I2C_SDA</t>
  </si>
  <si>
    <t>unused_GPIO_PU5</t>
  </si>
  <si>
    <t>unused_UART2_CTS_N</t>
  </si>
  <si>
    <t>unused_UART2_RTS_N</t>
  </si>
  <si>
    <t>unused_UART2_RXD</t>
  </si>
  <si>
    <t>unused_UART2_TXD</t>
  </si>
  <si>
    <t>unused_UART3_CTS_N</t>
  </si>
  <si>
    <t>unused_UART3_RTS_N</t>
  </si>
  <si>
    <t>unused_UART3_RXD</t>
  </si>
  <si>
    <t>unused_UART3_TXD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</si>
</sst>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23" x14ac:knownFonts="1">
    <font>
      <sz val="11"/>
      <color theme="1"/>
      <name val="Calibri"/>
      <family val="2"/>
      <scheme val="minor"/>
    </font>
    <font>
      <b/>
      <sz val="12"/>
      <name val="Arial"/>
      <family val="2"/>
    </font>
    <font>
      <sz val="10"/>
      <name val="Arial"/>
      <family val="2"/>
    </font>
    <font>
      <b/>
      <sz val="10"/>
      <name val="Arial"/>
      <family val="2"/>
    </font>
    <font>
      <i/>
      <sz val="11"/>
      <color rgb="FF7F7F7F"/>
      <name val="Calibri"/>
      <family val="2"/>
      <scheme val="minor"/>
    </font>
    <font>
      <b/>
      <sz val="15"/>
      <color theme="3"/>
      <name val="Calibri"/>
      <family val="2"/>
      <scheme val="minor"/>
    </font>
    <font>
      <sz val="11"/>
      <color rgb="FF3F3F76"/>
      <name val="Calibri"/>
      <family val="2"/>
      <scheme val="minor"/>
    </font>
    <font>
      <b/>
      <sz val="11"/>
      <color theme="1"/>
      <name val="Calibri"/>
      <family val="2"/>
      <scheme val="minor"/>
    </font>
    <font>
      <sz val="8"/>
      <color theme="1"/>
      <name val="Calibri"/>
      <family val="2"/>
      <scheme val="minor"/>
    </font>
    <font>
      <b/>
      <sz val="18"/>
      <color theme="1"/>
      <name val="Calibri"/>
      <family val="2"/>
      <scheme val="minor"/>
    </font>
    <font>
      <b/>
      <sz val="10"/>
      <color theme="1"/>
      <name val="Calibri"/>
      <family val="2"/>
      <scheme val="minor"/>
    </font>
    <font>
      <sz val="10"/>
      <color theme="1"/>
      <name val="Calibri"/>
      <family val="2"/>
      <scheme val="minor"/>
    </font>
    <font>
      <b/>
      <sz val="12"/>
      <color theme="1"/>
      <name val="Calibri"/>
      <family val="2"/>
      <scheme val="minor"/>
    </font>
    <font>
      <b/>
      <sz val="14"/>
      <color theme="1"/>
      <name val="Calibri"/>
      <family val="2"/>
      <scheme val="minor"/>
    </font>
    <font>
      <sz val="10"/>
      <color theme="1"/>
      <name val="Arial"/>
      <family val="2"/>
    </font>
    <font>
      <sz val="11"/>
      <name val="Calibri"/>
      <family val="2"/>
      <scheme val="minor"/>
    </font>
    <font>
      <b/>
      <sz val="10"/>
      <color theme="1"/>
      <name val="Calibri"/>
      <family val="2"/>
    </font>
    <font>
      <sz val="12"/>
      <color theme="1"/>
      <name val="Calibri"/>
      <family val="2"/>
      <scheme val="minor"/>
    </font>
    <font>
      <sz val="9"/>
      <color indexed="81"/>
      <name val="Tahoma"/>
      <family val="2"/>
    </font>
    <font>
      <i/>
      <sz val="11"/>
      <color theme="1"/>
      <name val="Calibri"/>
      <family val="2"/>
      <scheme val="minor"/>
    </font>
    <font>
      <sz val="11"/>
      <color rgb="FF9C0006"/>
      <name val="Calibri"/>
      <family val="2"/>
      <scheme val="minor"/>
    </font>
    <font>
      <sz val="8"/>
      <color theme="0" tint="-0.34998626667073579"/>
      <name val="Calibri"/>
      <family val="2"/>
      <scheme val="minor"/>
    </font>
    <font>
      <sz val="11"/>
      <color rgb="FF000000"/>
      <name val="Calibri"/>
      <family val="2"/>
    </font>
  </fonts>
  <fills count="17">
    <fill>
      <patternFill patternType="none"/>
    </fill>
    <fill>
      <patternFill patternType="gray125"/>
    </fill>
    <fill>
      <patternFill patternType="solid">
        <fgColor rgb="FFFFCC99"/>
      </patternFill>
    </fill>
    <fill>
      <patternFill patternType="solid">
        <fgColor rgb="FF00B05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66FFFF"/>
        <bgColor indexed="64"/>
      </patternFill>
    </fill>
    <fill>
      <patternFill patternType="solid">
        <fgColor theme="0" tint="-0.249977111117893"/>
        <bgColor indexed="64"/>
      </patternFill>
    </fill>
    <fill>
      <patternFill patternType="solid">
        <fgColor rgb="FFFFFF99"/>
        <bgColor indexed="64"/>
      </patternFill>
    </fill>
    <fill>
      <patternFill patternType="solid">
        <fgColor rgb="FFFFCC99"/>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FFC7CE"/>
      </patternFill>
    </fill>
    <fill>
      <patternFill patternType="solid">
        <fgColor theme="0" tint="-0.14996795556505021"/>
        <bgColor indexed="64"/>
      </patternFill>
    </fill>
    <fill>
      <patternFill patternType="solid">
        <fgColor rgb="FFC00000"/>
        <bgColor indexed="64"/>
      </patternFill>
    </fill>
  </fills>
  <borders count="49">
    <border>
      <left/>
      <right/>
      <top/>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style="thin">
        <color indexed="64"/>
      </left>
      <right/>
      <top/>
      <bottom style="thick">
        <color theme="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bottom style="thin">
        <color indexed="64"/>
      </bottom>
      <diagonal/>
    </border>
    <border>
      <left/>
      <right/>
      <top style="thin">
        <color indexed="6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medium">
        <color indexed="64"/>
      </left>
      <right style="medium">
        <color indexed="64"/>
      </right>
      <top style="medium">
        <color indexed="64"/>
      </top>
      <bottom style="medium">
        <color indexed="64"/>
      </bottom>
      <diagonal/>
    </border>
    <border>
      <left style="thin">
        <color theme="0" tint="-0.499984740745262"/>
      </left>
      <right style="thin">
        <color theme="0" tint="-0.499984740745262"/>
      </right>
      <top/>
      <bottom/>
      <diagonal/>
    </border>
    <border>
      <left/>
      <right/>
      <top style="thin">
        <color rgb="FF7F7F7F"/>
      </top>
      <bottom style="thin">
        <color rgb="FF7F7F7F"/>
      </bottom>
      <diagonal/>
    </border>
    <border>
      <left/>
      <right/>
      <top/>
      <bottom style="thin">
        <color rgb="FF7F7F7F"/>
      </bottom>
      <diagonal/>
    </border>
    <border>
      <left/>
      <right/>
      <top style="thin">
        <color rgb="FF7F7F7F"/>
      </top>
      <bottom style="thin">
        <color indexed="64"/>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theme="0" tint="-0.499984740745262"/>
      </bottom>
      <diagonal/>
    </border>
    <border>
      <left/>
      <right/>
      <top style="thin">
        <color indexed="64"/>
      </top>
      <bottom style="thin">
        <color rgb="FF7F7F7F"/>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7F7F7F"/>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s>
  <cellStyleXfs count="5">
    <xf numFmtId="0" fontId="0" fillId="0" borderId="0"/>
    <xf numFmtId="0" fontId="4" fillId="0" borderId="0" applyNumberFormat="0" applyFill="0" applyBorder="0" applyAlignment="0" applyProtection="0"/>
    <xf numFmtId="0" fontId="5" fillId="0" borderId="6" applyNumberFormat="0" applyFill="0" applyAlignment="0" applyProtection="0"/>
    <xf numFmtId="0" fontId="6" fillId="2" borderId="5" applyNumberFormat="0" applyAlignment="0" applyProtection="0"/>
    <xf numFmtId="0" fontId="20" fillId="14" borderId="0" applyNumberFormat="0" applyBorder="0" applyAlignment="0" applyProtection="0"/>
  </cellStyleXfs>
  <cellXfs count="462">
    <xf numFmtId="0" fontId="0" fillId="0" borderId="0" xfId="0"/>
    <xf numFmtId="0" fontId="8" fillId="0" borderId="0" xfId="0" applyFont="1" applyAlignment="1">
      <alignment horizontal="left"/>
    </xf>
    <xf numFmtId="0" fontId="8" fillId="0" borderId="1" xfId="0" applyFont="1" applyBorder="1" applyAlignment="1">
      <alignment horizontal="left"/>
    </xf>
    <xf numFmtId="0" fontId="4" fillId="0" borderId="0" xfId="1"/>
    <xf numFmtId="0" fontId="5" fillId="0" borderId="6" xfId="2"/>
    <xf numFmtId="0" fontId="8" fillId="0" borderId="0" xfId="0" applyFont="1" applyBorder="1" applyAlignment="1">
      <alignment horizontal="left"/>
    </xf>
    <xf numFmtId="0" fontId="8" fillId="0" borderId="0" xfId="0" applyFont="1" applyBorder="1"/>
    <xf numFmtId="0" fontId="8" fillId="0" borderId="0" xfId="0" applyFont="1"/>
    <xf numFmtId="0" fontId="5" fillId="0" borderId="6" xfId="2" applyAlignment="1">
      <alignment horizontal="center"/>
    </xf>
    <xf numFmtId="0" fontId="0" fillId="0" borderId="1" xfId="0" applyBorder="1"/>
    <xf numFmtId="0" fontId="5" fillId="0" borderId="7" xfId="2" applyBorder="1"/>
    <xf numFmtId="0" fontId="4" fillId="0" borderId="1" xfId="1" applyBorder="1"/>
    <xf numFmtId="0" fontId="3" fillId="0" borderId="0" xfId="0" applyFont="1" applyBorder="1" applyAlignment="1">
      <alignment horizontal="center"/>
    </xf>
    <xf numFmtId="164" fontId="2" fillId="0" borderId="0" xfId="0" applyNumberFormat="1" applyFont="1" applyBorder="1" applyAlignment="1">
      <alignment horizontal="center"/>
    </xf>
    <xf numFmtId="0" fontId="11" fillId="0" borderId="0" xfId="0" applyFont="1"/>
    <xf numFmtId="0" fontId="8" fillId="0" borderId="0" xfId="0" applyFont="1" applyBorder="1" applyAlignment="1" applyProtection="1">
      <alignment horizontal="center"/>
      <protection locked="0"/>
    </xf>
    <xf numFmtId="0" fontId="10" fillId="0" borderId="0" xfId="0" applyFont="1" applyBorder="1" applyAlignment="1" applyProtection="1">
      <alignment horizontal="center" wrapText="1"/>
      <protection locked="0"/>
    </xf>
    <xf numFmtId="0" fontId="8" fillId="0" borderId="0" xfId="0" applyFont="1" applyBorder="1" applyAlignment="1">
      <alignment horizontal="center"/>
    </xf>
    <xf numFmtId="0" fontId="5" fillId="0" borderId="6" xfId="2" applyAlignment="1">
      <alignment horizontal="center"/>
    </xf>
    <xf numFmtId="0" fontId="10" fillId="0" borderId="0" xfId="0" applyFont="1" applyBorder="1" applyAlignment="1">
      <alignment horizontal="left" wrapText="1"/>
    </xf>
    <xf numFmtId="0" fontId="10" fillId="0" borderId="1" xfId="0" applyFont="1" applyBorder="1" applyAlignment="1">
      <alignment horizontal="left" wrapText="1"/>
    </xf>
    <xf numFmtId="0" fontId="10" fillId="0" borderId="1" xfId="0" applyFont="1" applyBorder="1" applyAlignment="1">
      <alignment horizontal="left"/>
    </xf>
    <xf numFmtId="0" fontId="10" fillId="0" borderId="0" xfId="0" applyFont="1" applyBorder="1" applyAlignment="1">
      <alignment horizontal="left"/>
    </xf>
    <xf numFmtId="0" fontId="10" fillId="0" borderId="0" xfId="0" applyFont="1" applyBorder="1"/>
    <xf numFmtId="0" fontId="12" fillId="0" borderId="0" xfId="0" applyFont="1"/>
    <xf numFmtId="0" fontId="10" fillId="0" borderId="0" xfId="0" applyFont="1" applyBorder="1" applyAlignment="1" applyProtection="1">
      <alignment horizontal="center"/>
      <protection locked="0"/>
    </xf>
    <xf numFmtId="0" fontId="13" fillId="0" borderId="0" xfId="0" applyFont="1" applyBorder="1" applyAlignment="1">
      <alignment horizontal="left" wrapText="1"/>
    </xf>
    <xf numFmtId="0" fontId="8" fillId="0" borderId="0" xfId="0" applyFont="1" applyFill="1" applyBorder="1" applyAlignment="1" applyProtection="1">
      <alignment horizontal="center"/>
      <protection locked="0"/>
    </xf>
    <xf numFmtId="0" fontId="0" fillId="0" borderId="0" xfId="0" applyAlignment="1">
      <alignment horizontal="center"/>
    </xf>
    <xf numFmtId="0" fontId="6" fillId="0" borderId="0" xfId="3" applyFill="1" applyBorder="1"/>
    <xf numFmtId="0" fontId="12" fillId="0" borderId="0" xfId="0" applyFont="1" applyAlignment="1">
      <alignment vertical="center"/>
    </xf>
    <xf numFmtId="0" fontId="8" fillId="0" borderId="0" xfId="0" applyFont="1" applyAlignment="1">
      <alignment vertical="center"/>
    </xf>
    <xf numFmtId="0" fontId="12" fillId="7" borderId="8" xfId="0" applyFont="1" applyFill="1" applyBorder="1" applyAlignment="1">
      <alignment horizontal="left" wrapText="1"/>
    </xf>
    <xf numFmtId="0" fontId="12" fillId="7" borderId="9" xfId="0" applyFont="1" applyFill="1" applyBorder="1" applyAlignment="1">
      <alignment horizontal="left" wrapText="1"/>
    </xf>
    <xf numFmtId="0" fontId="12" fillId="7" borderId="9" xfId="0" applyFont="1" applyFill="1" applyBorder="1" applyAlignment="1">
      <alignment horizontal="left"/>
    </xf>
    <xf numFmtId="0" fontId="12" fillId="7" borderId="8" xfId="0" applyFont="1" applyFill="1" applyBorder="1" applyAlignment="1">
      <alignment horizontal="left"/>
    </xf>
    <xf numFmtId="0" fontId="12" fillId="7" borderId="8" xfId="0" applyFont="1" applyFill="1" applyBorder="1" applyAlignment="1" applyProtection="1">
      <alignment horizontal="center" wrapText="1"/>
      <protection locked="0"/>
    </xf>
    <xf numFmtId="0" fontId="12" fillId="7" borderId="8" xfId="0" applyFont="1" applyFill="1" applyBorder="1" applyAlignment="1">
      <alignment horizontal="left" vertical="center"/>
    </xf>
    <xf numFmtId="0" fontId="10" fillId="0" borderId="0" xfId="0" applyFont="1"/>
    <xf numFmtId="0" fontId="10" fillId="6" borderId="12" xfId="0" applyFont="1" applyFill="1" applyBorder="1" applyAlignment="1">
      <alignment horizontal="center"/>
    </xf>
    <xf numFmtId="0" fontId="10" fillId="8" borderId="12" xfId="0" applyFont="1" applyFill="1" applyBorder="1" applyAlignment="1">
      <alignment horizontal="center"/>
    </xf>
    <xf numFmtId="0" fontId="10" fillId="5" borderId="12" xfId="0" applyFont="1" applyFill="1" applyBorder="1" applyAlignment="1">
      <alignment horizontal="center"/>
    </xf>
    <xf numFmtId="0" fontId="8" fillId="6" borderId="11" xfId="0" applyFont="1" applyFill="1" applyBorder="1" applyAlignment="1" applyProtection="1">
      <alignment horizontal="center"/>
    </xf>
    <xf numFmtId="0" fontId="8" fillId="3" borderId="11" xfId="0" applyFont="1" applyFill="1" applyBorder="1" applyAlignment="1" applyProtection="1">
      <alignment horizontal="center"/>
    </xf>
    <xf numFmtId="0" fontId="8" fillId="8" borderId="11" xfId="0" applyFont="1" applyFill="1" applyBorder="1" applyAlignment="1" applyProtection="1">
      <alignment horizontal="center"/>
    </xf>
    <xf numFmtId="0" fontId="12" fillId="7" borderId="11" xfId="0" applyFont="1" applyFill="1" applyBorder="1" applyAlignment="1" applyProtection="1">
      <alignment horizontal="center" wrapText="1"/>
    </xf>
    <xf numFmtId="0" fontId="12" fillId="7" borderId="11" xfId="0" applyFont="1" applyFill="1" applyBorder="1" applyAlignment="1" applyProtection="1">
      <alignment horizontal="center" vertical="center" wrapText="1"/>
    </xf>
    <xf numFmtId="0" fontId="8" fillId="8" borderId="11" xfId="0" applyFont="1" applyFill="1" applyBorder="1" applyAlignment="1" applyProtection="1">
      <alignment horizontal="center" vertical="center"/>
    </xf>
    <xf numFmtId="0" fontId="8" fillId="3" borderId="16" xfId="0" applyFont="1" applyFill="1" applyBorder="1" applyAlignment="1" applyProtection="1">
      <alignment horizontal="center" vertical="center" wrapText="1"/>
    </xf>
    <xf numFmtId="0" fontId="8" fillId="3" borderId="18" xfId="0" applyFont="1" applyFill="1" applyBorder="1" applyAlignment="1" applyProtection="1">
      <alignment horizontal="center" vertical="center" wrapText="1"/>
    </xf>
    <xf numFmtId="0" fontId="8" fillId="3" borderId="17" xfId="0" applyFont="1" applyFill="1" applyBorder="1" applyAlignment="1" applyProtection="1">
      <alignment horizontal="center" vertical="center" wrapText="1"/>
    </xf>
    <xf numFmtId="0" fontId="8" fillId="8" borderId="12" xfId="0" applyFont="1" applyFill="1" applyBorder="1" applyAlignment="1" applyProtection="1">
      <alignment horizontal="center"/>
    </xf>
    <xf numFmtId="0" fontId="8" fillId="3" borderId="12" xfId="0" applyFont="1" applyFill="1" applyBorder="1" applyAlignment="1" applyProtection="1">
      <alignment horizontal="center"/>
    </xf>
    <xf numFmtId="0" fontId="8" fillId="8" borderId="12" xfId="0" applyFont="1" applyFill="1" applyBorder="1" applyAlignment="1" applyProtection="1">
      <alignment horizontal="center" vertical="center" wrapText="1"/>
    </xf>
    <xf numFmtId="0" fontId="8" fillId="8" borderId="17" xfId="0" applyFont="1" applyFill="1" applyBorder="1" applyAlignment="1" applyProtection="1">
      <alignment horizontal="center"/>
    </xf>
    <xf numFmtId="0" fontId="8" fillId="5" borderId="11" xfId="0" applyFont="1" applyFill="1" applyBorder="1" applyAlignment="1" applyProtection="1">
      <alignment horizontal="center"/>
    </xf>
    <xf numFmtId="0" fontId="8" fillId="5" borderId="12" xfId="0" applyFont="1" applyFill="1" applyBorder="1" applyAlignment="1" applyProtection="1">
      <alignment horizontal="center"/>
    </xf>
    <xf numFmtId="0" fontId="12" fillId="7" borderId="12" xfId="0" applyFont="1" applyFill="1" applyBorder="1" applyAlignment="1" applyProtection="1">
      <alignment horizontal="center" wrapText="1"/>
    </xf>
    <xf numFmtId="14" fontId="14" fillId="0" borderId="0" xfId="0" applyNumberFormat="1" applyFont="1" applyAlignment="1">
      <alignment horizontal="center" vertical="top" wrapText="1"/>
    </xf>
    <xf numFmtId="0" fontId="8" fillId="0" borderId="11" xfId="0" applyFont="1" applyFill="1" applyBorder="1" applyAlignment="1" applyProtection="1">
      <alignment horizontal="center"/>
    </xf>
    <xf numFmtId="0" fontId="10" fillId="0" borderId="0" xfId="0" applyFont="1" applyBorder="1" applyAlignment="1" applyProtection="1">
      <alignment horizontal="center" vertical="center"/>
      <protection locked="0"/>
    </xf>
    <xf numFmtId="0" fontId="10" fillId="0" borderId="0" xfId="0" applyFont="1" applyBorder="1" applyAlignment="1" applyProtection="1">
      <alignment horizontal="center" wrapText="1"/>
    </xf>
    <xf numFmtId="0" fontId="12" fillId="7" borderId="8" xfId="0" applyFont="1" applyFill="1" applyBorder="1" applyAlignment="1" applyProtection="1">
      <alignment horizontal="center" wrapText="1"/>
    </xf>
    <xf numFmtId="0" fontId="8" fillId="8" borderId="16" xfId="0" applyFont="1" applyFill="1" applyBorder="1" applyAlignment="1" applyProtection="1">
      <alignment horizontal="center" vertical="center" wrapText="1"/>
    </xf>
    <xf numFmtId="0" fontId="8" fillId="8" borderId="18" xfId="0" applyFont="1" applyFill="1" applyBorder="1" applyAlignment="1" applyProtection="1">
      <alignment horizontal="center" vertical="center" wrapText="1"/>
    </xf>
    <xf numFmtId="0" fontId="8" fillId="8" borderId="16" xfId="0" applyFont="1" applyFill="1" applyBorder="1" applyAlignment="1" applyProtection="1">
      <alignment horizontal="center" vertical="center"/>
    </xf>
    <xf numFmtId="0" fontId="8" fillId="6" borderId="12" xfId="0" applyFont="1" applyFill="1" applyBorder="1" applyAlignment="1" applyProtection="1">
      <alignment horizontal="center"/>
    </xf>
    <xf numFmtId="0" fontId="8" fillId="8" borderId="16" xfId="0" applyFont="1" applyFill="1" applyBorder="1" applyAlignment="1" applyProtection="1">
      <alignment horizontal="center"/>
    </xf>
    <xf numFmtId="0" fontId="8" fillId="0" borderId="0" xfId="0" applyFont="1" applyFill="1" applyBorder="1" applyAlignment="1" applyProtection="1">
      <alignment horizontal="center"/>
    </xf>
    <xf numFmtId="14" fontId="0" fillId="0" borderId="0" xfId="0" applyNumberFormat="1" applyAlignment="1">
      <alignment horizontal="center" vertical="top" wrapText="1"/>
    </xf>
    <xf numFmtId="0" fontId="8" fillId="6" borderId="17" xfId="0" applyFont="1" applyFill="1" applyBorder="1" applyAlignment="1" applyProtection="1">
      <alignment horizontal="center" vertical="center"/>
    </xf>
    <xf numFmtId="0" fontId="8" fillId="4" borderId="0" xfId="0" applyFont="1" applyFill="1" applyAlignment="1">
      <alignment horizontal="left"/>
    </xf>
    <xf numFmtId="0" fontId="10" fillId="3" borderId="12" xfId="0" applyFont="1" applyFill="1" applyBorder="1" applyAlignment="1">
      <alignment horizontal="center" vertical="center"/>
    </xf>
    <xf numFmtId="0" fontId="8" fillId="4" borderId="0" xfId="0" applyFont="1" applyFill="1" applyBorder="1" applyAlignment="1">
      <alignment horizontal="center" vertical="center" wrapText="1"/>
    </xf>
    <xf numFmtId="0" fontId="8" fillId="4" borderId="0" xfId="0" applyFont="1" applyFill="1" applyBorder="1" applyAlignment="1">
      <alignment horizontal="center" vertical="center"/>
    </xf>
    <xf numFmtId="0" fontId="8" fillId="4" borderId="19" xfId="0" applyFont="1" applyFill="1" applyBorder="1" applyAlignment="1">
      <alignment horizontal="center" vertical="center"/>
    </xf>
    <xf numFmtId="49" fontId="0" fillId="0" borderId="0" xfId="0" applyNumberFormat="1"/>
    <xf numFmtId="49" fontId="2" fillId="0" borderId="0" xfId="0" applyNumberFormat="1" applyFont="1" applyBorder="1"/>
    <xf numFmtId="49" fontId="3" fillId="0" borderId="0" xfId="0" applyNumberFormat="1" applyFont="1" applyBorder="1" applyAlignment="1">
      <alignment horizontal="center"/>
    </xf>
    <xf numFmtId="49" fontId="3" fillId="0" borderId="0" xfId="0" applyNumberFormat="1" applyFont="1" applyBorder="1"/>
    <xf numFmtId="49" fontId="2" fillId="0" borderId="0" xfId="0" applyNumberFormat="1" applyFont="1" applyBorder="1" applyAlignment="1">
      <alignment horizontal="center"/>
    </xf>
    <xf numFmtId="49" fontId="2" fillId="0" borderId="0" xfId="0" applyNumberFormat="1" applyFont="1" applyBorder="1" applyAlignment="1">
      <alignment wrapText="1"/>
    </xf>
    <xf numFmtId="49" fontId="14" fillId="0" borderId="0" xfId="0" applyNumberFormat="1" applyFont="1" applyAlignment="1">
      <alignment horizontal="center" vertical="top"/>
    </xf>
    <xf numFmtId="49" fontId="0" fillId="0" borderId="0" xfId="0" applyNumberFormat="1" applyAlignment="1">
      <alignment horizontal="center" vertical="top"/>
    </xf>
    <xf numFmtId="0" fontId="8" fillId="6" borderId="15" xfId="0" applyFont="1" applyFill="1" applyBorder="1" applyAlignment="1" applyProtection="1">
      <alignment horizontal="center" vertical="center"/>
    </xf>
    <xf numFmtId="0" fontId="8" fillId="6" borderId="14" xfId="0" applyFont="1" applyFill="1" applyBorder="1" applyAlignment="1" applyProtection="1">
      <alignment horizontal="center" vertical="center"/>
    </xf>
    <xf numFmtId="49" fontId="10" fillId="0" borderId="0" xfId="0" applyNumberFormat="1" applyFont="1"/>
    <xf numFmtId="49" fontId="12" fillId="7" borderId="8" xfId="0" applyNumberFormat="1" applyFont="1" applyFill="1" applyBorder="1" applyAlignment="1">
      <alignment horizontal="left"/>
    </xf>
    <xf numFmtId="49" fontId="8" fillId="0" borderId="0" xfId="0" applyNumberFormat="1" applyFont="1" applyAlignment="1">
      <alignment horizontal="left"/>
    </xf>
    <xf numFmtId="49" fontId="8" fillId="0" borderId="0" xfId="0" applyNumberFormat="1" applyFont="1" applyBorder="1" applyAlignment="1">
      <alignment horizontal="left"/>
    </xf>
    <xf numFmtId="49" fontId="8" fillId="0" borderId="0" xfId="0" applyNumberFormat="1" applyFont="1" applyBorder="1"/>
    <xf numFmtId="49" fontId="8" fillId="0" borderId="0" xfId="0" applyNumberFormat="1" applyFont="1"/>
    <xf numFmtId="49" fontId="8" fillId="4" borderId="0" xfId="0" applyNumberFormat="1" applyFont="1" applyFill="1" applyAlignment="1">
      <alignment horizontal="left"/>
    </xf>
    <xf numFmtId="0" fontId="8" fillId="0" borderId="0" xfId="0" applyFont="1" applyBorder="1" applyAlignment="1" applyProtection="1">
      <alignment horizontal="left"/>
    </xf>
    <xf numFmtId="0" fontId="8" fillId="0" borderId="0" xfId="0" applyFont="1" applyBorder="1" applyAlignment="1" applyProtection="1">
      <alignment horizontal="left"/>
    </xf>
    <xf numFmtId="49" fontId="8" fillId="0" borderId="0" xfId="0" applyNumberFormat="1" applyFont="1" applyBorder="1" applyAlignment="1" applyProtection="1">
      <alignment horizontal="left"/>
    </xf>
    <xf numFmtId="0" fontId="6" fillId="0" borderId="0" xfId="3" applyFill="1" applyBorder="1" applyProtection="1"/>
    <xf numFmtId="0" fontId="8" fillId="0" borderId="0" xfId="0" applyFont="1" applyBorder="1" applyProtection="1"/>
    <xf numFmtId="0" fontId="8" fillId="0" borderId="0" xfId="0" applyFont="1" applyFill="1" applyBorder="1" applyProtection="1"/>
    <xf numFmtId="0" fontId="10" fillId="0" borderId="18" xfId="0" applyFont="1" applyBorder="1" applyAlignment="1">
      <alignment horizontal="left" wrapText="1"/>
    </xf>
    <xf numFmtId="49" fontId="12" fillId="7" borderId="19" xfId="0" applyNumberFormat="1" applyFont="1" applyFill="1" applyBorder="1" applyAlignment="1">
      <alignment horizontal="left"/>
    </xf>
    <xf numFmtId="49" fontId="10" fillId="0" borderId="17" xfId="0" applyNumberFormat="1" applyFont="1" applyBorder="1" applyAlignment="1">
      <alignment horizontal="left"/>
    </xf>
    <xf numFmtId="0" fontId="0" fillId="0" borderId="0" xfId="0" applyBorder="1"/>
    <xf numFmtId="0" fontId="8" fillId="6" borderId="17" xfId="0" applyFont="1" applyFill="1" applyBorder="1" applyAlignment="1" applyProtection="1">
      <alignment horizontal="center" vertical="center"/>
    </xf>
    <xf numFmtId="0" fontId="8" fillId="3" borderId="16" xfId="0" applyFont="1" applyFill="1" applyBorder="1" applyAlignment="1" applyProtection="1">
      <alignment horizontal="center"/>
    </xf>
    <xf numFmtId="0" fontId="8" fillId="3" borderId="17" xfId="0" applyFont="1" applyFill="1" applyBorder="1" applyAlignment="1" applyProtection="1">
      <alignment horizontal="center"/>
    </xf>
    <xf numFmtId="0" fontId="8" fillId="5" borderId="12" xfId="0" applyFont="1" applyFill="1" applyBorder="1" applyAlignment="1" applyProtection="1">
      <alignment horizontal="center" vertical="center"/>
    </xf>
    <xf numFmtId="0" fontId="8" fillId="3" borderId="15" xfId="0" applyFont="1" applyFill="1" applyBorder="1" applyAlignment="1" applyProtection="1">
      <alignment horizontal="center"/>
    </xf>
    <xf numFmtId="0" fontId="8" fillId="3" borderId="14" xfId="0" applyFont="1" applyFill="1" applyBorder="1" applyAlignment="1" applyProtection="1">
      <alignment horizontal="center" vertical="center"/>
    </xf>
    <xf numFmtId="0" fontId="8" fillId="3" borderId="15"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3" borderId="13" xfId="0" applyFont="1" applyFill="1" applyBorder="1" applyAlignment="1" applyProtection="1">
      <alignment horizontal="center" vertical="center"/>
    </xf>
    <xf numFmtId="0" fontId="8" fillId="3" borderId="11" xfId="0" applyFont="1" applyFill="1" applyBorder="1" applyAlignment="1" applyProtection="1">
      <alignment horizontal="center"/>
    </xf>
    <xf numFmtId="0" fontId="8" fillId="3" borderId="12" xfId="0" applyFont="1" applyFill="1" applyBorder="1" applyAlignment="1" applyProtection="1">
      <alignment horizontal="center"/>
    </xf>
    <xf numFmtId="0" fontId="8" fillId="6" borderId="16" xfId="0" applyFont="1" applyFill="1" applyBorder="1" applyAlignment="1" applyProtection="1">
      <alignment horizontal="center" vertical="center"/>
    </xf>
    <xf numFmtId="0" fontId="8" fillId="6" borderId="18" xfId="0" applyFont="1" applyFill="1" applyBorder="1" applyAlignment="1" applyProtection="1">
      <alignment horizontal="center" vertical="center"/>
    </xf>
    <xf numFmtId="0" fontId="8" fillId="6" borderId="17" xfId="0" applyFont="1" applyFill="1" applyBorder="1" applyAlignment="1" applyProtection="1">
      <alignment horizontal="center" vertical="center"/>
    </xf>
    <xf numFmtId="0" fontId="10" fillId="0" borderId="0" xfId="0" applyFont="1" applyFill="1" applyBorder="1" applyAlignment="1" applyProtection="1">
      <alignment horizontal="center" wrapText="1"/>
      <protection locked="0"/>
    </xf>
    <xf numFmtId="0" fontId="8" fillId="0" borderId="0" xfId="0" applyFont="1" applyBorder="1" applyAlignment="1" applyProtection="1">
      <alignment horizontal="left"/>
    </xf>
    <xf numFmtId="0" fontId="8" fillId="4" borderId="0" xfId="0" applyFont="1" applyFill="1" applyBorder="1" applyAlignment="1">
      <alignment horizontal="center" vertical="center" shrinkToFit="1"/>
    </xf>
    <xf numFmtId="0" fontId="8" fillId="4" borderId="19" xfId="0" applyFont="1" applyFill="1" applyBorder="1" applyAlignment="1">
      <alignment horizontal="center" vertical="center" shrinkToFit="1"/>
    </xf>
    <xf numFmtId="0" fontId="8" fillId="4" borderId="0" xfId="0" applyFont="1" applyFill="1" applyAlignment="1">
      <alignment horizontal="left" vertical="center" shrinkToFit="1"/>
    </xf>
    <xf numFmtId="0" fontId="11" fillId="0" borderId="18" xfId="0" applyFont="1" applyBorder="1" applyAlignment="1" applyProtection="1">
      <alignment horizontal="left"/>
    </xf>
    <xf numFmtId="0" fontId="8" fillId="6" borderId="17" xfId="0" applyFont="1" applyFill="1" applyBorder="1" applyAlignment="1" applyProtection="1">
      <alignment horizontal="center" vertical="center"/>
    </xf>
    <xf numFmtId="0" fontId="8" fillId="3" borderId="14" xfId="0" applyFont="1" applyFill="1" applyBorder="1" applyAlignment="1" applyProtection="1">
      <alignment horizontal="center" vertical="center"/>
    </xf>
    <xf numFmtId="0" fontId="8" fillId="3" borderId="17" xfId="0" applyFont="1" applyFill="1" applyBorder="1" applyAlignment="1" applyProtection="1">
      <alignment horizontal="center"/>
    </xf>
    <xf numFmtId="0" fontId="8" fillId="3" borderId="11" xfId="0" applyFont="1" applyFill="1" applyBorder="1" applyAlignment="1" applyProtection="1">
      <alignment horizontal="center"/>
    </xf>
    <xf numFmtId="0" fontId="8" fillId="3" borderId="12" xfId="0" applyFont="1" applyFill="1" applyBorder="1" applyAlignment="1" applyProtection="1">
      <alignment horizontal="center"/>
    </xf>
    <xf numFmtId="0" fontId="8" fillId="3" borderId="18" xfId="0" applyFont="1" applyFill="1" applyBorder="1" applyAlignment="1" applyProtection="1">
      <alignment horizontal="center"/>
    </xf>
    <xf numFmtId="0" fontId="1" fillId="0" borderId="0" xfId="0" applyFont="1" applyBorder="1" applyAlignment="1">
      <alignment horizontal="center"/>
    </xf>
    <xf numFmtId="0" fontId="0" fillId="0" borderId="0" xfId="0" applyAlignment="1">
      <alignment horizontal="center" wrapText="1"/>
    </xf>
    <xf numFmtId="0" fontId="1" fillId="0" borderId="0" xfId="0" applyFont="1" applyBorder="1" applyAlignment="1">
      <alignment horizontal="left"/>
    </xf>
    <xf numFmtId="0" fontId="5" fillId="0" borderId="7" xfId="2" applyBorder="1" applyAlignment="1">
      <alignment horizontal="center"/>
    </xf>
    <xf numFmtId="0" fontId="5" fillId="0" borderId="6" xfId="2" applyBorder="1" applyAlignment="1">
      <alignment horizontal="center"/>
    </xf>
    <xf numFmtId="0" fontId="8" fillId="6" borderId="16" xfId="0" applyFont="1" applyFill="1" applyBorder="1" applyAlignment="1" applyProtection="1">
      <alignment horizontal="center" vertical="center"/>
    </xf>
    <xf numFmtId="0" fontId="8" fillId="0" borderId="17" xfId="0" applyFont="1" applyFill="1" applyBorder="1" applyAlignment="1" applyProtection="1">
      <alignment horizontal="center" vertical="center"/>
    </xf>
    <xf numFmtId="0" fontId="8" fillId="0" borderId="0" xfId="0" applyFont="1" applyBorder="1" applyAlignment="1" applyProtection="1">
      <alignment horizontal="left"/>
    </xf>
    <xf numFmtId="0" fontId="8" fillId="6" borderId="18"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10" fillId="0" borderId="0" xfId="0"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center"/>
    </xf>
    <xf numFmtId="0" fontId="10" fillId="0" borderId="1" xfId="0" applyFont="1" applyBorder="1" applyAlignment="1">
      <alignment horizontal="center" wrapText="1"/>
    </xf>
    <xf numFmtId="0" fontId="10" fillId="0" borderId="18" xfId="0" applyFont="1" applyBorder="1" applyAlignment="1">
      <alignment horizontal="center"/>
    </xf>
    <xf numFmtId="0" fontId="8" fillId="0" borderId="0" xfId="0" applyFont="1" applyBorder="1" applyAlignment="1" applyProtection="1">
      <alignment horizontal="left"/>
    </xf>
    <xf numFmtId="0" fontId="10" fillId="0" borderId="0" xfId="0" applyFont="1" applyAlignment="1">
      <alignment horizontal="center"/>
    </xf>
    <xf numFmtId="0" fontId="6" fillId="0" borderId="0" xfId="3" applyFill="1" applyBorder="1" applyAlignment="1">
      <alignment horizontal="center"/>
    </xf>
    <xf numFmtId="0" fontId="6" fillId="0" borderId="0" xfId="3" applyFill="1" applyBorder="1" applyAlignment="1" applyProtection="1">
      <alignment horizontal="center"/>
    </xf>
    <xf numFmtId="0" fontId="8" fillId="0" borderId="0" xfId="0" applyFont="1" applyAlignment="1">
      <alignment horizontal="center"/>
    </xf>
    <xf numFmtId="0" fontId="15" fillId="2" borderId="10" xfId="3" applyFont="1" applyBorder="1"/>
    <xf numFmtId="0" fontId="12" fillId="7" borderId="20" xfId="0" applyFont="1" applyFill="1" applyBorder="1" applyAlignment="1">
      <alignment horizontal="center"/>
    </xf>
    <xf numFmtId="0" fontId="12" fillId="7" borderId="20" xfId="0" applyFont="1" applyFill="1" applyBorder="1" applyAlignment="1">
      <alignment horizontal="left"/>
    </xf>
    <xf numFmtId="0" fontId="10" fillId="9" borderId="22" xfId="0" applyFont="1" applyFill="1" applyBorder="1"/>
    <xf numFmtId="0" fontId="15" fillId="9" borderId="22" xfId="3" applyFont="1" applyFill="1" applyBorder="1"/>
    <xf numFmtId="0" fontId="12" fillId="7" borderId="0" xfId="0" applyFont="1" applyFill="1" applyBorder="1" applyAlignment="1">
      <alignment horizontal="left"/>
    </xf>
    <xf numFmtId="0" fontId="8" fillId="3" borderId="16" xfId="0" applyFont="1" applyFill="1" applyBorder="1" applyAlignment="1" applyProtection="1"/>
    <xf numFmtId="0" fontId="12" fillId="7" borderId="19" xfId="0" applyFont="1" applyFill="1" applyBorder="1" applyAlignment="1">
      <alignment horizontal="left" vertical="center"/>
    </xf>
    <xf numFmtId="0" fontId="12" fillId="7" borderId="20" xfId="0" applyFont="1" applyFill="1" applyBorder="1" applyAlignment="1">
      <alignment horizontal="left" vertical="center"/>
    </xf>
    <xf numFmtId="0" fontId="10" fillId="0" borderId="0" xfId="0" applyFont="1" applyAlignment="1">
      <alignment shrinkToFit="1"/>
    </xf>
    <xf numFmtId="0" fontId="10" fillId="0" borderId="0" xfId="0" applyFont="1" applyBorder="1" applyAlignment="1">
      <alignment horizontal="left" shrinkToFit="1"/>
    </xf>
    <xf numFmtId="0" fontId="12" fillId="7" borderId="8" xfId="0" applyFont="1" applyFill="1" applyBorder="1" applyAlignment="1">
      <alignment horizontal="left" shrinkToFit="1"/>
    </xf>
    <xf numFmtId="0" fontId="12" fillId="7" borderId="8" xfId="0" applyFont="1" applyFill="1" applyBorder="1" applyAlignment="1">
      <alignment horizontal="left" vertical="center" shrinkToFit="1"/>
    </xf>
    <xf numFmtId="0" fontId="6" fillId="0" borderId="0" xfId="3" applyFill="1" applyBorder="1" applyAlignment="1">
      <alignment shrinkToFit="1"/>
    </xf>
    <xf numFmtId="0" fontId="6" fillId="0" borderId="0" xfId="3" applyFill="1" applyBorder="1" applyAlignment="1" applyProtection="1">
      <alignment shrinkToFit="1"/>
    </xf>
    <xf numFmtId="0" fontId="8" fillId="0" borderId="0" xfId="0" applyFont="1" applyBorder="1" applyAlignment="1">
      <alignment shrinkToFit="1"/>
    </xf>
    <xf numFmtId="0" fontId="8" fillId="0" borderId="0" xfId="0" applyFont="1" applyAlignment="1">
      <alignment shrinkToFit="1"/>
    </xf>
    <xf numFmtId="0" fontId="8" fillId="0" borderId="0" xfId="0" applyNumberFormat="1" applyFont="1" applyAlignment="1">
      <alignment horizontal="left"/>
    </xf>
    <xf numFmtId="0" fontId="10" fillId="0" borderId="0" xfId="0" applyFont="1" applyBorder="1" applyAlignment="1">
      <alignment horizontal="center" wrapText="1"/>
    </xf>
    <xf numFmtId="0" fontId="6" fillId="9" borderId="26" xfId="3" applyFont="1" applyFill="1" applyBorder="1" applyAlignment="1">
      <alignment horizontal="center"/>
    </xf>
    <xf numFmtId="0" fontId="17" fillId="7" borderId="0" xfId="0" applyFont="1" applyFill="1" applyBorder="1" applyAlignment="1">
      <alignment horizontal="center"/>
    </xf>
    <xf numFmtId="0" fontId="6" fillId="2" borderId="26" xfId="3" applyFont="1" applyBorder="1" applyAlignment="1">
      <alignment horizontal="center"/>
    </xf>
    <xf numFmtId="0" fontId="17" fillId="7" borderId="19" xfId="0" applyFont="1" applyFill="1" applyBorder="1" applyAlignment="1">
      <alignment horizontal="center" vertical="center"/>
    </xf>
    <xf numFmtId="0" fontId="17" fillId="7" borderId="20" xfId="0" applyFont="1" applyFill="1" applyBorder="1" applyAlignment="1">
      <alignment horizontal="center" vertical="center"/>
    </xf>
    <xf numFmtId="0" fontId="17" fillId="7" borderId="0" xfId="0" applyFont="1" applyFill="1" applyBorder="1" applyAlignment="1">
      <alignment horizontal="center" vertical="center"/>
    </xf>
    <xf numFmtId="0" fontId="17" fillId="7" borderId="0" xfId="0" applyFont="1" applyFill="1" applyBorder="1" applyAlignment="1">
      <alignment horizontal="left" vertical="center"/>
    </xf>
    <xf numFmtId="0" fontId="10" fillId="0" borderId="0" xfId="0" applyFont="1" applyBorder="1" applyAlignment="1">
      <alignment horizontal="center" shrinkToFit="1"/>
    </xf>
    <xf numFmtId="0" fontId="10" fillId="0" borderId="1" xfId="0" applyFont="1" applyBorder="1"/>
    <xf numFmtId="0" fontId="10" fillId="0" borderId="18" xfId="0" applyFont="1" applyBorder="1"/>
    <xf numFmtId="49" fontId="10" fillId="0" borderId="18" xfId="0" applyNumberFormat="1" applyFont="1" applyBorder="1"/>
    <xf numFmtId="49" fontId="10" fillId="0" borderId="18" xfId="0" applyNumberFormat="1" applyFont="1" applyBorder="1" applyAlignment="1">
      <alignment horizontal="left" wrapText="1"/>
    </xf>
    <xf numFmtId="49" fontId="10" fillId="0" borderId="18" xfId="0" applyNumberFormat="1" applyFont="1" applyBorder="1" applyAlignment="1">
      <alignment horizontal="left"/>
    </xf>
    <xf numFmtId="49" fontId="12" fillId="7" borderId="11" xfId="0" applyNumberFormat="1" applyFont="1" applyFill="1" applyBorder="1" applyAlignment="1">
      <alignment horizontal="left"/>
    </xf>
    <xf numFmtId="0" fontId="6" fillId="2" borderId="28" xfId="3" applyBorder="1" applyAlignment="1">
      <alignment shrinkToFit="1"/>
    </xf>
    <xf numFmtId="0" fontId="6" fillId="2" borderId="29" xfId="3" applyBorder="1" applyAlignment="1">
      <alignment horizontal="left" vertical="center" shrinkToFit="1"/>
    </xf>
    <xf numFmtId="0" fontId="6" fillId="2" borderId="28" xfId="3" applyBorder="1" applyAlignment="1">
      <alignment horizontal="left" vertical="center" shrinkToFit="1"/>
    </xf>
    <xf numFmtId="0" fontId="6" fillId="2" borderId="30" xfId="3" applyBorder="1" applyAlignment="1">
      <alignment horizontal="left" vertical="center" shrinkToFit="1"/>
    </xf>
    <xf numFmtId="0" fontId="6" fillId="2" borderId="0" xfId="3" applyBorder="1" applyAlignment="1">
      <alignment horizontal="left" vertical="center" shrinkToFit="1"/>
    </xf>
    <xf numFmtId="0" fontId="6" fillId="2" borderId="31" xfId="3" applyBorder="1" applyAlignment="1">
      <alignment horizontal="left" vertical="center" shrinkToFit="1"/>
    </xf>
    <xf numFmtId="0" fontId="6" fillId="2" borderId="32" xfId="3" applyBorder="1" applyAlignment="1">
      <alignment horizontal="left" vertical="center" shrinkToFit="1"/>
    </xf>
    <xf numFmtId="0" fontId="6" fillId="2" borderId="33" xfId="3" applyBorder="1" applyAlignment="1">
      <alignment horizontal="left" vertical="center" shrinkToFit="1"/>
    </xf>
    <xf numFmtId="0" fontId="6" fillId="2" borderId="34" xfId="3" applyBorder="1" applyAlignment="1">
      <alignment vertical="center" shrinkToFit="1"/>
    </xf>
    <xf numFmtId="0" fontId="6" fillId="2" borderId="28" xfId="3" applyBorder="1" applyAlignment="1">
      <alignment vertical="center" shrinkToFit="1"/>
    </xf>
    <xf numFmtId="0" fontId="6" fillId="2" borderId="30" xfId="3" applyBorder="1" applyAlignment="1">
      <alignment vertical="center" shrinkToFit="1"/>
    </xf>
    <xf numFmtId="0" fontId="6" fillId="2" borderId="30" xfId="3" applyBorder="1" applyAlignment="1">
      <alignment shrinkToFit="1"/>
    </xf>
    <xf numFmtId="0" fontId="6" fillId="2" borderId="33" xfId="3" applyBorder="1" applyAlignment="1">
      <alignment vertical="center" shrinkToFit="1"/>
    </xf>
    <xf numFmtId="0" fontId="6" fillId="2" borderId="32" xfId="3" applyBorder="1" applyAlignment="1">
      <alignment vertical="center" shrinkToFit="1"/>
    </xf>
    <xf numFmtId="0" fontId="6" fillId="2" borderId="31" xfId="3" applyBorder="1" applyAlignment="1">
      <alignment vertical="center" shrinkToFit="1"/>
    </xf>
    <xf numFmtId="0" fontId="8" fillId="0" borderId="0" xfId="0" applyFont="1" applyAlignment="1">
      <alignment horizontal="left" shrinkToFit="1"/>
    </xf>
    <xf numFmtId="0" fontId="8" fillId="0" borderId="1" xfId="0" applyFont="1" applyBorder="1" applyAlignment="1">
      <alignment horizontal="left" shrinkToFit="1"/>
    </xf>
    <xf numFmtId="0" fontId="8" fillId="0" borderId="0" xfId="0" applyFont="1" applyBorder="1" applyAlignment="1">
      <alignment horizontal="left" shrinkToFit="1"/>
    </xf>
    <xf numFmtId="49" fontId="8" fillId="0" borderId="18" xfId="0" applyNumberFormat="1" applyFont="1" applyBorder="1" applyAlignment="1">
      <alignment horizontal="left" shrinkToFit="1"/>
    </xf>
    <xf numFmtId="0" fontId="12" fillId="7" borderId="9" xfId="0" applyFont="1" applyFill="1" applyBorder="1" applyAlignment="1">
      <alignment horizontal="left" shrinkToFit="1"/>
    </xf>
    <xf numFmtId="49" fontId="12" fillId="7" borderId="11" xfId="0" applyNumberFormat="1" applyFont="1" applyFill="1" applyBorder="1" applyAlignment="1">
      <alignment horizontal="left" shrinkToFit="1"/>
    </xf>
    <xf numFmtId="0" fontId="12" fillId="7" borderId="11" xfId="0" applyFont="1" applyFill="1" applyBorder="1" applyAlignment="1">
      <alignment horizontal="left" vertical="center" shrinkToFit="1"/>
    </xf>
    <xf numFmtId="0" fontId="12" fillId="7" borderId="9" xfId="0" applyFont="1" applyFill="1" applyBorder="1" applyAlignment="1">
      <alignment horizontal="left" vertical="center" shrinkToFit="1"/>
    </xf>
    <xf numFmtId="49" fontId="12" fillId="7" borderId="11" xfId="0" applyNumberFormat="1" applyFont="1" applyFill="1" applyBorder="1" applyAlignment="1">
      <alignment horizontal="left" vertical="center" shrinkToFit="1"/>
    </xf>
    <xf numFmtId="0" fontId="8" fillId="0" borderId="0" xfId="0" applyFont="1" applyAlignment="1">
      <alignment horizontal="left" vertical="center" shrinkToFit="1"/>
    </xf>
    <xf numFmtId="0" fontId="8" fillId="0" borderId="1" xfId="0" applyFont="1" applyBorder="1" applyAlignment="1">
      <alignment horizontal="left" vertical="center" shrinkToFit="1"/>
    </xf>
    <xf numFmtId="0" fontId="8" fillId="0" borderId="0" xfId="0" applyFont="1" applyBorder="1" applyAlignment="1">
      <alignment horizontal="left" vertical="center" shrinkToFit="1"/>
    </xf>
    <xf numFmtId="49" fontId="8" fillId="0" borderId="18" xfId="0" applyNumberFormat="1" applyFont="1" applyBorder="1" applyAlignment="1">
      <alignment horizontal="left" vertical="center" shrinkToFit="1"/>
    </xf>
    <xf numFmtId="0" fontId="8" fillId="0" borderId="20" xfId="0" applyFont="1" applyFill="1" applyBorder="1" applyAlignment="1">
      <alignment horizontal="left" vertical="center" shrinkToFit="1"/>
    </xf>
    <xf numFmtId="0" fontId="8" fillId="0" borderId="19" xfId="0" applyFont="1" applyFill="1" applyBorder="1" applyAlignment="1">
      <alignment horizontal="left" vertical="center" shrinkToFit="1"/>
    </xf>
    <xf numFmtId="0" fontId="8" fillId="4" borderId="0" xfId="0" applyFont="1" applyFill="1" applyAlignment="1">
      <alignment horizontal="left" shrinkToFit="1"/>
    </xf>
    <xf numFmtId="0" fontId="10" fillId="0" borderId="0" xfId="0" applyFont="1" applyBorder="1" applyAlignment="1">
      <alignment wrapText="1"/>
    </xf>
    <xf numFmtId="0" fontId="12" fillId="7" borderId="8" xfId="0" applyFont="1" applyFill="1" applyBorder="1" applyAlignment="1">
      <alignment wrapText="1"/>
    </xf>
    <xf numFmtId="0" fontId="12" fillId="7" borderId="8" xfId="0" applyFont="1" applyFill="1" applyBorder="1" applyAlignment="1">
      <alignment shrinkToFit="1"/>
    </xf>
    <xf numFmtId="0" fontId="8" fillId="0" borderId="0" xfId="0" applyFont="1" applyAlignment="1"/>
    <xf numFmtId="0" fontId="8" fillId="4" borderId="0" xfId="0" applyFont="1" applyFill="1" applyAlignment="1">
      <alignment shrinkToFit="1"/>
    </xf>
    <xf numFmtId="0" fontId="8" fillId="4" borderId="0" xfId="0" applyFont="1" applyFill="1" applyBorder="1" applyAlignment="1">
      <alignment vertical="center" shrinkToFit="1"/>
    </xf>
    <xf numFmtId="0" fontId="8" fillId="4" borderId="19" xfId="0" applyFont="1" applyFill="1" applyBorder="1" applyAlignment="1">
      <alignment vertical="center" shrinkToFit="1"/>
    </xf>
    <xf numFmtId="0" fontId="8" fillId="4" borderId="0" xfId="0" applyFont="1" applyFill="1" applyAlignment="1">
      <alignment vertical="center" shrinkToFit="1"/>
    </xf>
    <xf numFmtId="0" fontId="8" fillId="0" borderId="0" xfId="0" applyFont="1" applyFill="1" applyAlignment="1">
      <alignment shrinkToFit="1"/>
    </xf>
    <xf numFmtId="0" fontId="12" fillId="7" borderId="8" xfId="0" applyFont="1" applyFill="1" applyBorder="1" applyAlignment="1">
      <alignment vertical="center" shrinkToFit="1"/>
    </xf>
    <xf numFmtId="0" fontId="8" fillId="0" borderId="0" xfId="0" applyFont="1" applyAlignment="1">
      <alignment vertical="center" shrinkToFit="1"/>
    </xf>
    <xf numFmtId="0" fontId="8" fillId="0" borderId="20" xfId="0" applyFont="1" applyFill="1" applyBorder="1" applyAlignment="1">
      <alignment vertical="center" shrinkToFit="1"/>
    </xf>
    <xf numFmtId="0" fontId="8" fillId="0" borderId="19" xfId="0" applyFont="1" applyFill="1" applyBorder="1" applyAlignment="1">
      <alignment vertical="center" shrinkToFit="1"/>
    </xf>
    <xf numFmtId="0" fontId="8" fillId="0" borderId="0" xfId="0" applyFont="1" applyBorder="1" applyAlignment="1"/>
    <xf numFmtId="0" fontId="8" fillId="0" borderId="0" xfId="0" applyFont="1" applyBorder="1" applyAlignment="1" applyProtection="1"/>
    <xf numFmtId="0" fontId="10" fillId="0" borderId="0" xfId="0" applyNumberFormat="1" applyFont="1" applyBorder="1" applyAlignment="1">
      <alignment horizontal="center" wrapText="1"/>
    </xf>
    <xf numFmtId="0" fontId="10" fillId="0" borderId="18" xfId="0" applyNumberFormat="1" applyFont="1" applyBorder="1" applyAlignment="1">
      <alignment horizontal="center" wrapText="1"/>
    </xf>
    <xf numFmtId="0" fontId="12" fillId="7" borderId="9" xfId="0" applyNumberFormat="1" applyFont="1" applyFill="1" applyBorder="1" applyAlignment="1">
      <alignment horizontal="center"/>
    </xf>
    <xf numFmtId="0" fontId="12" fillId="7" borderId="8" xfId="0" applyNumberFormat="1" applyFont="1" applyFill="1" applyBorder="1" applyAlignment="1">
      <alignment horizontal="center"/>
    </xf>
    <xf numFmtId="0" fontId="12" fillId="7" borderId="11" xfId="0" applyNumberFormat="1" applyFont="1" applyFill="1" applyBorder="1" applyAlignment="1">
      <alignment horizontal="center"/>
    </xf>
    <xf numFmtId="0" fontId="8" fillId="0" borderId="1" xfId="0" applyNumberFormat="1" applyFont="1" applyBorder="1" applyAlignment="1">
      <alignment horizontal="center" shrinkToFit="1"/>
    </xf>
    <xf numFmtId="0" fontId="8" fillId="0" borderId="0" xfId="0" applyNumberFormat="1" applyFont="1" applyBorder="1" applyAlignment="1">
      <alignment horizontal="center" shrinkToFit="1"/>
    </xf>
    <xf numFmtId="0" fontId="12" fillId="7" borderId="9" xfId="0" applyNumberFormat="1" applyFont="1" applyFill="1" applyBorder="1" applyAlignment="1">
      <alignment horizontal="center" shrinkToFit="1"/>
    </xf>
    <xf numFmtId="0" fontId="12" fillId="7" borderId="8" xfId="0" applyNumberFormat="1" applyFont="1" applyFill="1" applyBorder="1" applyAlignment="1">
      <alignment horizontal="center" shrinkToFit="1"/>
    </xf>
    <xf numFmtId="0" fontId="12" fillId="7" borderId="11" xfId="0" applyNumberFormat="1" applyFont="1" applyFill="1" applyBorder="1" applyAlignment="1">
      <alignment horizontal="center" shrinkToFit="1"/>
    </xf>
    <xf numFmtId="0" fontId="12" fillId="7" borderId="9" xfId="0" applyNumberFormat="1" applyFont="1" applyFill="1" applyBorder="1" applyAlignment="1">
      <alignment horizontal="center" vertical="center" shrinkToFit="1"/>
    </xf>
    <xf numFmtId="0" fontId="12" fillId="7" borderId="8" xfId="0" applyNumberFormat="1" applyFont="1" applyFill="1" applyBorder="1" applyAlignment="1">
      <alignment horizontal="center" vertical="center" shrinkToFit="1"/>
    </xf>
    <xf numFmtId="0" fontId="12" fillId="7" borderId="11" xfId="0" applyNumberFormat="1" applyFont="1" applyFill="1" applyBorder="1" applyAlignment="1">
      <alignment horizontal="center" vertical="center" shrinkToFit="1"/>
    </xf>
    <xf numFmtId="0" fontId="8" fillId="0" borderId="20" xfId="0" applyNumberFormat="1" applyFont="1" applyBorder="1" applyAlignment="1">
      <alignment horizontal="center" shrinkToFit="1"/>
    </xf>
    <xf numFmtId="0" fontId="8" fillId="0" borderId="0" xfId="0" applyNumberFormat="1" applyFont="1" applyBorder="1" applyAlignment="1">
      <alignment horizontal="center"/>
    </xf>
    <xf numFmtId="0" fontId="8" fillId="0" borderId="0" xfId="0" applyNumberFormat="1" applyFont="1" applyBorder="1" applyAlignment="1" applyProtection="1">
      <alignment horizontal="center"/>
    </xf>
    <xf numFmtId="0" fontId="8" fillId="0" borderId="0" xfId="0" applyNumberFormat="1" applyFont="1" applyAlignment="1">
      <alignment horizontal="center"/>
    </xf>
    <xf numFmtId="0" fontId="8" fillId="10" borderId="18" xfId="0" applyNumberFormat="1" applyFont="1" applyFill="1" applyBorder="1" applyAlignment="1">
      <alignment horizontal="center" shrinkToFit="1"/>
    </xf>
    <xf numFmtId="0" fontId="8" fillId="10" borderId="18" xfId="0" applyNumberFormat="1" applyFont="1" applyFill="1" applyBorder="1" applyAlignment="1">
      <alignment horizontal="center" vertical="center" shrinkToFit="1"/>
    </xf>
    <xf numFmtId="0" fontId="8" fillId="10" borderId="20" xfId="0" applyNumberFormat="1" applyFont="1" applyFill="1" applyBorder="1" applyAlignment="1">
      <alignment horizontal="center" shrinkToFit="1"/>
    </xf>
    <xf numFmtId="0" fontId="8" fillId="10" borderId="0" xfId="0" applyNumberFormat="1" applyFont="1" applyFill="1" applyBorder="1" applyAlignment="1">
      <alignment horizontal="center" shrinkToFit="1"/>
    </xf>
    <xf numFmtId="0" fontId="8" fillId="10" borderId="19" xfId="0" applyNumberFormat="1" applyFont="1" applyFill="1" applyBorder="1" applyAlignment="1">
      <alignment horizontal="center" shrinkToFit="1"/>
    </xf>
    <xf numFmtId="0" fontId="8" fillId="10" borderId="17" xfId="0" applyNumberFormat="1" applyFont="1" applyFill="1" applyBorder="1" applyAlignment="1">
      <alignment horizontal="center" shrinkToFit="1"/>
    </xf>
    <xf numFmtId="0" fontId="8" fillId="10" borderId="0" xfId="0" applyNumberFormat="1" applyFont="1" applyFill="1" applyBorder="1" applyAlignment="1">
      <alignment horizontal="center" vertical="center" shrinkToFit="1"/>
    </xf>
    <xf numFmtId="0" fontId="8" fillId="10" borderId="35" xfId="0" applyNumberFormat="1" applyFont="1" applyFill="1" applyBorder="1" applyAlignment="1">
      <alignment horizontal="center" shrinkToFit="1"/>
    </xf>
    <xf numFmtId="0" fontId="8" fillId="10" borderId="1" xfId="0" applyNumberFormat="1" applyFont="1" applyFill="1" applyBorder="1" applyAlignment="1">
      <alignment horizontal="center" shrinkToFit="1"/>
    </xf>
    <xf numFmtId="0" fontId="8" fillId="10" borderId="36" xfId="0" applyNumberFormat="1" applyFont="1" applyFill="1" applyBorder="1" applyAlignment="1">
      <alignment horizontal="center" shrinkToFit="1"/>
    </xf>
    <xf numFmtId="0" fontId="8" fillId="10" borderId="1" xfId="0" applyNumberFormat="1" applyFont="1" applyFill="1" applyBorder="1" applyAlignment="1">
      <alignment horizontal="center" vertical="center" shrinkToFit="1"/>
    </xf>
    <xf numFmtId="0" fontId="11" fillId="10" borderId="22" xfId="0" applyFont="1" applyFill="1" applyBorder="1" applyAlignment="1">
      <alignment horizontal="center"/>
    </xf>
    <xf numFmtId="0" fontId="11" fillId="10" borderId="24" xfId="0" applyFont="1" applyFill="1" applyBorder="1" applyAlignment="1">
      <alignment horizontal="center"/>
    </xf>
    <xf numFmtId="0" fontId="11" fillId="10" borderId="25" xfId="0" applyFont="1" applyFill="1" applyBorder="1" applyAlignment="1">
      <alignment horizontal="center"/>
    </xf>
    <xf numFmtId="0" fontId="11" fillId="10" borderId="27" xfId="0" applyFont="1" applyFill="1" applyBorder="1" applyAlignment="1">
      <alignment horizontal="center"/>
    </xf>
    <xf numFmtId="0" fontId="11" fillId="10" borderId="21" xfId="0" applyFont="1" applyFill="1" applyBorder="1" applyAlignment="1">
      <alignment horizontal="center"/>
    </xf>
    <xf numFmtId="0" fontId="11" fillId="10" borderId="23" xfId="0" applyFont="1" applyFill="1" applyBorder="1" applyAlignment="1">
      <alignment horizontal="center"/>
    </xf>
    <xf numFmtId="0" fontId="11" fillId="0" borderId="0" xfId="0" applyFont="1" applyBorder="1" applyAlignment="1">
      <alignment horizontal="center" shrinkToFit="1"/>
    </xf>
    <xf numFmtId="49" fontId="8" fillId="0" borderId="18" xfId="0" applyNumberFormat="1" applyFont="1" applyFill="1" applyBorder="1" applyAlignment="1">
      <alignment horizontal="left" shrinkToFit="1"/>
    </xf>
    <xf numFmtId="49" fontId="10" fillId="0" borderId="0" xfId="0" applyNumberFormat="1" applyFont="1" applyBorder="1" applyAlignment="1">
      <alignment horizontal="left" wrapText="1"/>
    </xf>
    <xf numFmtId="0" fontId="12" fillId="7" borderId="19" xfId="0" applyFont="1" applyFill="1" applyBorder="1" applyAlignment="1">
      <alignment horizontal="left"/>
    </xf>
    <xf numFmtId="0" fontId="10" fillId="0" borderId="0" xfId="0" applyFont="1" applyBorder="1" applyAlignment="1">
      <alignment horizontal="center"/>
    </xf>
    <xf numFmtId="0" fontId="10" fillId="0" borderId="0" xfId="0" applyFont="1" applyBorder="1" applyAlignment="1">
      <alignment horizontal="center" wrapText="1"/>
    </xf>
    <xf numFmtId="0" fontId="8" fillId="0" borderId="0" xfId="0" applyFont="1" applyFill="1" applyAlignment="1">
      <alignment horizontal="left" shrinkToFit="1"/>
    </xf>
    <xf numFmtId="0" fontId="13" fillId="0" borderId="0" xfId="0" applyFont="1" applyBorder="1" applyAlignment="1">
      <alignment horizontal="center" wrapText="1"/>
    </xf>
    <xf numFmtId="0" fontId="12" fillId="7" borderId="8" xfId="0" applyFont="1" applyFill="1" applyBorder="1" applyAlignment="1">
      <alignment horizontal="center" wrapText="1"/>
    </xf>
    <xf numFmtId="0" fontId="8" fillId="0" borderId="0" xfId="0" applyFont="1" applyAlignment="1">
      <alignment horizontal="center" shrinkToFit="1"/>
    </xf>
    <xf numFmtId="0" fontId="12" fillId="7" borderId="8" xfId="0" applyFont="1" applyFill="1" applyBorder="1" applyAlignment="1">
      <alignment horizontal="center" shrinkToFit="1"/>
    </xf>
    <xf numFmtId="0" fontId="8" fillId="0" borderId="0" xfId="0" applyFont="1" applyFill="1" applyAlignment="1">
      <alignment horizontal="center" shrinkToFit="1"/>
    </xf>
    <xf numFmtId="0" fontId="8" fillId="0" borderId="0" xfId="0" applyFont="1" applyAlignment="1">
      <alignment horizontal="center" vertical="center" shrinkToFit="1"/>
    </xf>
    <xf numFmtId="0" fontId="12" fillId="7" borderId="8" xfId="0" applyFont="1" applyFill="1" applyBorder="1" applyAlignment="1">
      <alignment horizontal="center" vertical="center" shrinkToFit="1"/>
    </xf>
    <xf numFmtId="0" fontId="8" fillId="0" borderId="0" xfId="0" applyFont="1" applyBorder="1" applyAlignment="1" applyProtection="1">
      <alignment horizontal="center"/>
    </xf>
    <xf numFmtId="0" fontId="12" fillId="7" borderId="8" xfId="0" applyFont="1" applyFill="1" applyBorder="1"/>
    <xf numFmtId="0" fontId="12" fillId="7" borderId="8" xfId="0" applyFont="1" applyFill="1" applyBorder="1" applyAlignment="1">
      <alignment vertical="center"/>
    </xf>
    <xf numFmtId="0" fontId="8" fillId="0" borderId="0" xfId="0" applyFont="1" applyBorder="1" applyAlignment="1">
      <alignment vertical="center"/>
    </xf>
    <xf numFmtId="0" fontId="8" fillId="0" borderId="0" xfId="0" applyFont="1" applyAlignment="1">
      <alignment horizontal="left" vertical="center"/>
    </xf>
    <xf numFmtId="0" fontId="8" fillId="0" borderId="13" xfId="0" applyFont="1" applyBorder="1" applyProtection="1"/>
    <xf numFmtId="0" fontId="8" fillId="0" borderId="14" xfId="0" applyFont="1" applyBorder="1" applyProtection="1"/>
    <xf numFmtId="0" fontId="8" fillId="0" borderId="15" xfId="0" applyFont="1" applyBorder="1" applyProtection="1"/>
    <xf numFmtId="0" fontId="12" fillId="7" borderId="9" xfId="0" applyFont="1" applyFill="1" applyBorder="1" applyProtection="1"/>
    <xf numFmtId="0" fontId="8" fillId="0" borderId="14" xfId="0" applyFont="1" applyFill="1" applyBorder="1" applyProtection="1"/>
    <xf numFmtId="0" fontId="8" fillId="0" borderId="13" xfId="0" applyFont="1" applyFill="1" applyBorder="1" applyProtection="1"/>
    <xf numFmtId="0" fontId="12" fillId="7" borderId="9" xfId="0" applyFont="1" applyFill="1" applyBorder="1" applyAlignment="1" applyProtection="1">
      <alignment vertical="center"/>
    </xf>
    <xf numFmtId="0" fontId="8" fillId="0" borderId="13" xfId="0" applyFont="1" applyFill="1" applyBorder="1" applyAlignment="1" applyProtection="1">
      <alignment vertical="center"/>
    </xf>
    <xf numFmtId="0" fontId="8" fillId="0" borderId="14" xfId="0" applyFont="1" applyFill="1" applyBorder="1" applyAlignment="1" applyProtection="1">
      <alignment vertical="center"/>
    </xf>
    <xf numFmtId="0" fontId="8" fillId="0" borderId="15" xfId="0" applyFont="1" applyFill="1" applyBorder="1" applyAlignment="1" applyProtection="1">
      <alignment vertical="center"/>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5" xfId="0" applyFont="1" applyBorder="1" applyAlignment="1">
      <alignment vertical="center"/>
    </xf>
    <xf numFmtId="0" fontId="8" fillId="0" borderId="0" xfId="0" applyFont="1" applyFill="1" applyBorder="1"/>
    <xf numFmtId="0" fontId="8" fillId="0" borderId="1" xfId="0" applyFont="1" applyBorder="1" applyProtection="1"/>
    <xf numFmtId="0" fontId="13" fillId="0" borderId="0" xfId="0" applyFont="1" applyFill="1" applyAlignment="1">
      <alignment horizontal="left"/>
    </xf>
    <xf numFmtId="0" fontId="0" fillId="0" borderId="0" xfId="0" applyFill="1" applyAlignment="1">
      <alignment horizontal="center"/>
    </xf>
    <xf numFmtId="0" fontId="19" fillId="0" borderId="0" xfId="0" applyFont="1" applyFill="1" applyAlignment="1">
      <alignment horizontal="left"/>
    </xf>
    <xf numFmtId="0" fontId="0" fillId="0" borderId="0" xfId="0" applyFill="1" applyBorder="1" applyAlignment="1">
      <alignment horizontal="center"/>
    </xf>
    <xf numFmtId="0" fontId="0" fillId="0" borderId="0" xfId="0" applyFill="1" applyAlignment="1">
      <alignment horizontal="left"/>
    </xf>
    <xf numFmtId="0" fontId="7" fillId="0" borderId="26" xfId="0" applyFont="1" applyBorder="1" applyAlignment="1">
      <alignment horizontal="left"/>
    </xf>
    <xf numFmtId="0" fontId="7" fillId="11" borderId="26" xfId="0" applyFont="1" applyFill="1" applyBorder="1" applyAlignment="1">
      <alignment horizontal="center"/>
    </xf>
    <xf numFmtId="0" fontId="7" fillId="0" borderId="3" xfId="0" applyFont="1" applyBorder="1" applyAlignment="1">
      <alignment horizontal="center"/>
    </xf>
    <xf numFmtId="0" fontId="7" fillId="12" borderId="2"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7" fillId="13" borderId="26" xfId="0" applyFont="1" applyFill="1" applyBorder="1" applyAlignment="1">
      <alignment horizontal="center"/>
    </xf>
    <xf numFmtId="0" fontId="7" fillId="0" borderId="4" xfId="0" applyFont="1" applyBorder="1" applyAlignment="1">
      <alignment horizontal="center"/>
    </xf>
    <xf numFmtId="0" fontId="0" fillId="0" borderId="37" xfId="0" applyBorder="1" applyAlignment="1">
      <alignment horizontal="left"/>
    </xf>
    <xf numFmtId="0" fontId="0" fillId="11" borderId="37" xfId="0" applyFill="1" applyBorder="1" applyAlignment="1">
      <alignment horizontal="center"/>
    </xf>
    <xf numFmtId="0" fontId="0" fillId="0" borderId="0" xfId="0" applyBorder="1" applyAlignment="1">
      <alignment horizontal="center"/>
    </xf>
    <xf numFmtId="0" fontId="0" fillId="12" borderId="38" xfId="0" applyFill="1" applyBorder="1" applyAlignment="1">
      <alignment horizontal="center"/>
    </xf>
    <xf numFmtId="0" fontId="0" fillId="12" borderId="0" xfId="0" applyFill="1" applyBorder="1" applyAlignment="1">
      <alignment horizontal="center"/>
    </xf>
    <xf numFmtId="0" fontId="0" fillId="12" borderId="39" xfId="0" applyFill="1" applyBorder="1" applyAlignment="1">
      <alignment horizontal="center"/>
    </xf>
    <xf numFmtId="0" fontId="0" fillId="13" borderId="37" xfId="0" applyFill="1" applyBorder="1" applyAlignment="1">
      <alignment horizontal="center"/>
    </xf>
    <xf numFmtId="0" fontId="0" fillId="0" borderId="39" xfId="0" applyBorder="1" applyAlignment="1">
      <alignment horizontal="center"/>
    </xf>
    <xf numFmtId="0" fontId="0" fillId="0" borderId="40" xfId="0" applyBorder="1" applyAlignment="1">
      <alignment horizontal="left"/>
    </xf>
    <xf numFmtId="0" fontId="0" fillId="11" borderId="40" xfId="0" applyFill="1" applyBorder="1" applyAlignment="1">
      <alignment horizontal="center"/>
    </xf>
    <xf numFmtId="0" fontId="0" fillId="0" borderId="41" xfId="0" applyBorder="1" applyAlignment="1">
      <alignment horizontal="center"/>
    </xf>
    <xf numFmtId="0" fontId="0" fillId="12" borderId="42" xfId="0" applyFill="1" applyBorder="1" applyAlignment="1">
      <alignment horizontal="center"/>
    </xf>
    <xf numFmtId="0" fontId="0" fillId="12" borderId="41" xfId="0" applyFill="1" applyBorder="1" applyAlignment="1">
      <alignment horizontal="center"/>
    </xf>
    <xf numFmtId="0" fontId="0" fillId="12" borderId="43" xfId="0" applyFill="1" applyBorder="1" applyAlignment="1">
      <alignment horizontal="center"/>
    </xf>
    <xf numFmtId="0" fontId="0" fillId="13" borderId="40" xfId="0" applyFill="1" applyBorder="1" applyAlignment="1">
      <alignment horizontal="center"/>
    </xf>
    <xf numFmtId="0" fontId="0" fillId="0" borderId="43" xfId="0" applyBorder="1" applyAlignment="1">
      <alignment horizontal="center"/>
    </xf>
    <xf numFmtId="0" fontId="10" fillId="0" borderId="1" xfId="0" applyNumberFormat="1" applyFont="1" applyBorder="1" applyAlignment="1">
      <alignment horizontal="center"/>
    </xf>
    <xf numFmtId="0" fontId="10" fillId="0" borderId="0" xfId="0" applyNumberFormat="1" applyFont="1" applyBorder="1" applyAlignment="1">
      <alignment horizontal="center"/>
    </xf>
    <xf numFmtId="0" fontId="10" fillId="0" borderId="18" xfId="0" applyNumberFormat="1" applyFont="1" applyBorder="1" applyAlignment="1">
      <alignment horizontal="center"/>
    </xf>
    <xf numFmtId="0" fontId="11" fillId="0" borderId="1" xfId="0" applyFont="1" applyBorder="1" applyAlignment="1">
      <alignment horizontal="center" shrinkToFit="1"/>
    </xf>
    <xf numFmtId="0" fontId="6" fillId="2" borderId="44" xfId="3" applyBorder="1" applyAlignment="1">
      <alignment shrinkToFit="1"/>
    </xf>
    <xf numFmtId="0" fontId="15" fillId="9" borderId="24" xfId="3" applyFont="1" applyFill="1" applyBorder="1"/>
    <xf numFmtId="0" fontId="10" fillId="9" borderId="24" xfId="0" applyFont="1" applyFill="1" applyBorder="1"/>
    <xf numFmtId="0" fontId="6" fillId="2" borderId="29" xfId="3" applyBorder="1" applyAlignment="1">
      <alignment shrinkToFit="1"/>
    </xf>
    <xf numFmtId="0" fontId="15" fillId="9" borderId="25" xfId="3" applyFont="1" applyFill="1" applyBorder="1"/>
    <xf numFmtId="0" fontId="10" fillId="9" borderId="25" xfId="0" applyFont="1" applyFill="1" applyBorder="1"/>
    <xf numFmtId="0" fontId="17" fillId="7" borderId="8" xfId="0" applyFont="1" applyFill="1" applyBorder="1" applyAlignment="1">
      <alignment horizontal="center"/>
    </xf>
    <xf numFmtId="0" fontId="8" fillId="0" borderId="45" xfId="0" applyFont="1" applyBorder="1"/>
    <xf numFmtId="0" fontId="8" fillId="0" borderId="26" xfId="0" applyFont="1" applyBorder="1" applyAlignment="1">
      <alignment vertical="center" wrapText="1"/>
    </xf>
    <xf numFmtId="0" fontId="20" fillId="14" borderId="26" xfId="4" applyBorder="1" applyAlignment="1">
      <alignment vertical="center"/>
    </xf>
    <xf numFmtId="0" fontId="20" fillId="14" borderId="45" xfId="4" applyBorder="1" applyAlignment="1">
      <alignment vertical="center"/>
    </xf>
    <xf numFmtId="0" fontId="20" fillId="14" borderId="37" xfId="4" applyBorder="1" applyAlignment="1">
      <alignment vertical="center"/>
    </xf>
    <xf numFmtId="0" fontId="20" fillId="14" borderId="37" xfId="4" applyBorder="1" applyAlignment="1">
      <alignment horizontal="center" vertical="center"/>
    </xf>
    <xf numFmtId="0" fontId="20" fillId="14" borderId="40" xfId="4" applyBorder="1" applyAlignment="1">
      <alignment vertical="center"/>
    </xf>
    <xf numFmtId="0" fontId="8" fillId="0" borderId="26" xfId="0" applyFont="1" applyBorder="1"/>
    <xf numFmtId="0" fontId="20" fillId="14" borderId="26" xfId="4" applyBorder="1" applyAlignment="1">
      <alignment vertical="center" wrapText="1"/>
    </xf>
    <xf numFmtId="0" fontId="8" fillId="3" borderId="26" xfId="0" applyFont="1" applyFill="1" applyBorder="1"/>
    <xf numFmtId="0" fontId="20" fillId="14" borderId="26" xfId="4" applyBorder="1"/>
    <xf numFmtId="0" fontId="12" fillId="7" borderId="16" xfId="0" applyFont="1" applyFill="1" applyBorder="1" applyAlignment="1" applyProtection="1">
      <alignment horizontal="center" wrapText="1"/>
    </xf>
    <xf numFmtId="0" fontId="20" fillId="14" borderId="45" xfId="4" applyBorder="1"/>
    <xf numFmtId="0" fontId="15" fillId="9" borderId="21" xfId="3" applyFont="1" applyFill="1" applyBorder="1"/>
    <xf numFmtId="0" fontId="12" fillId="7" borderId="17" xfId="0" applyFont="1" applyFill="1" applyBorder="1" applyAlignment="1" applyProtection="1">
      <alignment horizontal="center" wrapText="1"/>
    </xf>
    <xf numFmtId="0" fontId="20" fillId="14" borderId="37" xfId="4" applyBorder="1"/>
    <xf numFmtId="0" fontId="20" fillId="14" borderId="40" xfId="4" applyBorder="1"/>
    <xf numFmtId="0" fontId="8" fillId="15" borderId="26" xfId="0" applyFont="1" applyFill="1" applyBorder="1" applyAlignment="1">
      <alignment horizontal="center"/>
    </xf>
    <xf numFmtId="0" fontId="20" fillId="14" borderId="45" xfId="4" applyBorder="1" applyAlignment="1">
      <alignment vertical="center" wrapText="1"/>
    </xf>
    <xf numFmtId="0" fontId="8" fillId="16" borderId="26" xfId="0" applyFont="1" applyFill="1" applyBorder="1"/>
    <xf numFmtId="0" fontId="8" fillId="0" borderId="26" xfId="0" applyFont="1" applyBorder="1" applyAlignment="1">
      <alignment vertical="center"/>
    </xf>
    <xf numFmtId="0" fontId="8" fillId="6" borderId="46" xfId="0" applyFont="1" applyFill="1" applyBorder="1" applyAlignment="1" applyProtection="1">
      <alignment horizontal="center"/>
    </xf>
    <xf numFmtId="0" fontId="12" fillId="7" borderId="17" xfId="0" applyFont="1" applyFill="1" applyBorder="1" applyAlignment="1" applyProtection="1">
      <alignment horizontal="center" vertical="center" wrapText="1"/>
    </xf>
    <xf numFmtId="0" fontId="10" fillId="0" borderId="0" xfId="0" applyNumberFormat="1" applyFont="1" applyBorder="1" applyAlignment="1">
      <alignment horizontal="center"/>
    </xf>
    <xf numFmtId="0" fontId="21" fillId="0" borderId="0" xfId="0" applyFont="1" applyAlignment="1">
      <alignment horizontal="left" shrinkToFit="1"/>
    </xf>
    <xf numFmtId="0" fontId="21" fillId="0" borderId="0" xfId="0" applyFont="1" applyAlignment="1">
      <alignment horizontal="left" vertical="center" shrinkToFit="1"/>
    </xf>
    <xf numFmtId="49" fontId="0" fillId="0" borderId="0" xfId="0" applyNumberFormat="1" applyAlignment="1">
      <alignment vertical="top" wrapText="1"/>
    </xf>
    <xf numFmtId="49" fontId="0" fillId="0" borderId="0" xfId="0" applyNumberFormat="1"/>
    <xf numFmtId="0" fontId="9" fillId="0" borderId="2" xfId="0" applyFont="1" applyBorder="1" applyAlignment="1">
      <alignment horizontal="center" wrapText="1"/>
    </xf>
    <xf numFmtId="0" fontId="9" fillId="0" borderId="3" xfId="0" applyFont="1" applyBorder="1" applyAlignment="1">
      <alignment horizontal="center" wrapText="1"/>
    </xf>
    <xf numFmtId="0" fontId="9" fillId="0" borderId="4" xfId="0" applyFont="1" applyBorder="1" applyAlignment="1">
      <alignment horizontal="center" wrapText="1"/>
    </xf>
    <xf numFmtId="49" fontId="0" fillId="0" borderId="0" xfId="0" applyNumberFormat="1" applyAlignment="1">
      <alignment horizontal="left" vertical="top" wrapText="1" indent="2"/>
    </xf>
    <xf numFmtId="0" fontId="2" fillId="0" borderId="0" xfId="0" applyFont="1" applyBorder="1" applyAlignment="1">
      <alignment wrapText="1"/>
    </xf>
    <xf numFmtId="0" fontId="0" fillId="0" borderId="0" xfId="0" applyAlignment="1">
      <alignment horizontal="left" wrapText="1"/>
    </xf>
    <xf numFmtId="49" fontId="2" fillId="0" borderId="0" xfId="0" applyNumberFormat="1" applyFont="1" applyAlignment="1">
      <alignment wrapText="1"/>
    </xf>
    <xf numFmtId="0" fontId="8" fillId="6" borderId="13" xfId="0" applyFont="1" applyFill="1" applyBorder="1" applyAlignment="1" applyProtection="1">
      <alignment horizontal="center" vertical="center"/>
    </xf>
    <xf numFmtId="0" fontId="8" fillId="6" borderId="14" xfId="0" applyFont="1" applyFill="1" applyBorder="1" applyAlignment="1" applyProtection="1">
      <alignment horizontal="center" vertical="center"/>
    </xf>
    <xf numFmtId="0" fontId="8" fillId="6" borderId="15" xfId="0" applyFont="1" applyFill="1" applyBorder="1" applyAlignment="1" applyProtection="1">
      <alignment horizontal="center" vertical="center"/>
    </xf>
    <xf numFmtId="0" fontId="8" fillId="5" borderId="13" xfId="0" applyFont="1" applyFill="1" applyBorder="1" applyAlignment="1" applyProtection="1">
      <alignment horizontal="center" vertical="center"/>
    </xf>
    <xf numFmtId="0" fontId="8" fillId="5" borderId="14" xfId="0" applyFont="1" applyFill="1" applyBorder="1" applyAlignment="1" applyProtection="1">
      <alignment horizontal="center" vertical="center"/>
    </xf>
    <xf numFmtId="0" fontId="8" fillId="5" borderId="15" xfId="0" applyFont="1" applyFill="1" applyBorder="1" applyAlignment="1" applyProtection="1">
      <alignment horizontal="center" vertical="center"/>
    </xf>
    <xf numFmtId="0" fontId="8" fillId="3" borderId="13" xfId="0" applyFont="1" applyFill="1" applyBorder="1" applyAlignment="1" applyProtection="1">
      <alignment horizontal="center" vertical="center"/>
    </xf>
    <xf numFmtId="0" fontId="8" fillId="3" borderId="15" xfId="0" applyFont="1" applyFill="1" applyBorder="1" applyAlignment="1" applyProtection="1">
      <alignment horizontal="center" vertical="center"/>
    </xf>
    <xf numFmtId="0" fontId="8" fillId="6" borderId="11" xfId="0" applyFont="1" applyFill="1" applyBorder="1" applyAlignment="1" applyProtection="1">
      <alignment horizontal="center" vertical="center"/>
    </xf>
    <xf numFmtId="0" fontId="8" fillId="6" borderId="16" xfId="0" applyFont="1" applyFill="1" applyBorder="1" applyAlignment="1" applyProtection="1">
      <alignment horizontal="center" vertical="center" wrapText="1"/>
    </xf>
    <xf numFmtId="0" fontId="8" fillId="6" borderId="18" xfId="0" applyFont="1" applyFill="1" applyBorder="1" applyAlignment="1" applyProtection="1">
      <alignment horizontal="center" vertical="center" wrapText="1"/>
    </xf>
    <xf numFmtId="0" fontId="8" fillId="6" borderId="17" xfId="0" applyFont="1" applyFill="1" applyBorder="1" applyAlignment="1" applyProtection="1">
      <alignment horizontal="center" vertical="center" wrapText="1"/>
    </xf>
    <xf numFmtId="0" fontId="8" fillId="6" borderId="11" xfId="0" applyFont="1" applyFill="1" applyBorder="1" applyAlignment="1" applyProtection="1">
      <alignment horizontal="center" vertical="center" wrapText="1"/>
    </xf>
    <xf numFmtId="0" fontId="8" fillId="3" borderId="12" xfId="0" applyFont="1" applyFill="1" applyBorder="1" applyAlignment="1" applyProtection="1">
      <alignment horizontal="center"/>
    </xf>
    <xf numFmtId="0" fontId="8" fillId="0" borderId="45" xfId="0" applyFont="1" applyBorder="1" applyAlignment="1">
      <alignment horizontal="center" vertical="center"/>
    </xf>
    <xf numFmtId="0" fontId="8" fillId="0" borderId="37" xfId="0" applyFont="1" applyBorder="1" applyAlignment="1">
      <alignment horizontal="center" vertical="center"/>
    </xf>
    <xf numFmtId="0" fontId="8" fillId="0" borderId="40" xfId="0" applyFont="1" applyBorder="1" applyAlignment="1">
      <alignment horizontal="center" vertical="center"/>
    </xf>
    <xf numFmtId="0" fontId="8" fillId="3" borderId="16" xfId="0" applyFont="1" applyFill="1" applyBorder="1" applyAlignment="1" applyProtection="1">
      <alignment horizontal="center"/>
    </xf>
    <xf numFmtId="0" fontId="8" fillId="3" borderId="18" xfId="0" applyFont="1" applyFill="1" applyBorder="1" applyAlignment="1" applyProtection="1">
      <alignment horizontal="center"/>
    </xf>
    <xf numFmtId="0" fontId="8" fillId="3" borderId="17" xfId="0" applyFont="1" applyFill="1" applyBorder="1" applyAlignment="1" applyProtection="1">
      <alignment horizontal="center"/>
    </xf>
    <xf numFmtId="0" fontId="8" fillId="5" borderId="12"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8" fillId="0" borderId="17" xfId="0" applyFont="1" applyFill="1" applyBorder="1" applyAlignment="1" applyProtection="1">
      <alignment horizontal="center" vertical="center"/>
    </xf>
    <xf numFmtId="0" fontId="8" fillId="6" borderId="16" xfId="0" applyFont="1" applyFill="1" applyBorder="1" applyAlignment="1" applyProtection="1">
      <alignment horizontal="center" vertical="center"/>
    </xf>
    <xf numFmtId="0" fontId="8" fillId="6" borderId="18" xfId="0" applyFont="1" applyFill="1" applyBorder="1" applyAlignment="1" applyProtection="1">
      <alignment horizontal="center" vertical="center"/>
    </xf>
    <xf numFmtId="0" fontId="8" fillId="6" borderId="17" xfId="0" applyFont="1" applyFill="1" applyBorder="1" applyAlignment="1" applyProtection="1">
      <alignment horizontal="center" vertical="center"/>
    </xf>
    <xf numFmtId="0" fontId="8" fillId="3" borderId="14" xfId="0" applyFont="1" applyFill="1" applyBorder="1" applyAlignment="1" applyProtection="1">
      <alignment horizontal="center" vertical="center"/>
    </xf>
    <xf numFmtId="0" fontId="8" fillId="3" borderId="16"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8" fillId="3" borderId="17" xfId="0" applyFont="1" applyFill="1" applyBorder="1" applyAlignment="1" applyProtection="1">
      <alignment horizontal="center" vertical="center"/>
    </xf>
    <xf numFmtId="0" fontId="8" fillId="0" borderId="0" xfId="0" applyFont="1" applyBorder="1" applyAlignment="1" applyProtection="1">
      <alignment horizontal="left"/>
    </xf>
    <xf numFmtId="0" fontId="8" fillId="4" borderId="20" xfId="0" applyFont="1" applyFill="1" applyBorder="1" applyAlignment="1">
      <alignment horizontal="left" vertical="center" shrinkToFit="1"/>
    </xf>
    <xf numFmtId="0" fontId="8" fillId="4" borderId="0" xfId="0" applyFont="1" applyFill="1" applyBorder="1" applyAlignment="1">
      <alignment horizontal="left" vertical="center" shrinkToFit="1"/>
    </xf>
    <xf numFmtId="0" fontId="8" fillId="4" borderId="19" xfId="0" applyFont="1" applyFill="1" applyBorder="1" applyAlignment="1">
      <alignment horizontal="left" vertical="center" shrinkToFit="1"/>
    </xf>
    <xf numFmtId="0" fontId="8" fillId="4" borderId="20" xfId="0" applyFont="1" applyFill="1" applyBorder="1" applyAlignment="1">
      <alignment vertical="center" shrinkToFit="1"/>
    </xf>
    <xf numFmtId="0" fontId="8" fillId="4" borderId="0" xfId="0" applyFont="1" applyFill="1" applyBorder="1" applyAlignment="1">
      <alignment vertical="center" shrinkToFit="1"/>
    </xf>
    <xf numFmtId="0" fontId="8" fillId="4" borderId="19" xfId="0" applyFont="1" applyFill="1" applyBorder="1" applyAlignment="1">
      <alignment vertical="center" shrinkToFit="1"/>
    </xf>
    <xf numFmtId="0" fontId="8" fillId="0" borderId="18" xfId="0" applyFont="1" applyFill="1" applyBorder="1" applyAlignment="1" applyProtection="1">
      <alignment horizontal="center" vertical="center"/>
    </xf>
    <xf numFmtId="0" fontId="8" fillId="4" borderId="20" xfId="0" applyFont="1" applyFill="1" applyBorder="1" applyAlignment="1">
      <alignment horizontal="left" shrinkToFit="1"/>
    </xf>
    <xf numFmtId="0" fontId="8" fillId="4" borderId="0" xfId="0" applyFont="1" applyFill="1" applyAlignment="1">
      <alignment horizontal="left" shrinkToFit="1"/>
    </xf>
    <xf numFmtId="0" fontId="8" fillId="4" borderId="19" xfId="0" applyFont="1" applyFill="1" applyBorder="1" applyAlignment="1">
      <alignment horizontal="left" shrinkToFit="1"/>
    </xf>
    <xf numFmtId="0" fontId="8" fillId="4" borderId="20" xfId="0" applyFont="1" applyFill="1" applyBorder="1" applyAlignment="1">
      <alignment shrinkToFit="1"/>
    </xf>
    <xf numFmtId="0" fontId="8" fillId="4" borderId="0" xfId="0" applyFont="1" applyFill="1" applyAlignment="1">
      <alignment shrinkToFit="1"/>
    </xf>
    <xf numFmtId="0" fontId="8" fillId="4" borderId="0" xfId="0" applyFont="1" applyFill="1" applyBorder="1" applyAlignment="1">
      <alignment shrinkToFit="1"/>
    </xf>
    <xf numFmtId="0" fontId="8" fillId="6" borderId="12" xfId="0" applyFont="1" applyFill="1" applyBorder="1" applyAlignment="1" applyProtection="1">
      <alignment horizontal="center" vertical="center"/>
    </xf>
    <xf numFmtId="0" fontId="8" fillId="3" borderId="11" xfId="0" applyFont="1" applyFill="1" applyBorder="1" applyAlignment="1" applyProtection="1">
      <alignment horizontal="center"/>
    </xf>
    <xf numFmtId="0" fontId="8" fillId="4" borderId="19" xfId="0" applyFont="1" applyFill="1" applyBorder="1" applyAlignment="1">
      <alignment shrinkToFit="1"/>
    </xf>
    <xf numFmtId="0" fontId="10" fillId="0" borderId="1" xfId="0" applyFont="1" applyBorder="1" applyAlignment="1">
      <alignment horizontal="center"/>
    </xf>
    <xf numFmtId="0" fontId="10" fillId="0" borderId="0" xfId="0" applyFont="1" applyBorder="1" applyAlignment="1">
      <alignment horizontal="center"/>
    </xf>
    <xf numFmtId="0" fontId="10" fillId="0" borderId="18" xfId="0" applyFont="1" applyBorder="1" applyAlignment="1">
      <alignment horizontal="center"/>
    </xf>
    <xf numFmtId="0" fontId="10" fillId="0" borderId="1" xfId="0" applyFont="1" applyBorder="1" applyAlignment="1">
      <alignment horizontal="center" wrapText="1"/>
    </xf>
    <xf numFmtId="0" fontId="8" fillId="3" borderId="11" xfId="0" applyFont="1" applyFill="1" applyBorder="1" applyAlignment="1" applyProtection="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shrinkToFit="1"/>
    </xf>
    <xf numFmtId="0" fontId="10" fillId="0" borderId="18" xfId="0" applyFont="1" applyBorder="1" applyAlignment="1">
      <alignment horizontal="center" shrinkToFit="1"/>
    </xf>
    <xf numFmtId="0" fontId="10" fillId="0" borderId="1" xfId="0" applyNumberFormat="1" applyFont="1" applyBorder="1" applyAlignment="1">
      <alignment horizontal="center"/>
    </xf>
    <xf numFmtId="0" fontId="10" fillId="0" borderId="0" xfId="0" applyNumberFormat="1" applyFont="1" applyBorder="1" applyAlignment="1">
      <alignment horizontal="center"/>
    </xf>
    <xf numFmtId="0" fontId="20" fillId="14" borderId="45" xfId="4" applyBorder="1" applyAlignment="1">
      <alignment horizontal="center" vertical="center"/>
    </xf>
    <xf numFmtId="0" fontId="20" fillId="14" borderId="37" xfId="4" applyBorder="1" applyAlignment="1">
      <alignment horizontal="center" vertical="center"/>
    </xf>
    <xf numFmtId="0" fontId="20" fillId="14" borderId="40" xfId="4" applyBorder="1" applyAlignment="1">
      <alignment horizontal="center" vertical="center"/>
    </xf>
    <xf numFmtId="0" fontId="8" fillId="6" borderId="47" xfId="0" applyFont="1" applyFill="1" applyBorder="1" applyAlignment="1" applyProtection="1">
      <alignment horizontal="center" vertical="center"/>
    </xf>
    <xf numFmtId="0" fontId="8" fillId="6" borderId="37" xfId="0" applyFont="1" applyFill="1" applyBorder="1" applyAlignment="1" applyProtection="1">
      <alignment horizontal="center" vertical="center"/>
    </xf>
    <xf numFmtId="0" fontId="8" fillId="6" borderId="48" xfId="0" applyFont="1" applyFill="1" applyBorder="1" applyAlignment="1" applyProtection="1">
      <alignment horizontal="center" vertical="center"/>
    </xf>
    <xf numFmtId="0" fontId="8" fillId="15" borderId="45" xfId="0" applyFont="1" applyFill="1" applyBorder="1" applyAlignment="1">
      <alignment horizontal="center" vertical="center" wrapText="1"/>
    </xf>
    <xf numFmtId="0" fontId="8" fillId="15" borderId="37" xfId="0" applyFont="1" applyFill="1" applyBorder="1" applyAlignment="1">
      <alignment horizontal="center" vertical="center" wrapText="1"/>
    </xf>
    <xf numFmtId="0" fontId="8" fillId="15" borderId="40" xfId="0" applyFont="1" applyFill="1" applyBorder="1" applyAlignment="1">
      <alignment horizontal="center" vertical="center" wrapText="1"/>
    </xf>
    <xf numFmtId="0" fontId="8" fillId="3" borderId="13" xfId="0" applyFont="1" applyFill="1" applyBorder="1" applyAlignment="1" applyProtection="1">
      <alignment horizontal="center"/>
    </xf>
    <xf numFmtId="0" fontId="8" fillId="3" borderId="15" xfId="0" applyFont="1" applyFill="1" applyBorder="1" applyAlignment="1" applyProtection="1">
      <alignment horizontal="center"/>
    </xf>
    <xf numFmtId="0" fontId="8" fillId="6" borderId="13" xfId="0" applyFont="1" applyFill="1" applyBorder="1" applyAlignment="1" applyProtection="1">
      <alignment horizontal="center" vertical="center" wrapText="1"/>
    </xf>
    <xf numFmtId="0" fontId="8" fillId="6" borderId="14" xfId="0" applyFont="1" applyFill="1" applyBorder="1" applyAlignment="1" applyProtection="1">
      <alignment horizontal="center" vertical="center" wrapText="1"/>
    </xf>
    <xf numFmtId="0" fontId="8" fillId="6" borderId="15" xfId="0" applyFont="1" applyFill="1" applyBorder="1" applyAlignment="1" applyProtection="1">
      <alignment horizontal="center" vertical="center" wrapText="1"/>
    </xf>
    <xf numFmtId="0" fontId="8" fillId="0" borderId="13" xfId="0" applyFont="1" applyFill="1" applyBorder="1" applyAlignment="1" applyProtection="1">
      <alignment horizontal="center" vertic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3" borderId="14" xfId="0" applyFont="1" applyFill="1" applyBorder="1" applyAlignment="1" applyProtection="1">
      <alignment horizontal="center"/>
    </xf>
    <xf numFmtId="0" fontId="8" fillId="0" borderId="13" xfId="0" applyFont="1" applyBorder="1" applyAlignment="1" applyProtection="1">
      <alignment horizontal="center" vertical="center"/>
    </xf>
    <xf numFmtId="0" fontId="8" fillId="0" borderId="14" xfId="0" applyFont="1" applyBorder="1" applyAlignment="1" applyProtection="1">
      <alignment horizontal="center" vertical="center"/>
    </xf>
    <xf numFmtId="0" fontId="8" fillId="0" borderId="15" xfId="0" applyFont="1" applyBorder="1" applyAlignment="1" applyProtection="1">
      <alignment horizontal="center" vertical="center"/>
    </xf>
    <xf numFmtId="0" fontId="8" fillId="0" borderId="45" xfId="0" applyFont="1" applyBorder="1" applyAlignment="1" applyProtection="1">
      <alignment horizontal="center" vertical="center"/>
    </xf>
    <xf numFmtId="0" fontId="8" fillId="0" borderId="37" xfId="0" applyFont="1" applyBorder="1" applyAlignment="1" applyProtection="1">
      <alignment horizontal="center" vertical="center"/>
    </xf>
    <xf numFmtId="0" fontId="8" fillId="0" borderId="40" xfId="0" applyFont="1" applyBorder="1" applyAlignment="1" applyProtection="1">
      <alignment horizontal="center" vertical="center"/>
    </xf>
    <xf numFmtId="0" fontId="8" fillId="3" borderId="13" xfId="0" applyFont="1" applyFill="1" applyBorder="1" applyAlignment="1" applyProtection="1">
      <alignment horizontal="center" vertical="center" wrapText="1"/>
    </xf>
    <xf numFmtId="0" fontId="11" fillId="0" borderId="1" xfId="0" applyFont="1" applyBorder="1" applyAlignment="1" applyProtection="1">
      <alignment horizontal="left"/>
    </xf>
    <xf numFmtId="0" fontId="11" fillId="0" borderId="0" xfId="0" applyFont="1" applyBorder="1" applyAlignment="1" applyProtection="1">
      <alignment horizontal="left"/>
    </xf>
    <xf numFmtId="0" fontId="7" fillId="0" borderId="0" xfId="0" applyFont="1" applyAlignment="1">
      <alignment horizontal="center"/>
    </xf>
    <xf numFmtId="0" fontId="5" fillId="0" borderId="6" xfId="2" applyAlignment="1">
      <alignment horizontal="center"/>
    </xf>
    <xf numFmtId="0" fontId="8" fillId="4" borderId="20" xfId="0" applyFont="1" applyFill="1" applyBorder="1" applyAlignment="1">
      <alignment horizontal="left"/>
    </xf>
    <xf numFmtId="0" fontId="8" fillId="4" borderId="0" xfId="0" applyFont="1" applyFill="1" applyAlignment="1">
      <alignment horizontal="left"/>
    </xf>
    <xf numFmtId="0" fontId="8" fillId="4" borderId="0" xfId="0" applyFont="1" applyFill="1" applyBorder="1" applyAlignment="1">
      <alignment horizontal="left"/>
    </xf>
    <xf numFmtId="0" fontId="8" fillId="4" borderId="19" xfId="0" applyFont="1" applyFill="1" applyBorder="1" applyAlignment="1">
      <alignment horizontal="left"/>
    </xf>
    <xf numFmtId="0" fontId="10" fillId="0" borderId="18" xfId="0" applyFont="1" applyBorder="1" applyAlignment="1">
      <alignment horizontal="center" wrapText="1"/>
    </xf>
  </cellXfs>
  <cellStyles count="5">
    <cellStyle name="Bad" xfId="4" builtinId="27"/>
    <cellStyle name="Explanatory Text" xfId="1" builtinId="53"/>
    <cellStyle name="Heading 1" xfId="2" builtinId="16"/>
    <cellStyle name="Input" xfId="3" builtinId="20"/>
    <cellStyle name="Normal" xfId="0" builtinId="0"/>
  </cellStyles>
  <dxfs count="307">
    <dxf>
      <fill>
        <patternFill>
          <bgColor theme="5" tint="0.59996337778862885"/>
        </patternFill>
      </fill>
    </dxf>
    <dxf>
      <font>
        <color theme="0"/>
      </font>
    </dxf>
    <dxf>
      <fill>
        <patternFill>
          <bgColor theme="5" tint="0.79998168889431442"/>
        </patternFill>
      </fill>
    </dxf>
    <dxf>
      <fill>
        <patternFill>
          <bgColor theme="9" tint="0.59996337778862885"/>
        </patternFill>
      </fill>
      <border>
        <left style="thin">
          <color indexed="64"/>
        </left>
        <right style="thin">
          <color indexed="64"/>
        </right>
        <top style="thin">
          <color indexed="64"/>
        </top>
        <bottom style="thin">
          <color indexed="64"/>
        </bottom>
      </border>
    </dxf>
    <dxf>
      <font>
        <b/>
        <i val="0"/>
        <color auto="1"/>
      </font>
    </dxf>
    <dxf>
      <font>
        <b/>
        <i val="0"/>
      </font>
      <fill>
        <patternFill>
          <bgColor theme="5" tint="0.59996337778862885"/>
        </patternFill>
      </fill>
    </dxf>
    <dxf>
      <font>
        <b/>
        <i val="0"/>
        <color theme="3"/>
      </font>
      <fill>
        <patternFill>
          <bgColor theme="0" tint="-4.9989318521683403E-2"/>
        </patternFill>
      </fill>
      <border>
        <top style="thin">
          <color indexed="64"/>
        </top>
        <bottom style="thin">
          <color indexed="64"/>
        </bottom>
      </border>
    </dxf>
    <dxf>
      <font>
        <b/>
        <i val="0"/>
      </font>
      <fill>
        <patternFill>
          <bgColor theme="5" tint="0.79998168889431442"/>
        </patternFill>
      </fill>
    </dxf>
    <dxf>
      <font>
        <b/>
        <i val="0"/>
        <color auto="1"/>
      </font>
    </dxf>
    <dxf>
      <font>
        <b/>
        <i val="0"/>
        <color auto="1"/>
      </font>
      <fill>
        <patternFill>
          <bgColor theme="5" tint="0.79998168889431442"/>
        </patternFill>
      </fill>
    </dxf>
    <dxf>
      <font>
        <b/>
        <i val="0"/>
        <color theme="3"/>
      </font>
      <fill>
        <patternFill patternType="solid">
          <bgColor theme="0" tint="-4.9989318521683403E-2"/>
        </patternFill>
      </fill>
      <border>
        <top style="thin">
          <color indexed="64"/>
        </top>
        <bottom style="thin">
          <color indexed="64"/>
        </bottom>
      </border>
    </dxf>
    <dxf>
      <font>
        <b/>
        <i val="0"/>
        <color auto="1"/>
      </font>
      <fill>
        <patternFill>
          <bgColor theme="5" tint="0.79998168889431442"/>
        </patternFill>
      </fill>
    </dxf>
    <dxf>
      <font>
        <b/>
        <i val="0"/>
        <color theme="3"/>
      </font>
      <fill>
        <patternFill patternType="solid">
          <bgColor theme="0" tint="-4.9989318521683403E-2"/>
        </patternFill>
      </fill>
      <border>
        <top style="thin">
          <color indexed="64"/>
        </top>
        <bottom style="thin">
          <color indexed="64"/>
        </bottom>
      </border>
    </dxf>
    <dxf>
      <font>
        <b/>
        <i val="0"/>
        <color theme="1"/>
      </font>
      <fill>
        <patternFill patternType="none">
          <bgColor indexed="65"/>
        </patternFill>
      </fill>
    </dxf>
    <dxf>
      <fill>
        <patternFill>
          <bgColor theme="0" tint="-4.9989318521683403E-2"/>
        </patternFill>
      </fill>
      <border>
        <top style="thin">
          <color indexed="64"/>
        </top>
        <bottom style="thin">
          <color indexed="64"/>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5" tint="0.59996337778862885"/>
        </patternFill>
      </fill>
    </dxf>
    <dxf>
      <fill>
        <patternFill>
          <bgColor rgb="FFFFFF0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ill>
        <patternFill>
          <bgColor theme="5" tint="0.59996337778862885"/>
        </patternFill>
      </fill>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ont>
        <b val="0"/>
        <i/>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5" tint="0.59996337778862885"/>
        </patternFill>
      </fill>
    </dxf>
    <dxf>
      <fill>
        <patternFill>
          <bgColor theme="6" tint="-0.24994659260841701"/>
        </patternFill>
      </fill>
    </dxf>
    <dxf>
      <font>
        <b val="0"/>
        <i/>
        <color theme="4" tint="0.39994506668294322"/>
      </font>
    </dxf>
  </dxfs>
  <tableStyles count="0" defaultTableStyle="TableStyleMedium9" defaultPivotStyle="PivotStyleLight16"/>
  <colors>
    <mruColors>
      <color rgb="FFFFCC99"/>
      <color rgb="FF66FFFF"/>
      <color rgb="FFFF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7</xdr:row>
      <xdr:rowOff>142875</xdr:rowOff>
    </xdr:to>
    <xdr:pic>
      <xdr:nvPicPr>
        <xdr:cNvPr id="1028" name="Picture 3"/>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36</xdr:col>
          <xdr:colOff>361950</xdr:colOff>
          <xdr:row>2</xdr:row>
          <xdr:rowOff>9525</xdr:rowOff>
        </xdr:from>
        <xdr:to>
          <xdr:col>39</xdr:col>
          <xdr:colOff>123825</xdr:colOff>
          <xdr:row>4</xdr:row>
          <xdr:rowOff>28575</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C code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8:K37"/>
  <sheetViews>
    <sheetView workbookViewId="0"/>
  </sheetViews>
  <sheetFormatPr defaultColWidth="17.85546875" defaultRowHeight="15" x14ac:dyDescent="0.25"/>
  <cols>
    <col min="1" max="1" width="6" customWidth="1"/>
    <col min="2" max="2" width="14.28515625" style="130" customWidth="1"/>
    <col min="3" max="3" width="17.7109375" style="76" customWidth="1"/>
    <col min="4" max="4" width="33.28515625" style="76" customWidth="1"/>
    <col min="5" max="6" width="17.85546875" style="76"/>
    <col min="7" max="7" width="24.5703125" style="76" customWidth="1"/>
    <col min="11" max="11" width="27.5703125" customWidth="1"/>
  </cols>
  <sheetData>
    <row r="8" spans="2:9" ht="15.75" thickBot="1" x14ac:dyDescent="0.3"/>
    <row r="9" spans="2:9" ht="24" thickBot="1" x14ac:dyDescent="0.4">
      <c r="B9" s="364" t="s">
        <v>1037</v>
      </c>
      <c r="C9" s="365"/>
      <c r="D9" s="366"/>
    </row>
    <row r="11" spans="2:9" x14ac:dyDescent="0.25">
      <c r="B11" s="369" t="s">
        <v>1120</v>
      </c>
      <c r="C11" s="369"/>
      <c r="D11" s="369"/>
      <c r="E11" s="369"/>
      <c r="F11" s="369"/>
      <c r="G11" s="369"/>
      <c r="H11" s="369"/>
      <c r="I11" s="369"/>
    </row>
    <row r="12" spans="2:9" x14ac:dyDescent="0.25">
      <c r="B12" s="369" t="s">
        <v>1119</v>
      </c>
      <c r="C12" s="369"/>
      <c r="D12" s="369"/>
      <c r="E12" s="369"/>
      <c r="F12" s="369"/>
      <c r="G12" s="369"/>
      <c r="H12" s="369"/>
      <c r="I12" s="369"/>
    </row>
    <row r="13" spans="2:9" ht="30" customHeight="1" x14ac:dyDescent="0.25">
      <c r="B13" s="369" t="s">
        <v>1038</v>
      </c>
      <c r="C13" s="369"/>
      <c r="D13" s="369"/>
      <c r="E13" s="369"/>
      <c r="F13" s="369"/>
      <c r="G13" s="369"/>
      <c r="H13" s="369"/>
      <c r="I13" s="369"/>
    </row>
    <row r="14" spans="2:9" x14ac:dyDescent="0.25">
      <c r="C14" s="363" t="s">
        <v>1034</v>
      </c>
      <c r="D14" s="363"/>
      <c r="E14" s="363"/>
      <c r="F14" s="363"/>
    </row>
    <row r="15" spans="2:9" x14ac:dyDescent="0.25">
      <c r="C15" s="363" t="s">
        <v>1035</v>
      </c>
      <c r="D15" s="363"/>
      <c r="E15" s="363"/>
      <c r="F15" s="363"/>
    </row>
    <row r="16" spans="2:9" x14ac:dyDescent="0.25">
      <c r="C16" s="363" t="s">
        <v>1036</v>
      </c>
      <c r="D16" s="363"/>
      <c r="E16" s="363"/>
      <c r="F16" s="363"/>
    </row>
    <row r="18" spans="2:11" ht="15.75" x14ac:dyDescent="0.25">
      <c r="B18" s="131" t="s">
        <v>2951</v>
      </c>
      <c r="C18" s="77"/>
      <c r="D18" s="77"/>
    </row>
    <row r="19" spans="2:11" x14ac:dyDescent="0.25">
      <c r="B19" s="12" t="s">
        <v>1159</v>
      </c>
      <c r="C19" s="78" t="s">
        <v>1160</v>
      </c>
      <c r="D19" s="79" t="s">
        <v>1161</v>
      </c>
    </row>
    <row r="20" spans="2:11" ht="18.75" customHeight="1" x14ac:dyDescent="0.25">
      <c r="B20" s="69">
        <v>40926</v>
      </c>
      <c r="C20" s="83" t="s">
        <v>2949</v>
      </c>
      <c r="D20" s="362" t="s">
        <v>2957</v>
      </c>
      <c r="E20" s="362"/>
      <c r="F20" s="362"/>
      <c r="G20" s="362"/>
      <c r="H20" s="362"/>
      <c r="I20" s="362"/>
      <c r="J20" s="362"/>
      <c r="K20" s="362"/>
    </row>
    <row r="21" spans="2:11" ht="34.5" customHeight="1" x14ac:dyDescent="0.25">
      <c r="B21" s="69"/>
      <c r="C21" s="83"/>
      <c r="D21" s="367" t="s">
        <v>2958</v>
      </c>
      <c r="E21" s="367"/>
      <c r="F21" s="367"/>
      <c r="G21" s="367"/>
      <c r="H21" s="367"/>
      <c r="I21" s="367"/>
      <c r="J21" s="367"/>
      <c r="K21" s="367"/>
    </row>
    <row r="22" spans="2:11" ht="48" customHeight="1" x14ac:dyDescent="0.25">
      <c r="B22" s="69"/>
      <c r="C22" s="83"/>
      <c r="D22" s="367" t="s">
        <v>2952</v>
      </c>
      <c r="E22" s="367"/>
      <c r="F22" s="367"/>
      <c r="G22" s="367"/>
      <c r="H22" s="367"/>
      <c r="I22" s="367"/>
      <c r="J22" s="367"/>
      <c r="K22" s="367"/>
    </row>
    <row r="23" spans="2:11" ht="33.75" customHeight="1" x14ac:dyDescent="0.25">
      <c r="B23" s="69"/>
      <c r="C23" s="83"/>
      <c r="D23" s="367" t="s">
        <v>2953</v>
      </c>
      <c r="E23" s="367"/>
      <c r="F23" s="367"/>
      <c r="G23" s="367"/>
      <c r="H23" s="367"/>
      <c r="I23" s="367"/>
      <c r="J23" s="367"/>
      <c r="K23" s="367"/>
    </row>
    <row r="24" spans="2:11" ht="77.25" customHeight="1" x14ac:dyDescent="0.25">
      <c r="B24" s="69"/>
      <c r="C24" s="83"/>
      <c r="D24" s="367" t="s">
        <v>2954</v>
      </c>
      <c r="E24" s="367"/>
      <c r="F24" s="367"/>
      <c r="G24" s="367"/>
      <c r="H24" s="367"/>
      <c r="I24" s="367"/>
      <c r="J24" s="367"/>
      <c r="K24" s="367"/>
    </row>
    <row r="25" spans="2:11" ht="61.5" customHeight="1" x14ac:dyDescent="0.25">
      <c r="B25" s="69"/>
      <c r="C25" s="83"/>
      <c r="D25" s="367" t="s">
        <v>2956</v>
      </c>
      <c r="E25" s="367"/>
      <c r="F25" s="367"/>
      <c r="G25" s="367"/>
      <c r="H25" s="367"/>
      <c r="I25" s="367"/>
      <c r="J25" s="367"/>
      <c r="K25" s="367"/>
    </row>
    <row r="26" spans="2:11" ht="15" customHeight="1" x14ac:dyDescent="0.25">
      <c r="B26" s="69"/>
      <c r="C26" s="83"/>
      <c r="D26" s="367" t="s">
        <v>2955</v>
      </c>
      <c r="E26" s="367"/>
      <c r="F26" s="367"/>
      <c r="G26" s="367"/>
      <c r="H26" s="367"/>
      <c r="I26" s="367"/>
      <c r="J26" s="367"/>
      <c r="K26" s="367"/>
    </row>
    <row r="27" spans="2:11" x14ac:dyDescent="0.25">
      <c r="B27" s="69"/>
      <c r="C27" s="83"/>
      <c r="D27" s="362" t="s">
        <v>2959</v>
      </c>
      <c r="E27" s="362"/>
      <c r="F27" s="362"/>
      <c r="G27" s="362"/>
      <c r="H27" s="362"/>
      <c r="I27" s="362"/>
      <c r="J27" s="362"/>
      <c r="K27" s="362"/>
    </row>
    <row r="28" spans="2:11" x14ac:dyDescent="0.25">
      <c r="B28" s="69"/>
      <c r="C28" s="83"/>
      <c r="D28" s="362"/>
      <c r="E28" s="362"/>
      <c r="F28" s="362"/>
      <c r="G28" s="362"/>
      <c r="H28" s="362"/>
      <c r="I28" s="362"/>
      <c r="J28" s="362"/>
      <c r="K28" s="362"/>
    </row>
    <row r="29" spans="2:11" ht="48.75" customHeight="1" x14ac:dyDescent="0.25">
      <c r="B29" s="69">
        <v>40864</v>
      </c>
      <c r="C29" s="83" t="s">
        <v>2476</v>
      </c>
      <c r="D29" s="362" t="s">
        <v>2950</v>
      </c>
      <c r="E29" s="362"/>
      <c r="F29" s="362"/>
      <c r="G29" s="362"/>
      <c r="H29" s="362"/>
      <c r="I29" s="362"/>
      <c r="J29" s="362"/>
      <c r="K29" s="362"/>
    </row>
    <row r="30" spans="2:11" ht="32.25" customHeight="1" x14ac:dyDescent="0.25">
      <c r="B30" s="69">
        <v>40765</v>
      </c>
      <c r="C30" s="83" t="s">
        <v>2475</v>
      </c>
      <c r="D30" s="362" t="s">
        <v>2477</v>
      </c>
      <c r="E30" s="362"/>
      <c r="F30" s="362"/>
      <c r="G30" s="362"/>
      <c r="H30" s="362"/>
      <c r="I30" s="362"/>
      <c r="J30" s="362"/>
      <c r="K30" s="362"/>
    </row>
    <row r="31" spans="2:11" ht="45" customHeight="1" x14ac:dyDescent="0.25">
      <c r="B31" s="69">
        <v>40744</v>
      </c>
      <c r="C31" s="83" t="s">
        <v>2413</v>
      </c>
      <c r="D31" s="362" t="s">
        <v>2416</v>
      </c>
      <c r="E31" s="362"/>
      <c r="F31" s="362"/>
      <c r="G31" s="362"/>
      <c r="H31" s="362"/>
      <c r="I31" s="362"/>
      <c r="J31" s="362"/>
      <c r="K31" s="362"/>
    </row>
    <row r="32" spans="2:11" ht="45.75" customHeight="1" x14ac:dyDescent="0.25">
      <c r="B32" s="69">
        <v>40695</v>
      </c>
      <c r="C32" s="83" t="s">
        <v>2284</v>
      </c>
      <c r="D32" s="362" t="s">
        <v>2415</v>
      </c>
      <c r="E32" s="362"/>
      <c r="F32" s="362"/>
      <c r="G32" s="362"/>
      <c r="H32" s="362"/>
      <c r="I32" s="362"/>
      <c r="J32" s="362"/>
      <c r="K32" s="362"/>
    </row>
    <row r="33" spans="2:11" ht="54" customHeight="1" x14ac:dyDescent="0.25">
      <c r="B33" s="58">
        <v>40648</v>
      </c>
      <c r="C33" s="82" t="s">
        <v>2273</v>
      </c>
      <c r="D33" s="370" t="s">
        <v>2414</v>
      </c>
      <c r="E33" s="370"/>
      <c r="F33" s="370"/>
      <c r="G33" s="370"/>
      <c r="H33" s="370"/>
      <c r="I33" s="370"/>
      <c r="J33" s="370"/>
      <c r="K33" s="370"/>
    </row>
    <row r="34" spans="2:11" x14ac:dyDescent="0.25">
      <c r="B34" s="13">
        <v>40569</v>
      </c>
      <c r="C34" s="80" t="s">
        <v>1162</v>
      </c>
      <c r="D34" s="81" t="s">
        <v>1163</v>
      </c>
    </row>
    <row r="35" spans="2:11" x14ac:dyDescent="0.25">
      <c r="B35" s="369"/>
      <c r="C35" s="369"/>
      <c r="D35" s="369"/>
    </row>
    <row r="36" spans="2:11" ht="15.75" x14ac:dyDescent="0.25">
      <c r="B36" s="129" t="s">
        <v>1164</v>
      </c>
      <c r="C36" s="77"/>
      <c r="D36" s="77"/>
    </row>
    <row r="37" spans="2:11" ht="114" customHeight="1" x14ac:dyDescent="0.25">
      <c r="B37" s="368" t="s">
        <v>1165</v>
      </c>
      <c r="C37" s="368"/>
      <c r="D37" s="368"/>
      <c r="E37" s="368"/>
      <c r="F37" s="368"/>
      <c r="G37" s="368"/>
      <c r="H37" s="368"/>
      <c r="I37" s="368"/>
    </row>
  </sheetData>
  <sheetProtection sheet="1" objects="1" scenarios="1"/>
  <mergeCells count="23">
    <mergeCell ref="B37:I37"/>
    <mergeCell ref="B11:I11"/>
    <mergeCell ref="B12:I12"/>
    <mergeCell ref="B13:I13"/>
    <mergeCell ref="D20:K20"/>
    <mergeCell ref="D29:K29"/>
    <mergeCell ref="D30:K30"/>
    <mergeCell ref="D31:K31"/>
    <mergeCell ref="D32:K32"/>
    <mergeCell ref="D33:K33"/>
    <mergeCell ref="D21:K21"/>
    <mergeCell ref="D22:K22"/>
    <mergeCell ref="D23:K23"/>
    <mergeCell ref="B35:D35"/>
    <mergeCell ref="D26:K26"/>
    <mergeCell ref="D27:K27"/>
    <mergeCell ref="D28:K28"/>
    <mergeCell ref="C16:F16"/>
    <mergeCell ref="B9:D9"/>
    <mergeCell ref="D24:K24"/>
    <mergeCell ref="D25:K25"/>
    <mergeCell ref="C14:F14"/>
    <mergeCell ref="C15:F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V605"/>
  <sheetViews>
    <sheetView tabSelected="1" zoomScale="90" zoomScaleNormal="90" workbookViewId="0">
      <pane xSplit="11" ySplit="8" topLeftCell="L213" activePane="bottomRight" state="frozenSplit"/>
      <selection sqref="A1:A2"/>
      <selection pane="topRight" sqref="A1:A2"/>
      <selection pane="bottomLeft" sqref="A1:A2"/>
      <selection pane="bottomRight" activeCell="H235" sqref="H235"/>
    </sheetView>
  </sheetViews>
  <sheetFormatPr defaultRowHeight="11.25" x14ac:dyDescent="0.2"/>
  <cols>
    <col min="1" max="1" width="15.7109375" style="7" customWidth="1"/>
    <col min="2" max="2" width="6.7109375" style="148" customWidth="1"/>
    <col min="3" max="4" width="8.7109375" style="7" customWidth="1"/>
    <col min="5" max="5" width="8.7109375" style="216" customWidth="1"/>
    <col min="6" max="6" width="15.7109375" style="7" customWidth="1"/>
    <col min="7" max="7" width="10.7109375" style="7" customWidth="1"/>
    <col min="8" max="10" width="15.7109375" style="7" customWidth="1"/>
    <col min="11" max="11" width="17.140625" style="7" customWidth="1"/>
    <col min="12" max="12" width="5.85546875" style="7" hidden="1" customWidth="1"/>
    <col min="13" max="13" width="13.7109375" style="7" hidden="1" customWidth="1"/>
    <col min="14" max="14" width="0.28515625" style="7" hidden="1" customWidth="1"/>
    <col min="15" max="15" width="6.85546875" style="7" hidden="1" customWidth="1"/>
    <col min="16" max="16" width="4.5703125" style="7" hidden="1" customWidth="1"/>
    <col min="17" max="17" width="0.5703125" style="7" hidden="1" customWidth="1"/>
    <col min="18" max="18" width="3.85546875" style="7" hidden="1" customWidth="1"/>
    <col min="19" max="19" width="5.7109375" style="7" hidden="1" customWidth="1"/>
    <col min="20" max="20" width="4.5703125" style="7" hidden="1" customWidth="1"/>
    <col min="21" max="21" width="6.7109375" style="7" hidden="1" customWidth="1"/>
    <col min="22" max="22" width="6.85546875" style="7" hidden="1" customWidth="1"/>
    <col min="23" max="23" width="6.5703125" style="7" hidden="1" customWidth="1"/>
    <col min="24" max="24" width="6.140625" style="7" hidden="1" customWidth="1"/>
    <col min="25" max="25" width="6.28515625" style="7" hidden="1" customWidth="1"/>
    <col min="26" max="26" width="5.85546875" style="91" hidden="1" customWidth="1"/>
    <col min="27" max="27" width="12.28515625" style="244" hidden="1" customWidth="1"/>
    <col min="28" max="29" width="13" style="244" hidden="1" customWidth="1"/>
    <col min="30" max="30" width="13.42578125" style="244" hidden="1" customWidth="1"/>
    <col min="31" max="31" width="13" style="244" hidden="1" customWidth="1"/>
    <col min="32" max="32" width="12.5703125" style="244" hidden="1" customWidth="1"/>
    <col min="33" max="33" width="13.85546875" style="244" hidden="1" customWidth="1"/>
    <col min="34" max="34" width="0.140625" style="244" customWidth="1"/>
    <col min="35" max="35" width="16.85546875" style="244" hidden="1" customWidth="1"/>
    <col min="36" max="36" width="16.7109375" style="165" customWidth="1"/>
    <col min="37" max="37" width="6.7109375" style="7" customWidth="1"/>
    <col min="38" max="38" width="7.7109375" style="7" customWidth="1"/>
    <col min="39" max="39" width="6.7109375" style="148" customWidth="1"/>
    <col min="40" max="42" width="7.7109375" style="7" customWidth="1"/>
    <col min="43" max="43" width="20.7109375" style="17" customWidth="1"/>
    <col min="44" max="44" width="20.7109375" style="6" customWidth="1"/>
    <col min="45" max="45" width="20.7109375" style="15" customWidth="1"/>
    <col min="46" max="46" width="18.7109375" style="6" customWidth="1"/>
    <col min="47" max="47" width="20.7109375" style="7" customWidth="1"/>
    <col min="48" max="48" width="20.7109375" style="15" hidden="1" customWidth="1"/>
    <col min="49" max="16384" width="9.140625" style="7"/>
  </cols>
  <sheetData>
    <row r="1" spans="1:48" s="38" customFormat="1" ht="18.75" customHeight="1" x14ac:dyDescent="0.2">
      <c r="A1" s="122" t="s">
        <v>2351</v>
      </c>
      <c r="B1" s="453" t="s">
        <v>2456</v>
      </c>
      <c r="C1" s="454"/>
      <c r="D1" s="454"/>
      <c r="E1" s="454"/>
      <c r="F1" s="454"/>
      <c r="G1" s="454"/>
      <c r="H1" s="454"/>
      <c r="I1" s="454"/>
      <c r="J1" s="454"/>
      <c r="K1" s="454"/>
      <c r="Q1" s="176"/>
      <c r="R1" s="23"/>
      <c r="S1" s="23"/>
      <c r="T1" s="177"/>
      <c r="U1" s="176"/>
      <c r="V1" s="23"/>
      <c r="W1" s="23"/>
      <c r="X1" s="23"/>
      <c r="Y1" s="23"/>
      <c r="Z1" s="178"/>
      <c r="AA1" s="325"/>
      <c r="AB1" s="326"/>
      <c r="AC1" s="326"/>
      <c r="AD1" s="326"/>
      <c r="AE1" s="326"/>
      <c r="AF1" s="326"/>
      <c r="AG1" s="326"/>
      <c r="AH1" s="326"/>
      <c r="AI1" s="327"/>
      <c r="AJ1" s="158"/>
      <c r="AM1" s="145"/>
      <c r="AR1" s="23"/>
      <c r="AS1" s="25"/>
      <c r="AT1" s="23"/>
      <c r="AV1" s="25"/>
    </row>
    <row r="2" spans="1:48" s="38" customFormat="1" ht="15" customHeight="1" x14ac:dyDescent="0.2">
      <c r="A2" s="122" t="s">
        <v>2994</v>
      </c>
      <c r="B2" s="453" t="s">
        <v>2352</v>
      </c>
      <c r="C2" s="454"/>
      <c r="D2" s="454"/>
      <c r="E2" s="454"/>
      <c r="F2" s="454"/>
      <c r="G2" s="454"/>
      <c r="H2" s="454"/>
      <c r="I2" s="454"/>
      <c r="J2" s="454"/>
      <c r="K2" s="454"/>
      <c r="Q2" s="176"/>
      <c r="R2" s="23"/>
      <c r="S2" s="23"/>
      <c r="T2" s="177"/>
      <c r="U2" s="176"/>
      <c r="V2" s="23"/>
      <c r="W2" s="23"/>
      <c r="X2" s="23"/>
      <c r="Y2" s="23"/>
      <c r="Z2" s="178"/>
      <c r="AA2" s="325"/>
      <c r="AB2" s="326"/>
      <c r="AC2" s="326"/>
      <c r="AD2" s="326"/>
      <c r="AE2" s="326"/>
      <c r="AF2" s="326"/>
      <c r="AG2" s="326"/>
      <c r="AH2" s="326"/>
      <c r="AI2" s="327"/>
      <c r="AJ2" s="158"/>
      <c r="AM2" s="145"/>
      <c r="AR2" s="23"/>
      <c r="AS2" s="25"/>
      <c r="AT2" s="23"/>
      <c r="AV2" s="25"/>
    </row>
    <row r="3" spans="1:48" s="38" customFormat="1" ht="15" customHeight="1" x14ac:dyDescent="0.2">
      <c r="A3" s="122" t="s">
        <v>2993</v>
      </c>
      <c r="B3" s="453" t="s">
        <v>2357</v>
      </c>
      <c r="C3" s="454"/>
      <c r="D3" s="454"/>
      <c r="E3" s="454"/>
      <c r="F3" s="454"/>
      <c r="G3" s="454"/>
      <c r="H3" s="454"/>
      <c r="I3" s="454"/>
      <c r="J3" s="454"/>
      <c r="K3" s="454"/>
      <c r="Q3" s="176"/>
      <c r="R3" s="23"/>
      <c r="S3" s="23"/>
      <c r="T3" s="177"/>
      <c r="U3" s="176"/>
      <c r="V3" s="23"/>
      <c r="W3" s="23"/>
      <c r="X3" s="23"/>
      <c r="Y3" s="23"/>
      <c r="Z3" s="178"/>
      <c r="AA3" s="325"/>
      <c r="AB3" s="326"/>
      <c r="AC3" s="326"/>
      <c r="AD3" s="326"/>
      <c r="AE3" s="326"/>
      <c r="AF3" s="326"/>
      <c r="AG3" s="326"/>
      <c r="AH3" s="326"/>
      <c r="AI3" s="327"/>
      <c r="AJ3" s="158"/>
      <c r="AM3" s="145"/>
      <c r="AR3" s="23"/>
      <c r="AS3" s="25"/>
      <c r="AT3" s="23"/>
      <c r="AV3" s="25"/>
    </row>
    <row r="4" spans="1:48" s="38" customFormat="1" ht="15" customHeight="1" x14ac:dyDescent="0.2">
      <c r="A4" s="122" t="s">
        <v>2420</v>
      </c>
      <c r="B4" s="453" t="s">
        <v>2457</v>
      </c>
      <c r="C4" s="454"/>
      <c r="D4" s="454"/>
      <c r="E4" s="454"/>
      <c r="F4" s="454"/>
      <c r="G4" s="454"/>
      <c r="H4" s="454"/>
      <c r="I4" s="454"/>
      <c r="J4" s="454"/>
      <c r="K4" s="454"/>
      <c r="Q4" s="176"/>
      <c r="R4" s="23"/>
      <c r="S4" s="23"/>
      <c r="T4" s="177"/>
      <c r="U4" s="176"/>
      <c r="V4" s="23"/>
      <c r="W4" s="23"/>
      <c r="X4" s="23"/>
      <c r="Y4" s="23"/>
      <c r="Z4" s="178"/>
      <c r="AA4" s="325"/>
      <c r="AB4" s="326"/>
      <c r="AC4" s="326"/>
      <c r="AD4" s="326"/>
      <c r="AE4" s="326"/>
      <c r="AF4" s="326"/>
      <c r="AG4" s="326"/>
      <c r="AH4" s="326"/>
      <c r="AI4" s="327"/>
      <c r="AJ4" s="158"/>
      <c r="AM4" s="145"/>
      <c r="AQ4" s="39" t="s">
        <v>2353</v>
      </c>
      <c r="AR4" s="23"/>
      <c r="AS4" s="25"/>
      <c r="AT4" s="23"/>
      <c r="AV4" s="25"/>
    </row>
    <row r="5" spans="1:48" s="38" customFormat="1" ht="15" customHeight="1" x14ac:dyDescent="0.2">
      <c r="A5" s="122" t="s">
        <v>2453</v>
      </c>
      <c r="B5" s="453" t="s">
        <v>2962</v>
      </c>
      <c r="C5" s="454"/>
      <c r="D5" s="454"/>
      <c r="E5" s="454"/>
      <c r="F5" s="454"/>
      <c r="G5" s="454"/>
      <c r="H5" s="454"/>
      <c r="I5" s="454"/>
      <c r="J5" s="454"/>
      <c r="K5" s="454"/>
      <c r="Q5" s="176"/>
      <c r="R5" s="23"/>
      <c r="S5" s="23"/>
      <c r="T5" s="177"/>
      <c r="U5" s="176"/>
      <c r="V5" s="23"/>
      <c r="W5" s="23"/>
      <c r="X5" s="23"/>
      <c r="Y5" s="23"/>
      <c r="Z5" s="178"/>
      <c r="AA5" s="325"/>
      <c r="AB5" s="326"/>
      <c r="AC5" s="326"/>
      <c r="AD5" s="326"/>
      <c r="AE5" s="326"/>
      <c r="AF5" s="326"/>
      <c r="AG5" s="326"/>
      <c r="AH5" s="326"/>
      <c r="AI5" s="327"/>
      <c r="AJ5" s="158"/>
      <c r="AM5" s="145"/>
      <c r="AQ5" s="40" t="s">
        <v>3</v>
      </c>
      <c r="AR5" s="23"/>
      <c r="AS5" s="25"/>
      <c r="AT5" s="23"/>
      <c r="AV5" s="25"/>
    </row>
    <row r="6" spans="1:48" s="38" customFormat="1" ht="15" customHeight="1" x14ac:dyDescent="0.2">
      <c r="A6" s="22"/>
      <c r="B6" s="266"/>
      <c r="C6" s="419" t="s">
        <v>1245</v>
      </c>
      <c r="D6" s="419"/>
      <c r="E6" s="419"/>
      <c r="F6" s="22"/>
      <c r="G6" s="418" t="s">
        <v>0</v>
      </c>
      <c r="H6" s="419"/>
      <c r="I6" s="419"/>
      <c r="J6" s="419"/>
      <c r="K6" s="419"/>
      <c r="L6" s="421" t="s">
        <v>2938</v>
      </c>
      <c r="M6" s="423"/>
      <c r="N6" s="423"/>
      <c r="O6" s="423"/>
      <c r="P6" s="423"/>
      <c r="Q6" s="418" t="s">
        <v>1</v>
      </c>
      <c r="R6" s="419"/>
      <c r="S6" s="419"/>
      <c r="T6" s="420"/>
      <c r="U6" s="421" t="s">
        <v>2937</v>
      </c>
      <c r="V6" s="419"/>
      <c r="W6" s="419"/>
      <c r="X6" s="419"/>
      <c r="Y6" s="419"/>
      <c r="Z6" s="420"/>
      <c r="AA6" s="426" t="s">
        <v>2940</v>
      </c>
      <c r="AB6" s="427"/>
      <c r="AC6" s="427"/>
      <c r="AD6" s="427"/>
      <c r="AE6" s="427"/>
      <c r="AF6" s="427"/>
      <c r="AG6" s="427"/>
      <c r="AH6" s="326"/>
      <c r="AI6" s="327"/>
      <c r="AJ6" s="424" t="s">
        <v>2939</v>
      </c>
      <c r="AK6" s="424"/>
      <c r="AL6" s="424"/>
      <c r="AM6" s="424"/>
      <c r="AN6" s="424"/>
      <c r="AO6" s="424"/>
      <c r="AP6" s="425"/>
      <c r="AQ6" s="41" t="s">
        <v>2354</v>
      </c>
      <c r="AR6" s="23"/>
      <c r="AS6" s="60"/>
      <c r="AT6" s="23"/>
      <c r="AV6" s="60"/>
    </row>
    <row r="7" spans="1:48" s="38" customFormat="1" ht="15" customHeight="1" x14ac:dyDescent="0.2">
      <c r="A7" s="22"/>
      <c r="B7" s="266"/>
      <c r="C7" s="141"/>
      <c r="D7" s="141"/>
      <c r="E7" s="141"/>
      <c r="F7" s="22"/>
      <c r="G7" s="140"/>
      <c r="H7" s="141"/>
      <c r="I7" s="141"/>
      <c r="J7" s="141"/>
      <c r="K7" s="141"/>
      <c r="L7" s="142"/>
      <c r="M7" s="167"/>
      <c r="N7" s="167"/>
      <c r="O7" s="167"/>
      <c r="P7" s="167"/>
      <c r="Q7" s="140"/>
      <c r="R7" s="141"/>
      <c r="S7" s="141"/>
      <c r="T7" s="143"/>
      <c r="U7" s="142"/>
      <c r="V7" s="141"/>
      <c r="W7" s="141"/>
      <c r="X7" s="141"/>
      <c r="Y7" s="141"/>
      <c r="Z7" s="143"/>
      <c r="AA7" s="328" t="s">
        <v>2946</v>
      </c>
      <c r="AB7" s="262" t="s">
        <v>2946</v>
      </c>
      <c r="AC7" s="262" t="s">
        <v>2946</v>
      </c>
      <c r="AD7" s="262" t="s">
        <v>2946</v>
      </c>
      <c r="AE7" s="262" t="s">
        <v>2946</v>
      </c>
      <c r="AF7" s="262" t="s">
        <v>2946</v>
      </c>
      <c r="AG7" s="262" t="s">
        <v>2946</v>
      </c>
      <c r="AH7" s="262" t="s">
        <v>2946</v>
      </c>
      <c r="AI7" s="262" t="s">
        <v>2946</v>
      </c>
      <c r="AJ7" s="175" t="s">
        <v>2946</v>
      </c>
      <c r="AK7" s="262" t="s">
        <v>2946</v>
      </c>
      <c r="AL7" s="262" t="s">
        <v>2946</v>
      </c>
      <c r="AM7" s="262" t="s">
        <v>2946</v>
      </c>
      <c r="AN7" s="262" t="s">
        <v>2946</v>
      </c>
      <c r="AO7" s="262" t="s">
        <v>2946</v>
      </c>
      <c r="AP7" s="262" t="s">
        <v>2946</v>
      </c>
      <c r="AQ7" s="72" t="s">
        <v>2355</v>
      </c>
      <c r="AR7" s="23"/>
      <c r="AS7" s="60"/>
      <c r="AT7" s="23"/>
      <c r="AV7" s="60"/>
    </row>
    <row r="8" spans="1:48" s="14" customFormat="1" ht="114.75" x14ac:dyDescent="0.2">
      <c r="A8" s="19" t="s">
        <v>2</v>
      </c>
      <c r="B8" s="267" t="s">
        <v>2990</v>
      </c>
      <c r="C8" s="19" t="s">
        <v>1242</v>
      </c>
      <c r="D8" s="19" t="s">
        <v>1243</v>
      </c>
      <c r="E8" s="213" t="s">
        <v>1244</v>
      </c>
      <c r="F8" s="19" t="s">
        <v>1252</v>
      </c>
      <c r="G8" s="20" t="s">
        <v>3</v>
      </c>
      <c r="H8" s="19" t="s">
        <v>4</v>
      </c>
      <c r="I8" s="19" t="s">
        <v>5</v>
      </c>
      <c r="J8" s="19" t="s">
        <v>6</v>
      </c>
      <c r="K8" s="19" t="s">
        <v>7</v>
      </c>
      <c r="L8" s="20" t="s">
        <v>1246</v>
      </c>
      <c r="M8" s="19" t="s">
        <v>1247</v>
      </c>
      <c r="N8" s="19" t="s">
        <v>1248</v>
      </c>
      <c r="O8" s="19" t="s">
        <v>1249</v>
      </c>
      <c r="P8" s="19" t="s">
        <v>2934</v>
      </c>
      <c r="Q8" s="20" t="s">
        <v>1250</v>
      </c>
      <c r="R8" s="19" t="s">
        <v>1251</v>
      </c>
      <c r="S8" s="19" t="s">
        <v>2933</v>
      </c>
      <c r="T8" s="99" t="s">
        <v>2063</v>
      </c>
      <c r="U8" s="21" t="s">
        <v>2931</v>
      </c>
      <c r="V8" s="22" t="s">
        <v>2930</v>
      </c>
      <c r="W8" s="22" t="s">
        <v>2932</v>
      </c>
      <c r="X8" s="22" t="s">
        <v>1248</v>
      </c>
      <c r="Y8" s="264" t="s">
        <v>2964</v>
      </c>
      <c r="Z8" s="179" t="s">
        <v>2963</v>
      </c>
      <c r="AA8" s="325" t="s">
        <v>2931</v>
      </c>
      <c r="AB8" s="326" t="s">
        <v>2944</v>
      </c>
      <c r="AC8" s="228" t="s">
        <v>3557</v>
      </c>
      <c r="AD8" s="326" t="s">
        <v>2930</v>
      </c>
      <c r="AE8" s="326" t="s">
        <v>2932</v>
      </c>
      <c r="AF8" s="326" t="s">
        <v>1248</v>
      </c>
      <c r="AG8" s="228" t="s">
        <v>477</v>
      </c>
      <c r="AH8" s="228" t="s">
        <v>3555</v>
      </c>
      <c r="AI8" s="229" t="s">
        <v>3556</v>
      </c>
      <c r="AJ8" s="159" t="s">
        <v>1047</v>
      </c>
      <c r="AK8" s="19" t="s">
        <v>3648</v>
      </c>
      <c r="AL8" s="19" t="s">
        <v>2945</v>
      </c>
      <c r="AM8" s="19" t="s">
        <v>2935</v>
      </c>
      <c r="AN8" s="19" t="s">
        <v>2947</v>
      </c>
      <c r="AO8" s="19" t="s">
        <v>2948</v>
      </c>
      <c r="AP8" s="19" t="s">
        <v>2936</v>
      </c>
      <c r="AQ8" s="117" t="s">
        <v>3562</v>
      </c>
      <c r="AR8" s="117" t="s">
        <v>3025</v>
      </c>
      <c r="AS8" s="16" t="s">
        <v>2927</v>
      </c>
      <c r="AT8" s="16" t="s">
        <v>3024</v>
      </c>
      <c r="AU8" s="61" t="s">
        <v>2928</v>
      </c>
      <c r="AV8" s="16" t="s">
        <v>2929</v>
      </c>
    </row>
    <row r="9" spans="1:48" s="14" customFormat="1" ht="18.75" x14ac:dyDescent="0.3">
      <c r="A9" s="26" t="s">
        <v>1253</v>
      </c>
      <c r="B9" s="269"/>
      <c r="C9" s="19"/>
      <c r="D9" s="19"/>
      <c r="E9" s="213"/>
      <c r="F9" s="19"/>
      <c r="G9" s="20"/>
      <c r="H9" s="19"/>
      <c r="I9" s="19"/>
      <c r="J9" s="19"/>
      <c r="K9" s="19"/>
      <c r="L9" s="20"/>
      <c r="M9" s="19"/>
      <c r="N9" s="19"/>
      <c r="O9" s="19"/>
      <c r="P9" s="19"/>
      <c r="Q9" s="20"/>
      <c r="R9" s="19"/>
      <c r="S9" s="19"/>
      <c r="T9" s="19"/>
      <c r="U9" s="21"/>
      <c r="V9" s="22"/>
      <c r="W9" s="22"/>
      <c r="X9" s="22"/>
      <c r="Y9" s="22"/>
      <c r="Z9" s="180"/>
      <c r="AA9" s="325"/>
      <c r="AB9" s="326"/>
      <c r="AC9" s="326"/>
      <c r="AD9" s="326"/>
      <c r="AE9" s="359"/>
      <c r="AF9" s="326"/>
      <c r="AG9" s="326"/>
      <c r="AH9" s="326"/>
      <c r="AI9" s="327"/>
      <c r="AJ9" s="159"/>
      <c r="AK9" s="22"/>
      <c r="AL9" s="22"/>
      <c r="AM9" s="139"/>
      <c r="AN9" s="22"/>
      <c r="AO9" s="22"/>
      <c r="AP9" s="22"/>
      <c r="AQ9" s="16"/>
      <c r="AR9" s="23"/>
      <c r="AS9" s="16"/>
      <c r="AT9" s="23"/>
      <c r="AU9" s="61"/>
      <c r="AV9" s="16"/>
    </row>
    <row r="10" spans="1:48" s="24" customFormat="1" ht="18" customHeight="1" thickBot="1" x14ac:dyDescent="0.3">
      <c r="A10" s="32" t="s">
        <v>1230</v>
      </c>
      <c r="B10" s="270"/>
      <c r="C10" s="32"/>
      <c r="D10" s="32"/>
      <c r="E10" s="214"/>
      <c r="F10" s="32"/>
      <c r="G10" s="33"/>
      <c r="H10" s="32"/>
      <c r="I10" s="32"/>
      <c r="J10" s="32"/>
      <c r="K10" s="32"/>
      <c r="L10" s="33"/>
      <c r="M10" s="32"/>
      <c r="N10" s="32"/>
      <c r="O10" s="32"/>
      <c r="P10" s="32"/>
      <c r="Q10" s="33"/>
      <c r="R10" s="32"/>
      <c r="S10" s="32"/>
      <c r="T10" s="32"/>
      <c r="U10" s="34"/>
      <c r="V10" s="35"/>
      <c r="W10" s="35"/>
      <c r="X10" s="35"/>
      <c r="Y10" s="35"/>
      <c r="Z10" s="181"/>
      <c r="AA10" s="230"/>
      <c r="AB10" s="231"/>
      <c r="AC10" s="231"/>
      <c r="AD10" s="231"/>
      <c r="AE10" s="231"/>
      <c r="AF10" s="231"/>
      <c r="AG10" s="231"/>
      <c r="AH10" s="231"/>
      <c r="AI10" s="232"/>
      <c r="AJ10" s="160"/>
      <c r="AK10" s="35"/>
      <c r="AL10" s="151"/>
      <c r="AM10" s="150"/>
      <c r="AN10" s="151"/>
      <c r="AO10" s="151"/>
      <c r="AP10" s="151"/>
      <c r="AQ10" s="36"/>
      <c r="AR10" s="277"/>
      <c r="AS10" s="36"/>
      <c r="AT10" s="277"/>
      <c r="AU10" s="62"/>
      <c r="AV10" s="36"/>
    </row>
    <row r="11" spans="1:48" ht="12.95" customHeight="1" thickBot="1" x14ac:dyDescent="0.3">
      <c r="A11" s="197" t="s">
        <v>8</v>
      </c>
      <c r="B11" s="271"/>
      <c r="C11" s="197" t="s">
        <v>1594</v>
      </c>
      <c r="D11" s="197" t="s">
        <v>1595</v>
      </c>
      <c r="E11" s="165" t="s">
        <v>1595</v>
      </c>
      <c r="F11" s="197" t="str">
        <f t="shared" ref="F11:F32" si="0">CONCATENATE("unused_",A11)</f>
        <v>unused_CLK1_OUT</v>
      </c>
      <c r="G11" s="198" t="s">
        <v>775</v>
      </c>
      <c r="H11" s="197" t="s">
        <v>252</v>
      </c>
      <c r="I11" s="360" t="s">
        <v>3063</v>
      </c>
      <c r="J11" s="360" t="s">
        <v>3076</v>
      </c>
      <c r="K11" s="360" t="s">
        <v>3090</v>
      </c>
      <c r="L11" s="198" t="s">
        <v>254</v>
      </c>
      <c r="M11" s="197" t="s">
        <v>254</v>
      </c>
      <c r="N11" s="197" t="s">
        <v>2062</v>
      </c>
      <c r="O11" s="197" t="s">
        <v>255</v>
      </c>
      <c r="P11" s="197" t="s">
        <v>253</v>
      </c>
      <c r="Q11" s="198" t="s">
        <v>256</v>
      </c>
      <c r="R11" s="197" t="s">
        <v>257</v>
      </c>
      <c r="S11" s="197">
        <v>100</v>
      </c>
      <c r="T11" s="197" t="s">
        <v>258</v>
      </c>
      <c r="U11" s="198">
        <v>0</v>
      </c>
      <c r="V11" s="199">
        <v>1</v>
      </c>
      <c r="W11" s="199">
        <v>1</v>
      </c>
      <c r="X11" s="199" t="s">
        <v>259</v>
      </c>
      <c r="Y11" s="200" t="s">
        <v>260</v>
      </c>
      <c r="Z11" s="200" t="s">
        <v>260</v>
      </c>
      <c r="AA11" s="233" t="str">
        <f t="shared" ref="AA11:AA32" si="1">IF((AJ11=H11),0,IF((AJ11=I11),1,IF((AJ11=J11),2,IF((AJ11=K11),3,IF((AJ11=G11),"GPIO",IF((AJ11=F11),"Unused"))))))</f>
        <v>Unused</v>
      </c>
      <c r="AB11" s="234" t="str">
        <f>IF((OR($AA11=0,$AA11=1,$AA11=2,$AA11=3)),"SFIO",IF(($AA11="GPIO"),"GPIO","Unused"))</f>
        <v>Unused</v>
      </c>
      <c r="AC11" s="248"/>
      <c r="AD11" s="234" t="str">
        <f>IF(($AB11="Unused"), "ENABLE", IF((OR($AK11="Bidir",$AK11="Out")), "NORMAL", IF((OR($AK11="IN",AL11="Z", AL11="Int PU",AL11="Int PD")),"ENABLE","NORMAL")))</f>
        <v>ENABLE</v>
      </c>
      <c r="AE11" s="234" t="str">
        <f t="shared" ref="AE11:AE32" si="2">IF((OR($AB11="Unused",$AK11="OUT")),"DISABLE","ENABLE")</f>
        <v>DISABLE</v>
      </c>
      <c r="AF11" s="234" t="str">
        <f>IF((OR((AND($AC11="Yes",$AN11="",OR($AK11="In",$AK11="Bidir"))),($AL11="Int PU"))),"PULL_UP",IF(($AL11="Int PD"),"PULL_DOWN",IF((OR($AB11="Unused",$AL11="Drive 1",$AL11="Drive 0",$AL11="Z",$AL11="na",$AL11="",$AN11&lt;&gt;"",$AO11&lt;&gt;"")),"NORMAL")))</f>
        <v>NORMAL</v>
      </c>
      <c r="AG11" s="247"/>
      <c r="AH11" s="234" t="str">
        <f>IF((AND($AB11="GPIO",$AK11="Out")),"DRIVEN",IF((AND($AB11="GPIO",$AK11="Bidir")),"DRIVEN","TRISTATE"))</f>
        <v>TRISTATE</v>
      </c>
      <c r="AI11" s="234" t="str">
        <f>IF((OR($AL11="Drive 0")),"LOW","HIGH")</f>
        <v>HIGH</v>
      </c>
      <c r="AJ11" s="182" t="s">
        <v>3652</v>
      </c>
      <c r="AK11" s="149" t="s">
        <v>2926</v>
      </c>
      <c r="AL11" s="153"/>
      <c r="AM11" s="256"/>
      <c r="AN11" s="152"/>
      <c r="AO11" s="152"/>
      <c r="AP11" s="153"/>
      <c r="AQ11" s="336" t="s">
        <v>2277</v>
      </c>
      <c r="AR11" s="6" t="s">
        <v>252</v>
      </c>
      <c r="AS11" s="42" t="s">
        <v>1215</v>
      </c>
      <c r="AT11" s="281" t="s">
        <v>252</v>
      </c>
      <c r="AU11" s="42" t="s">
        <v>2277</v>
      </c>
      <c r="AV11" s="42" t="s">
        <v>1215</v>
      </c>
    </row>
    <row r="12" spans="1:48" ht="12.95" customHeight="1" thickBot="1" x14ac:dyDescent="0.3">
      <c r="A12" s="197" t="s">
        <v>9</v>
      </c>
      <c r="B12" s="271"/>
      <c r="C12" s="197" t="s">
        <v>1596</v>
      </c>
      <c r="D12" s="212"/>
      <c r="E12" s="217"/>
      <c r="F12" s="197" t="str">
        <f t="shared" si="0"/>
        <v>unused_CLK1_REQ</v>
      </c>
      <c r="G12" s="198" t="s">
        <v>776</v>
      </c>
      <c r="H12" s="197" t="s">
        <v>261</v>
      </c>
      <c r="I12" s="197" t="s">
        <v>262</v>
      </c>
      <c r="J12" s="360" t="s">
        <v>3076</v>
      </c>
      <c r="K12" s="360" t="s">
        <v>3090</v>
      </c>
      <c r="L12" s="198" t="s">
        <v>2062</v>
      </c>
      <c r="M12" s="197" t="s">
        <v>254</v>
      </c>
      <c r="N12" s="197" t="s">
        <v>2062</v>
      </c>
      <c r="O12" s="197" t="s">
        <v>263</v>
      </c>
      <c r="P12" s="197" t="s">
        <v>253</v>
      </c>
      <c r="Q12" s="198" t="s">
        <v>256</v>
      </c>
      <c r="R12" s="197" t="s">
        <v>257</v>
      </c>
      <c r="S12" s="197">
        <v>100</v>
      </c>
      <c r="T12" s="197" t="s">
        <v>258</v>
      </c>
      <c r="U12" s="198">
        <v>0</v>
      </c>
      <c r="V12" s="199">
        <v>0</v>
      </c>
      <c r="W12" s="199">
        <v>1</v>
      </c>
      <c r="X12" s="199" t="s">
        <v>264</v>
      </c>
      <c r="Y12" s="200" t="s">
        <v>265</v>
      </c>
      <c r="Z12" s="200" t="s">
        <v>265</v>
      </c>
      <c r="AA12" s="233" t="str">
        <f t="shared" si="1"/>
        <v>Unused</v>
      </c>
      <c r="AB12" s="234" t="str">
        <f t="shared" ref="AB12:AB75" si="3">IF((OR($AA12=0,$AA12=1,$AA12=2,$AA12=3)),"SFIO",IF(($AA12="GPIO"),"GPIO","Unused"))</f>
        <v>Unused</v>
      </c>
      <c r="AC12" s="248"/>
      <c r="AD12" s="234" t="str">
        <f t="shared" ref="AD12:AD32" si="4">IF(($AB12="Unused"), "ENABLE", IF((OR($AK12="Bidir",$AK12="Out")), "NORMAL", IF((OR($AK12="IN",AL12="Z", AL12="Int PU",AL12="Int PD")),"ENABLE","NORMAL")))</f>
        <v>ENABLE</v>
      </c>
      <c r="AE12" s="234" t="str">
        <f t="shared" si="2"/>
        <v>DISABLE</v>
      </c>
      <c r="AF12" s="234" t="str">
        <f t="shared" ref="AF12:AF75" si="5">IF((OR((AND($AC12="Yes",$AN12="",OR($AK12="In",$AK12="Bidir"))),($AL12="Int PU"))),"PULL_UP",IF(($AL12="Int PD"),"PULL_DOWN",IF((OR($AB12="Unused",$AL12="Drive 1",$AL12="Drive 0",$AL12="Z",$AL12="na",$AL12="",$AN12&lt;&gt;"",$AO12&lt;&gt;"")),"NORMAL")))</f>
        <v>NORMAL</v>
      </c>
      <c r="AG12" s="248"/>
      <c r="AH12" s="234" t="str">
        <f t="shared" ref="AH12:AH32" si="6">IF((AND($AB12="GPIO",$AK12="Out")),"DRIVEN",IF((AND($AB12="GPIO",$AK12="Bidir")),"DRIVEN","TRISTATE"))</f>
        <v>TRISTATE</v>
      </c>
      <c r="AI12" s="234" t="str">
        <f t="shared" ref="AI12:AI32" si="7">IF((OR($AL12="Drive 0")),"LOW","HIGH")</f>
        <v>HIGH</v>
      </c>
      <c r="AJ12" s="182" t="s">
        <v>1121</v>
      </c>
      <c r="AK12" s="149" t="s">
        <v>2926</v>
      </c>
      <c r="AL12" s="153"/>
      <c r="AM12" s="256"/>
      <c r="AN12" s="152"/>
      <c r="AO12" s="152"/>
      <c r="AP12" s="153"/>
      <c r="AQ12" s="345"/>
      <c r="AR12" s="6" t="s">
        <v>1121</v>
      </c>
      <c r="AS12" s="43"/>
      <c r="AT12" s="282" t="s">
        <v>1121</v>
      </c>
      <c r="AU12" s="59" t="s">
        <v>2280</v>
      </c>
      <c r="AV12" s="126"/>
    </row>
    <row r="13" spans="1:48" ht="12.95" customHeight="1" thickBot="1" x14ac:dyDescent="0.3">
      <c r="A13" s="197" t="s">
        <v>10</v>
      </c>
      <c r="B13" s="271"/>
      <c r="C13" s="197" t="s">
        <v>1597</v>
      </c>
      <c r="D13" s="197" t="s">
        <v>1598</v>
      </c>
      <c r="E13" s="165" t="s">
        <v>1598</v>
      </c>
      <c r="F13" s="197" t="str">
        <f t="shared" si="0"/>
        <v>unused_DAP1_DIN</v>
      </c>
      <c r="G13" s="198" t="s">
        <v>777</v>
      </c>
      <c r="H13" s="197" t="s">
        <v>266</v>
      </c>
      <c r="I13" s="197" t="s">
        <v>267</v>
      </c>
      <c r="J13" s="197" t="s">
        <v>268</v>
      </c>
      <c r="K13" s="197" t="s">
        <v>269</v>
      </c>
      <c r="L13" s="198" t="s">
        <v>2062</v>
      </c>
      <c r="M13" s="197" t="s">
        <v>270</v>
      </c>
      <c r="N13" s="197" t="s">
        <v>270</v>
      </c>
      <c r="O13" s="197" t="s">
        <v>255</v>
      </c>
      <c r="P13" s="197" t="s">
        <v>253</v>
      </c>
      <c r="Q13" s="198" t="s">
        <v>256</v>
      </c>
      <c r="R13" s="197" t="s">
        <v>257</v>
      </c>
      <c r="S13" s="197">
        <v>50</v>
      </c>
      <c r="T13" s="197" t="s">
        <v>271</v>
      </c>
      <c r="U13" s="198">
        <v>0</v>
      </c>
      <c r="V13" s="199">
        <v>1</v>
      </c>
      <c r="W13" s="199">
        <v>1</v>
      </c>
      <c r="X13" s="199" t="s">
        <v>259</v>
      </c>
      <c r="Y13" s="200" t="s">
        <v>260</v>
      </c>
      <c r="Z13" s="200" t="s">
        <v>260</v>
      </c>
      <c r="AA13" s="233" t="str">
        <f t="shared" si="1"/>
        <v>Unused</v>
      </c>
      <c r="AB13" s="234" t="str">
        <f t="shared" si="3"/>
        <v>Unused</v>
      </c>
      <c r="AC13" s="234" t="str">
        <f>IF(REPLACE(AJ13,FIND(".",CONCATENATE(REPLACE(AJ13,FIND("-",CONCATENATE(AJ13,"-")),LEN(AJ13),""),".")),LEN(AJ13),"")="SDMMC2","Yes","No")</f>
        <v>No</v>
      </c>
      <c r="AD13" s="234" t="str">
        <f t="shared" si="4"/>
        <v>ENABLE</v>
      </c>
      <c r="AE13" s="234" t="str">
        <f t="shared" si="2"/>
        <v>DISABLE</v>
      </c>
      <c r="AF13" s="234" t="str">
        <f t="shared" si="5"/>
        <v>NORMAL</v>
      </c>
      <c r="AG13" s="248"/>
      <c r="AH13" s="234" t="str">
        <f t="shared" si="6"/>
        <v>TRISTATE</v>
      </c>
      <c r="AI13" s="234" t="str">
        <f t="shared" si="7"/>
        <v>HIGH</v>
      </c>
      <c r="AJ13" s="182" t="s">
        <v>3653</v>
      </c>
      <c r="AK13" s="149" t="s">
        <v>2926</v>
      </c>
      <c r="AL13" s="153"/>
      <c r="AM13" s="257"/>
      <c r="AN13" s="152"/>
      <c r="AO13" s="152"/>
      <c r="AP13" s="153"/>
      <c r="AQ13" s="385" t="s">
        <v>1166</v>
      </c>
      <c r="AR13" s="6" t="s">
        <v>266</v>
      </c>
      <c r="AS13" s="379" t="s">
        <v>2250</v>
      </c>
      <c r="AT13" s="282" t="s">
        <v>266</v>
      </c>
      <c r="AU13" s="371" t="s">
        <v>1166</v>
      </c>
      <c r="AV13" s="379" t="s">
        <v>2250</v>
      </c>
    </row>
    <row r="14" spans="1:48" ht="12.95" customHeight="1" thickBot="1" x14ac:dyDescent="0.3">
      <c r="A14" s="197" t="s">
        <v>11</v>
      </c>
      <c r="B14" s="271"/>
      <c r="C14" s="197" t="s">
        <v>1599</v>
      </c>
      <c r="D14" s="197" t="s">
        <v>1600</v>
      </c>
      <c r="E14" s="165" t="s">
        <v>1600</v>
      </c>
      <c r="F14" s="197" t="str">
        <f t="shared" si="0"/>
        <v>unused_DAP1_DOUT</v>
      </c>
      <c r="G14" s="198" t="s">
        <v>778</v>
      </c>
      <c r="H14" s="197" t="s">
        <v>272</v>
      </c>
      <c r="I14" s="197" t="s">
        <v>273</v>
      </c>
      <c r="J14" s="197" t="s">
        <v>274</v>
      </c>
      <c r="K14" s="197" t="s">
        <v>275</v>
      </c>
      <c r="L14" s="198" t="s">
        <v>2062</v>
      </c>
      <c r="M14" s="197" t="s">
        <v>254</v>
      </c>
      <c r="N14" s="197" t="s">
        <v>2062</v>
      </c>
      <c r="O14" s="197" t="s">
        <v>255</v>
      </c>
      <c r="P14" s="197">
        <v>30</v>
      </c>
      <c r="Q14" s="198" t="s">
        <v>256</v>
      </c>
      <c r="R14" s="197" t="s">
        <v>257</v>
      </c>
      <c r="S14" s="197">
        <v>50</v>
      </c>
      <c r="T14" s="197" t="s">
        <v>271</v>
      </c>
      <c r="U14" s="198">
        <v>0</v>
      </c>
      <c r="V14" s="199">
        <v>1</v>
      </c>
      <c r="W14" s="199">
        <v>1</v>
      </c>
      <c r="X14" s="199" t="s">
        <v>259</v>
      </c>
      <c r="Y14" s="200" t="s">
        <v>260</v>
      </c>
      <c r="Z14" s="200" t="s">
        <v>260</v>
      </c>
      <c r="AA14" s="233" t="str">
        <f t="shared" si="1"/>
        <v>Unused</v>
      </c>
      <c r="AB14" s="234" t="str">
        <f t="shared" si="3"/>
        <v>Unused</v>
      </c>
      <c r="AC14" s="234" t="str">
        <f>IF(REPLACE(AJ14,FIND(".",CONCATENATE(REPLACE(AJ14,FIND("-",CONCATENATE(AJ14,"-")),LEN(AJ14),""),".")),LEN(AJ14),"")="SDMMC2","Yes","No")</f>
        <v>No</v>
      </c>
      <c r="AD14" s="234" t="str">
        <f t="shared" si="4"/>
        <v>ENABLE</v>
      </c>
      <c r="AE14" s="234" t="str">
        <f t="shared" si="2"/>
        <v>DISABLE</v>
      </c>
      <c r="AF14" s="234" t="str">
        <f t="shared" si="5"/>
        <v>NORMAL</v>
      </c>
      <c r="AG14" s="248"/>
      <c r="AH14" s="234" t="str">
        <f t="shared" si="6"/>
        <v>TRISTATE</v>
      </c>
      <c r="AI14" s="234" t="str">
        <f t="shared" si="7"/>
        <v>HIGH</v>
      </c>
      <c r="AJ14" s="182" t="s">
        <v>3654</v>
      </c>
      <c r="AK14" s="149" t="s">
        <v>2926</v>
      </c>
      <c r="AL14" s="153"/>
      <c r="AM14" s="168"/>
      <c r="AN14" s="152"/>
      <c r="AO14" s="152"/>
      <c r="AP14" s="153"/>
      <c r="AQ14" s="386"/>
      <c r="AR14" s="6" t="s">
        <v>272</v>
      </c>
      <c r="AS14" s="379"/>
      <c r="AT14" s="282" t="s">
        <v>272</v>
      </c>
      <c r="AU14" s="372"/>
      <c r="AV14" s="379"/>
    </row>
    <row r="15" spans="1:48" ht="12.95" customHeight="1" x14ac:dyDescent="0.25">
      <c r="A15" s="197" t="s">
        <v>12</v>
      </c>
      <c r="B15" s="271"/>
      <c r="C15" s="197" t="s">
        <v>1601</v>
      </c>
      <c r="D15" s="197" t="s">
        <v>1602</v>
      </c>
      <c r="E15" s="165" t="s">
        <v>1602</v>
      </c>
      <c r="F15" s="197" t="str">
        <f t="shared" si="0"/>
        <v>unused_DAP1_FS</v>
      </c>
      <c r="G15" s="198" t="s">
        <v>779</v>
      </c>
      <c r="H15" s="197" t="s">
        <v>276</v>
      </c>
      <c r="I15" s="197" t="s">
        <v>277</v>
      </c>
      <c r="J15" s="197" t="s">
        <v>278</v>
      </c>
      <c r="K15" s="197" t="s">
        <v>279</v>
      </c>
      <c r="L15" s="198" t="s">
        <v>2062</v>
      </c>
      <c r="M15" s="197" t="s">
        <v>270</v>
      </c>
      <c r="N15" s="197" t="s">
        <v>270</v>
      </c>
      <c r="O15" s="197" t="s">
        <v>255</v>
      </c>
      <c r="P15" s="197" t="s">
        <v>253</v>
      </c>
      <c r="Q15" s="198" t="s">
        <v>256</v>
      </c>
      <c r="R15" s="197" t="s">
        <v>257</v>
      </c>
      <c r="S15" s="197">
        <v>50</v>
      </c>
      <c r="T15" s="197" t="s">
        <v>271</v>
      </c>
      <c r="U15" s="198">
        <v>0</v>
      </c>
      <c r="V15" s="199">
        <v>1</v>
      </c>
      <c r="W15" s="199">
        <v>1</v>
      </c>
      <c r="X15" s="199" t="s">
        <v>259</v>
      </c>
      <c r="Y15" s="200" t="s">
        <v>260</v>
      </c>
      <c r="Z15" s="200" t="s">
        <v>260</v>
      </c>
      <c r="AA15" s="233" t="str">
        <f t="shared" si="1"/>
        <v>Unused</v>
      </c>
      <c r="AB15" s="234" t="str">
        <f t="shared" si="3"/>
        <v>Unused</v>
      </c>
      <c r="AC15" s="234" t="str">
        <f>IF(REPLACE(AJ15,FIND(".",CONCATENATE(REPLACE(AJ15,FIND("-",CONCATENATE(AJ15,"-")),LEN(AJ15),""),".")),LEN(AJ15),"")="SDMMC2","Yes","No")</f>
        <v>No</v>
      </c>
      <c r="AD15" s="234" t="str">
        <f t="shared" si="4"/>
        <v>ENABLE</v>
      </c>
      <c r="AE15" s="234" t="str">
        <f t="shared" si="2"/>
        <v>DISABLE</v>
      </c>
      <c r="AF15" s="234" t="str">
        <f t="shared" si="5"/>
        <v>NORMAL</v>
      </c>
      <c r="AG15" s="248"/>
      <c r="AH15" s="234" t="str">
        <f t="shared" si="6"/>
        <v>TRISTATE</v>
      </c>
      <c r="AI15" s="234" t="str">
        <f t="shared" si="7"/>
        <v>HIGH</v>
      </c>
      <c r="AJ15" s="182" t="s">
        <v>3655</v>
      </c>
      <c r="AK15" s="149" t="s">
        <v>2926</v>
      </c>
      <c r="AL15" s="153"/>
      <c r="AM15" s="258"/>
      <c r="AN15" s="152"/>
      <c r="AO15" s="152"/>
      <c r="AP15" s="153"/>
      <c r="AQ15" s="386"/>
      <c r="AR15" s="6" t="s">
        <v>276</v>
      </c>
      <c r="AS15" s="379"/>
      <c r="AT15" s="282" t="s">
        <v>276</v>
      </c>
      <c r="AU15" s="372"/>
      <c r="AV15" s="379"/>
    </row>
    <row r="16" spans="1:48" ht="12.95" customHeight="1" thickBot="1" x14ac:dyDescent="0.3">
      <c r="A16" s="197" t="s">
        <v>13</v>
      </c>
      <c r="B16" s="271"/>
      <c r="C16" s="197" t="s">
        <v>1603</v>
      </c>
      <c r="D16" s="197" t="s">
        <v>1604</v>
      </c>
      <c r="E16" s="165" t="s">
        <v>1604</v>
      </c>
      <c r="F16" s="197" t="str">
        <f t="shared" si="0"/>
        <v>unused_DAP1_SCLK</v>
      </c>
      <c r="G16" s="198" t="s">
        <v>780</v>
      </c>
      <c r="H16" s="197" t="s">
        <v>280</v>
      </c>
      <c r="I16" s="197" t="s">
        <v>281</v>
      </c>
      <c r="J16" s="197" t="s">
        <v>282</v>
      </c>
      <c r="K16" s="197" t="s">
        <v>283</v>
      </c>
      <c r="L16" s="198" t="s">
        <v>2062</v>
      </c>
      <c r="M16" s="197" t="s">
        <v>270</v>
      </c>
      <c r="N16" s="197" t="s">
        <v>270</v>
      </c>
      <c r="O16" s="197" t="s">
        <v>255</v>
      </c>
      <c r="P16" s="197" t="s">
        <v>253</v>
      </c>
      <c r="Q16" s="198" t="s">
        <v>256</v>
      </c>
      <c r="R16" s="197" t="s">
        <v>257</v>
      </c>
      <c r="S16" s="197">
        <v>50</v>
      </c>
      <c r="T16" s="197" t="s">
        <v>271</v>
      </c>
      <c r="U16" s="198">
        <v>0</v>
      </c>
      <c r="V16" s="199">
        <v>1</v>
      </c>
      <c r="W16" s="199">
        <v>1</v>
      </c>
      <c r="X16" s="199" t="s">
        <v>259</v>
      </c>
      <c r="Y16" s="200" t="s">
        <v>260</v>
      </c>
      <c r="Z16" s="200" t="s">
        <v>260</v>
      </c>
      <c r="AA16" s="233" t="str">
        <f t="shared" si="1"/>
        <v>Unused</v>
      </c>
      <c r="AB16" s="234" t="str">
        <f t="shared" si="3"/>
        <v>Unused</v>
      </c>
      <c r="AC16" s="234" t="str">
        <f>IF(REPLACE(AJ16,FIND(".",CONCATENATE(REPLACE(AJ16,FIND("-",CONCATENATE(AJ16,"-")),LEN(AJ16),""),".")),LEN(AJ16),"")="SDMMC2","Yes","No")</f>
        <v>No</v>
      </c>
      <c r="AD16" s="234" t="str">
        <f t="shared" si="4"/>
        <v>ENABLE</v>
      </c>
      <c r="AE16" s="234" t="str">
        <f t="shared" si="2"/>
        <v>DISABLE</v>
      </c>
      <c r="AF16" s="234" t="str">
        <f t="shared" si="5"/>
        <v>NORMAL</v>
      </c>
      <c r="AG16" s="248"/>
      <c r="AH16" s="234" t="str">
        <f t="shared" si="6"/>
        <v>TRISTATE</v>
      </c>
      <c r="AI16" s="234" t="str">
        <f t="shared" si="7"/>
        <v>HIGH</v>
      </c>
      <c r="AJ16" s="182" t="s">
        <v>3656</v>
      </c>
      <c r="AK16" s="149" t="s">
        <v>2926</v>
      </c>
      <c r="AL16" s="153"/>
      <c r="AM16" s="256"/>
      <c r="AN16" s="152"/>
      <c r="AO16" s="152"/>
      <c r="AP16" s="153"/>
      <c r="AQ16" s="387"/>
      <c r="AR16" s="6" t="s">
        <v>280</v>
      </c>
      <c r="AS16" s="379"/>
      <c r="AT16" s="282" t="s">
        <v>280</v>
      </c>
      <c r="AU16" s="373"/>
      <c r="AV16" s="379"/>
    </row>
    <row r="17" spans="1:48" ht="12.95" customHeight="1" x14ac:dyDescent="0.25">
      <c r="A17" s="197" t="s">
        <v>14</v>
      </c>
      <c r="B17" s="271"/>
      <c r="C17" s="197" t="s">
        <v>1605</v>
      </c>
      <c r="D17" s="197" t="s">
        <v>1606</v>
      </c>
      <c r="E17" s="165" t="s">
        <v>1606</v>
      </c>
      <c r="F17" s="197" t="str">
        <f t="shared" si="0"/>
        <v>unused_DAP2_DIN</v>
      </c>
      <c r="G17" s="198" t="s">
        <v>781</v>
      </c>
      <c r="H17" s="197" t="s">
        <v>284</v>
      </c>
      <c r="I17" s="197" t="s">
        <v>285</v>
      </c>
      <c r="J17" s="360" t="s">
        <v>3076</v>
      </c>
      <c r="K17" s="197" t="s">
        <v>286</v>
      </c>
      <c r="L17" s="198" t="s">
        <v>2062</v>
      </c>
      <c r="M17" s="197" t="s">
        <v>270</v>
      </c>
      <c r="N17" s="197" t="s">
        <v>270</v>
      </c>
      <c r="O17" s="197" t="s">
        <v>255</v>
      </c>
      <c r="P17" s="197" t="s">
        <v>253</v>
      </c>
      <c r="Q17" s="198" t="s">
        <v>256</v>
      </c>
      <c r="R17" s="197" t="s">
        <v>257</v>
      </c>
      <c r="S17" s="197">
        <v>100</v>
      </c>
      <c r="T17" s="197" t="s">
        <v>287</v>
      </c>
      <c r="U17" s="198">
        <v>0</v>
      </c>
      <c r="V17" s="199">
        <v>1</v>
      </c>
      <c r="W17" s="199">
        <v>1</v>
      </c>
      <c r="X17" s="199" t="s">
        <v>259</v>
      </c>
      <c r="Y17" s="200" t="s">
        <v>260</v>
      </c>
      <c r="Z17" s="200" t="s">
        <v>260</v>
      </c>
      <c r="AA17" s="233" t="str">
        <f t="shared" si="1"/>
        <v>Unused</v>
      </c>
      <c r="AB17" s="234" t="str">
        <f t="shared" si="3"/>
        <v>Unused</v>
      </c>
      <c r="AC17" s="248"/>
      <c r="AD17" s="234" t="str">
        <f t="shared" si="4"/>
        <v>ENABLE</v>
      </c>
      <c r="AE17" s="234" t="str">
        <f t="shared" si="2"/>
        <v>DISABLE</v>
      </c>
      <c r="AF17" s="234" t="str">
        <f t="shared" si="5"/>
        <v>NORMAL</v>
      </c>
      <c r="AG17" s="248"/>
      <c r="AH17" s="234" t="str">
        <f t="shared" si="6"/>
        <v>TRISTATE</v>
      </c>
      <c r="AI17" s="234" t="str">
        <f t="shared" si="7"/>
        <v>HIGH</v>
      </c>
      <c r="AJ17" s="182" t="s">
        <v>3657</v>
      </c>
      <c r="AK17" s="149" t="s">
        <v>2926</v>
      </c>
      <c r="AL17" s="153"/>
      <c r="AM17" s="256"/>
      <c r="AN17" s="152"/>
      <c r="AO17" s="152"/>
      <c r="AP17" s="153"/>
      <c r="AQ17" s="385" t="s">
        <v>1167</v>
      </c>
      <c r="AR17" s="6" t="s">
        <v>284</v>
      </c>
      <c r="AS17" s="379" t="s">
        <v>1167</v>
      </c>
      <c r="AT17" s="282" t="s">
        <v>284</v>
      </c>
      <c r="AU17" s="371" t="s">
        <v>1167</v>
      </c>
      <c r="AV17" s="379" t="s">
        <v>1167</v>
      </c>
    </row>
    <row r="18" spans="1:48" ht="12.95" customHeight="1" x14ac:dyDescent="0.25">
      <c r="A18" s="197" t="s">
        <v>15</v>
      </c>
      <c r="B18" s="271"/>
      <c r="C18" s="197" t="s">
        <v>1607</v>
      </c>
      <c r="D18" s="197" t="s">
        <v>1608</v>
      </c>
      <c r="E18" s="165" t="s">
        <v>1608</v>
      </c>
      <c r="F18" s="197" t="str">
        <f t="shared" si="0"/>
        <v>unused_DAP2_DOUT</v>
      </c>
      <c r="G18" s="198" t="s">
        <v>782</v>
      </c>
      <c r="H18" s="197" t="s">
        <v>288</v>
      </c>
      <c r="I18" s="197" t="s">
        <v>289</v>
      </c>
      <c r="J18" s="360" t="s">
        <v>3076</v>
      </c>
      <c r="K18" s="197" t="s">
        <v>290</v>
      </c>
      <c r="L18" s="198" t="s">
        <v>2062</v>
      </c>
      <c r="M18" s="197" t="s">
        <v>270</v>
      </c>
      <c r="N18" s="197" t="s">
        <v>270</v>
      </c>
      <c r="O18" s="197" t="s">
        <v>255</v>
      </c>
      <c r="P18" s="197" t="s">
        <v>253</v>
      </c>
      <c r="Q18" s="198" t="s">
        <v>256</v>
      </c>
      <c r="R18" s="197" t="s">
        <v>257</v>
      </c>
      <c r="S18" s="197">
        <v>100</v>
      </c>
      <c r="T18" s="197" t="s">
        <v>287</v>
      </c>
      <c r="U18" s="198">
        <v>0</v>
      </c>
      <c r="V18" s="199">
        <v>1</v>
      </c>
      <c r="W18" s="199">
        <v>1</v>
      </c>
      <c r="X18" s="199" t="s">
        <v>259</v>
      </c>
      <c r="Y18" s="200" t="s">
        <v>260</v>
      </c>
      <c r="Z18" s="200" t="s">
        <v>260</v>
      </c>
      <c r="AA18" s="233" t="str">
        <f t="shared" si="1"/>
        <v>Unused</v>
      </c>
      <c r="AB18" s="234" t="str">
        <f t="shared" si="3"/>
        <v>Unused</v>
      </c>
      <c r="AC18" s="248"/>
      <c r="AD18" s="234" t="str">
        <f t="shared" si="4"/>
        <v>ENABLE</v>
      </c>
      <c r="AE18" s="234" t="str">
        <f t="shared" si="2"/>
        <v>DISABLE</v>
      </c>
      <c r="AF18" s="234" t="str">
        <f t="shared" si="5"/>
        <v>NORMAL</v>
      </c>
      <c r="AG18" s="248"/>
      <c r="AH18" s="234" t="str">
        <f t="shared" si="6"/>
        <v>TRISTATE</v>
      </c>
      <c r="AI18" s="234" t="str">
        <f t="shared" si="7"/>
        <v>HIGH</v>
      </c>
      <c r="AJ18" s="182" t="s">
        <v>3658</v>
      </c>
      <c r="AK18" s="149" t="s">
        <v>2926</v>
      </c>
      <c r="AL18" s="153"/>
      <c r="AM18" s="256"/>
      <c r="AN18" s="152"/>
      <c r="AO18" s="152"/>
      <c r="AP18" s="153"/>
      <c r="AQ18" s="386"/>
      <c r="AR18" s="6" t="s">
        <v>288</v>
      </c>
      <c r="AS18" s="379"/>
      <c r="AT18" s="282" t="s">
        <v>288</v>
      </c>
      <c r="AU18" s="372"/>
      <c r="AV18" s="379"/>
    </row>
    <row r="19" spans="1:48" ht="12.95" customHeight="1" x14ac:dyDescent="0.25">
      <c r="A19" s="197" t="s">
        <v>16</v>
      </c>
      <c r="B19" s="271"/>
      <c r="C19" s="197" t="s">
        <v>1609</v>
      </c>
      <c r="D19" s="197" t="s">
        <v>1610</v>
      </c>
      <c r="E19" s="165" t="s">
        <v>1610</v>
      </c>
      <c r="F19" s="197" t="str">
        <f t="shared" si="0"/>
        <v>unused_DAP2_FS</v>
      </c>
      <c r="G19" s="198" t="s">
        <v>783</v>
      </c>
      <c r="H19" s="197" t="s">
        <v>291</v>
      </c>
      <c r="I19" s="197" t="s">
        <v>292</v>
      </c>
      <c r="J19" s="360" t="s">
        <v>3076</v>
      </c>
      <c r="K19" s="197" t="s">
        <v>293</v>
      </c>
      <c r="L19" s="198" t="s">
        <v>2062</v>
      </c>
      <c r="M19" s="197" t="s">
        <v>270</v>
      </c>
      <c r="N19" s="197" t="s">
        <v>270</v>
      </c>
      <c r="O19" s="197" t="s">
        <v>255</v>
      </c>
      <c r="P19" s="197" t="s">
        <v>253</v>
      </c>
      <c r="Q19" s="198" t="s">
        <v>256</v>
      </c>
      <c r="R19" s="197" t="s">
        <v>257</v>
      </c>
      <c r="S19" s="197">
        <v>100</v>
      </c>
      <c r="T19" s="197" t="s">
        <v>287</v>
      </c>
      <c r="U19" s="198">
        <v>0</v>
      </c>
      <c r="V19" s="199">
        <v>1</v>
      </c>
      <c r="W19" s="199">
        <v>1</v>
      </c>
      <c r="X19" s="199" t="s">
        <v>259</v>
      </c>
      <c r="Y19" s="200" t="s">
        <v>260</v>
      </c>
      <c r="Z19" s="200" t="s">
        <v>260</v>
      </c>
      <c r="AA19" s="233" t="str">
        <f t="shared" si="1"/>
        <v>Unused</v>
      </c>
      <c r="AB19" s="234" t="str">
        <f t="shared" si="3"/>
        <v>Unused</v>
      </c>
      <c r="AC19" s="248"/>
      <c r="AD19" s="234" t="str">
        <f t="shared" si="4"/>
        <v>ENABLE</v>
      </c>
      <c r="AE19" s="234" t="str">
        <f t="shared" si="2"/>
        <v>DISABLE</v>
      </c>
      <c r="AF19" s="234" t="str">
        <f t="shared" si="5"/>
        <v>NORMAL</v>
      </c>
      <c r="AG19" s="248"/>
      <c r="AH19" s="234" t="str">
        <f t="shared" si="6"/>
        <v>TRISTATE</v>
      </c>
      <c r="AI19" s="234" t="str">
        <f t="shared" si="7"/>
        <v>HIGH</v>
      </c>
      <c r="AJ19" s="182" t="s">
        <v>3659</v>
      </c>
      <c r="AK19" s="149" t="s">
        <v>2926</v>
      </c>
      <c r="AL19" s="153"/>
      <c r="AM19" s="256"/>
      <c r="AN19" s="152"/>
      <c r="AO19" s="152"/>
      <c r="AP19" s="153"/>
      <c r="AQ19" s="386"/>
      <c r="AR19" s="6" t="s">
        <v>291</v>
      </c>
      <c r="AS19" s="379"/>
      <c r="AT19" s="282" t="s">
        <v>291</v>
      </c>
      <c r="AU19" s="372"/>
      <c r="AV19" s="379"/>
    </row>
    <row r="20" spans="1:48" ht="12.95" customHeight="1" thickBot="1" x14ac:dyDescent="0.3">
      <c r="A20" s="197" t="s">
        <v>17</v>
      </c>
      <c r="B20" s="271"/>
      <c r="C20" s="197" t="s">
        <v>1611</v>
      </c>
      <c r="D20" s="197" t="s">
        <v>1612</v>
      </c>
      <c r="E20" s="165" t="s">
        <v>1612</v>
      </c>
      <c r="F20" s="197" t="str">
        <f t="shared" si="0"/>
        <v>unused_DAP2_SCLK</v>
      </c>
      <c r="G20" s="198" t="s">
        <v>784</v>
      </c>
      <c r="H20" s="197" t="s">
        <v>294</v>
      </c>
      <c r="I20" s="197" t="s">
        <v>295</v>
      </c>
      <c r="J20" s="360" t="s">
        <v>3076</v>
      </c>
      <c r="K20" s="197" t="s">
        <v>296</v>
      </c>
      <c r="L20" s="198" t="s">
        <v>2062</v>
      </c>
      <c r="M20" s="197" t="s">
        <v>270</v>
      </c>
      <c r="N20" s="197" t="s">
        <v>270</v>
      </c>
      <c r="O20" s="197" t="s">
        <v>255</v>
      </c>
      <c r="P20" s="197" t="s">
        <v>253</v>
      </c>
      <c r="Q20" s="198" t="s">
        <v>256</v>
      </c>
      <c r="R20" s="197" t="s">
        <v>257</v>
      </c>
      <c r="S20" s="197">
        <v>100</v>
      </c>
      <c r="T20" s="197" t="s">
        <v>287</v>
      </c>
      <c r="U20" s="198">
        <v>0</v>
      </c>
      <c r="V20" s="199">
        <v>1</v>
      </c>
      <c r="W20" s="199">
        <v>1</v>
      </c>
      <c r="X20" s="199" t="s">
        <v>259</v>
      </c>
      <c r="Y20" s="200" t="s">
        <v>260</v>
      </c>
      <c r="Z20" s="200" t="s">
        <v>260</v>
      </c>
      <c r="AA20" s="233" t="str">
        <f t="shared" si="1"/>
        <v>Unused</v>
      </c>
      <c r="AB20" s="234" t="str">
        <f t="shared" si="3"/>
        <v>Unused</v>
      </c>
      <c r="AC20" s="248"/>
      <c r="AD20" s="234" t="str">
        <f t="shared" si="4"/>
        <v>ENABLE</v>
      </c>
      <c r="AE20" s="234" t="str">
        <f t="shared" si="2"/>
        <v>DISABLE</v>
      </c>
      <c r="AF20" s="234" t="str">
        <f t="shared" si="5"/>
        <v>NORMAL</v>
      </c>
      <c r="AG20" s="248"/>
      <c r="AH20" s="234" t="str">
        <f t="shared" si="6"/>
        <v>TRISTATE</v>
      </c>
      <c r="AI20" s="234" t="str">
        <f t="shared" si="7"/>
        <v>HIGH</v>
      </c>
      <c r="AJ20" s="182" t="s">
        <v>3660</v>
      </c>
      <c r="AK20" s="149" t="s">
        <v>2926</v>
      </c>
      <c r="AL20" s="153"/>
      <c r="AM20" s="256"/>
      <c r="AN20" s="152"/>
      <c r="AO20" s="152"/>
      <c r="AP20" s="153"/>
      <c r="AQ20" s="387"/>
      <c r="AR20" s="6" t="s">
        <v>294</v>
      </c>
      <c r="AS20" s="379"/>
      <c r="AT20" s="282" t="s">
        <v>294</v>
      </c>
      <c r="AU20" s="373"/>
      <c r="AV20" s="379"/>
    </row>
    <row r="21" spans="1:48" ht="12.95" customHeight="1" x14ac:dyDescent="0.25">
      <c r="A21" s="197" t="s">
        <v>18</v>
      </c>
      <c r="B21" s="271"/>
      <c r="C21" s="197" t="s">
        <v>1613</v>
      </c>
      <c r="D21" s="197" t="s">
        <v>1614</v>
      </c>
      <c r="E21" s="165" t="s">
        <v>1614</v>
      </c>
      <c r="F21" s="197" t="str">
        <f t="shared" si="0"/>
        <v>unused_SPDIF_IN</v>
      </c>
      <c r="G21" s="198" t="s">
        <v>785</v>
      </c>
      <c r="H21" s="197" t="s">
        <v>297</v>
      </c>
      <c r="I21" s="197" t="s">
        <v>298</v>
      </c>
      <c r="J21" s="360" t="s">
        <v>3077</v>
      </c>
      <c r="K21" s="197" t="s">
        <v>299</v>
      </c>
      <c r="L21" s="198" t="s">
        <v>2062</v>
      </c>
      <c r="M21" s="197" t="s">
        <v>270</v>
      </c>
      <c r="N21" s="197" t="s">
        <v>270</v>
      </c>
      <c r="O21" s="197" t="s">
        <v>255</v>
      </c>
      <c r="P21" s="197" t="s">
        <v>253</v>
      </c>
      <c r="Q21" s="198" t="s">
        <v>256</v>
      </c>
      <c r="R21" s="197" t="s">
        <v>257</v>
      </c>
      <c r="S21" s="197">
        <v>50</v>
      </c>
      <c r="T21" s="197" t="s">
        <v>271</v>
      </c>
      <c r="U21" s="198">
        <v>0</v>
      </c>
      <c r="V21" s="199">
        <v>1</v>
      </c>
      <c r="W21" s="199">
        <v>1</v>
      </c>
      <c r="X21" s="199" t="s">
        <v>300</v>
      </c>
      <c r="Y21" s="200" t="s">
        <v>301</v>
      </c>
      <c r="Z21" s="200" t="s">
        <v>301</v>
      </c>
      <c r="AA21" s="233" t="str">
        <f t="shared" si="1"/>
        <v>Unused</v>
      </c>
      <c r="AB21" s="234" t="str">
        <f t="shared" si="3"/>
        <v>Unused</v>
      </c>
      <c r="AC21" s="234" t="str">
        <f>IF(REPLACE(AJ21,FIND(".",CONCATENATE(REPLACE(AJ21,FIND("-",CONCATENATE(AJ21,"-")),LEN(AJ21),""),".")),LEN(AJ21),"")="SDMMC2","Yes","No")</f>
        <v>No</v>
      </c>
      <c r="AD21" s="234" t="str">
        <f t="shared" si="4"/>
        <v>ENABLE</v>
      </c>
      <c r="AE21" s="234" t="str">
        <f t="shared" si="2"/>
        <v>DISABLE</v>
      </c>
      <c r="AF21" s="234" t="str">
        <f t="shared" si="5"/>
        <v>NORMAL</v>
      </c>
      <c r="AG21" s="248"/>
      <c r="AH21" s="234" t="str">
        <f t="shared" si="6"/>
        <v>TRISTATE</v>
      </c>
      <c r="AI21" s="234" t="str">
        <f t="shared" si="7"/>
        <v>HIGH</v>
      </c>
      <c r="AJ21" s="182" t="s">
        <v>1122</v>
      </c>
      <c r="AK21" s="149" t="s">
        <v>2926</v>
      </c>
      <c r="AL21" s="153"/>
      <c r="AM21" s="256"/>
      <c r="AN21" s="152"/>
      <c r="AO21" s="152"/>
      <c r="AP21" s="153"/>
      <c r="AQ21" s="385" t="s">
        <v>3558</v>
      </c>
      <c r="AR21" s="6" t="s">
        <v>1122</v>
      </c>
      <c r="AS21" s="422"/>
      <c r="AT21" s="282" t="s">
        <v>1122</v>
      </c>
      <c r="AU21" s="377" t="s">
        <v>2455</v>
      </c>
      <c r="AV21" s="377" t="s">
        <v>2455</v>
      </c>
    </row>
    <row r="22" spans="1:48" ht="12.95" customHeight="1" thickBot="1" x14ac:dyDescent="0.3">
      <c r="A22" s="197" t="s">
        <v>19</v>
      </c>
      <c r="B22" s="271"/>
      <c r="C22" s="197" t="s">
        <v>1615</v>
      </c>
      <c r="D22" s="197" t="s">
        <v>1616</v>
      </c>
      <c r="E22" s="165" t="s">
        <v>1616</v>
      </c>
      <c r="F22" s="197" t="str">
        <f t="shared" si="0"/>
        <v>unused_SPDIF_OUT</v>
      </c>
      <c r="G22" s="198" t="s">
        <v>786</v>
      </c>
      <c r="H22" s="197" t="s">
        <v>302</v>
      </c>
      <c r="I22" s="360" t="s">
        <v>3063</v>
      </c>
      <c r="J22" s="360" t="s">
        <v>3077</v>
      </c>
      <c r="K22" s="197" t="s">
        <v>303</v>
      </c>
      <c r="L22" s="198" t="s">
        <v>2062</v>
      </c>
      <c r="M22" s="197" t="s">
        <v>270</v>
      </c>
      <c r="N22" s="197" t="s">
        <v>270</v>
      </c>
      <c r="O22" s="197" t="s">
        <v>255</v>
      </c>
      <c r="P22" s="197" t="s">
        <v>253</v>
      </c>
      <c r="Q22" s="198" t="s">
        <v>256</v>
      </c>
      <c r="R22" s="197" t="s">
        <v>257</v>
      </c>
      <c r="S22" s="197">
        <v>50</v>
      </c>
      <c r="T22" s="197" t="s">
        <v>271</v>
      </c>
      <c r="U22" s="198">
        <v>0</v>
      </c>
      <c r="V22" s="199">
        <v>1</v>
      </c>
      <c r="W22" s="199">
        <v>1</v>
      </c>
      <c r="X22" s="199" t="s">
        <v>300</v>
      </c>
      <c r="Y22" s="200" t="s">
        <v>301</v>
      </c>
      <c r="Z22" s="200" t="s">
        <v>301</v>
      </c>
      <c r="AA22" s="233" t="str">
        <f t="shared" si="1"/>
        <v>Unused</v>
      </c>
      <c r="AB22" s="234" t="str">
        <f t="shared" si="3"/>
        <v>Unused</v>
      </c>
      <c r="AC22" s="234" t="str">
        <f>IF(REPLACE(AJ22,FIND(".",CONCATENATE(REPLACE(AJ22,FIND("-",CONCATENATE(AJ22,"-")),LEN(AJ22),""),".")),LEN(AJ22),"")="SDMMC2","Yes","No")</f>
        <v>No</v>
      </c>
      <c r="AD22" s="234" t="str">
        <f t="shared" si="4"/>
        <v>ENABLE</v>
      </c>
      <c r="AE22" s="234" t="str">
        <f t="shared" si="2"/>
        <v>DISABLE</v>
      </c>
      <c r="AF22" s="234" t="str">
        <f t="shared" si="5"/>
        <v>NORMAL</v>
      </c>
      <c r="AG22" s="248"/>
      <c r="AH22" s="234" t="str">
        <f t="shared" si="6"/>
        <v>TRISTATE</v>
      </c>
      <c r="AI22" s="234" t="str">
        <f t="shared" si="7"/>
        <v>HIGH</v>
      </c>
      <c r="AJ22" s="182" t="s">
        <v>1123</v>
      </c>
      <c r="AK22" s="149" t="s">
        <v>2926</v>
      </c>
      <c r="AL22" s="153"/>
      <c r="AM22" s="256"/>
      <c r="AN22" s="152"/>
      <c r="AO22" s="152"/>
      <c r="AP22" s="153"/>
      <c r="AQ22" s="387"/>
      <c r="AR22" s="6" t="s">
        <v>1123</v>
      </c>
      <c r="AS22" s="422"/>
      <c r="AT22" s="282" t="s">
        <v>1123</v>
      </c>
      <c r="AU22" s="378"/>
      <c r="AV22" s="378"/>
    </row>
    <row r="23" spans="1:48" ht="12.95" customHeight="1" x14ac:dyDescent="0.25">
      <c r="A23" s="197" t="s">
        <v>20</v>
      </c>
      <c r="B23" s="271"/>
      <c r="C23" s="197" t="s">
        <v>1617</v>
      </c>
      <c r="D23" s="197" t="s">
        <v>1618</v>
      </c>
      <c r="E23" s="165" t="s">
        <v>1618</v>
      </c>
      <c r="F23" s="197" t="str">
        <f t="shared" si="0"/>
        <v>unused_SPI1_CS0_N</v>
      </c>
      <c r="G23" s="198" t="s">
        <v>787</v>
      </c>
      <c r="H23" s="197" t="s">
        <v>2160</v>
      </c>
      <c r="I23" s="197" t="s">
        <v>2161</v>
      </c>
      <c r="J23" s="360" t="s">
        <v>3077</v>
      </c>
      <c r="K23" s="197" t="s">
        <v>304</v>
      </c>
      <c r="L23" s="198" t="s">
        <v>2062</v>
      </c>
      <c r="M23" s="197" t="s">
        <v>270</v>
      </c>
      <c r="N23" s="197" t="s">
        <v>270</v>
      </c>
      <c r="O23" s="197" t="s">
        <v>255</v>
      </c>
      <c r="P23" s="197" t="s">
        <v>253</v>
      </c>
      <c r="Q23" s="198" t="s">
        <v>256</v>
      </c>
      <c r="R23" s="197" t="s">
        <v>257</v>
      </c>
      <c r="S23" s="197">
        <v>100</v>
      </c>
      <c r="T23" s="197" t="s">
        <v>305</v>
      </c>
      <c r="U23" s="198">
        <v>0</v>
      </c>
      <c r="V23" s="199">
        <v>1</v>
      </c>
      <c r="W23" s="199">
        <v>1</v>
      </c>
      <c r="X23" s="199" t="s">
        <v>300</v>
      </c>
      <c r="Y23" s="200" t="s">
        <v>301</v>
      </c>
      <c r="Z23" s="200" t="s">
        <v>301</v>
      </c>
      <c r="AA23" s="233" t="str">
        <f t="shared" si="1"/>
        <v>Unused</v>
      </c>
      <c r="AB23" s="234" t="str">
        <f t="shared" si="3"/>
        <v>Unused</v>
      </c>
      <c r="AC23" s="248"/>
      <c r="AD23" s="234" t="str">
        <f t="shared" si="4"/>
        <v>ENABLE</v>
      </c>
      <c r="AE23" s="234" t="str">
        <f t="shared" si="2"/>
        <v>DISABLE</v>
      </c>
      <c r="AF23" s="234" t="str">
        <f t="shared" si="5"/>
        <v>NORMAL</v>
      </c>
      <c r="AG23" s="248"/>
      <c r="AH23" s="234" t="str">
        <f t="shared" si="6"/>
        <v>TRISTATE</v>
      </c>
      <c r="AI23" s="234" t="str">
        <f t="shared" si="7"/>
        <v>HIGH</v>
      </c>
      <c r="AJ23" s="182" t="s">
        <v>2228</v>
      </c>
      <c r="AK23" s="149" t="s">
        <v>2926</v>
      </c>
      <c r="AL23" s="153"/>
      <c r="AM23" s="256"/>
      <c r="AN23" s="152"/>
      <c r="AO23" s="152"/>
      <c r="AP23" s="153"/>
      <c r="AQ23" s="385" t="s">
        <v>1168</v>
      </c>
      <c r="AR23" s="6" t="s">
        <v>2228</v>
      </c>
      <c r="AS23" s="379" t="s">
        <v>1168</v>
      </c>
      <c r="AT23" s="282" t="s">
        <v>3015</v>
      </c>
      <c r="AU23" s="371" t="s">
        <v>1168</v>
      </c>
      <c r="AV23" s="379" t="s">
        <v>1168</v>
      </c>
    </row>
    <row r="24" spans="1:48" ht="12.95" customHeight="1" x14ac:dyDescent="0.25">
      <c r="A24" s="197" t="s">
        <v>21</v>
      </c>
      <c r="B24" s="271"/>
      <c r="C24" s="197" t="s">
        <v>1619</v>
      </c>
      <c r="D24" s="197" t="s">
        <v>1620</v>
      </c>
      <c r="E24" s="165" t="s">
        <v>1620</v>
      </c>
      <c r="F24" s="197" t="str">
        <f t="shared" si="0"/>
        <v>unused_SPI1_MISO</v>
      </c>
      <c r="G24" s="198" t="s">
        <v>788</v>
      </c>
      <c r="H24" s="360" t="s">
        <v>3077</v>
      </c>
      <c r="I24" s="197" t="s">
        <v>306</v>
      </c>
      <c r="J24" s="360" t="s">
        <v>3077</v>
      </c>
      <c r="K24" s="360" t="s">
        <v>3090</v>
      </c>
      <c r="L24" s="198" t="s">
        <v>2062</v>
      </c>
      <c r="M24" s="197" t="s">
        <v>270</v>
      </c>
      <c r="N24" s="197" t="s">
        <v>270</v>
      </c>
      <c r="O24" s="197" t="s">
        <v>255</v>
      </c>
      <c r="P24" s="197" t="s">
        <v>253</v>
      </c>
      <c r="Q24" s="198" t="s">
        <v>256</v>
      </c>
      <c r="R24" s="197" t="s">
        <v>257</v>
      </c>
      <c r="S24" s="197">
        <v>100</v>
      </c>
      <c r="T24" s="197" t="s">
        <v>305</v>
      </c>
      <c r="U24" s="198">
        <v>1</v>
      </c>
      <c r="V24" s="199">
        <v>1</v>
      </c>
      <c r="W24" s="199">
        <v>1</v>
      </c>
      <c r="X24" s="199" t="s">
        <v>259</v>
      </c>
      <c r="Y24" s="200" t="s">
        <v>260</v>
      </c>
      <c r="Z24" s="200" t="s">
        <v>260</v>
      </c>
      <c r="AA24" s="233" t="str">
        <f t="shared" si="1"/>
        <v>Unused</v>
      </c>
      <c r="AB24" s="234" t="str">
        <f t="shared" si="3"/>
        <v>Unused</v>
      </c>
      <c r="AC24" s="248"/>
      <c r="AD24" s="234" t="str">
        <f t="shared" si="4"/>
        <v>ENABLE</v>
      </c>
      <c r="AE24" s="234" t="str">
        <f t="shared" si="2"/>
        <v>DISABLE</v>
      </c>
      <c r="AF24" s="234" t="str">
        <f t="shared" si="5"/>
        <v>NORMAL</v>
      </c>
      <c r="AG24" s="248"/>
      <c r="AH24" s="234" t="str">
        <f t="shared" si="6"/>
        <v>TRISTATE</v>
      </c>
      <c r="AI24" s="234" t="str">
        <f t="shared" si="7"/>
        <v>HIGH</v>
      </c>
      <c r="AJ24" s="182" t="s">
        <v>2116</v>
      </c>
      <c r="AK24" s="149" t="s">
        <v>2926</v>
      </c>
      <c r="AL24" s="153"/>
      <c r="AM24" s="256"/>
      <c r="AN24" s="152"/>
      <c r="AO24" s="152"/>
      <c r="AP24" s="153"/>
      <c r="AQ24" s="386"/>
      <c r="AR24" s="6" t="s">
        <v>2116</v>
      </c>
      <c r="AS24" s="379"/>
      <c r="AT24" s="282" t="s">
        <v>306</v>
      </c>
      <c r="AU24" s="372"/>
      <c r="AV24" s="379"/>
    </row>
    <row r="25" spans="1:48" ht="12.95" customHeight="1" x14ac:dyDescent="0.25">
      <c r="A25" s="197" t="s">
        <v>22</v>
      </c>
      <c r="B25" s="271"/>
      <c r="C25" s="197" t="s">
        <v>1621</v>
      </c>
      <c r="D25" s="197" t="s">
        <v>1622</v>
      </c>
      <c r="E25" s="165" t="s">
        <v>1622</v>
      </c>
      <c r="F25" s="197" t="str">
        <f t="shared" si="0"/>
        <v>unused_SPI1_MOSI</v>
      </c>
      <c r="G25" s="198" t="s">
        <v>789</v>
      </c>
      <c r="H25" s="197" t="s">
        <v>307</v>
      </c>
      <c r="I25" s="197" t="s">
        <v>308</v>
      </c>
      <c r="J25" s="360" t="s">
        <v>3077</v>
      </c>
      <c r="K25" s="197" t="s">
        <v>309</v>
      </c>
      <c r="L25" s="198" t="s">
        <v>2062</v>
      </c>
      <c r="M25" s="197" t="s">
        <v>270</v>
      </c>
      <c r="N25" s="197" t="s">
        <v>270</v>
      </c>
      <c r="O25" s="197" t="s">
        <v>255</v>
      </c>
      <c r="P25" s="197" t="s">
        <v>253</v>
      </c>
      <c r="Q25" s="198" t="s">
        <v>256</v>
      </c>
      <c r="R25" s="197" t="s">
        <v>257</v>
      </c>
      <c r="S25" s="197">
        <v>100</v>
      </c>
      <c r="T25" s="197" t="s">
        <v>305</v>
      </c>
      <c r="U25" s="198">
        <v>0</v>
      </c>
      <c r="V25" s="199">
        <v>1</v>
      </c>
      <c r="W25" s="199">
        <v>1</v>
      </c>
      <c r="X25" s="199" t="s">
        <v>300</v>
      </c>
      <c r="Y25" s="200" t="s">
        <v>301</v>
      </c>
      <c r="Z25" s="200" t="s">
        <v>301</v>
      </c>
      <c r="AA25" s="233" t="str">
        <f t="shared" si="1"/>
        <v>Unused</v>
      </c>
      <c r="AB25" s="234" t="str">
        <f t="shared" si="3"/>
        <v>Unused</v>
      </c>
      <c r="AC25" s="248"/>
      <c r="AD25" s="234" t="str">
        <f t="shared" si="4"/>
        <v>ENABLE</v>
      </c>
      <c r="AE25" s="234" t="str">
        <f t="shared" si="2"/>
        <v>DISABLE</v>
      </c>
      <c r="AF25" s="234" t="str">
        <f t="shared" si="5"/>
        <v>NORMAL</v>
      </c>
      <c r="AG25" s="248"/>
      <c r="AH25" s="234" t="str">
        <f t="shared" si="6"/>
        <v>TRISTATE</v>
      </c>
      <c r="AI25" s="234" t="str">
        <f t="shared" si="7"/>
        <v>HIGH</v>
      </c>
      <c r="AJ25" s="182" t="s">
        <v>2117</v>
      </c>
      <c r="AK25" s="149" t="s">
        <v>2926</v>
      </c>
      <c r="AL25" s="153"/>
      <c r="AM25" s="256"/>
      <c r="AN25" s="152"/>
      <c r="AO25" s="152"/>
      <c r="AP25" s="153"/>
      <c r="AQ25" s="386"/>
      <c r="AR25" s="6" t="s">
        <v>2117</v>
      </c>
      <c r="AS25" s="379"/>
      <c r="AT25" s="282" t="s">
        <v>308</v>
      </c>
      <c r="AU25" s="372"/>
      <c r="AV25" s="379"/>
    </row>
    <row r="26" spans="1:48" ht="12.95" customHeight="1" thickBot="1" x14ac:dyDescent="0.3">
      <c r="A26" s="197" t="s">
        <v>23</v>
      </c>
      <c r="B26" s="271"/>
      <c r="C26" s="197" t="s">
        <v>1623</v>
      </c>
      <c r="D26" s="197" t="s">
        <v>1624</v>
      </c>
      <c r="E26" s="165" t="s">
        <v>1624</v>
      </c>
      <c r="F26" s="197" t="str">
        <f t="shared" si="0"/>
        <v>unused_SPI1_SCK</v>
      </c>
      <c r="G26" s="198" t="s">
        <v>790</v>
      </c>
      <c r="H26" s="197" t="s">
        <v>310</v>
      </c>
      <c r="I26" s="197" t="s">
        <v>311</v>
      </c>
      <c r="J26" s="360" t="s">
        <v>3077</v>
      </c>
      <c r="K26" s="197" t="s">
        <v>312</v>
      </c>
      <c r="L26" s="198" t="s">
        <v>2062</v>
      </c>
      <c r="M26" s="197" t="s">
        <v>270</v>
      </c>
      <c r="N26" s="197" t="s">
        <v>270</v>
      </c>
      <c r="O26" s="197" t="s">
        <v>255</v>
      </c>
      <c r="P26" s="197" t="s">
        <v>253</v>
      </c>
      <c r="Q26" s="198" t="s">
        <v>256</v>
      </c>
      <c r="R26" s="197" t="s">
        <v>257</v>
      </c>
      <c r="S26" s="197">
        <v>100</v>
      </c>
      <c r="T26" s="197" t="s">
        <v>305</v>
      </c>
      <c r="U26" s="198">
        <v>0</v>
      </c>
      <c r="V26" s="199">
        <v>1</v>
      </c>
      <c r="W26" s="199">
        <v>1</v>
      </c>
      <c r="X26" s="199" t="s">
        <v>300</v>
      </c>
      <c r="Y26" s="200" t="s">
        <v>301</v>
      </c>
      <c r="Z26" s="200" t="s">
        <v>301</v>
      </c>
      <c r="AA26" s="233" t="str">
        <f t="shared" si="1"/>
        <v>Unused</v>
      </c>
      <c r="AB26" s="234" t="str">
        <f t="shared" si="3"/>
        <v>Unused</v>
      </c>
      <c r="AC26" s="248"/>
      <c r="AD26" s="234" t="str">
        <f t="shared" si="4"/>
        <v>ENABLE</v>
      </c>
      <c r="AE26" s="234" t="str">
        <f t="shared" si="2"/>
        <v>DISABLE</v>
      </c>
      <c r="AF26" s="234" t="str">
        <f t="shared" si="5"/>
        <v>NORMAL</v>
      </c>
      <c r="AG26" s="248"/>
      <c r="AH26" s="234" t="str">
        <f t="shared" si="6"/>
        <v>TRISTATE</v>
      </c>
      <c r="AI26" s="234" t="str">
        <f t="shared" si="7"/>
        <v>HIGH</v>
      </c>
      <c r="AJ26" s="182" t="s">
        <v>2118</v>
      </c>
      <c r="AK26" s="149" t="s">
        <v>2926</v>
      </c>
      <c r="AL26" s="153"/>
      <c r="AM26" s="256"/>
      <c r="AN26" s="152"/>
      <c r="AO26" s="152"/>
      <c r="AP26" s="153"/>
      <c r="AQ26" s="387"/>
      <c r="AR26" s="6" t="s">
        <v>2118</v>
      </c>
      <c r="AS26" s="379"/>
      <c r="AT26" s="282" t="s">
        <v>311</v>
      </c>
      <c r="AU26" s="373"/>
      <c r="AV26" s="379"/>
    </row>
    <row r="27" spans="1:48" ht="12.95" customHeight="1" thickBot="1" x14ac:dyDescent="0.3">
      <c r="A27" s="197" t="s">
        <v>24</v>
      </c>
      <c r="B27" s="271"/>
      <c r="C27" s="197" t="s">
        <v>1625</v>
      </c>
      <c r="D27" s="197" t="s">
        <v>1626</v>
      </c>
      <c r="E27" s="165" t="s">
        <v>1626</v>
      </c>
      <c r="F27" s="197" t="str">
        <f t="shared" si="0"/>
        <v>unused_SPI2_CS0_N</v>
      </c>
      <c r="G27" s="198" t="s">
        <v>791</v>
      </c>
      <c r="H27" s="197" t="s">
        <v>313</v>
      </c>
      <c r="I27" s="197" t="s">
        <v>2162</v>
      </c>
      <c r="J27" s="360" t="s">
        <v>3077</v>
      </c>
      <c r="K27" s="197" t="s">
        <v>314</v>
      </c>
      <c r="L27" s="198" t="s">
        <v>2062</v>
      </c>
      <c r="M27" s="197" t="s">
        <v>270</v>
      </c>
      <c r="N27" s="197" t="s">
        <v>270</v>
      </c>
      <c r="O27" s="197" t="s">
        <v>263</v>
      </c>
      <c r="P27" s="197" t="s">
        <v>253</v>
      </c>
      <c r="Q27" s="198" t="s">
        <v>256</v>
      </c>
      <c r="R27" s="197" t="s">
        <v>257</v>
      </c>
      <c r="S27" s="197">
        <v>100</v>
      </c>
      <c r="T27" s="197" t="s">
        <v>305</v>
      </c>
      <c r="U27" s="198">
        <v>0</v>
      </c>
      <c r="V27" s="199">
        <v>0</v>
      </c>
      <c r="W27" s="199">
        <v>1</v>
      </c>
      <c r="X27" s="199" t="s">
        <v>300</v>
      </c>
      <c r="Y27" s="200" t="s">
        <v>301</v>
      </c>
      <c r="Z27" s="200" t="s">
        <v>301</v>
      </c>
      <c r="AA27" s="233" t="str">
        <f t="shared" si="1"/>
        <v>Unused</v>
      </c>
      <c r="AB27" s="234" t="str">
        <f t="shared" si="3"/>
        <v>Unused</v>
      </c>
      <c r="AC27" s="248"/>
      <c r="AD27" s="234" t="str">
        <f t="shared" si="4"/>
        <v>ENABLE</v>
      </c>
      <c r="AE27" s="234" t="str">
        <f t="shared" si="2"/>
        <v>DISABLE</v>
      </c>
      <c r="AF27" s="234" t="str">
        <f t="shared" si="5"/>
        <v>NORMAL</v>
      </c>
      <c r="AG27" s="248"/>
      <c r="AH27" s="234" t="str">
        <f t="shared" si="6"/>
        <v>TRISTATE</v>
      </c>
      <c r="AI27" s="234" t="str">
        <f t="shared" si="7"/>
        <v>HIGH</v>
      </c>
      <c r="AJ27" s="182" t="s">
        <v>1124</v>
      </c>
      <c r="AK27" s="149" t="s">
        <v>2926</v>
      </c>
      <c r="AL27" s="153"/>
      <c r="AM27" s="257"/>
      <c r="AN27" s="152"/>
      <c r="AO27" s="152"/>
      <c r="AP27" s="153"/>
      <c r="AQ27" s="346" t="s">
        <v>3559</v>
      </c>
      <c r="AR27" s="6" t="s">
        <v>1124</v>
      </c>
      <c r="AS27" s="43"/>
      <c r="AT27" s="282" t="s">
        <v>1124</v>
      </c>
      <c r="AU27" s="112"/>
      <c r="AV27" s="44" t="s">
        <v>2458</v>
      </c>
    </row>
    <row r="28" spans="1:48" ht="12.95" customHeight="1" thickBot="1" x14ac:dyDescent="0.3">
      <c r="A28" s="197" t="s">
        <v>25</v>
      </c>
      <c r="B28" s="271"/>
      <c r="C28" s="197" t="s">
        <v>1627</v>
      </c>
      <c r="D28" s="197" t="s">
        <v>1628</v>
      </c>
      <c r="E28" s="165" t="s">
        <v>1628</v>
      </c>
      <c r="F28" s="197" t="str">
        <f t="shared" si="0"/>
        <v>unused_SPI2_CS1_N</v>
      </c>
      <c r="G28" s="198" t="s">
        <v>792</v>
      </c>
      <c r="H28" s="360" t="s">
        <v>3077</v>
      </c>
      <c r="I28" s="197" t="s">
        <v>2163</v>
      </c>
      <c r="J28" s="360" t="s">
        <v>3077</v>
      </c>
      <c r="K28" s="360" t="s">
        <v>3077</v>
      </c>
      <c r="L28" s="198" t="s">
        <v>2062</v>
      </c>
      <c r="M28" s="197" t="s">
        <v>254</v>
      </c>
      <c r="N28" s="197" t="s">
        <v>2062</v>
      </c>
      <c r="O28" s="197" t="s">
        <v>255</v>
      </c>
      <c r="P28" s="197">
        <v>12</v>
      </c>
      <c r="Q28" s="198" t="s">
        <v>256</v>
      </c>
      <c r="R28" s="197" t="s">
        <v>257</v>
      </c>
      <c r="S28" s="197">
        <v>100</v>
      </c>
      <c r="T28" s="197" t="s">
        <v>305</v>
      </c>
      <c r="U28" s="198">
        <v>1</v>
      </c>
      <c r="V28" s="199">
        <v>1</v>
      </c>
      <c r="W28" s="199">
        <v>1</v>
      </c>
      <c r="X28" s="199" t="s">
        <v>300</v>
      </c>
      <c r="Y28" s="200" t="s">
        <v>301</v>
      </c>
      <c r="Z28" s="200" t="s">
        <v>301</v>
      </c>
      <c r="AA28" s="233" t="str">
        <f t="shared" si="1"/>
        <v>Unused</v>
      </c>
      <c r="AB28" s="234" t="str">
        <f t="shared" si="3"/>
        <v>Unused</v>
      </c>
      <c r="AC28" s="248"/>
      <c r="AD28" s="234" t="str">
        <f t="shared" si="4"/>
        <v>ENABLE</v>
      </c>
      <c r="AE28" s="234" t="str">
        <f t="shared" si="2"/>
        <v>DISABLE</v>
      </c>
      <c r="AF28" s="234" t="str">
        <f t="shared" si="5"/>
        <v>NORMAL</v>
      </c>
      <c r="AG28" s="248"/>
      <c r="AH28" s="234" t="str">
        <f t="shared" si="6"/>
        <v>TRISTATE</v>
      </c>
      <c r="AI28" s="234" t="str">
        <f t="shared" si="7"/>
        <v>HIGH</v>
      </c>
      <c r="AJ28" s="182" t="s">
        <v>2119</v>
      </c>
      <c r="AK28" s="149" t="s">
        <v>2926</v>
      </c>
      <c r="AL28" s="153"/>
      <c r="AM28" s="168"/>
      <c r="AN28" s="152"/>
      <c r="AO28" s="152"/>
      <c r="AP28" s="153"/>
      <c r="AQ28" s="343" t="s">
        <v>1169</v>
      </c>
      <c r="AR28" s="6" t="s">
        <v>2119</v>
      </c>
      <c r="AS28" s="44" t="s">
        <v>1169</v>
      </c>
      <c r="AT28" s="282" t="s">
        <v>792</v>
      </c>
      <c r="AU28" s="44" t="s">
        <v>2429</v>
      </c>
      <c r="AV28" s="44" t="s">
        <v>2429</v>
      </c>
    </row>
    <row r="29" spans="1:48" ht="12.95" customHeight="1" thickBot="1" x14ac:dyDescent="0.3">
      <c r="A29" s="197" t="s">
        <v>26</v>
      </c>
      <c r="B29" s="271"/>
      <c r="C29" s="197" t="s">
        <v>1629</v>
      </c>
      <c r="D29" s="197" t="s">
        <v>1630</v>
      </c>
      <c r="E29" s="165" t="s">
        <v>1630</v>
      </c>
      <c r="F29" s="197" t="str">
        <f t="shared" si="0"/>
        <v>unused_SPI2_CS2_N</v>
      </c>
      <c r="G29" s="198" t="s">
        <v>793</v>
      </c>
      <c r="H29" s="360" t="s">
        <v>3077</v>
      </c>
      <c r="I29" s="197" t="s">
        <v>2164</v>
      </c>
      <c r="J29" s="360" t="s">
        <v>3077</v>
      </c>
      <c r="K29" s="360" t="s">
        <v>3077</v>
      </c>
      <c r="L29" s="198" t="s">
        <v>2062</v>
      </c>
      <c r="M29" s="197" t="s">
        <v>254</v>
      </c>
      <c r="N29" s="197" t="s">
        <v>2062</v>
      </c>
      <c r="O29" s="197" t="s">
        <v>255</v>
      </c>
      <c r="P29" s="197">
        <v>11</v>
      </c>
      <c r="Q29" s="198" t="s">
        <v>256</v>
      </c>
      <c r="R29" s="197" t="s">
        <v>257</v>
      </c>
      <c r="S29" s="197">
        <v>100</v>
      </c>
      <c r="T29" s="197" t="s">
        <v>305</v>
      </c>
      <c r="U29" s="198">
        <v>1</v>
      </c>
      <c r="V29" s="199">
        <v>1</v>
      </c>
      <c r="W29" s="199">
        <v>1</v>
      </c>
      <c r="X29" s="199" t="s">
        <v>300</v>
      </c>
      <c r="Y29" s="200" t="s">
        <v>301</v>
      </c>
      <c r="Z29" s="200" t="s">
        <v>301</v>
      </c>
      <c r="AA29" s="233" t="str">
        <f t="shared" si="1"/>
        <v>Unused</v>
      </c>
      <c r="AB29" s="234" t="str">
        <f t="shared" si="3"/>
        <v>Unused</v>
      </c>
      <c r="AC29" s="248"/>
      <c r="AD29" s="234" t="str">
        <f t="shared" si="4"/>
        <v>ENABLE</v>
      </c>
      <c r="AE29" s="234" t="str">
        <f t="shared" si="2"/>
        <v>DISABLE</v>
      </c>
      <c r="AF29" s="234" t="str">
        <f t="shared" si="5"/>
        <v>NORMAL</v>
      </c>
      <c r="AG29" s="248"/>
      <c r="AH29" s="234" t="str">
        <f t="shared" si="6"/>
        <v>TRISTATE</v>
      </c>
      <c r="AI29" s="234" t="str">
        <f t="shared" si="7"/>
        <v>HIGH</v>
      </c>
      <c r="AJ29" s="182" t="s">
        <v>3661</v>
      </c>
      <c r="AK29" s="149" t="s">
        <v>2926</v>
      </c>
      <c r="AL29" s="153"/>
      <c r="AM29" s="168"/>
      <c r="AN29" s="152"/>
      <c r="AO29" s="152"/>
      <c r="AP29" s="153"/>
      <c r="AQ29" s="346" t="s">
        <v>3560</v>
      </c>
      <c r="AR29" s="6" t="s">
        <v>793</v>
      </c>
      <c r="AS29" s="44" t="s">
        <v>1170</v>
      </c>
      <c r="AT29" s="282" t="s">
        <v>793</v>
      </c>
      <c r="AU29" s="44" t="s">
        <v>1170</v>
      </c>
      <c r="AV29" s="44" t="s">
        <v>2459</v>
      </c>
    </row>
    <row r="30" spans="1:48" ht="12.95" customHeight="1" thickBot="1" x14ac:dyDescent="0.3">
      <c r="A30" s="197" t="s">
        <v>27</v>
      </c>
      <c r="B30" s="271"/>
      <c r="C30" s="197" t="s">
        <v>1631</v>
      </c>
      <c r="D30" s="197" t="s">
        <v>1632</v>
      </c>
      <c r="E30" s="165" t="s">
        <v>1632</v>
      </c>
      <c r="F30" s="197" t="str">
        <f t="shared" si="0"/>
        <v>unused_SPI2_MISO</v>
      </c>
      <c r="G30" s="198" t="s">
        <v>794</v>
      </c>
      <c r="H30" s="197" t="s">
        <v>315</v>
      </c>
      <c r="I30" s="197" t="s">
        <v>316</v>
      </c>
      <c r="J30" s="360" t="s">
        <v>3077</v>
      </c>
      <c r="K30" s="197" t="s">
        <v>317</v>
      </c>
      <c r="L30" s="198" t="s">
        <v>2062</v>
      </c>
      <c r="M30" s="197" t="s">
        <v>270</v>
      </c>
      <c r="N30" s="197" t="s">
        <v>270</v>
      </c>
      <c r="O30" s="197" t="s">
        <v>255</v>
      </c>
      <c r="P30" s="197" t="s">
        <v>253</v>
      </c>
      <c r="Q30" s="198" t="s">
        <v>256</v>
      </c>
      <c r="R30" s="197" t="s">
        <v>257</v>
      </c>
      <c r="S30" s="197">
        <v>100</v>
      </c>
      <c r="T30" s="197" t="s">
        <v>305</v>
      </c>
      <c r="U30" s="198">
        <v>0</v>
      </c>
      <c r="V30" s="199">
        <v>1</v>
      </c>
      <c r="W30" s="199">
        <v>1</v>
      </c>
      <c r="X30" s="199" t="s">
        <v>259</v>
      </c>
      <c r="Y30" s="200" t="s">
        <v>260</v>
      </c>
      <c r="Z30" s="200" t="s">
        <v>260</v>
      </c>
      <c r="AA30" s="233" t="str">
        <f t="shared" si="1"/>
        <v>Unused</v>
      </c>
      <c r="AB30" s="234" t="str">
        <f t="shared" si="3"/>
        <v>Unused</v>
      </c>
      <c r="AC30" s="248"/>
      <c r="AD30" s="234" t="str">
        <f t="shared" si="4"/>
        <v>ENABLE</v>
      </c>
      <c r="AE30" s="234" t="str">
        <f t="shared" si="2"/>
        <v>DISABLE</v>
      </c>
      <c r="AF30" s="234" t="str">
        <f t="shared" si="5"/>
        <v>NORMAL</v>
      </c>
      <c r="AG30" s="248"/>
      <c r="AH30" s="234" t="str">
        <f t="shared" si="6"/>
        <v>TRISTATE</v>
      </c>
      <c r="AI30" s="234" t="str">
        <f t="shared" si="7"/>
        <v>HIGH</v>
      </c>
      <c r="AJ30" s="182" t="s">
        <v>3662</v>
      </c>
      <c r="AK30" s="149" t="s">
        <v>2926</v>
      </c>
      <c r="AL30" s="153"/>
      <c r="AM30" s="258"/>
      <c r="AN30" s="152"/>
      <c r="AO30" s="152"/>
      <c r="AP30" s="153"/>
      <c r="AQ30" s="343" t="s">
        <v>1171</v>
      </c>
      <c r="AR30" s="6" t="s">
        <v>794</v>
      </c>
      <c r="AS30" s="44" t="s">
        <v>1171</v>
      </c>
      <c r="AT30" s="282" t="s">
        <v>794</v>
      </c>
      <c r="AU30" s="44" t="s">
        <v>1221</v>
      </c>
      <c r="AV30" s="44" t="s">
        <v>1221</v>
      </c>
    </row>
    <row r="31" spans="1:48" ht="12.95" customHeight="1" thickBot="1" x14ac:dyDescent="0.3">
      <c r="A31" s="197" t="s">
        <v>28</v>
      </c>
      <c r="B31" s="271"/>
      <c r="C31" s="197" t="s">
        <v>1633</v>
      </c>
      <c r="D31" s="197" t="s">
        <v>1634</v>
      </c>
      <c r="E31" s="165" t="s">
        <v>1634</v>
      </c>
      <c r="F31" s="197" t="str">
        <f t="shared" si="0"/>
        <v>unused_SPI2_MOSI</v>
      </c>
      <c r="G31" s="198" t="s">
        <v>795</v>
      </c>
      <c r="H31" s="197" t="s">
        <v>318</v>
      </c>
      <c r="I31" s="197" t="s">
        <v>319</v>
      </c>
      <c r="J31" s="360" t="s">
        <v>3077</v>
      </c>
      <c r="K31" s="197" t="s">
        <v>320</v>
      </c>
      <c r="L31" s="198" t="s">
        <v>2062</v>
      </c>
      <c r="M31" s="197" t="s">
        <v>270</v>
      </c>
      <c r="N31" s="197" t="s">
        <v>270</v>
      </c>
      <c r="O31" s="197" t="s">
        <v>255</v>
      </c>
      <c r="P31" s="197" t="s">
        <v>253</v>
      </c>
      <c r="Q31" s="198" t="s">
        <v>256</v>
      </c>
      <c r="R31" s="197" t="s">
        <v>257</v>
      </c>
      <c r="S31" s="197">
        <v>100</v>
      </c>
      <c r="T31" s="197" t="s">
        <v>305</v>
      </c>
      <c r="U31" s="198">
        <v>0</v>
      </c>
      <c r="V31" s="199">
        <v>1</v>
      </c>
      <c r="W31" s="199">
        <v>1</v>
      </c>
      <c r="X31" s="199" t="s">
        <v>259</v>
      </c>
      <c r="Y31" s="200" t="s">
        <v>260</v>
      </c>
      <c r="Z31" s="200" t="s">
        <v>260</v>
      </c>
      <c r="AA31" s="233" t="str">
        <f t="shared" si="1"/>
        <v>Unused</v>
      </c>
      <c r="AB31" s="234" t="str">
        <f t="shared" si="3"/>
        <v>Unused</v>
      </c>
      <c r="AC31" s="248"/>
      <c r="AD31" s="234" t="str">
        <f t="shared" si="4"/>
        <v>ENABLE</v>
      </c>
      <c r="AE31" s="234" t="str">
        <f t="shared" si="2"/>
        <v>DISABLE</v>
      </c>
      <c r="AF31" s="234" t="str">
        <f t="shared" si="5"/>
        <v>NORMAL</v>
      </c>
      <c r="AG31" s="248"/>
      <c r="AH31" s="234" t="str">
        <f t="shared" si="6"/>
        <v>TRISTATE</v>
      </c>
      <c r="AI31" s="234" t="str">
        <f t="shared" si="7"/>
        <v>HIGH</v>
      </c>
      <c r="AJ31" s="182" t="s">
        <v>3663</v>
      </c>
      <c r="AK31" s="149" t="s">
        <v>2926</v>
      </c>
      <c r="AL31" s="153"/>
      <c r="AM31" s="256"/>
      <c r="AN31" s="152"/>
      <c r="AO31" s="152"/>
      <c r="AP31" s="153"/>
      <c r="AQ31" s="343" t="s">
        <v>1172</v>
      </c>
      <c r="AR31" s="6" t="s">
        <v>795</v>
      </c>
      <c r="AS31" s="44" t="s">
        <v>1172</v>
      </c>
      <c r="AT31" s="282" t="s">
        <v>795</v>
      </c>
      <c r="AU31" s="44" t="s">
        <v>2267</v>
      </c>
      <c r="AV31" s="44" t="s">
        <v>2267</v>
      </c>
    </row>
    <row r="32" spans="1:48" ht="12.95" customHeight="1" thickBot="1" x14ac:dyDescent="0.3">
      <c r="A32" s="197" t="s">
        <v>29</v>
      </c>
      <c r="B32" s="271"/>
      <c r="C32" s="197" t="s">
        <v>1635</v>
      </c>
      <c r="D32" s="197" t="s">
        <v>1636</v>
      </c>
      <c r="E32" s="165" t="s">
        <v>1636</v>
      </c>
      <c r="F32" s="197" t="str">
        <f t="shared" si="0"/>
        <v>unused_SPI2_SCK</v>
      </c>
      <c r="G32" s="198" t="s">
        <v>796</v>
      </c>
      <c r="H32" s="197" t="s">
        <v>321</v>
      </c>
      <c r="I32" s="197" t="s">
        <v>322</v>
      </c>
      <c r="J32" s="360" t="s">
        <v>3077</v>
      </c>
      <c r="K32" s="197" t="s">
        <v>323</v>
      </c>
      <c r="L32" s="198" t="s">
        <v>2062</v>
      </c>
      <c r="M32" s="197" t="s">
        <v>270</v>
      </c>
      <c r="N32" s="197" t="s">
        <v>270</v>
      </c>
      <c r="O32" s="197" t="s">
        <v>263</v>
      </c>
      <c r="P32" s="197" t="s">
        <v>253</v>
      </c>
      <c r="Q32" s="198" t="s">
        <v>256</v>
      </c>
      <c r="R32" s="197" t="s">
        <v>257</v>
      </c>
      <c r="S32" s="197">
        <v>100</v>
      </c>
      <c r="T32" s="197" t="s">
        <v>305</v>
      </c>
      <c r="U32" s="198">
        <v>0</v>
      </c>
      <c r="V32" s="199">
        <v>0</v>
      </c>
      <c r="W32" s="199">
        <v>1</v>
      </c>
      <c r="X32" s="199" t="s">
        <v>300</v>
      </c>
      <c r="Y32" s="200" t="s">
        <v>301</v>
      </c>
      <c r="Z32" s="200" t="s">
        <v>301</v>
      </c>
      <c r="AA32" s="233" t="str">
        <f t="shared" si="1"/>
        <v>Unused</v>
      </c>
      <c r="AB32" s="234" t="str">
        <f t="shared" si="3"/>
        <v>Unused</v>
      </c>
      <c r="AC32" s="248"/>
      <c r="AD32" s="234" t="str">
        <f t="shared" si="4"/>
        <v>ENABLE</v>
      </c>
      <c r="AE32" s="234" t="str">
        <f t="shared" si="2"/>
        <v>DISABLE</v>
      </c>
      <c r="AF32" s="234" t="str">
        <f t="shared" si="5"/>
        <v>NORMAL</v>
      </c>
      <c r="AG32" s="248"/>
      <c r="AH32" s="234" t="str">
        <f t="shared" si="6"/>
        <v>TRISTATE</v>
      </c>
      <c r="AI32" s="234" t="str">
        <f t="shared" si="7"/>
        <v>HIGH</v>
      </c>
      <c r="AJ32" s="329" t="s">
        <v>1125</v>
      </c>
      <c r="AK32" s="149" t="s">
        <v>2926</v>
      </c>
      <c r="AL32" s="153"/>
      <c r="AM32" s="257"/>
      <c r="AN32" s="331"/>
      <c r="AO32" s="331"/>
      <c r="AP32" s="330"/>
      <c r="AQ32" s="346" t="s">
        <v>3561</v>
      </c>
      <c r="AR32" s="6" t="s">
        <v>1125</v>
      </c>
      <c r="AS32" s="43"/>
      <c r="AT32" s="283" t="s">
        <v>1125</v>
      </c>
      <c r="AU32" s="44" t="s">
        <v>2437</v>
      </c>
      <c r="AV32" s="126"/>
    </row>
    <row r="33" spans="1:48" s="24" customFormat="1" ht="18" customHeight="1" thickBot="1" x14ac:dyDescent="0.3">
      <c r="A33" s="160" t="s">
        <v>1232</v>
      </c>
      <c r="B33" s="272"/>
      <c r="C33" s="160"/>
      <c r="D33" s="160"/>
      <c r="E33" s="215"/>
      <c r="F33" s="160"/>
      <c r="G33" s="201"/>
      <c r="H33" s="160"/>
      <c r="I33" s="160"/>
      <c r="J33" s="160"/>
      <c r="K33" s="160"/>
      <c r="L33" s="201"/>
      <c r="M33" s="160"/>
      <c r="N33" s="160"/>
      <c r="O33" s="160"/>
      <c r="P33" s="160"/>
      <c r="Q33" s="201"/>
      <c r="R33" s="160"/>
      <c r="S33" s="160"/>
      <c r="T33" s="160"/>
      <c r="U33" s="201"/>
      <c r="V33" s="160"/>
      <c r="W33" s="160"/>
      <c r="X33" s="160"/>
      <c r="Y33" s="202"/>
      <c r="Z33" s="202"/>
      <c r="AA33" s="235"/>
      <c r="AB33" s="236"/>
      <c r="AC33" s="236"/>
      <c r="AD33" s="236"/>
      <c r="AE33" s="236"/>
      <c r="AF33" s="236"/>
      <c r="AG33" s="236"/>
      <c r="AH33" s="236"/>
      <c r="AI33" s="237"/>
      <c r="AJ33" s="201"/>
      <c r="AK33" s="35"/>
      <c r="AL33" s="35"/>
      <c r="AM33" s="335"/>
      <c r="AN33" s="35"/>
      <c r="AO33" s="35"/>
      <c r="AP33" s="35"/>
      <c r="AQ33" s="347"/>
      <c r="AR33" s="277"/>
      <c r="AS33" s="45"/>
      <c r="AT33" s="284"/>
      <c r="AU33" s="45"/>
      <c r="AV33" s="45"/>
    </row>
    <row r="34" spans="1:48" ht="12.95" customHeight="1" x14ac:dyDescent="0.25">
      <c r="A34" s="197" t="s">
        <v>30</v>
      </c>
      <c r="B34" s="271"/>
      <c r="C34" s="197" t="s">
        <v>1637</v>
      </c>
      <c r="D34" s="197" t="s">
        <v>1444</v>
      </c>
      <c r="E34" s="165" t="s">
        <v>1444</v>
      </c>
      <c r="F34" s="197" t="str">
        <f t="shared" ref="F34:F51" si="8">CONCATENATE("unused_",A34)</f>
        <v>unused_DAP3_DIN</v>
      </c>
      <c r="G34" s="198" t="s">
        <v>797</v>
      </c>
      <c r="H34" s="197" t="s">
        <v>324</v>
      </c>
      <c r="I34" s="360" t="s">
        <v>3063</v>
      </c>
      <c r="J34" s="197" t="s">
        <v>325</v>
      </c>
      <c r="K34" s="197" t="s">
        <v>326</v>
      </c>
      <c r="L34" s="198" t="s">
        <v>2062</v>
      </c>
      <c r="M34" s="197" t="s">
        <v>270</v>
      </c>
      <c r="N34" s="197" t="s">
        <v>270</v>
      </c>
      <c r="O34" s="197" t="s">
        <v>255</v>
      </c>
      <c r="P34" s="197" t="s">
        <v>253</v>
      </c>
      <c r="Q34" s="198" t="s">
        <v>327</v>
      </c>
      <c r="R34" s="197" t="s">
        <v>257</v>
      </c>
      <c r="S34" s="197">
        <v>100</v>
      </c>
      <c r="T34" s="197" t="s">
        <v>328</v>
      </c>
      <c r="U34" s="198">
        <v>0</v>
      </c>
      <c r="V34" s="199">
        <v>1</v>
      </c>
      <c r="W34" s="199">
        <v>1</v>
      </c>
      <c r="X34" s="199" t="s">
        <v>259</v>
      </c>
      <c r="Y34" s="200" t="s">
        <v>260</v>
      </c>
      <c r="Z34" s="200" t="s">
        <v>260</v>
      </c>
      <c r="AA34" s="233" t="str">
        <f t="shared" ref="AA34:AA51" si="9">IF((AJ34=H34),0,IF((AJ34=I34),1,IF((AJ34=J34),2,IF((AJ34=K34),3,IF((AJ34=G34),"GPIO",IF((AJ34=F34),"Unused"))))))</f>
        <v>Unused</v>
      </c>
      <c r="AB34" s="234" t="str">
        <f t="shared" si="3"/>
        <v>Unused</v>
      </c>
      <c r="AC34" s="248"/>
      <c r="AD34" s="234" t="str">
        <f>IF(($AB34="Unused"), "ENABLE", IF((OR($AK34="Bidir",$AK34="Out")), "NORMAL", IF((OR($AK34="IN",AL34="Z", AL34="Int PU",AL34="Int PD")),"ENABLE","NORMAL")))</f>
        <v>ENABLE</v>
      </c>
      <c r="AE34" s="234" t="str">
        <f t="shared" ref="AE34:AE51" si="10">IF((OR($AB34="Unused",$AK34="OUT")),"DISABLE","ENABLE")</f>
        <v>DISABLE</v>
      </c>
      <c r="AF34" s="234" t="str">
        <f t="shared" si="5"/>
        <v>NORMAL</v>
      </c>
      <c r="AG34" s="248"/>
      <c r="AH34" s="234" t="str">
        <f t="shared" ref="AH34:AH51" si="11">IF((AND($AB34="GPIO",$AK34="Out")),"DRIVEN",IF((AND($AB34="GPIO",$AK34="Bidir")),"DRIVEN","TRISTATE"))</f>
        <v>TRISTATE</v>
      </c>
      <c r="AI34" s="234" t="str">
        <f t="shared" ref="AI34:AI51" si="12">IF((OR($AL34="Drive 0")),"LOW","HIGH")</f>
        <v>HIGH</v>
      </c>
      <c r="AJ34" s="332" t="s">
        <v>1126</v>
      </c>
      <c r="AK34" s="149" t="s">
        <v>2926</v>
      </c>
      <c r="AL34" s="333"/>
      <c r="AM34" s="258"/>
      <c r="AN34" s="334"/>
      <c r="AO34" s="334"/>
      <c r="AP34" s="333"/>
      <c r="AQ34" s="339" t="s">
        <v>3563</v>
      </c>
      <c r="AR34" s="6" t="s">
        <v>324</v>
      </c>
      <c r="AS34" s="48"/>
      <c r="AT34" s="281" t="s">
        <v>1126</v>
      </c>
      <c r="AU34" s="63" t="s">
        <v>1213</v>
      </c>
      <c r="AV34" s="49"/>
    </row>
    <row r="35" spans="1:48" ht="12.95" customHeight="1" thickBot="1" x14ac:dyDescent="0.3">
      <c r="A35" s="197" t="s">
        <v>31</v>
      </c>
      <c r="B35" s="271"/>
      <c r="C35" s="197" t="s">
        <v>1638</v>
      </c>
      <c r="D35" s="197" t="s">
        <v>1561</v>
      </c>
      <c r="E35" s="165" t="s">
        <v>1561</v>
      </c>
      <c r="F35" s="197" t="str">
        <f t="shared" si="8"/>
        <v>unused_DAP3_DOUT</v>
      </c>
      <c r="G35" s="198" t="s">
        <v>798</v>
      </c>
      <c r="H35" s="197" t="s">
        <v>329</v>
      </c>
      <c r="I35" s="360" t="s">
        <v>3063</v>
      </c>
      <c r="J35" s="197" t="s">
        <v>330</v>
      </c>
      <c r="K35" s="197" t="s">
        <v>331</v>
      </c>
      <c r="L35" s="198" t="s">
        <v>2062</v>
      </c>
      <c r="M35" s="197" t="s">
        <v>270</v>
      </c>
      <c r="N35" s="197" t="s">
        <v>270</v>
      </c>
      <c r="O35" s="197" t="s">
        <v>255</v>
      </c>
      <c r="P35" s="197" t="s">
        <v>253</v>
      </c>
      <c r="Q35" s="198" t="s">
        <v>327</v>
      </c>
      <c r="R35" s="197" t="s">
        <v>257</v>
      </c>
      <c r="S35" s="197">
        <v>100</v>
      </c>
      <c r="T35" s="197" t="s">
        <v>328</v>
      </c>
      <c r="U35" s="198">
        <v>0</v>
      </c>
      <c r="V35" s="199">
        <v>1</v>
      </c>
      <c r="W35" s="199">
        <v>1</v>
      </c>
      <c r="X35" s="199" t="s">
        <v>259</v>
      </c>
      <c r="Y35" s="200" t="s">
        <v>260</v>
      </c>
      <c r="Z35" s="200" t="s">
        <v>260</v>
      </c>
      <c r="AA35" s="233" t="str">
        <f t="shared" si="9"/>
        <v>Unused</v>
      </c>
      <c r="AB35" s="234" t="str">
        <f t="shared" si="3"/>
        <v>Unused</v>
      </c>
      <c r="AC35" s="248"/>
      <c r="AD35" s="234" t="str">
        <f t="shared" ref="AD35:AD98" si="13">IF(($AB35="Unused"), "ENABLE", IF((OR($AK35="Bidir",$AK35="Out")), "NORMAL", IF((OR($AK35="IN",AL35="Z", AL35="Int PU",AL35="Int PD")),"ENABLE","NORMAL")))</f>
        <v>ENABLE</v>
      </c>
      <c r="AE35" s="234" t="str">
        <f t="shared" si="10"/>
        <v>DISABLE</v>
      </c>
      <c r="AF35" s="234" t="str">
        <f t="shared" si="5"/>
        <v>NORMAL</v>
      </c>
      <c r="AG35" s="248"/>
      <c r="AH35" s="234" t="str">
        <f t="shared" si="11"/>
        <v>TRISTATE</v>
      </c>
      <c r="AI35" s="234" t="str">
        <f t="shared" si="12"/>
        <v>HIGH</v>
      </c>
      <c r="AJ35" s="182" t="s">
        <v>1127</v>
      </c>
      <c r="AK35" s="149" t="s">
        <v>2926</v>
      </c>
      <c r="AL35" s="333"/>
      <c r="AM35" s="256"/>
      <c r="AN35" s="152"/>
      <c r="AO35" s="152"/>
      <c r="AP35" s="153"/>
      <c r="AQ35" s="340" t="s">
        <v>3564</v>
      </c>
      <c r="AR35" s="6" t="s">
        <v>329</v>
      </c>
      <c r="AS35" s="49"/>
      <c r="AT35" s="282" t="s">
        <v>1127</v>
      </c>
      <c r="AU35" s="64" t="s">
        <v>2266</v>
      </c>
      <c r="AV35" s="49"/>
    </row>
    <row r="36" spans="1:48" ht="12.95" customHeight="1" thickBot="1" x14ac:dyDescent="0.3">
      <c r="A36" s="197" t="s">
        <v>32</v>
      </c>
      <c r="B36" s="271"/>
      <c r="C36" s="197" t="s">
        <v>1639</v>
      </c>
      <c r="D36" s="197" t="s">
        <v>1554</v>
      </c>
      <c r="E36" s="165" t="s">
        <v>1554</v>
      </c>
      <c r="F36" s="197" t="str">
        <f t="shared" si="8"/>
        <v>unused_DAP3_FS</v>
      </c>
      <c r="G36" s="198" t="s">
        <v>799</v>
      </c>
      <c r="H36" s="197" t="s">
        <v>332</v>
      </c>
      <c r="I36" s="360" t="s">
        <v>3063</v>
      </c>
      <c r="J36" s="197" t="s">
        <v>333</v>
      </c>
      <c r="K36" s="197" t="s">
        <v>334</v>
      </c>
      <c r="L36" s="198" t="s">
        <v>2062</v>
      </c>
      <c r="M36" s="197" t="s">
        <v>270</v>
      </c>
      <c r="N36" s="197" t="s">
        <v>270</v>
      </c>
      <c r="O36" s="197" t="s">
        <v>255</v>
      </c>
      <c r="P36" s="197" t="s">
        <v>253</v>
      </c>
      <c r="Q36" s="198" t="s">
        <v>327</v>
      </c>
      <c r="R36" s="197" t="s">
        <v>257</v>
      </c>
      <c r="S36" s="197">
        <v>100</v>
      </c>
      <c r="T36" s="197" t="s">
        <v>328</v>
      </c>
      <c r="U36" s="198">
        <v>0</v>
      </c>
      <c r="V36" s="199">
        <v>1</v>
      </c>
      <c r="W36" s="199">
        <v>1</v>
      </c>
      <c r="X36" s="199" t="s">
        <v>259</v>
      </c>
      <c r="Y36" s="200" t="s">
        <v>260</v>
      </c>
      <c r="Z36" s="200" t="s">
        <v>260</v>
      </c>
      <c r="AA36" s="233" t="str">
        <f t="shared" si="9"/>
        <v>Unused</v>
      </c>
      <c r="AB36" s="234" t="str">
        <f t="shared" si="3"/>
        <v>Unused</v>
      </c>
      <c r="AC36" s="248"/>
      <c r="AD36" s="234" t="str">
        <f t="shared" si="13"/>
        <v>ENABLE</v>
      </c>
      <c r="AE36" s="234" t="str">
        <f t="shared" si="10"/>
        <v>DISABLE</v>
      </c>
      <c r="AF36" s="234" t="str">
        <f t="shared" si="5"/>
        <v>NORMAL</v>
      </c>
      <c r="AG36" s="248"/>
      <c r="AH36" s="234" t="str">
        <f t="shared" si="11"/>
        <v>TRISTATE</v>
      </c>
      <c r="AI36" s="234" t="str">
        <f t="shared" si="12"/>
        <v>HIGH</v>
      </c>
      <c r="AJ36" s="182" t="s">
        <v>1128</v>
      </c>
      <c r="AK36" s="149" t="s">
        <v>2926</v>
      </c>
      <c r="AL36" s="333"/>
      <c r="AM36" s="256"/>
      <c r="AN36" s="152"/>
      <c r="AO36" s="152"/>
      <c r="AP36" s="153"/>
      <c r="AQ36" s="337" t="s">
        <v>1214</v>
      </c>
      <c r="AR36" s="6" t="s">
        <v>332</v>
      </c>
      <c r="AS36" s="49"/>
      <c r="AT36" s="282" t="s">
        <v>1128</v>
      </c>
      <c r="AU36" s="64" t="s">
        <v>1214</v>
      </c>
      <c r="AV36" s="49"/>
    </row>
    <row r="37" spans="1:48" ht="12.95" customHeight="1" thickBot="1" x14ac:dyDescent="0.3">
      <c r="A37" s="197" t="s">
        <v>33</v>
      </c>
      <c r="B37" s="271"/>
      <c r="C37" s="197" t="s">
        <v>1640</v>
      </c>
      <c r="D37" s="197" t="s">
        <v>1455</v>
      </c>
      <c r="E37" s="165" t="s">
        <v>1455</v>
      </c>
      <c r="F37" s="197" t="str">
        <f t="shared" si="8"/>
        <v>unused_DAP3_SCLK</v>
      </c>
      <c r="G37" s="198" t="s">
        <v>800</v>
      </c>
      <c r="H37" s="197" t="s">
        <v>335</v>
      </c>
      <c r="I37" s="360" t="s">
        <v>3063</v>
      </c>
      <c r="J37" s="197" t="s">
        <v>336</v>
      </c>
      <c r="K37" s="197" t="s">
        <v>337</v>
      </c>
      <c r="L37" s="198" t="s">
        <v>2062</v>
      </c>
      <c r="M37" s="197" t="s">
        <v>270</v>
      </c>
      <c r="N37" s="197" t="s">
        <v>270</v>
      </c>
      <c r="O37" s="197" t="s">
        <v>255</v>
      </c>
      <c r="P37" s="197" t="s">
        <v>253</v>
      </c>
      <c r="Q37" s="198" t="s">
        <v>327</v>
      </c>
      <c r="R37" s="197" t="s">
        <v>257</v>
      </c>
      <c r="S37" s="197">
        <v>100</v>
      </c>
      <c r="T37" s="197" t="s">
        <v>328</v>
      </c>
      <c r="U37" s="198">
        <v>0</v>
      </c>
      <c r="V37" s="199">
        <v>1</v>
      </c>
      <c r="W37" s="199">
        <v>1</v>
      </c>
      <c r="X37" s="199" t="s">
        <v>259</v>
      </c>
      <c r="Y37" s="200" t="s">
        <v>260</v>
      </c>
      <c r="Z37" s="200" t="s">
        <v>260</v>
      </c>
      <c r="AA37" s="233" t="str">
        <f t="shared" si="9"/>
        <v>Unused</v>
      </c>
      <c r="AB37" s="234" t="str">
        <f t="shared" si="3"/>
        <v>Unused</v>
      </c>
      <c r="AC37" s="248"/>
      <c r="AD37" s="234" t="str">
        <f t="shared" si="13"/>
        <v>ENABLE</v>
      </c>
      <c r="AE37" s="234" t="str">
        <f t="shared" si="10"/>
        <v>DISABLE</v>
      </c>
      <c r="AF37" s="234" t="str">
        <f t="shared" si="5"/>
        <v>NORMAL</v>
      </c>
      <c r="AG37" s="248"/>
      <c r="AH37" s="234" t="str">
        <f t="shared" si="11"/>
        <v>TRISTATE</v>
      </c>
      <c r="AI37" s="234" t="str">
        <f t="shared" si="12"/>
        <v>HIGH</v>
      </c>
      <c r="AJ37" s="182" t="s">
        <v>1129</v>
      </c>
      <c r="AK37" s="149" t="s">
        <v>2926</v>
      </c>
      <c r="AL37" s="333"/>
      <c r="AM37" s="257"/>
      <c r="AN37" s="152"/>
      <c r="AO37" s="152"/>
      <c r="AP37" s="153"/>
      <c r="AQ37" s="340" t="s">
        <v>3565</v>
      </c>
      <c r="AR37" s="6" t="s">
        <v>335</v>
      </c>
      <c r="AS37" s="49"/>
      <c r="AT37" s="282" t="s">
        <v>1129</v>
      </c>
      <c r="AU37" s="64" t="s">
        <v>2438</v>
      </c>
      <c r="AV37" s="53" t="s">
        <v>2438</v>
      </c>
    </row>
    <row r="38" spans="1:48" ht="12.95" customHeight="1" thickBot="1" x14ac:dyDescent="0.3">
      <c r="A38" s="197" t="s">
        <v>34</v>
      </c>
      <c r="B38" s="271"/>
      <c r="C38" s="197" t="s">
        <v>1641</v>
      </c>
      <c r="D38" s="197" t="s">
        <v>1642</v>
      </c>
      <c r="E38" s="165" t="s">
        <v>1642</v>
      </c>
      <c r="F38" s="197" t="str">
        <f t="shared" si="8"/>
        <v>unused_GPIO_PV0</v>
      </c>
      <c r="G38" s="198" t="s">
        <v>801</v>
      </c>
      <c r="H38" s="360" t="s">
        <v>3037</v>
      </c>
      <c r="I38" s="360" t="s">
        <v>3037</v>
      </c>
      <c r="J38" s="360" t="s">
        <v>3037</v>
      </c>
      <c r="K38" s="360" t="s">
        <v>3037</v>
      </c>
      <c r="L38" s="198" t="s">
        <v>2062</v>
      </c>
      <c r="M38" s="197" t="s">
        <v>254</v>
      </c>
      <c r="N38" s="197" t="s">
        <v>2062</v>
      </c>
      <c r="O38" s="197" t="s">
        <v>255</v>
      </c>
      <c r="P38" s="197">
        <v>24</v>
      </c>
      <c r="Q38" s="198" t="s">
        <v>327</v>
      </c>
      <c r="R38" s="197" t="s">
        <v>257</v>
      </c>
      <c r="S38" s="197">
        <v>100</v>
      </c>
      <c r="T38" s="197" t="s">
        <v>338</v>
      </c>
      <c r="U38" s="198">
        <v>0</v>
      </c>
      <c r="V38" s="199">
        <v>1</v>
      </c>
      <c r="W38" s="199">
        <v>1</v>
      </c>
      <c r="X38" s="199" t="s">
        <v>264</v>
      </c>
      <c r="Y38" s="200" t="s">
        <v>265</v>
      </c>
      <c r="Z38" s="200" t="s">
        <v>265</v>
      </c>
      <c r="AA38" s="233" t="str">
        <f t="shared" si="9"/>
        <v>Unused</v>
      </c>
      <c r="AB38" s="234" t="str">
        <f t="shared" si="3"/>
        <v>Unused</v>
      </c>
      <c r="AC38" s="248"/>
      <c r="AD38" s="234" t="str">
        <f t="shared" si="13"/>
        <v>ENABLE</v>
      </c>
      <c r="AE38" s="234" t="str">
        <f t="shared" si="10"/>
        <v>DISABLE</v>
      </c>
      <c r="AF38" s="234" t="str">
        <f t="shared" si="5"/>
        <v>NORMAL</v>
      </c>
      <c r="AG38" s="248"/>
      <c r="AH38" s="234" t="str">
        <f t="shared" si="11"/>
        <v>TRISTATE</v>
      </c>
      <c r="AI38" s="234" t="str">
        <f t="shared" si="12"/>
        <v>HIGH</v>
      </c>
      <c r="AJ38" s="182" t="s">
        <v>3636</v>
      </c>
      <c r="AK38" s="149" t="s">
        <v>2926</v>
      </c>
      <c r="AL38" s="333"/>
      <c r="AM38" s="168"/>
      <c r="AN38" s="152"/>
      <c r="AO38" s="152"/>
      <c r="AP38" s="153"/>
      <c r="AQ38" s="338" t="s">
        <v>3566</v>
      </c>
      <c r="AR38" s="6" t="s">
        <v>801</v>
      </c>
      <c r="AS38" s="53" t="s">
        <v>2251</v>
      </c>
      <c r="AT38" s="282" t="s">
        <v>801</v>
      </c>
      <c r="AU38" s="53" t="s">
        <v>2439</v>
      </c>
      <c r="AV38" s="53" t="s">
        <v>2251</v>
      </c>
    </row>
    <row r="39" spans="1:48" ht="12.95" customHeight="1" thickBot="1" x14ac:dyDescent="0.3">
      <c r="A39" s="197" t="s">
        <v>35</v>
      </c>
      <c r="B39" s="271"/>
      <c r="C39" s="197" t="s">
        <v>1643</v>
      </c>
      <c r="D39" s="197" t="s">
        <v>1593</v>
      </c>
      <c r="E39" s="165" t="s">
        <v>1593</v>
      </c>
      <c r="F39" s="197" t="str">
        <f t="shared" si="8"/>
        <v>unused_GPIO_PV1</v>
      </c>
      <c r="G39" s="198" t="s">
        <v>802</v>
      </c>
      <c r="H39" s="360" t="s">
        <v>3037</v>
      </c>
      <c r="I39" s="360" t="s">
        <v>3037</v>
      </c>
      <c r="J39" s="360" t="s">
        <v>3037</v>
      </c>
      <c r="K39" s="360" t="s">
        <v>3037</v>
      </c>
      <c r="L39" s="198" t="s">
        <v>2062</v>
      </c>
      <c r="M39" s="197" t="s">
        <v>254</v>
      </c>
      <c r="N39" s="197" t="s">
        <v>2062</v>
      </c>
      <c r="O39" s="197" t="s">
        <v>255</v>
      </c>
      <c r="P39" s="197">
        <v>1</v>
      </c>
      <c r="Q39" s="198" t="s">
        <v>327</v>
      </c>
      <c r="R39" s="197" t="s">
        <v>257</v>
      </c>
      <c r="S39" s="197">
        <v>100</v>
      </c>
      <c r="T39" s="197" t="s">
        <v>338</v>
      </c>
      <c r="U39" s="198">
        <v>0</v>
      </c>
      <c r="V39" s="199">
        <v>1</v>
      </c>
      <c r="W39" s="199">
        <v>1</v>
      </c>
      <c r="X39" s="199" t="s">
        <v>264</v>
      </c>
      <c r="Y39" s="200" t="s">
        <v>265</v>
      </c>
      <c r="Z39" s="200" t="s">
        <v>265</v>
      </c>
      <c r="AA39" s="233" t="str">
        <f t="shared" si="9"/>
        <v>Unused</v>
      </c>
      <c r="AB39" s="234" t="str">
        <f t="shared" si="3"/>
        <v>Unused</v>
      </c>
      <c r="AC39" s="248"/>
      <c r="AD39" s="234" t="str">
        <f t="shared" si="13"/>
        <v>ENABLE</v>
      </c>
      <c r="AE39" s="234" t="str">
        <f t="shared" si="10"/>
        <v>DISABLE</v>
      </c>
      <c r="AF39" s="234" t="str">
        <f t="shared" si="5"/>
        <v>NORMAL</v>
      </c>
      <c r="AG39" s="248"/>
      <c r="AH39" s="234" t="str">
        <f t="shared" si="11"/>
        <v>TRISTATE</v>
      </c>
      <c r="AI39" s="234" t="str">
        <f t="shared" si="12"/>
        <v>HIGH</v>
      </c>
      <c r="AJ39" s="182" t="s">
        <v>1130</v>
      </c>
      <c r="AK39" s="149" t="s">
        <v>2926</v>
      </c>
      <c r="AL39" s="333"/>
      <c r="AM39" s="168"/>
      <c r="AN39" s="152"/>
      <c r="AO39" s="152"/>
      <c r="AP39" s="153"/>
      <c r="AQ39" s="348" t="s">
        <v>3567</v>
      </c>
      <c r="AR39" s="6" t="s">
        <v>802</v>
      </c>
      <c r="AS39" s="50"/>
      <c r="AT39" s="282" t="s">
        <v>1130</v>
      </c>
      <c r="AU39" s="108"/>
      <c r="AV39" s="49"/>
    </row>
    <row r="40" spans="1:48" ht="12.95" customHeight="1" x14ac:dyDescent="0.25">
      <c r="A40" s="197" t="s">
        <v>36</v>
      </c>
      <c r="B40" s="271"/>
      <c r="C40" s="197" t="s">
        <v>1644</v>
      </c>
      <c r="D40" s="197" t="s">
        <v>1645</v>
      </c>
      <c r="E40" s="165" t="s">
        <v>1645</v>
      </c>
      <c r="F40" s="197" t="str">
        <f t="shared" si="8"/>
        <v>unused_ULPI_CLK</v>
      </c>
      <c r="G40" s="198" t="s">
        <v>803</v>
      </c>
      <c r="H40" s="197" t="s">
        <v>339</v>
      </c>
      <c r="I40" s="360" t="s">
        <v>3037</v>
      </c>
      <c r="J40" s="197" t="s">
        <v>340</v>
      </c>
      <c r="K40" s="197" t="s">
        <v>341</v>
      </c>
      <c r="L40" s="198" t="s">
        <v>2062</v>
      </c>
      <c r="M40" s="197" t="s">
        <v>270</v>
      </c>
      <c r="N40" s="197" t="s">
        <v>270</v>
      </c>
      <c r="O40" s="197" t="s">
        <v>255</v>
      </c>
      <c r="P40" s="197" t="s">
        <v>253</v>
      </c>
      <c r="Q40" s="198" t="s">
        <v>327</v>
      </c>
      <c r="R40" s="197" t="s">
        <v>257</v>
      </c>
      <c r="S40" s="197">
        <v>100</v>
      </c>
      <c r="T40" s="197" t="s">
        <v>342</v>
      </c>
      <c r="U40" s="198">
        <v>0</v>
      </c>
      <c r="V40" s="199">
        <v>1</v>
      </c>
      <c r="W40" s="199">
        <v>1</v>
      </c>
      <c r="X40" s="199" t="s">
        <v>264</v>
      </c>
      <c r="Y40" s="200" t="s">
        <v>265</v>
      </c>
      <c r="Z40" s="200" t="s">
        <v>265</v>
      </c>
      <c r="AA40" s="233" t="str">
        <f t="shared" si="9"/>
        <v>Unused</v>
      </c>
      <c r="AB40" s="234" t="str">
        <f t="shared" si="3"/>
        <v>Unused</v>
      </c>
      <c r="AC40" s="248"/>
      <c r="AD40" s="234" t="str">
        <f t="shared" si="13"/>
        <v>ENABLE</v>
      </c>
      <c r="AE40" s="234" t="str">
        <f t="shared" si="10"/>
        <v>DISABLE</v>
      </c>
      <c r="AF40" s="234" t="str">
        <f t="shared" si="5"/>
        <v>NORMAL</v>
      </c>
      <c r="AG40" s="248"/>
      <c r="AH40" s="234" t="str">
        <f t="shared" si="11"/>
        <v>TRISTATE</v>
      </c>
      <c r="AI40" s="234" t="str">
        <f t="shared" si="12"/>
        <v>HIGH</v>
      </c>
      <c r="AJ40" s="182" t="s">
        <v>3620</v>
      </c>
      <c r="AK40" s="149" t="s">
        <v>2926</v>
      </c>
      <c r="AL40" s="333"/>
      <c r="AM40" s="258"/>
      <c r="AN40" s="152"/>
      <c r="AO40" s="152"/>
      <c r="AP40" s="153"/>
      <c r="AQ40" s="339"/>
      <c r="AR40" s="6" t="s">
        <v>341</v>
      </c>
      <c r="AS40" s="42" t="s">
        <v>1173</v>
      </c>
      <c r="AT40" s="282" t="s">
        <v>340</v>
      </c>
      <c r="AU40" s="42" t="s">
        <v>1173</v>
      </c>
      <c r="AV40" s="42" t="s">
        <v>1173</v>
      </c>
    </row>
    <row r="41" spans="1:48" ht="12.95" customHeight="1" x14ac:dyDescent="0.25">
      <c r="A41" s="197" t="s">
        <v>37</v>
      </c>
      <c r="B41" s="271"/>
      <c r="C41" s="197" t="s">
        <v>1646</v>
      </c>
      <c r="D41" s="197" t="s">
        <v>1588</v>
      </c>
      <c r="E41" s="165" t="s">
        <v>1588</v>
      </c>
      <c r="F41" s="197" t="str">
        <f t="shared" si="8"/>
        <v>unused_ULPI_DATA0</v>
      </c>
      <c r="G41" s="198" t="s">
        <v>804</v>
      </c>
      <c r="H41" s="197" t="s">
        <v>343</v>
      </c>
      <c r="I41" s="360" t="s">
        <v>3077</v>
      </c>
      <c r="J41" s="197" t="s">
        <v>344</v>
      </c>
      <c r="K41" s="197" t="s">
        <v>345</v>
      </c>
      <c r="L41" s="198" t="s">
        <v>2062</v>
      </c>
      <c r="M41" s="197" t="s">
        <v>270</v>
      </c>
      <c r="N41" s="197" t="s">
        <v>270</v>
      </c>
      <c r="O41" s="197" t="s">
        <v>255</v>
      </c>
      <c r="P41" s="197" t="s">
        <v>253</v>
      </c>
      <c r="Q41" s="198" t="s">
        <v>327</v>
      </c>
      <c r="R41" s="197" t="s">
        <v>257</v>
      </c>
      <c r="S41" s="197">
        <v>100</v>
      </c>
      <c r="T41" s="197" t="s">
        <v>346</v>
      </c>
      <c r="U41" s="198">
        <v>0</v>
      </c>
      <c r="V41" s="199">
        <v>1</v>
      </c>
      <c r="W41" s="199">
        <v>1</v>
      </c>
      <c r="X41" s="199" t="s">
        <v>300</v>
      </c>
      <c r="Y41" s="200" t="s">
        <v>301</v>
      </c>
      <c r="Z41" s="200" t="s">
        <v>301</v>
      </c>
      <c r="AA41" s="233" t="str">
        <f t="shared" si="9"/>
        <v>Unused</v>
      </c>
      <c r="AB41" s="234" t="str">
        <f t="shared" si="3"/>
        <v>Unused</v>
      </c>
      <c r="AC41" s="248"/>
      <c r="AD41" s="234" t="str">
        <f t="shared" si="13"/>
        <v>ENABLE</v>
      </c>
      <c r="AE41" s="234" t="str">
        <f t="shared" si="10"/>
        <v>DISABLE</v>
      </c>
      <c r="AF41" s="234" t="str">
        <f t="shared" si="5"/>
        <v>NORMAL</v>
      </c>
      <c r="AG41" s="248"/>
      <c r="AH41" s="234" t="str">
        <f t="shared" si="11"/>
        <v>TRISTATE</v>
      </c>
      <c r="AI41" s="234" t="str">
        <f t="shared" si="12"/>
        <v>HIGH</v>
      </c>
      <c r="AJ41" s="182" t="s">
        <v>3621</v>
      </c>
      <c r="AK41" s="149" t="s">
        <v>2926</v>
      </c>
      <c r="AL41" s="333"/>
      <c r="AM41" s="256"/>
      <c r="AN41" s="152"/>
      <c r="AO41" s="152"/>
      <c r="AP41" s="153"/>
      <c r="AQ41" s="340"/>
      <c r="AR41" s="6" t="s">
        <v>345</v>
      </c>
      <c r="AS41" s="44" t="s">
        <v>1174</v>
      </c>
      <c r="AT41" s="282" t="s">
        <v>804</v>
      </c>
      <c r="AU41" s="44" t="s">
        <v>1174</v>
      </c>
      <c r="AV41" s="44" t="s">
        <v>1174</v>
      </c>
    </row>
    <row r="42" spans="1:48" ht="12.95" customHeight="1" x14ac:dyDescent="0.25">
      <c r="A42" s="197" t="s">
        <v>38</v>
      </c>
      <c r="B42" s="271"/>
      <c r="C42" s="197" t="s">
        <v>1647</v>
      </c>
      <c r="D42" s="197" t="s">
        <v>1648</v>
      </c>
      <c r="E42" s="165" t="s">
        <v>1648</v>
      </c>
      <c r="F42" s="197" t="str">
        <f t="shared" si="8"/>
        <v>unused_ULPI_DATA1</v>
      </c>
      <c r="G42" s="198" t="s">
        <v>805</v>
      </c>
      <c r="H42" s="197" t="s">
        <v>347</v>
      </c>
      <c r="I42" s="360" t="s">
        <v>3077</v>
      </c>
      <c r="J42" s="197" t="s">
        <v>348</v>
      </c>
      <c r="K42" s="197" t="s">
        <v>349</v>
      </c>
      <c r="L42" s="198" t="s">
        <v>2062</v>
      </c>
      <c r="M42" s="197" t="s">
        <v>270</v>
      </c>
      <c r="N42" s="197" t="s">
        <v>270</v>
      </c>
      <c r="O42" s="197" t="s">
        <v>255</v>
      </c>
      <c r="P42" s="197" t="s">
        <v>253</v>
      </c>
      <c r="Q42" s="198" t="s">
        <v>327</v>
      </c>
      <c r="R42" s="197" t="s">
        <v>257</v>
      </c>
      <c r="S42" s="197">
        <v>100</v>
      </c>
      <c r="T42" s="197" t="s">
        <v>346</v>
      </c>
      <c r="U42" s="198">
        <v>0</v>
      </c>
      <c r="V42" s="199">
        <v>1</v>
      </c>
      <c r="W42" s="199">
        <v>1</v>
      </c>
      <c r="X42" s="199" t="s">
        <v>300</v>
      </c>
      <c r="Y42" s="200" t="s">
        <v>301</v>
      </c>
      <c r="Z42" s="200" t="s">
        <v>301</v>
      </c>
      <c r="AA42" s="233" t="str">
        <f t="shared" si="9"/>
        <v>Unused</v>
      </c>
      <c r="AB42" s="234" t="str">
        <f t="shared" si="3"/>
        <v>Unused</v>
      </c>
      <c r="AC42" s="248"/>
      <c r="AD42" s="234" t="str">
        <f t="shared" si="13"/>
        <v>ENABLE</v>
      </c>
      <c r="AE42" s="234" t="str">
        <f t="shared" si="10"/>
        <v>DISABLE</v>
      </c>
      <c r="AF42" s="234" t="str">
        <f t="shared" si="5"/>
        <v>NORMAL</v>
      </c>
      <c r="AG42" s="248"/>
      <c r="AH42" s="234" t="str">
        <f t="shared" si="11"/>
        <v>TRISTATE</v>
      </c>
      <c r="AI42" s="234" t="str">
        <f t="shared" si="12"/>
        <v>HIGH</v>
      </c>
      <c r="AJ42" s="182" t="s">
        <v>3622</v>
      </c>
      <c r="AK42" s="149" t="s">
        <v>2926</v>
      </c>
      <c r="AL42" s="333"/>
      <c r="AM42" s="256"/>
      <c r="AN42" s="152"/>
      <c r="AO42" s="152"/>
      <c r="AP42" s="153"/>
      <c r="AQ42" s="340"/>
      <c r="AR42" s="6" t="s">
        <v>349</v>
      </c>
      <c r="AS42" s="44" t="s">
        <v>1175</v>
      </c>
      <c r="AT42" s="282" t="s">
        <v>805</v>
      </c>
      <c r="AU42" s="44" t="s">
        <v>1175</v>
      </c>
      <c r="AV42" s="44" t="s">
        <v>1175</v>
      </c>
    </row>
    <row r="43" spans="1:48" ht="12.95" customHeight="1" thickBot="1" x14ac:dyDescent="0.3">
      <c r="A43" s="197" t="s">
        <v>39</v>
      </c>
      <c r="B43" s="271"/>
      <c r="C43" s="197" t="s">
        <v>1649</v>
      </c>
      <c r="D43" s="197" t="s">
        <v>1582</v>
      </c>
      <c r="E43" s="165" t="s">
        <v>1582</v>
      </c>
      <c r="F43" s="197" t="str">
        <f t="shared" si="8"/>
        <v>unused_ULPI_DATA2</v>
      </c>
      <c r="G43" s="198" t="s">
        <v>806</v>
      </c>
      <c r="H43" s="197" t="s">
        <v>350</v>
      </c>
      <c r="I43" s="360" t="s">
        <v>3077</v>
      </c>
      <c r="J43" s="197" t="s">
        <v>2175</v>
      </c>
      <c r="K43" s="197" t="s">
        <v>351</v>
      </c>
      <c r="L43" s="198" t="s">
        <v>2062</v>
      </c>
      <c r="M43" s="197" t="s">
        <v>270</v>
      </c>
      <c r="N43" s="197" t="s">
        <v>270</v>
      </c>
      <c r="O43" s="197" t="s">
        <v>255</v>
      </c>
      <c r="P43" s="197" t="s">
        <v>253</v>
      </c>
      <c r="Q43" s="198" t="s">
        <v>327</v>
      </c>
      <c r="R43" s="197" t="s">
        <v>257</v>
      </c>
      <c r="S43" s="197">
        <v>100</v>
      </c>
      <c r="T43" s="197" t="s">
        <v>346</v>
      </c>
      <c r="U43" s="198">
        <v>0</v>
      </c>
      <c r="V43" s="199">
        <v>1</v>
      </c>
      <c r="W43" s="199">
        <v>1</v>
      </c>
      <c r="X43" s="199" t="s">
        <v>300</v>
      </c>
      <c r="Y43" s="200" t="s">
        <v>301</v>
      </c>
      <c r="Z43" s="200" t="s">
        <v>301</v>
      </c>
      <c r="AA43" s="233" t="str">
        <f t="shared" si="9"/>
        <v>Unused</v>
      </c>
      <c r="AB43" s="234" t="str">
        <f t="shared" si="3"/>
        <v>Unused</v>
      </c>
      <c r="AC43" s="248"/>
      <c r="AD43" s="234" t="str">
        <f t="shared" si="13"/>
        <v>ENABLE</v>
      </c>
      <c r="AE43" s="234" t="str">
        <f t="shared" si="10"/>
        <v>DISABLE</v>
      </c>
      <c r="AF43" s="234" t="str">
        <f t="shared" si="5"/>
        <v>NORMAL</v>
      </c>
      <c r="AG43" s="248"/>
      <c r="AH43" s="234" t="str">
        <f t="shared" si="11"/>
        <v>TRISTATE</v>
      </c>
      <c r="AI43" s="234" t="str">
        <f t="shared" si="12"/>
        <v>HIGH</v>
      </c>
      <c r="AJ43" s="182" t="s">
        <v>3623</v>
      </c>
      <c r="AK43" s="149" t="s">
        <v>2926</v>
      </c>
      <c r="AL43" s="333"/>
      <c r="AM43" s="257"/>
      <c r="AN43" s="152"/>
      <c r="AO43" s="152"/>
      <c r="AP43" s="153"/>
      <c r="AQ43" s="340"/>
      <c r="AR43" s="6" t="s">
        <v>351</v>
      </c>
      <c r="AS43" s="44" t="s">
        <v>2252</v>
      </c>
      <c r="AT43" s="282" t="s">
        <v>806</v>
      </c>
      <c r="AU43" s="44" t="s">
        <v>2440</v>
      </c>
      <c r="AV43" s="44" t="s">
        <v>2252</v>
      </c>
    </row>
    <row r="44" spans="1:48" ht="12.95" customHeight="1" thickBot="1" x14ac:dyDescent="0.3">
      <c r="A44" s="197" t="s">
        <v>40</v>
      </c>
      <c r="B44" s="271"/>
      <c r="C44" s="197" t="s">
        <v>1650</v>
      </c>
      <c r="D44" s="197" t="s">
        <v>1651</v>
      </c>
      <c r="E44" s="165" t="s">
        <v>1651</v>
      </c>
      <c r="F44" s="197" t="str">
        <f t="shared" si="8"/>
        <v>unused_ULPI_DATA3</v>
      </c>
      <c r="G44" s="198" t="s">
        <v>807</v>
      </c>
      <c r="H44" s="197" t="s">
        <v>2166</v>
      </c>
      <c r="I44" s="360" t="s">
        <v>3077</v>
      </c>
      <c r="J44" s="197" t="s">
        <v>2174</v>
      </c>
      <c r="K44" s="197" t="s">
        <v>352</v>
      </c>
      <c r="L44" s="198" t="s">
        <v>2062</v>
      </c>
      <c r="M44" s="197" t="s">
        <v>254</v>
      </c>
      <c r="N44" s="197" t="s">
        <v>2062</v>
      </c>
      <c r="O44" s="197" t="s">
        <v>255</v>
      </c>
      <c r="P44" s="197">
        <v>32</v>
      </c>
      <c r="Q44" s="198" t="s">
        <v>327</v>
      </c>
      <c r="R44" s="197" t="s">
        <v>257</v>
      </c>
      <c r="S44" s="197">
        <v>100</v>
      </c>
      <c r="T44" s="197" t="s">
        <v>346</v>
      </c>
      <c r="U44" s="198">
        <v>0</v>
      </c>
      <c r="V44" s="199">
        <v>1</v>
      </c>
      <c r="W44" s="199">
        <v>1</v>
      </c>
      <c r="X44" s="199" t="s">
        <v>300</v>
      </c>
      <c r="Y44" s="200" t="s">
        <v>301</v>
      </c>
      <c r="Z44" s="200" t="s">
        <v>301</v>
      </c>
      <c r="AA44" s="233" t="str">
        <f t="shared" si="9"/>
        <v>Unused</v>
      </c>
      <c r="AB44" s="234" t="str">
        <f t="shared" si="3"/>
        <v>Unused</v>
      </c>
      <c r="AC44" s="248"/>
      <c r="AD44" s="234" t="str">
        <f t="shared" si="13"/>
        <v>ENABLE</v>
      </c>
      <c r="AE44" s="234" t="str">
        <f t="shared" si="10"/>
        <v>DISABLE</v>
      </c>
      <c r="AF44" s="234" t="str">
        <f t="shared" si="5"/>
        <v>NORMAL</v>
      </c>
      <c r="AG44" s="248"/>
      <c r="AH44" s="234" t="str">
        <f t="shared" si="11"/>
        <v>TRISTATE</v>
      </c>
      <c r="AI44" s="234" t="str">
        <f t="shared" si="12"/>
        <v>HIGH</v>
      </c>
      <c r="AJ44" s="182" t="s">
        <v>3624</v>
      </c>
      <c r="AK44" s="149" t="s">
        <v>2926</v>
      </c>
      <c r="AL44" s="333"/>
      <c r="AM44" s="168"/>
      <c r="AN44" s="152"/>
      <c r="AO44" s="152"/>
      <c r="AP44" s="153"/>
      <c r="AQ44" s="340"/>
      <c r="AR44" s="6" t="s">
        <v>352</v>
      </c>
      <c r="AS44" s="44" t="s">
        <v>2253</v>
      </c>
      <c r="AT44" s="282" t="s">
        <v>807</v>
      </c>
      <c r="AU44" s="44" t="s">
        <v>2253</v>
      </c>
      <c r="AV44" s="44" t="s">
        <v>2253</v>
      </c>
    </row>
    <row r="45" spans="1:48" ht="12.95" customHeight="1" thickBot="1" x14ac:dyDescent="0.3">
      <c r="A45" s="197" t="s">
        <v>41</v>
      </c>
      <c r="B45" s="271"/>
      <c r="C45" s="197" t="s">
        <v>1652</v>
      </c>
      <c r="D45" s="197" t="s">
        <v>1571</v>
      </c>
      <c r="E45" s="165" t="s">
        <v>1571</v>
      </c>
      <c r="F45" s="197" t="str">
        <f t="shared" si="8"/>
        <v>unused_ULPI_DATA4</v>
      </c>
      <c r="G45" s="198" t="s">
        <v>808</v>
      </c>
      <c r="H45" s="197" t="s">
        <v>353</v>
      </c>
      <c r="I45" s="360" t="s">
        <v>3077</v>
      </c>
      <c r="J45" s="197" t="s">
        <v>2172</v>
      </c>
      <c r="K45" s="197" t="s">
        <v>354</v>
      </c>
      <c r="L45" s="198" t="s">
        <v>2062</v>
      </c>
      <c r="M45" s="197" t="s">
        <v>254</v>
      </c>
      <c r="N45" s="197" t="s">
        <v>2062</v>
      </c>
      <c r="O45" s="197" t="s">
        <v>255</v>
      </c>
      <c r="P45" s="197">
        <v>0</v>
      </c>
      <c r="Q45" s="198" t="s">
        <v>327</v>
      </c>
      <c r="R45" s="197" t="s">
        <v>257</v>
      </c>
      <c r="S45" s="197">
        <v>100</v>
      </c>
      <c r="T45" s="197" t="s">
        <v>338</v>
      </c>
      <c r="U45" s="198">
        <v>0</v>
      </c>
      <c r="V45" s="199">
        <v>1</v>
      </c>
      <c r="W45" s="199">
        <v>1</v>
      </c>
      <c r="X45" s="199" t="s">
        <v>300</v>
      </c>
      <c r="Y45" s="200" t="s">
        <v>301</v>
      </c>
      <c r="Z45" s="200" t="s">
        <v>301</v>
      </c>
      <c r="AA45" s="233" t="str">
        <f t="shared" si="9"/>
        <v>Unused</v>
      </c>
      <c r="AB45" s="234" t="str">
        <f t="shared" si="3"/>
        <v>Unused</v>
      </c>
      <c r="AC45" s="248"/>
      <c r="AD45" s="234" t="str">
        <f t="shared" si="13"/>
        <v>ENABLE</v>
      </c>
      <c r="AE45" s="234" t="str">
        <f t="shared" si="10"/>
        <v>DISABLE</v>
      </c>
      <c r="AF45" s="234" t="str">
        <f t="shared" si="5"/>
        <v>NORMAL</v>
      </c>
      <c r="AG45" s="248"/>
      <c r="AH45" s="234" t="str">
        <f t="shared" si="11"/>
        <v>TRISTATE</v>
      </c>
      <c r="AI45" s="234" t="str">
        <f t="shared" si="12"/>
        <v>HIGH</v>
      </c>
      <c r="AJ45" s="182" t="s">
        <v>3625</v>
      </c>
      <c r="AK45" s="149" t="s">
        <v>2926</v>
      </c>
      <c r="AL45" s="333"/>
      <c r="AM45" s="168"/>
      <c r="AN45" s="152"/>
      <c r="AO45" s="152"/>
      <c r="AP45" s="153"/>
      <c r="AQ45" s="341" t="s">
        <v>3568</v>
      </c>
      <c r="AR45" s="6" t="s">
        <v>354</v>
      </c>
      <c r="AS45" s="379" t="s">
        <v>1220</v>
      </c>
      <c r="AT45" s="282" t="s">
        <v>353</v>
      </c>
      <c r="AU45" s="65" t="s">
        <v>2441</v>
      </c>
      <c r="AV45" s="379" t="s">
        <v>1220</v>
      </c>
    </row>
    <row r="46" spans="1:48" ht="12.95" customHeight="1" x14ac:dyDescent="0.25">
      <c r="A46" s="197" t="s">
        <v>42</v>
      </c>
      <c r="B46" s="271"/>
      <c r="C46" s="197" t="s">
        <v>1653</v>
      </c>
      <c r="D46" s="197" t="s">
        <v>1654</v>
      </c>
      <c r="E46" s="165" t="s">
        <v>1654</v>
      </c>
      <c r="F46" s="197" t="str">
        <f t="shared" si="8"/>
        <v>unused_ULPI_DATA5</v>
      </c>
      <c r="G46" s="198" t="s">
        <v>809</v>
      </c>
      <c r="H46" s="197" t="s">
        <v>355</v>
      </c>
      <c r="I46" s="360" t="s">
        <v>3077</v>
      </c>
      <c r="J46" s="197" t="s">
        <v>2173</v>
      </c>
      <c r="K46" s="197" t="s">
        <v>356</v>
      </c>
      <c r="L46" s="198" t="s">
        <v>2062</v>
      </c>
      <c r="M46" s="197" t="s">
        <v>270</v>
      </c>
      <c r="N46" s="197" t="s">
        <v>270</v>
      </c>
      <c r="O46" s="197" t="s">
        <v>255</v>
      </c>
      <c r="P46" s="197" t="s">
        <v>253</v>
      </c>
      <c r="Q46" s="198" t="s">
        <v>327</v>
      </c>
      <c r="R46" s="197" t="s">
        <v>257</v>
      </c>
      <c r="S46" s="197">
        <v>100</v>
      </c>
      <c r="T46" s="197" t="s">
        <v>338</v>
      </c>
      <c r="U46" s="198">
        <v>0</v>
      </c>
      <c r="V46" s="199">
        <v>1</v>
      </c>
      <c r="W46" s="199">
        <v>1</v>
      </c>
      <c r="X46" s="199" t="s">
        <v>300</v>
      </c>
      <c r="Y46" s="200" t="s">
        <v>301</v>
      </c>
      <c r="Z46" s="200" t="s">
        <v>301</v>
      </c>
      <c r="AA46" s="233" t="str">
        <f t="shared" si="9"/>
        <v>Unused</v>
      </c>
      <c r="AB46" s="234" t="str">
        <f t="shared" si="3"/>
        <v>Unused</v>
      </c>
      <c r="AC46" s="248"/>
      <c r="AD46" s="234" t="str">
        <f t="shared" si="13"/>
        <v>ENABLE</v>
      </c>
      <c r="AE46" s="234" t="str">
        <f t="shared" si="10"/>
        <v>DISABLE</v>
      </c>
      <c r="AF46" s="234" t="str">
        <f t="shared" si="5"/>
        <v>NORMAL</v>
      </c>
      <c r="AG46" s="248"/>
      <c r="AH46" s="234" t="str">
        <f t="shared" si="11"/>
        <v>TRISTATE</v>
      </c>
      <c r="AI46" s="234" t="str">
        <f t="shared" si="12"/>
        <v>HIGH</v>
      </c>
      <c r="AJ46" s="182" t="s">
        <v>3626</v>
      </c>
      <c r="AK46" s="149" t="s">
        <v>2926</v>
      </c>
      <c r="AL46" s="333"/>
      <c r="AM46" s="258"/>
      <c r="AN46" s="152"/>
      <c r="AO46" s="152"/>
      <c r="AP46" s="153"/>
      <c r="AQ46" s="340"/>
      <c r="AR46" s="6" t="s">
        <v>356</v>
      </c>
      <c r="AS46" s="379"/>
      <c r="AT46" s="282" t="s">
        <v>355</v>
      </c>
      <c r="AU46" s="65" t="s">
        <v>2442</v>
      </c>
      <c r="AV46" s="379"/>
    </row>
    <row r="47" spans="1:48" ht="12.95" customHeight="1" x14ac:dyDescent="0.25">
      <c r="A47" s="197" t="s">
        <v>43</v>
      </c>
      <c r="B47" s="271"/>
      <c r="C47" s="197" t="s">
        <v>1655</v>
      </c>
      <c r="D47" s="197" t="s">
        <v>1656</v>
      </c>
      <c r="E47" s="165" t="s">
        <v>1656</v>
      </c>
      <c r="F47" s="197" t="str">
        <f t="shared" si="8"/>
        <v>unused_ULPI_DATA6</v>
      </c>
      <c r="G47" s="198" t="s">
        <v>810</v>
      </c>
      <c r="H47" s="197" t="s">
        <v>357</v>
      </c>
      <c r="I47" s="360" t="s">
        <v>3077</v>
      </c>
      <c r="J47" s="197" t="s">
        <v>2170</v>
      </c>
      <c r="K47" s="197" t="s">
        <v>358</v>
      </c>
      <c r="L47" s="198" t="s">
        <v>2062</v>
      </c>
      <c r="M47" s="197" t="s">
        <v>270</v>
      </c>
      <c r="N47" s="197" t="s">
        <v>270</v>
      </c>
      <c r="O47" s="197" t="s">
        <v>255</v>
      </c>
      <c r="P47" s="197" t="s">
        <v>253</v>
      </c>
      <c r="Q47" s="198" t="s">
        <v>327</v>
      </c>
      <c r="R47" s="197" t="s">
        <v>257</v>
      </c>
      <c r="S47" s="197">
        <v>100</v>
      </c>
      <c r="T47" s="197" t="s">
        <v>338</v>
      </c>
      <c r="U47" s="198">
        <v>0</v>
      </c>
      <c r="V47" s="199">
        <v>1</v>
      </c>
      <c r="W47" s="199">
        <v>1</v>
      </c>
      <c r="X47" s="199" t="s">
        <v>300</v>
      </c>
      <c r="Y47" s="200" t="s">
        <v>301</v>
      </c>
      <c r="Z47" s="200" t="s">
        <v>301</v>
      </c>
      <c r="AA47" s="233" t="str">
        <f t="shared" si="9"/>
        <v>Unused</v>
      </c>
      <c r="AB47" s="234" t="str">
        <f t="shared" si="3"/>
        <v>Unused</v>
      </c>
      <c r="AC47" s="248"/>
      <c r="AD47" s="234" t="str">
        <f t="shared" si="13"/>
        <v>ENABLE</v>
      </c>
      <c r="AE47" s="234" t="str">
        <f t="shared" si="10"/>
        <v>DISABLE</v>
      </c>
      <c r="AF47" s="234" t="str">
        <f t="shared" si="5"/>
        <v>NORMAL</v>
      </c>
      <c r="AG47" s="248"/>
      <c r="AH47" s="234" t="str">
        <f t="shared" si="11"/>
        <v>TRISTATE</v>
      </c>
      <c r="AI47" s="234" t="str">
        <f t="shared" si="12"/>
        <v>HIGH</v>
      </c>
      <c r="AJ47" s="182" t="s">
        <v>3627</v>
      </c>
      <c r="AK47" s="149" t="s">
        <v>2926</v>
      </c>
      <c r="AL47" s="333"/>
      <c r="AM47" s="256"/>
      <c r="AN47" s="152"/>
      <c r="AO47" s="152"/>
      <c r="AP47" s="153"/>
      <c r="AQ47" s="340"/>
      <c r="AR47" s="6" t="s">
        <v>358</v>
      </c>
      <c r="AS47" s="379"/>
      <c r="AT47" s="282" t="s">
        <v>357</v>
      </c>
      <c r="AU47" s="65" t="s">
        <v>2443</v>
      </c>
      <c r="AV47" s="379"/>
    </row>
    <row r="48" spans="1:48" ht="12.95" customHeight="1" x14ac:dyDescent="0.25">
      <c r="A48" s="197" t="s">
        <v>44</v>
      </c>
      <c r="B48" s="271"/>
      <c r="C48" s="197" t="s">
        <v>1657</v>
      </c>
      <c r="D48" s="197" t="s">
        <v>1590</v>
      </c>
      <c r="E48" s="165" t="s">
        <v>1590</v>
      </c>
      <c r="F48" s="197" t="str">
        <f t="shared" si="8"/>
        <v>unused_ULPI_DATA7</v>
      </c>
      <c r="G48" s="198" t="s">
        <v>811</v>
      </c>
      <c r="H48" s="197" t="s">
        <v>2165</v>
      </c>
      <c r="I48" s="360" t="s">
        <v>3077</v>
      </c>
      <c r="J48" s="197" t="s">
        <v>2171</v>
      </c>
      <c r="K48" s="197" t="s">
        <v>359</v>
      </c>
      <c r="L48" s="198" t="s">
        <v>2062</v>
      </c>
      <c r="M48" s="197" t="s">
        <v>270</v>
      </c>
      <c r="N48" s="197" t="s">
        <v>270</v>
      </c>
      <c r="O48" s="197" t="s">
        <v>255</v>
      </c>
      <c r="P48" s="197" t="s">
        <v>253</v>
      </c>
      <c r="Q48" s="198" t="s">
        <v>327</v>
      </c>
      <c r="R48" s="197" t="s">
        <v>257</v>
      </c>
      <c r="S48" s="197">
        <v>100</v>
      </c>
      <c r="T48" s="197" t="s">
        <v>338</v>
      </c>
      <c r="U48" s="198">
        <v>0</v>
      </c>
      <c r="V48" s="199">
        <v>1</v>
      </c>
      <c r="W48" s="199">
        <v>1</v>
      </c>
      <c r="X48" s="199" t="s">
        <v>300</v>
      </c>
      <c r="Y48" s="200" t="s">
        <v>301</v>
      </c>
      <c r="Z48" s="200" t="s">
        <v>301</v>
      </c>
      <c r="AA48" s="233" t="str">
        <f t="shared" si="9"/>
        <v>Unused</v>
      </c>
      <c r="AB48" s="234" t="str">
        <f t="shared" si="3"/>
        <v>Unused</v>
      </c>
      <c r="AC48" s="248"/>
      <c r="AD48" s="234" t="str">
        <f t="shared" si="13"/>
        <v>ENABLE</v>
      </c>
      <c r="AE48" s="234" t="str">
        <f t="shared" si="10"/>
        <v>DISABLE</v>
      </c>
      <c r="AF48" s="234" t="str">
        <f t="shared" si="5"/>
        <v>NORMAL</v>
      </c>
      <c r="AG48" s="248"/>
      <c r="AH48" s="234" t="str">
        <f t="shared" si="11"/>
        <v>TRISTATE</v>
      </c>
      <c r="AI48" s="234" t="str">
        <f t="shared" si="12"/>
        <v>HIGH</v>
      </c>
      <c r="AJ48" s="182" t="s">
        <v>3628</v>
      </c>
      <c r="AK48" s="149" t="s">
        <v>2926</v>
      </c>
      <c r="AL48" s="333"/>
      <c r="AM48" s="256"/>
      <c r="AN48" s="152"/>
      <c r="AO48" s="152"/>
      <c r="AP48" s="153"/>
      <c r="AQ48" s="340"/>
      <c r="AR48" s="6" t="s">
        <v>359</v>
      </c>
      <c r="AS48" s="379"/>
      <c r="AT48" s="282" t="s">
        <v>3016</v>
      </c>
      <c r="AU48" s="65" t="s">
        <v>2444</v>
      </c>
      <c r="AV48" s="379"/>
    </row>
    <row r="49" spans="1:48" ht="12.95" customHeight="1" x14ac:dyDescent="0.25">
      <c r="A49" s="197" t="s">
        <v>45</v>
      </c>
      <c r="B49" s="271"/>
      <c r="C49" s="197" t="s">
        <v>1658</v>
      </c>
      <c r="D49" s="197" t="s">
        <v>1556</v>
      </c>
      <c r="E49" s="165" t="s">
        <v>1556</v>
      </c>
      <c r="F49" s="197" t="str">
        <f t="shared" si="8"/>
        <v>unused_ULPI_DIR</v>
      </c>
      <c r="G49" s="198" t="s">
        <v>812</v>
      </c>
      <c r="H49" s="197" t="s">
        <v>360</v>
      </c>
      <c r="I49" s="360" t="s">
        <v>3037</v>
      </c>
      <c r="J49" s="197" t="s">
        <v>361</v>
      </c>
      <c r="K49" s="197" t="s">
        <v>362</v>
      </c>
      <c r="L49" s="198" t="s">
        <v>2062</v>
      </c>
      <c r="M49" s="197" t="s">
        <v>270</v>
      </c>
      <c r="N49" s="197" t="s">
        <v>270</v>
      </c>
      <c r="O49" s="197" t="s">
        <v>255</v>
      </c>
      <c r="P49" s="197" t="s">
        <v>253</v>
      </c>
      <c r="Q49" s="198" t="s">
        <v>327</v>
      </c>
      <c r="R49" s="197" t="s">
        <v>257</v>
      </c>
      <c r="S49" s="197">
        <v>100</v>
      </c>
      <c r="T49" s="197" t="s">
        <v>342</v>
      </c>
      <c r="U49" s="198">
        <v>0</v>
      </c>
      <c r="V49" s="199">
        <v>1</v>
      </c>
      <c r="W49" s="199">
        <v>1</v>
      </c>
      <c r="X49" s="199" t="s">
        <v>264</v>
      </c>
      <c r="Y49" s="200" t="s">
        <v>265</v>
      </c>
      <c r="Z49" s="200" t="s">
        <v>265</v>
      </c>
      <c r="AA49" s="233" t="str">
        <f t="shared" si="9"/>
        <v>Unused</v>
      </c>
      <c r="AB49" s="234" t="str">
        <f t="shared" si="3"/>
        <v>Unused</v>
      </c>
      <c r="AC49" s="248"/>
      <c r="AD49" s="234" t="str">
        <f t="shared" si="13"/>
        <v>ENABLE</v>
      </c>
      <c r="AE49" s="234" t="str">
        <f t="shared" si="10"/>
        <v>DISABLE</v>
      </c>
      <c r="AF49" s="234" t="str">
        <f t="shared" si="5"/>
        <v>NORMAL</v>
      </c>
      <c r="AG49" s="248"/>
      <c r="AH49" s="234" t="str">
        <f t="shared" si="11"/>
        <v>TRISTATE</v>
      </c>
      <c r="AI49" s="234" t="str">
        <f t="shared" si="12"/>
        <v>HIGH</v>
      </c>
      <c r="AJ49" s="182" t="s">
        <v>3629</v>
      </c>
      <c r="AK49" s="149" t="s">
        <v>2926</v>
      </c>
      <c r="AL49" s="333"/>
      <c r="AM49" s="256"/>
      <c r="AN49" s="152"/>
      <c r="AO49" s="152"/>
      <c r="AP49" s="153"/>
      <c r="AQ49" s="340"/>
      <c r="AR49" s="6" t="s">
        <v>362</v>
      </c>
      <c r="AS49" s="379" t="s">
        <v>1173</v>
      </c>
      <c r="AT49" s="282" t="s">
        <v>361</v>
      </c>
      <c r="AU49" s="371" t="s">
        <v>1173</v>
      </c>
      <c r="AV49" s="379" t="s">
        <v>1173</v>
      </c>
    </row>
    <row r="50" spans="1:48" ht="12.95" customHeight="1" x14ac:dyDescent="0.25">
      <c r="A50" s="197" t="s">
        <v>46</v>
      </c>
      <c r="B50" s="271"/>
      <c r="C50" s="197" t="s">
        <v>1659</v>
      </c>
      <c r="D50" s="197" t="s">
        <v>1660</v>
      </c>
      <c r="E50" s="165" t="s">
        <v>1660</v>
      </c>
      <c r="F50" s="197" t="str">
        <f t="shared" si="8"/>
        <v>unused_ULPI_NXT</v>
      </c>
      <c r="G50" s="198" t="s">
        <v>813</v>
      </c>
      <c r="H50" s="197" t="s">
        <v>363</v>
      </c>
      <c r="I50" s="360" t="s">
        <v>3037</v>
      </c>
      <c r="J50" s="197" t="s">
        <v>2169</v>
      </c>
      <c r="K50" s="197" t="s">
        <v>364</v>
      </c>
      <c r="L50" s="198" t="s">
        <v>2062</v>
      </c>
      <c r="M50" s="197" t="s">
        <v>270</v>
      </c>
      <c r="N50" s="197" t="s">
        <v>270</v>
      </c>
      <c r="O50" s="197" t="s">
        <v>255</v>
      </c>
      <c r="P50" s="197" t="s">
        <v>253</v>
      </c>
      <c r="Q50" s="198" t="s">
        <v>327</v>
      </c>
      <c r="R50" s="197" t="s">
        <v>257</v>
      </c>
      <c r="S50" s="197">
        <v>100</v>
      </c>
      <c r="T50" s="197" t="s">
        <v>342</v>
      </c>
      <c r="U50" s="198">
        <v>0</v>
      </c>
      <c r="V50" s="199">
        <v>1</v>
      </c>
      <c r="W50" s="199">
        <v>1</v>
      </c>
      <c r="X50" s="199" t="s">
        <v>264</v>
      </c>
      <c r="Y50" s="200" t="s">
        <v>265</v>
      </c>
      <c r="Z50" s="200" t="s">
        <v>265</v>
      </c>
      <c r="AA50" s="233" t="str">
        <f t="shared" si="9"/>
        <v>Unused</v>
      </c>
      <c r="AB50" s="234" t="str">
        <f t="shared" si="3"/>
        <v>Unused</v>
      </c>
      <c r="AC50" s="248"/>
      <c r="AD50" s="234" t="str">
        <f t="shared" si="13"/>
        <v>ENABLE</v>
      </c>
      <c r="AE50" s="234" t="str">
        <f t="shared" si="10"/>
        <v>DISABLE</v>
      </c>
      <c r="AF50" s="234" t="str">
        <f t="shared" si="5"/>
        <v>NORMAL</v>
      </c>
      <c r="AG50" s="248"/>
      <c r="AH50" s="234" t="str">
        <f t="shared" si="11"/>
        <v>TRISTATE</v>
      </c>
      <c r="AI50" s="234" t="str">
        <f t="shared" si="12"/>
        <v>HIGH</v>
      </c>
      <c r="AJ50" s="182" t="s">
        <v>3630</v>
      </c>
      <c r="AK50" s="149" t="s">
        <v>2926</v>
      </c>
      <c r="AL50" s="333"/>
      <c r="AM50" s="256"/>
      <c r="AN50" s="152"/>
      <c r="AO50" s="152"/>
      <c r="AP50" s="153"/>
      <c r="AQ50" s="340"/>
      <c r="AR50" s="6" t="s">
        <v>364</v>
      </c>
      <c r="AS50" s="379"/>
      <c r="AT50" s="282" t="s">
        <v>3017</v>
      </c>
      <c r="AU50" s="372"/>
      <c r="AV50" s="379"/>
    </row>
    <row r="51" spans="1:48" ht="12.95" customHeight="1" thickBot="1" x14ac:dyDescent="0.3">
      <c r="A51" s="197" t="s">
        <v>47</v>
      </c>
      <c r="B51" s="271"/>
      <c r="C51" s="197" t="s">
        <v>1661</v>
      </c>
      <c r="D51" s="197" t="s">
        <v>1662</v>
      </c>
      <c r="E51" s="165" t="s">
        <v>1662</v>
      </c>
      <c r="F51" s="197" t="str">
        <f t="shared" si="8"/>
        <v>unused_ULPI_STP</v>
      </c>
      <c r="G51" s="198" t="s">
        <v>814</v>
      </c>
      <c r="H51" s="197" t="s">
        <v>2167</v>
      </c>
      <c r="I51" s="360" t="s">
        <v>3037</v>
      </c>
      <c r="J51" s="197" t="s">
        <v>2168</v>
      </c>
      <c r="K51" s="197" t="s">
        <v>365</v>
      </c>
      <c r="L51" s="198" t="s">
        <v>2062</v>
      </c>
      <c r="M51" s="197" t="s">
        <v>270</v>
      </c>
      <c r="N51" s="197" t="s">
        <v>270</v>
      </c>
      <c r="O51" s="197" t="s">
        <v>255</v>
      </c>
      <c r="P51" s="197" t="s">
        <v>253</v>
      </c>
      <c r="Q51" s="198" t="s">
        <v>327</v>
      </c>
      <c r="R51" s="197" t="s">
        <v>257</v>
      </c>
      <c r="S51" s="197">
        <v>100</v>
      </c>
      <c r="T51" s="197" t="s">
        <v>342</v>
      </c>
      <c r="U51" s="198">
        <v>0</v>
      </c>
      <c r="V51" s="199">
        <v>1</v>
      </c>
      <c r="W51" s="199">
        <v>1</v>
      </c>
      <c r="X51" s="199" t="s">
        <v>264</v>
      </c>
      <c r="Y51" s="200" t="s">
        <v>265</v>
      </c>
      <c r="Z51" s="200" t="s">
        <v>265</v>
      </c>
      <c r="AA51" s="233" t="str">
        <f t="shared" si="9"/>
        <v>Unused</v>
      </c>
      <c r="AB51" s="234" t="str">
        <f t="shared" si="3"/>
        <v>Unused</v>
      </c>
      <c r="AC51" s="248"/>
      <c r="AD51" s="234" t="str">
        <f t="shared" si="13"/>
        <v>ENABLE</v>
      </c>
      <c r="AE51" s="234" t="str">
        <f t="shared" si="10"/>
        <v>DISABLE</v>
      </c>
      <c r="AF51" s="234" t="str">
        <f t="shared" si="5"/>
        <v>NORMAL</v>
      </c>
      <c r="AG51" s="248"/>
      <c r="AH51" s="234" t="str">
        <f t="shared" si="11"/>
        <v>TRISTATE</v>
      </c>
      <c r="AI51" s="234" t="str">
        <f t="shared" si="12"/>
        <v>HIGH</v>
      </c>
      <c r="AJ51" s="182" t="s">
        <v>3631</v>
      </c>
      <c r="AK51" s="149" t="s">
        <v>2926</v>
      </c>
      <c r="AL51" s="333"/>
      <c r="AM51" s="256"/>
      <c r="AN51" s="152"/>
      <c r="AO51" s="152"/>
      <c r="AP51" s="153"/>
      <c r="AQ51" s="342"/>
      <c r="AR51" s="6" t="s">
        <v>365</v>
      </c>
      <c r="AS51" s="379"/>
      <c r="AT51" s="283" t="s">
        <v>3018</v>
      </c>
      <c r="AU51" s="373"/>
      <c r="AV51" s="379"/>
    </row>
    <row r="52" spans="1:48" s="24" customFormat="1" ht="18" customHeight="1" thickBot="1" x14ac:dyDescent="0.3">
      <c r="A52" s="160" t="s">
        <v>1231</v>
      </c>
      <c r="B52" s="272"/>
      <c r="C52" s="160"/>
      <c r="D52" s="160"/>
      <c r="E52" s="215"/>
      <c r="F52" s="160"/>
      <c r="G52" s="201"/>
      <c r="H52" s="160"/>
      <c r="I52" s="160"/>
      <c r="J52" s="160"/>
      <c r="K52" s="160"/>
      <c r="L52" s="201"/>
      <c r="M52" s="160"/>
      <c r="N52" s="160"/>
      <c r="O52" s="160"/>
      <c r="P52" s="160"/>
      <c r="Q52" s="201"/>
      <c r="R52" s="160"/>
      <c r="S52" s="160"/>
      <c r="T52" s="160"/>
      <c r="U52" s="201"/>
      <c r="V52" s="160"/>
      <c r="W52" s="160"/>
      <c r="X52" s="160"/>
      <c r="Y52" s="202"/>
      <c r="Z52" s="202"/>
      <c r="AA52" s="235"/>
      <c r="AB52" s="236"/>
      <c r="AC52" s="236"/>
      <c r="AD52" s="236"/>
      <c r="AE52" s="236"/>
      <c r="AF52" s="236"/>
      <c r="AG52" s="236"/>
      <c r="AH52" s="236"/>
      <c r="AI52" s="237"/>
      <c r="AJ52" s="160"/>
      <c r="AK52" s="35"/>
      <c r="AL52" s="154"/>
      <c r="AM52" s="169"/>
      <c r="AN52" s="154"/>
      <c r="AO52" s="154"/>
      <c r="AP52" s="154"/>
      <c r="AQ52" s="45"/>
      <c r="AR52" s="277"/>
      <c r="AS52" s="45"/>
      <c r="AT52" s="284"/>
      <c r="AU52" s="45"/>
      <c r="AV52" s="45"/>
    </row>
    <row r="53" spans="1:48" ht="12.95" customHeight="1" x14ac:dyDescent="0.25">
      <c r="A53" s="197" t="s">
        <v>48</v>
      </c>
      <c r="B53" s="271"/>
      <c r="C53" s="197" t="s">
        <v>1663</v>
      </c>
      <c r="D53" s="197" t="s">
        <v>1664</v>
      </c>
      <c r="E53" s="165" t="s">
        <v>1664</v>
      </c>
      <c r="F53" s="197" t="str">
        <f t="shared" ref="F53:F63" si="14">CONCATENATE("unused_",A53)</f>
        <v>unused_CAM_I2C_SCL</v>
      </c>
      <c r="G53" s="198" t="s">
        <v>815</v>
      </c>
      <c r="H53" s="360" t="s">
        <v>3077</v>
      </c>
      <c r="I53" s="197" t="s">
        <v>1039</v>
      </c>
      <c r="J53" s="360" t="s">
        <v>3076</v>
      </c>
      <c r="K53" s="197" t="s">
        <v>366</v>
      </c>
      <c r="L53" s="198" t="s">
        <v>2062</v>
      </c>
      <c r="M53" s="197" t="s">
        <v>254</v>
      </c>
      <c r="N53" s="197" t="s">
        <v>2062</v>
      </c>
      <c r="O53" s="197" t="s">
        <v>255</v>
      </c>
      <c r="P53" s="197" t="s">
        <v>253</v>
      </c>
      <c r="Q53" s="198" t="s">
        <v>367</v>
      </c>
      <c r="R53" s="197" t="s">
        <v>368</v>
      </c>
      <c r="S53" s="197">
        <v>50</v>
      </c>
      <c r="T53" s="197" t="s">
        <v>369</v>
      </c>
      <c r="U53" s="198">
        <v>0</v>
      </c>
      <c r="V53" s="199">
        <v>1</v>
      </c>
      <c r="W53" s="199">
        <v>1</v>
      </c>
      <c r="X53" s="199" t="s">
        <v>264</v>
      </c>
      <c r="Y53" s="200" t="s">
        <v>265</v>
      </c>
      <c r="Z53" s="200" t="s">
        <v>265</v>
      </c>
      <c r="AA53" s="233" t="str">
        <f t="shared" ref="AA53:AA63" si="15">IF((AJ53=H53),0,IF((AJ53=I53),1,IF((AJ53=J53),2,IF((AJ53=K53),3,IF((AJ53=G53),"GPIO",IF((AJ53=F53),"Unused"))))))</f>
        <v>Unused</v>
      </c>
      <c r="AB53" s="234" t="str">
        <f t="shared" si="3"/>
        <v>Unused</v>
      </c>
      <c r="AC53" s="234" t="str">
        <f>IF(REPLACE(AJ53,FIND(".",CONCATENATE(REPLACE(AJ53,FIND("-",CONCATENATE(AJ53,"-")),LEN(AJ53),""),".")),LEN(AJ53),"")="SDMMC4","Yes","No")</f>
        <v>No</v>
      </c>
      <c r="AD53" s="234" t="str">
        <f t="shared" si="13"/>
        <v>ENABLE</v>
      </c>
      <c r="AE53" s="234" t="str">
        <f>IF((OR($AB53="Unused",$AK53="OUT")),"DISABLE","ENABLE")</f>
        <v>DISABLE</v>
      </c>
      <c r="AF53" s="234" t="str">
        <f t="shared" si="5"/>
        <v>NORMAL</v>
      </c>
      <c r="AG53" s="234" t="str">
        <f>IF((AJ53=I53),"ENABLE","DISABLE")</f>
        <v>DISABLE</v>
      </c>
      <c r="AH53" s="234" t="str">
        <f t="shared" ref="AH53:AH63" si="16">IF((AND($AB53="GPIO",$AK53="Out")),"DRIVEN",IF((AND($AB53="GPIO",$AK53="Bidir")),"DRIVEN","TRISTATE"))</f>
        <v>TRISTATE</v>
      </c>
      <c r="AI53" s="234" t="str">
        <f t="shared" ref="AI53:AI63" si="17">IF((OR($AL53="Drive 0")),"LOW","HIGH")</f>
        <v>HIGH</v>
      </c>
      <c r="AJ53" s="182" t="s">
        <v>3664</v>
      </c>
      <c r="AK53" s="149" t="s">
        <v>2926</v>
      </c>
      <c r="AL53" s="153"/>
      <c r="AM53" s="256"/>
      <c r="AN53" s="152"/>
      <c r="AO53" s="152"/>
      <c r="AP53" s="349"/>
      <c r="AQ53" s="385" t="s">
        <v>1176</v>
      </c>
      <c r="AR53" s="6" t="s">
        <v>1039</v>
      </c>
      <c r="AS53" s="379" t="s">
        <v>1176</v>
      </c>
      <c r="AT53" s="281" t="s">
        <v>1039</v>
      </c>
      <c r="AU53" s="371" t="s">
        <v>1176</v>
      </c>
      <c r="AV53" s="379" t="s">
        <v>1176</v>
      </c>
    </row>
    <row r="54" spans="1:48" ht="12.95" customHeight="1" thickBot="1" x14ac:dyDescent="0.3">
      <c r="A54" s="197" t="s">
        <v>49</v>
      </c>
      <c r="B54" s="271"/>
      <c r="C54" s="197" t="s">
        <v>1665</v>
      </c>
      <c r="D54" s="197" t="s">
        <v>1666</v>
      </c>
      <c r="E54" s="165" t="s">
        <v>1666</v>
      </c>
      <c r="F54" s="197" t="str">
        <f t="shared" si="14"/>
        <v>unused_CAM_I2C_SDA</v>
      </c>
      <c r="G54" s="198" t="s">
        <v>816</v>
      </c>
      <c r="H54" s="360" t="s">
        <v>3077</v>
      </c>
      <c r="I54" s="197" t="s">
        <v>1040</v>
      </c>
      <c r="J54" s="360" t="s">
        <v>3076</v>
      </c>
      <c r="K54" s="197" t="s">
        <v>370</v>
      </c>
      <c r="L54" s="198" t="s">
        <v>2062</v>
      </c>
      <c r="M54" s="197" t="s">
        <v>254</v>
      </c>
      <c r="N54" s="197" t="s">
        <v>2062</v>
      </c>
      <c r="O54" s="197" t="s">
        <v>255</v>
      </c>
      <c r="P54" s="197" t="s">
        <v>253</v>
      </c>
      <c r="Q54" s="198" t="s">
        <v>367</v>
      </c>
      <c r="R54" s="197" t="s">
        <v>368</v>
      </c>
      <c r="S54" s="197">
        <v>50</v>
      </c>
      <c r="T54" s="197" t="s">
        <v>369</v>
      </c>
      <c r="U54" s="198">
        <v>0</v>
      </c>
      <c r="V54" s="199">
        <v>1</v>
      </c>
      <c r="W54" s="199">
        <v>1</v>
      </c>
      <c r="X54" s="199" t="s">
        <v>264</v>
      </c>
      <c r="Y54" s="200" t="s">
        <v>265</v>
      </c>
      <c r="Z54" s="200" t="s">
        <v>265</v>
      </c>
      <c r="AA54" s="233" t="str">
        <f t="shared" si="15"/>
        <v>Unused</v>
      </c>
      <c r="AB54" s="234" t="str">
        <f t="shared" si="3"/>
        <v>Unused</v>
      </c>
      <c r="AC54" s="234" t="str">
        <f>IF(REPLACE(AJ54,FIND(".",CONCATENATE(REPLACE(AJ54,FIND("-",CONCATENATE(AJ54,"-")),LEN(AJ54),""),".")),LEN(AJ54),"")="SDMMC4","Yes","No")</f>
        <v>No</v>
      </c>
      <c r="AD54" s="234" t="str">
        <f t="shared" si="13"/>
        <v>ENABLE</v>
      </c>
      <c r="AE54" s="234" t="str">
        <f t="shared" ref="AE54:AE63" si="18">IF((OR($AB54="Unused",$AK54="OUT")),"DISABLE","ENABLE")</f>
        <v>DISABLE</v>
      </c>
      <c r="AF54" s="234" t="str">
        <f t="shared" si="5"/>
        <v>NORMAL</v>
      </c>
      <c r="AG54" s="234" t="str">
        <f>IF((AJ54=I54),"ENABLE","DISABLE")</f>
        <v>DISABLE</v>
      </c>
      <c r="AH54" s="234" t="str">
        <f t="shared" si="16"/>
        <v>TRISTATE</v>
      </c>
      <c r="AI54" s="234" t="str">
        <f t="shared" si="17"/>
        <v>HIGH</v>
      </c>
      <c r="AJ54" s="182" t="s">
        <v>3665</v>
      </c>
      <c r="AK54" s="149" t="s">
        <v>2926</v>
      </c>
      <c r="AL54" s="153"/>
      <c r="AM54" s="256"/>
      <c r="AN54" s="152"/>
      <c r="AO54" s="152"/>
      <c r="AP54" s="349"/>
      <c r="AQ54" s="387"/>
      <c r="AR54" s="6" t="s">
        <v>1040</v>
      </c>
      <c r="AS54" s="379"/>
      <c r="AT54" s="282" t="s">
        <v>1040</v>
      </c>
      <c r="AU54" s="373"/>
      <c r="AV54" s="379"/>
    </row>
    <row r="55" spans="1:48" ht="12.95" customHeight="1" thickBot="1" x14ac:dyDescent="0.3">
      <c r="A55" s="197" t="s">
        <v>50</v>
      </c>
      <c r="B55" s="271"/>
      <c r="C55" s="197" t="s">
        <v>1667</v>
      </c>
      <c r="D55" s="197" t="s">
        <v>1668</v>
      </c>
      <c r="E55" s="165" t="s">
        <v>1668</v>
      </c>
      <c r="F55" s="197" t="str">
        <f t="shared" si="14"/>
        <v>unused_CAM_MCLK</v>
      </c>
      <c r="G55" s="198" t="s">
        <v>817</v>
      </c>
      <c r="H55" s="360" t="s">
        <v>1241</v>
      </c>
      <c r="I55" s="360" t="s">
        <v>3077</v>
      </c>
      <c r="J55" s="197" t="s">
        <v>371</v>
      </c>
      <c r="K55" s="197" t="s">
        <v>372</v>
      </c>
      <c r="L55" s="198" t="s">
        <v>2062</v>
      </c>
      <c r="M55" s="197" t="s">
        <v>270</v>
      </c>
      <c r="N55" s="197" t="s">
        <v>2062</v>
      </c>
      <c r="O55" s="197" t="s">
        <v>255</v>
      </c>
      <c r="P55" s="197" t="s">
        <v>253</v>
      </c>
      <c r="Q55" s="198" t="s">
        <v>367</v>
      </c>
      <c r="R55" s="197" t="s">
        <v>257</v>
      </c>
      <c r="S55" s="197">
        <v>50</v>
      </c>
      <c r="T55" s="197" t="s">
        <v>373</v>
      </c>
      <c r="U55" s="198">
        <v>2</v>
      </c>
      <c r="V55" s="199">
        <v>1</v>
      </c>
      <c r="W55" s="199">
        <v>1</v>
      </c>
      <c r="X55" s="199" t="s">
        <v>300</v>
      </c>
      <c r="Y55" s="200" t="s">
        <v>301</v>
      </c>
      <c r="Z55" s="200" t="s">
        <v>301</v>
      </c>
      <c r="AA55" s="233" t="str">
        <f t="shared" si="15"/>
        <v>Unused</v>
      </c>
      <c r="AB55" s="234" t="str">
        <f t="shared" si="3"/>
        <v>Unused</v>
      </c>
      <c r="AC55" s="248"/>
      <c r="AD55" s="234" t="str">
        <f t="shared" si="13"/>
        <v>ENABLE</v>
      </c>
      <c r="AE55" s="234" t="str">
        <f t="shared" si="18"/>
        <v>DISABLE</v>
      </c>
      <c r="AF55" s="234" t="str">
        <f t="shared" si="5"/>
        <v>NORMAL</v>
      </c>
      <c r="AG55" s="248"/>
      <c r="AH55" s="234" t="str">
        <f t="shared" si="16"/>
        <v>TRISTATE</v>
      </c>
      <c r="AI55" s="234" t="str">
        <f t="shared" si="17"/>
        <v>HIGH</v>
      </c>
      <c r="AJ55" s="182" t="s">
        <v>3666</v>
      </c>
      <c r="AK55" s="149" t="s">
        <v>2926</v>
      </c>
      <c r="AL55" s="153"/>
      <c r="AM55" s="256"/>
      <c r="AN55" s="152"/>
      <c r="AO55" s="152"/>
      <c r="AP55" s="349"/>
      <c r="AQ55" s="343" t="s">
        <v>249</v>
      </c>
      <c r="AR55" s="6" t="s">
        <v>371</v>
      </c>
      <c r="AS55" s="42" t="s">
        <v>50</v>
      </c>
      <c r="AT55" s="282" t="s">
        <v>371</v>
      </c>
      <c r="AU55" s="42" t="s">
        <v>50</v>
      </c>
      <c r="AV55" s="42" t="s">
        <v>50</v>
      </c>
    </row>
    <row r="56" spans="1:48" ht="12.95" customHeight="1" thickBot="1" x14ac:dyDescent="0.3">
      <c r="A56" s="197" t="s">
        <v>51</v>
      </c>
      <c r="B56" s="271"/>
      <c r="C56" s="197" t="s">
        <v>1656</v>
      </c>
      <c r="D56" s="197" t="s">
        <v>1669</v>
      </c>
      <c r="E56" s="165" t="s">
        <v>1669</v>
      </c>
      <c r="F56" s="197" t="str">
        <f t="shared" si="14"/>
        <v>unused_GPIO_PBB0</v>
      </c>
      <c r="G56" s="198" t="s">
        <v>818</v>
      </c>
      <c r="H56" s="197" t="s">
        <v>374</v>
      </c>
      <c r="I56" s="360" t="s">
        <v>3063</v>
      </c>
      <c r="J56" s="360" t="s">
        <v>3076</v>
      </c>
      <c r="K56" s="197" t="s">
        <v>375</v>
      </c>
      <c r="L56" s="198" t="s">
        <v>2062</v>
      </c>
      <c r="M56" s="197" t="s">
        <v>270</v>
      </c>
      <c r="N56" s="197" t="s">
        <v>2062</v>
      </c>
      <c r="O56" s="197" t="s">
        <v>255</v>
      </c>
      <c r="P56" s="197" t="s">
        <v>253</v>
      </c>
      <c r="Q56" s="198" t="s">
        <v>367</v>
      </c>
      <c r="R56" s="197" t="s">
        <v>257</v>
      </c>
      <c r="S56" s="197">
        <v>50</v>
      </c>
      <c r="T56" s="197" t="s">
        <v>369</v>
      </c>
      <c r="U56" s="198">
        <v>0</v>
      </c>
      <c r="V56" s="199">
        <v>1</v>
      </c>
      <c r="W56" s="199">
        <v>1</v>
      </c>
      <c r="X56" s="199" t="s">
        <v>264</v>
      </c>
      <c r="Y56" s="200" t="s">
        <v>265</v>
      </c>
      <c r="Z56" s="200" t="s">
        <v>265</v>
      </c>
      <c r="AA56" s="233" t="str">
        <f t="shared" si="15"/>
        <v>Unused</v>
      </c>
      <c r="AB56" s="234" t="str">
        <f t="shared" si="3"/>
        <v>Unused</v>
      </c>
      <c r="AC56" s="234" t="str">
        <f t="shared" ref="AC56:AC63" si="19">IF(REPLACE(AJ56,FIND(".",CONCATENATE(REPLACE(AJ56,FIND("-",CONCATENATE(AJ56,"-")),LEN(AJ56),""),".")),LEN(AJ56),"")="SDMMC4","Yes","No")</f>
        <v>No</v>
      </c>
      <c r="AD56" s="234" t="str">
        <f t="shared" si="13"/>
        <v>ENABLE</v>
      </c>
      <c r="AE56" s="234" t="str">
        <f t="shared" si="18"/>
        <v>DISABLE</v>
      </c>
      <c r="AF56" s="234" t="str">
        <f t="shared" si="5"/>
        <v>NORMAL</v>
      </c>
      <c r="AG56" s="248"/>
      <c r="AH56" s="234" t="str">
        <f t="shared" si="16"/>
        <v>TRISTATE</v>
      </c>
      <c r="AI56" s="234" t="str">
        <f t="shared" si="17"/>
        <v>HIGH</v>
      </c>
      <c r="AJ56" s="182" t="s">
        <v>3637</v>
      </c>
      <c r="AK56" s="149" t="s">
        <v>2926</v>
      </c>
      <c r="AL56" s="153"/>
      <c r="AM56" s="256"/>
      <c r="AN56" s="152"/>
      <c r="AO56" s="152"/>
      <c r="AP56" s="349"/>
      <c r="AQ56" s="343" t="s">
        <v>3569</v>
      </c>
      <c r="AR56" s="6" t="s">
        <v>374</v>
      </c>
      <c r="AS56" s="44" t="s">
        <v>2254</v>
      </c>
      <c r="AT56" s="282" t="s">
        <v>818</v>
      </c>
      <c r="AU56" s="44" t="s">
        <v>2254</v>
      </c>
      <c r="AV56" s="44" t="s">
        <v>2254</v>
      </c>
    </row>
    <row r="57" spans="1:48" ht="12.95" customHeight="1" thickBot="1" x14ac:dyDescent="0.3">
      <c r="A57" s="197" t="s">
        <v>52</v>
      </c>
      <c r="B57" s="271"/>
      <c r="C57" s="197" t="s">
        <v>1670</v>
      </c>
      <c r="D57" s="197" t="s">
        <v>1671</v>
      </c>
      <c r="E57" s="165" t="s">
        <v>1671</v>
      </c>
      <c r="F57" s="197" t="str">
        <f t="shared" si="14"/>
        <v>unused_GPIO_PBB3</v>
      </c>
      <c r="G57" s="198" t="s">
        <v>819</v>
      </c>
      <c r="H57" s="197" t="s">
        <v>376</v>
      </c>
      <c r="I57" s="197" t="s">
        <v>377</v>
      </c>
      <c r="J57" s="197" t="s">
        <v>378</v>
      </c>
      <c r="K57" s="197" t="s">
        <v>379</v>
      </c>
      <c r="L57" s="198" t="s">
        <v>2062</v>
      </c>
      <c r="M57" s="197" t="s">
        <v>270</v>
      </c>
      <c r="N57" s="197" t="s">
        <v>2062</v>
      </c>
      <c r="O57" s="197" t="s">
        <v>255</v>
      </c>
      <c r="P57" s="197" t="s">
        <v>253</v>
      </c>
      <c r="Q57" s="198" t="s">
        <v>367</v>
      </c>
      <c r="R57" s="197" t="s">
        <v>257</v>
      </c>
      <c r="S57" s="197">
        <v>50</v>
      </c>
      <c r="T57" s="197" t="s">
        <v>369</v>
      </c>
      <c r="U57" s="198">
        <v>0</v>
      </c>
      <c r="V57" s="199">
        <v>1</v>
      </c>
      <c r="W57" s="199">
        <v>1</v>
      </c>
      <c r="X57" s="199" t="s">
        <v>264</v>
      </c>
      <c r="Y57" s="200" t="s">
        <v>265</v>
      </c>
      <c r="Z57" s="200" t="s">
        <v>265</v>
      </c>
      <c r="AA57" s="233" t="str">
        <f t="shared" si="15"/>
        <v>Unused</v>
      </c>
      <c r="AB57" s="234" t="str">
        <f t="shared" si="3"/>
        <v>Unused</v>
      </c>
      <c r="AC57" s="234" t="str">
        <f t="shared" si="19"/>
        <v>No</v>
      </c>
      <c r="AD57" s="234" t="str">
        <f t="shared" si="13"/>
        <v>ENABLE</v>
      </c>
      <c r="AE57" s="234" t="str">
        <f t="shared" si="18"/>
        <v>DISABLE</v>
      </c>
      <c r="AF57" s="234" t="str">
        <f t="shared" si="5"/>
        <v>NORMAL</v>
      </c>
      <c r="AG57" s="248"/>
      <c r="AH57" s="234" t="str">
        <f t="shared" si="16"/>
        <v>TRISTATE</v>
      </c>
      <c r="AI57" s="234" t="str">
        <f t="shared" si="17"/>
        <v>HIGH</v>
      </c>
      <c r="AJ57" s="182" t="s">
        <v>3667</v>
      </c>
      <c r="AK57" s="149" t="s">
        <v>2926</v>
      </c>
      <c r="AL57" s="153"/>
      <c r="AM57" s="256"/>
      <c r="AN57" s="152"/>
      <c r="AO57" s="152"/>
      <c r="AP57" s="349"/>
      <c r="AQ57" s="343" t="s">
        <v>1177</v>
      </c>
      <c r="AR57" s="6" t="s">
        <v>819</v>
      </c>
      <c r="AS57" s="44" t="s">
        <v>1177</v>
      </c>
      <c r="AT57" s="282" t="s">
        <v>819</v>
      </c>
      <c r="AU57" s="44" t="s">
        <v>1177</v>
      </c>
      <c r="AV57" s="126"/>
    </row>
    <row r="58" spans="1:48" ht="12.95" customHeight="1" thickBot="1" x14ac:dyDescent="0.3">
      <c r="A58" s="197" t="s">
        <v>53</v>
      </c>
      <c r="B58" s="271"/>
      <c r="C58" s="197" t="s">
        <v>1672</v>
      </c>
      <c r="D58" s="197" t="s">
        <v>1673</v>
      </c>
      <c r="E58" s="165" t="s">
        <v>1673</v>
      </c>
      <c r="F58" s="197" t="str">
        <f t="shared" si="14"/>
        <v>unused_GPIO_PBB4</v>
      </c>
      <c r="G58" s="198" t="s">
        <v>820</v>
      </c>
      <c r="H58" s="197" t="s">
        <v>380</v>
      </c>
      <c r="I58" s="197" t="s">
        <v>381</v>
      </c>
      <c r="J58" s="197" t="s">
        <v>382</v>
      </c>
      <c r="K58" s="197" t="s">
        <v>383</v>
      </c>
      <c r="L58" s="198" t="s">
        <v>2062</v>
      </c>
      <c r="M58" s="197" t="s">
        <v>270</v>
      </c>
      <c r="N58" s="197" t="s">
        <v>2062</v>
      </c>
      <c r="O58" s="197" t="s">
        <v>255</v>
      </c>
      <c r="P58" s="197" t="s">
        <v>253</v>
      </c>
      <c r="Q58" s="198" t="s">
        <v>367</v>
      </c>
      <c r="R58" s="197" t="s">
        <v>257</v>
      </c>
      <c r="S58" s="197">
        <v>50</v>
      </c>
      <c r="T58" s="197" t="s">
        <v>384</v>
      </c>
      <c r="U58" s="198">
        <v>0</v>
      </c>
      <c r="V58" s="199">
        <v>1</v>
      </c>
      <c r="W58" s="199">
        <v>1</v>
      </c>
      <c r="X58" s="199" t="s">
        <v>264</v>
      </c>
      <c r="Y58" s="200" t="s">
        <v>265</v>
      </c>
      <c r="Z58" s="200" t="s">
        <v>265</v>
      </c>
      <c r="AA58" s="233" t="str">
        <f t="shared" si="15"/>
        <v>Unused</v>
      </c>
      <c r="AB58" s="234" t="str">
        <f t="shared" si="3"/>
        <v>Unused</v>
      </c>
      <c r="AC58" s="234" t="str">
        <f t="shared" si="19"/>
        <v>No</v>
      </c>
      <c r="AD58" s="234" t="str">
        <f t="shared" si="13"/>
        <v>ENABLE</v>
      </c>
      <c r="AE58" s="234" t="str">
        <f t="shared" si="18"/>
        <v>DISABLE</v>
      </c>
      <c r="AF58" s="234" t="str">
        <f t="shared" si="5"/>
        <v>NORMAL</v>
      </c>
      <c r="AG58" s="248"/>
      <c r="AH58" s="234" t="str">
        <f t="shared" si="16"/>
        <v>TRISTATE</v>
      </c>
      <c r="AI58" s="234" t="str">
        <f t="shared" si="17"/>
        <v>HIGH</v>
      </c>
      <c r="AJ58" s="182" t="s">
        <v>3649</v>
      </c>
      <c r="AK58" s="149" t="s">
        <v>2926</v>
      </c>
      <c r="AL58" s="153"/>
      <c r="AM58" s="256"/>
      <c r="AN58" s="152"/>
      <c r="AO58" s="152"/>
      <c r="AP58" s="349"/>
      <c r="AQ58" s="351"/>
      <c r="AR58" s="6" t="s">
        <v>820</v>
      </c>
      <c r="AS58" s="44" t="s">
        <v>1178</v>
      </c>
      <c r="AT58" s="282" t="s">
        <v>820</v>
      </c>
      <c r="AU58" s="44" t="s">
        <v>1178</v>
      </c>
      <c r="AV58" s="44" t="s">
        <v>1178</v>
      </c>
    </row>
    <row r="59" spans="1:48" ht="12.95" customHeight="1" thickBot="1" x14ac:dyDescent="0.3">
      <c r="A59" s="197" t="s">
        <v>54</v>
      </c>
      <c r="B59" s="271"/>
      <c r="C59" s="197" t="s">
        <v>1674</v>
      </c>
      <c r="D59" s="197" t="s">
        <v>1675</v>
      </c>
      <c r="E59" s="165" t="s">
        <v>1675</v>
      </c>
      <c r="F59" s="197" t="str">
        <f t="shared" si="14"/>
        <v>unused_GPIO_PBB5</v>
      </c>
      <c r="G59" s="198" t="s">
        <v>821</v>
      </c>
      <c r="H59" s="197" t="s">
        <v>385</v>
      </c>
      <c r="I59" s="197" t="s">
        <v>386</v>
      </c>
      <c r="J59" s="197" t="s">
        <v>387</v>
      </c>
      <c r="K59" s="197" t="s">
        <v>388</v>
      </c>
      <c r="L59" s="198" t="s">
        <v>2062</v>
      </c>
      <c r="M59" s="197" t="s">
        <v>270</v>
      </c>
      <c r="N59" s="197" t="s">
        <v>2062</v>
      </c>
      <c r="O59" s="197" t="s">
        <v>255</v>
      </c>
      <c r="P59" s="197" t="s">
        <v>253</v>
      </c>
      <c r="Q59" s="198" t="s">
        <v>367</v>
      </c>
      <c r="R59" s="197" t="s">
        <v>257</v>
      </c>
      <c r="S59" s="197">
        <v>50</v>
      </c>
      <c r="T59" s="197" t="s">
        <v>384</v>
      </c>
      <c r="U59" s="198">
        <v>0</v>
      </c>
      <c r="V59" s="199">
        <v>1</v>
      </c>
      <c r="W59" s="199">
        <v>1</v>
      </c>
      <c r="X59" s="199" t="s">
        <v>264</v>
      </c>
      <c r="Y59" s="200" t="s">
        <v>265</v>
      </c>
      <c r="Z59" s="200" t="s">
        <v>265</v>
      </c>
      <c r="AA59" s="233" t="str">
        <f t="shared" si="15"/>
        <v>Unused</v>
      </c>
      <c r="AB59" s="234" t="str">
        <f t="shared" si="3"/>
        <v>Unused</v>
      </c>
      <c r="AC59" s="234" t="str">
        <f t="shared" si="19"/>
        <v>No</v>
      </c>
      <c r="AD59" s="234" t="str">
        <f t="shared" si="13"/>
        <v>ENABLE</v>
      </c>
      <c r="AE59" s="234" t="str">
        <f t="shared" si="18"/>
        <v>DISABLE</v>
      </c>
      <c r="AF59" s="234" t="str">
        <f t="shared" si="5"/>
        <v>NORMAL</v>
      </c>
      <c r="AG59" s="248"/>
      <c r="AH59" s="234" t="str">
        <f t="shared" si="16"/>
        <v>TRISTATE</v>
      </c>
      <c r="AI59" s="234" t="str">
        <f t="shared" si="17"/>
        <v>HIGH</v>
      </c>
      <c r="AJ59" s="182" t="s">
        <v>2229</v>
      </c>
      <c r="AK59" s="149" t="s">
        <v>2926</v>
      </c>
      <c r="AL59" s="153"/>
      <c r="AM59" s="256"/>
      <c r="AN59" s="152"/>
      <c r="AO59" s="152"/>
      <c r="AP59" s="349"/>
      <c r="AQ59" s="343" t="s">
        <v>1179</v>
      </c>
      <c r="AR59" s="6" t="s">
        <v>2229</v>
      </c>
      <c r="AS59" s="44" t="s">
        <v>1179</v>
      </c>
      <c r="AT59" s="282" t="s">
        <v>821</v>
      </c>
      <c r="AU59" s="44" t="s">
        <v>2427</v>
      </c>
      <c r="AV59" s="126"/>
    </row>
    <row r="60" spans="1:48" ht="12.95" customHeight="1" thickBot="1" x14ac:dyDescent="0.3">
      <c r="A60" s="197" t="s">
        <v>55</v>
      </c>
      <c r="B60" s="271"/>
      <c r="C60" s="197" t="s">
        <v>1676</v>
      </c>
      <c r="D60" s="197" t="s">
        <v>1677</v>
      </c>
      <c r="E60" s="165" t="s">
        <v>1677</v>
      </c>
      <c r="F60" s="197" t="str">
        <f t="shared" si="14"/>
        <v>unused_GPIO_PBB6</v>
      </c>
      <c r="G60" s="198" t="s">
        <v>822</v>
      </c>
      <c r="H60" s="197" t="s">
        <v>389</v>
      </c>
      <c r="I60" s="197" t="s">
        <v>390</v>
      </c>
      <c r="J60" s="197" t="s">
        <v>391</v>
      </c>
      <c r="K60" s="197" t="s">
        <v>392</v>
      </c>
      <c r="L60" s="198" t="s">
        <v>2062</v>
      </c>
      <c r="M60" s="197" t="s">
        <v>254</v>
      </c>
      <c r="N60" s="197" t="s">
        <v>2062</v>
      </c>
      <c r="O60" s="197" t="s">
        <v>255</v>
      </c>
      <c r="P60" s="197" t="s">
        <v>253</v>
      </c>
      <c r="Q60" s="198" t="s">
        <v>367</v>
      </c>
      <c r="R60" s="197" t="s">
        <v>257</v>
      </c>
      <c r="S60" s="197">
        <v>50</v>
      </c>
      <c r="T60" s="197" t="s">
        <v>384</v>
      </c>
      <c r="U60" s="198">
        <v>0</v>
      </c>
      <c r="V60" s="199">
        <v>1</v>
      </c>
      <c r="W60" s="199">
        <v>1</v>
      </c>
      <c r="X60" s="199" t="s">
        <v>264</v>
      </c>
      <c r="Y60" s="200" t="s">
        <v>265</v>
      </c>
      <c r="Z60" s="200" t="s">
        <v>265</v>
      </c>
      <c r="AA60" s="233" t="str">
        <f t="shared" si="15"/>
        <v>Unused</v>
      </c>
      <c r="AB60" s="234" t="str">
        <f t="shared" si="3"/>
        <v>Unused</v>
      </c>
      <c r="AC60" s="234" t="str">
        <f t="shared" si="19"/>
        <v>No</v>
      </c>
      <c r="AD60" s="234" t="str">
        <f t="shared" si="13"/>
        <v>ENABLE</v>
      </c>
      <c r="AE60" s="234" t="str">
        <f t="shared" si="18"/>
        <v>DISABLE</v>
      </c>
      <c r="AF60" s="234" t="str">
        <f t="shared" si="5"/>
        <v>NORMAL</v>
      </c>
      <c r="AG60" s="248"/>
      <c r="AH60" s="234" t="str">
        <f t="shared" si="16"/>
        <v>TRISTATE</v>
      </c>
      <c r="AI60" s="234" t="str">
        <f t="shared" si="17"/>
        <v>HIGH</v>
      </c>
      <c r="AJ60" s="182" t="s">
        <v>1131</v>
      </c>
      <c r="AK60" s="149" t="s">
        <v>2926</v>
      </c>
      <c r="AL60" s="153"/>
      <c r="AM60" s="256"/>
      <c r="AN60" s="152"/>
      <c r="AO60" s="152"/>
      <c r="AP60" s="349"/>
      <c r="AQ60" s="343" t="s">
        <v>3570</v>
      </c>
      <c r="AR60" s="6" t="s">
        <v>1131</v>
      </c>
      <c r="AS60" s="43"/>
      <c r="AT60" s="282" t="s">
        <v>1131</v>
      </c>
      <c r="AU60" s="113"/>
      <c r="AV60" s="44" t="s">
        <v>2460</v>
      </c>
    </row>
    <row r="61" spans="1:48" ht="12.95" customHeight="1" thickBot="1" x14ac:dyDescent="0.3">
      <c r="A61" s="197" t="s">
        <v>56</v>
      </c>
      <c r="B61" s="271"/>
      <c r="C61" s="197" t="s">
        <v>1678</v>
      </c>
      <c r="D61" s="197" t="s">
        <v>1679</v>
      </c>
      <c r="E61" s="165" t="s">
        <v>1679</v>
      </c>
      <c r="F61" s="197" t="str">
        <f t="shared" si="14"/>
        <v>unused_GPIO_PBB7</v>
      </c>
      <c r="G61" s="198" t="s">
        <v>823</v>
      </c>
      <c r="H61" s="197" t="s">
        <v>393</v>
      </c>
      <c r="I61" s="360" t="s">
        <v>3063</v>
      </c>
      <c r="J61" s="360" t="s">
        <v>3076</v>
      </c>
      <c r="K61" s="197" t="s">
        <v>394</v>
      </c>
      <c r="L61" s="198" t="s">
        <v>2062</v>
      </c>
      <c r="M61" s="197" t="s">
        <v>270</v>
      </c>
      <c r="N61" s="197" t="s">
        <v>2062</v>
      </c>
      <c r="O61" s="197" t="s">
        <v>255</v>
      </c>
      <c r="P61" s="197" t="s">
        <v>253</v>
      </c>
      <c r="Q61" s="198" t="s">
        <v>367</v>
      </c>
      <c r="R61" s="197" t="s">
        <v>257</v>
      </c>
      <c r="S61" s="197">
        <v>50</v>
      </c>
      <c r="T61" s="197" t="s">
        <v>384</v>
      </c>
      <c r="U61" s="198">
        <v>0</v>
      </c>
      <c r="V61" s="199">
        <v>1</v>
      </c>
      <c r="W61" s="199">
        <v>1</v>
      </c>
      <c r="X61" s="199" t="s">
        <v>264</v>
      </c>
      <c r="Y61" s="200" t="s">
        <v>265</v>
      </c>
      <c r="Z61" s="200" t="s">
        <v>265</v>
      </c>
      <c r="AA61" s="233" t="str">
        <f t="shared" si="15"/>
        <v>Unused</v>
      </c>
      <c r="AB61" s="234" t="str">
        <f t="shared" si="3"/>
        <v>Unused</v>
      </c>
      <c r="AC61" s="234" t="str">
        <f t="shared" si="19"/>
        <v>No</v>
      </c>
      <c r="AD61" s="234" t="str">
        <f t="shared" si="13"/>
        <v>ENABLE</v>
      </c>
      <c r="AE61" s="234" t="str">
        <f t="shared" si="18"/>
        <v>DISABLE</v>
      </c>
      <c r="AF61" s="234" t="str">
        <f t="shared" si="5"/>
        <v>NORMAL</v>
      </c>
      <c r="AG61" s="248"/>
      <c r="AH61" s="234" t="str">
        <f t="shared" si="16"/>
        <v>TRISTATE</v>
      </c>
      <c r="AI61" s="234" t="str">
        <f t="shared" si="17"/>
        <v>HIGH</v>
      </c>
      <c r="AJ61" s="182" t="s">
        <v>3668</v>
      </c>
      <c r="AK61" s="149" t="s">
        <v>2926</v>
      </c>
      <c r="AL61" s="153"/>
      <c r="AM61" s="256"/>
      <c r="AN61" s="152"/>
      <c r="AO61" s="152"/>
      <c r="AP61" s="349"/>
      <c r="AQ61" s="346"/>
      <c r="AR61" s="6" t="s">
        <v>393</v>
      </c>
      <c r="AS61" s="44" t="s">
        <v>1180</v>
      </c>
      <c r="AT61" s="282" t="s">
        <v>823</v>
      </c>
      <c r="AU61" s="44" t="s">
        <v>1227</v>
      </c>
      <c r="AV61" s="44" t="s">
        <v>1180</v>
      </c>
    </row>
    <row r="62" spans="1:48" ht="12.95" customHeight="1" thickBot="1" x14ac:dyDescent="0.3">
      <c r="A62" s="197" t="s">
        <v>57</v>
      </c>
      <c r="B62" s="271"/>
      <c r="C62" s="197" t="s">
        <v>1680</v>
      </c>
      <c r="D62" s="197" t="s">
        <v>1681</v>
      </c>
      <c r="E62" s="165" t="s">
        <v>1681</v>
      </c>
      <c r="F62" s="197" t="str">
        <f t="shared" si="14"/>
        <v>unused_GPIO_PCC1</v>
      </c>
      <c r="G62" s="198" t="s">
        <v>824</v>
      </c>
      <c r="H62" s="197" t="s">
        <v>395</v>
      </c>
      <c r="I62" s="360" t="s">
        <v>3063</v>
      </c>
      <c r="J62" s="360" t="s">
        <v>3076</v>
      </c>
      <c r="K62" s="197" t="s">
        <v>396</v>
      </c>
      <c r="L62" s="198" t="s">
        <v>2062</v>
      </c>
      <c r="M62" s="197" t="s">
        <v>270</v>
      </c>
      <c r="N62" s="197" t="s">
        <v>2062</v>
      </c>
      <c r="O62" s="197" t="s">
        <v>255</v>
      </c>
      <c r="P62" s="197" t="s">
        <v>253</v>
      </c>
      <c r="Q62" s="198" t="s">
        <v>367</v>
      </c>
      <c r="R62" s="197" t="s">
        <v>257</v>
      </c>
      <c r="S62" s="197">
        <v>50</v>
      </c>
      <c r="T62" s="197" t="s">
        <v>397</v>
      </c>
      <c r="U62" s="198">
        <v>0</v>
      </c>
      <c r="V62" s="199">
        <v>1</v>
      </c>
      <c r="W62" s="199">
        <v>1</v>
      </c>
      <c r="X62" s="199" t="s">
        <v>300</v>
      </c>
      <c r="Y62" s="200" t="s">
        <v>301</v>
      </c>
      <c r="Z62" s="200" t="s">
        <v>301</v>
      </c>
      <c r="AA62" s="233" t="str">
        <f t="shared" si="15"/>
        <v>Unused</v>
      </c>
      <c r="AB62" s="234" t="str">
        <f t="shared" si="3"/>
        <v>Unused</v>
      </c>
      <c r="AC62" s="234" t="str">
        <f t="shared" si="19"/>
        <v>No</v>
      </c>
      <c r="AD62" s="234" t="str">
        <f t="shared" si="13"/>
        <v>ENABLE</v>
      </c>
      <c r="AE62" s="234" t="str">
        <f t="shared" si="18"/>
        <v>DISABLE</v>
      </c>
      <c r="AF62" s="234" t="str">
        <f t="shared" si="5"/>
        <v>NORMAL</v>
      </c>
      <c r="AG62" s="248"/>
      <c r="AH62" s="234" t="str">
        <f t="shared" si="16"/>
        <v>TRISTATE</v>
      </c>
      <c r="AI62" s="234" t="str">
        <f t="shared" si="17"/>
        <v>HIGH</v>
      </c>
      <c r="AJ62" s="182" t="s">
        <v>3638</v>
      </c>
      <c r="AK62" s="149" t="s">
        <v>2926</v>
      </c>
      <c r="AL62" s="153"/>
      <c r="AM62" s="256"/>
      <c r="AN62" s="152"/>
      <c r="AO62" s="152"/>
      <c r="AP62" s="349"/>
      <c r="AQ62" s="346"/>
      <c r="AR62" s="6" t="s">
        <v>395</v>
      </c>
      <c r="AS62" s="44" t="s">
        <v>1181</v>
      </c>
      <c r="AT62" s="282" t="s">
        <v>824</v>
      </c>
      <c r="AU62" s="113"/>
      <c r="AV62" s="127"/>
    </row>
    <row r="63" spans="1:48" ht="12.95" customHeight="1" thickBot="1" x14ac:dyDescent="0.3">
      <c r="A63" s="197" t="s">
        <v>58</v>
      </c>
      <c r="B63" s="271"/>
      <c r="C63" s="197" t="s">
        <v>1682</v>
      </c>
      <c r="D63" s="197" t="s">
        <v>1683</v>
      </c>
      <c r="E63" s="165" t="s">
        <v>1683</v>
      </c>
      <c r="F63" s="197" t="str">
        <f t="shared" si="14"/>
        <v>unused_GPIO_PCC2</v>
      </c>
      <c r="G63" s="198" t="s">
        <v>825</v>
      </c>
      <c r="H63" s="197" t="s">
        <v>398</v>
      </c>
      <c r="I63" s="360" t="s">
        <v>3063</v>
      </c>
      <c r="J63" s="360" t="s">
        <v>3076</v>
      </c>
      <c r="K63" s="360" t="s">
        <v>399</v>
      </c>
      <c r="L63" s="198" t="s">
        <v>2062</v>
      </c>
      <c r="M63" s="197" t="s">
        <v>270</v>
      </c>
      <c r="N63" s="197" t="s">
        <v>2062</v>
      </c>
      <c r="O63" s="197" t="s">
        <v>263</v>
      </c>
      <c r="P63" s="197" t="s">
        <v>253</v>
      </c>
      <c r="Q63" s="198" t="s">
        <v>367</v>
      </c>
      <c r="R63" s="197" t="s">
        <v>257</v>
      </c>
      <c r="S63" s="197">
        <v>50</v>
      </c>
      <c r="T63" s="197" t="s">
        <v>369</v>
      </c>
      <c r="U63" s="198">
        <v>0</v>
      </c>
      <c r="V63" s="199">
        <v>0</v>
      </c>
      <c r="W63" s="199">
        <v>1</v>
      </c>
      <c r="X63" s="199" t="s">
        <v>300</v>
      </c>
      <c r="Y63" s="200" t="s">
        <v>301</v>
      </c>
      <c r="Z63" s="200" t="s">
        <v>301</v>
      </c>
      <c r="AA63" s="233" t="str">
        <f t="shared" si="15"/>
        <v>Unused</v>
      </c>
      <c r="AB63" s="234" t="str">
        <f t="shared" si="3"/>
        <v>Unused</v>
      </c>
      <c r="AC63" s="234" t="str">
        <f t="shared" si="19"/>
        <v>No</v>
      </c>
      <c r="AD63" s="234" t="str">
        <f t="shared" si="13"/>
        <v>ENABLE</v>
      </c>
      <c r="AE63" s="234" t="str">
        <f t="shared" si="18"/>
        <v>DISABLE</v>
      </c>
      <c r="AF63" s="234" t="str">
        <f t="shared" si="5"/>
        <v>NORMAL</v>
      </c>
      <c r="AG63" s="248"/>
      <c r="AH63" s="234" t="str">
        <f t="shared" si="16"/>
        <v>TRISTATE</v>
      </c>
      <c r="AI63" s="234" t="str">
        <f t="shared" si="17"/>
        <v>HIGH</v>
      </c>
      <c r="AJ63" s="182" t="s">
        <v>3669</v>
      </c>
      <c r="AK63" s="149" t="s">
        <v>2926</v>
      </c>
      <c r="AL63" s="153"/>
      <c r="AM63" s="256"/>
      <c r="AN63" s="152"/>
      <c r="AO63" s="152"/>
      <c r="AP63" s="349"/>
      <c r="AQ63" s="352"/>
      <c r="AR63" s="6" t="s">
        <v>398</v>
      </c>
      <c r="AS63" s="44" t="s">
        <v>2255</v>
      </c>
      <c r="AT63" s="283" t="s">
        <v>825</v>
      </c>
      <c r="AU63" s="44" t="s">
        <v>2255</v>
      </c>
      <c r="AV63" s="44" t="s">
        <v>2255</v>
      </c>
    </row>
    <row r="64" spans="1:48" s="24" customFormat="1" ht="18" customHeight="1" thickBot="1" x14ac:dyDescent="0.3">
      <c r="A64" s="160" t="s">
        <v>1233</v>
      </c>
      <c r="B64" s="272"/>
      <c r="C64" s="160"/>
      <c r="D64" s="160"/>
      <c r="E64" s="215"/>
      <c r="F64" s="160"/>
      <c r="G64" s="201"/>
      <c r="H64" s="160"/>
      <c r="I64" s="160"/>
      <c r="J64" s="160"/>
      <c r="K64" s="160"/>
      <c r="L64" s="201"/>
      <c r="M64" s="160"/>
      <c r="N64" s="160"/>
      <c r="O64" s="160"/>
      <c r="P64" s="160"/>
      <c r="Q64" s="201"/>
      <c r="R64" s="160"/>
      <c r="S64" s="160"/>
      <c r="T64" s="160"/>
      <c r="U64" s="201"/>
      <c r="V64" s="160"/>
      <c r="W64" s="160"/>
      <c r="X64" s="160"/>
      <c r="Y64" s="202"/>
      <c r="Z64" s="202"/>
      <c r="AA64" s="235"/>
      <c r="AB64" s="236"/>
      <c r="AC64" s="236"/>
      <c r="AD64" s="236"/>
      <c r="AE64" s="236"/>
      <c r="AF64" s="236"/>
      <c r="AG64" s="236"/>
      <c r="AH64" s="236"/>
      <c r="AI64" s="237"/>
      <c r="AJ64" s="160"/>
      <c r="AK64" s="35"/>
      <c r="AL64" s="154"/>
      <c r="AM64" s="169"/>
      <c r="AN64" s="154"/>
      <c r="AO64" s="154"/>
      <c r="AP64" s="154"/>
      <c r="AQ64" s="350"/>
      <c r="AR64" s="277"/>
      <c r="AS64" s="45"/>
      <c r="AT64" s="284"/>
      <c r="AU64" s="45"/>
      <c r="AV64" s="45"/>
    </row>
    <row r="65" spans="1:48" ht="12.95" customHeight="1" x14ac:dyDescent="0.25">
      <c r="A65" s="197" t="s">
        <v>59</v>
      </c>
      <c r="B65" s="271"/>
      <c r="C65" s="197" t="s">
        <v>1684</v>
      </c>
      <c r="D65" s="197" t="s">
        <v>1685</v>
      </c>
      <c r="E65" s="165" t="s">
        <v>1685</v>
      </c>
      <c r="F65" s="197" t="str">
        <f t="shared" ref="F65:F102" si="20">CONCATENATE("unused_",A65)</f>
        <v>unused_GEN2_I2C_SCL</v>
      </c>
      <c r="G65" s="198" t="s">
        <v>826</v>
      </c>
      <c r="H65" s="197" t="s">
        <v>400</v>
      </c>
      <c r="I65" s="360" t="s">
        <v>3077</v>
      </c>
      <c r="J65" s="197" t="s">
        <v>2180</v>
      </c>
      <c r="K65" s="360" t="s">
        <v>3090</v>
      </c>
      <c r="L65" s="198" t="s">
        <v>2062</v>
      </c>
      <c r="M65" s="197" t="s">
        <v>254</v>
      </c>
      <c r="N65" s="197" t="s">
        <v>2062</v>
      </c>
      <c r="O65" s="197" t="s">
        <v>263</v>
      </c>
      <c r="P65" s="197" t="s">
        <v>253</v>
      </c>
      <c r="Q65" s="198" t="s">
        <v>401</v>
      </c>
      <c r="R65" s="197" t="s">
        <v>368</v>
      </c>
      <c r="S65" s="197">
        <v>50</v>
      </c>
      <c r="T65" s="197" t="s">
        <v>402</v>
      </c>
      <c r="U65" s="198">
        <v>0</v>
      </c>
      <c r="V65" s="199">
        <v>1</v>
      </c>
      <c r="W65" s="199">
        <v>1</v>
      </c>
      <c r="X65" s="199" t="s">
        <v>264</v>
      </c>
      <c r="Y65" s="200" t="s">
        <v>265</v>
      </c>
      <c r="Z65" s="200" t="s">
        <v>265</v>
      </c>
      <c r="AA65" s="233" t="str">
        <f t="shared" ref="AA65:AA102" si="21">IF((AJ65=H65),0,IF((AJ65=I65),1,IF((AJ65=J65),2,IF((AJ65=K65),3,IF((AJ65=G65),"GPIO",IF((AJ65=F65),"Unused"))))))</f>
        <v>Unused</v>
      </c>
      <c r="AB65" s="234" t="str">
        <f t="shared" si="3"/>
        <v>Unused</v>
      </c>
      <c r="AC65" s="248"/>
      <c r="AD65" s="234" t="str">
        <f t="shared" si="13"/>
        <v>ENABLE</v>
      </c>
      <c r="AE65" s="234" t="str">
        <f>IF((OR($AB65="Unused",$AK65="OUT")),"DISABLE","ENABLE")</f>
        <v>DISABLE</v>
      </c>
      <c r="AF65" s="234" t="str">
        <f t="shared" si="5"/>
        <v>NORMAL</v>
      </c>
      <c r="AG65" s="234" t="str">
        <f>IF((AJ65=H65),"ENABLE","DISABLE")</f>
        <v>DISABLE</v>
      </c>
      <c r="AH65" s="234" t="str">
        <f t="shared" ref="AH65:AH102" si="22">IF((AND($AB65="GPIO",$AK65="Out")),"DRIVEN",IF((AND($AB65="GPIO",$AK65="Bidir")),"DRIVEN","TRISTATE"))</f>
        <v>TRISTATE</v>
      </c>
      <c r="AI65" s="234" t="str">
        <f t="shared" ref="AI65:AI102" si="23">IF((OR($AL65="Drive 0")),"LOW","HIGH")</f>
        <v>HIGH</v>
      </c>
      <c r="AJ65" s="182" t="s">
        <v>3670</v>
      </c>
      <c r="AK65" s="149" t="s">
        <v>2926</v>
      </c>
      <c r="AL65" s="153"/>
      <c r="AM65" s="256"/>
      <c r="AN65" s="152"/>
      <c r="AO65" s="152"/>
      <c r="AP65" s="153"/>
      <c r="AQ65" s="385" t="s">
        <v>1182</v>
      </c>
      <c r="AR65" s="6" t="s">
        <v>400</v>
      </c>
      <c r="AS65" s="379" t="s">
        <v>1182</v>
      </c>
      <c r="AT65" s="281" t="s">
        <v>400</v>
      </c>
      <c r="AU65" s="371" t="s">
        <v>1182</v>
      </c>
      <c r="AV65" s="379" t="s">
        <v>1182</v>
      </c>
    </row>
    <row r="66" spans="1:48" ht="12.95" customHeight="1" thickBot="1" x14ac:dyDescent="0.3">
      <c r="A66" s="197" t="s">
        <v>60</v>
      </c>
      <c r="B66" s="271"/>
      <c r="C66" s="197" t="s">
        <v>1686</v>
      </c>
      <c r="D66" s="197" t="s">
        <v>1687</v>
      </c>
      <c r="E66" s="165" t="s">
        <v>1687</v>
      </c>
      <c r="F66" s="197" t="str">
        <f t="shared" si="20"/>
        <v>unused_GEN2_I2C_SDA</v>
      </c>
      <c r="G66" s="198" t="s">
        <v>827</v>
      </c>
      <c r="H66" s="197" t="s">
        <v>403</v>
      </c>
      <c r="I66" s="360" t="s">
        <v>3077</v>
      </c>
      <c r="J66" s="197" t="s">
        <v>2179</v>
      </c>
      <c r="K66" s="360" t="s">
        <v>3090</v>
      </c>
      <c r="L66" s="198" t="s">
        <v>2062</v>
      </c>
      <c r="M66" s="197" t="s">
        <v>254</v>
      </c>
      <c r="N66" s="197" t="s">
        <v>2062</v>
      </c>
      <c r="O66" s="197" t="s">
        <v>263</v>
      </c>
      <c r="P66" s="197" t="s">
        <v>253</v>
      </c>
      <c r="Q66" s="198" t="s">
        <v>401</v>
      </c>
      <c r="R66" s="197" t="s">
        <v>368</v>
      </c>
      <c r="S66" s="197">
        <v>50</v>
      </c>
      <c r="T66" s="197" t="s">
        <v>402</v>
      </c>
      <c r="U66" s="198">
        <v>0</v>
      </c>
      <c r="V66" s="199">
        <v>1</v>
      </c>
      <c r="W66" s="199">
        <v>1</v>
      </c>
      <c r="X66" s="199" t="s">
        <v>264</v>
      </c>
      <c r="Y66" s="200" t="s">
        <v>265</v>
      </c>
      <c r="Z66" s="200" t="s">
        <v>265</v>
      </c>
      <c r="AA66" s="233" t="str">
        <f t="shared" si="21"/>
        <v>Unused</v>
      </c>
      <c r="AB66" s="234" t="str">
        <f t="shared" si="3"/>
        <v>Unused</v>
      </c>
      <c r="AC66" s="248"/>
      <c r="AD66" s="234" t="str">
        <f t="shared" si="13"/>
        <v>ENABLE</v>
      </c>
      <c r="AE66" s="234" t="str">
        <f t="shared" ref="AE66:AE102" si="24">IF((OR($AB66="Unused",$AK66="OUT")),"DISABLE","ENABLE")</f>
        <v>DISABLE</v>
      </c>
      <c r="AF66" s="234" t="str">
        <f t="shared" si="5"/>
        <v>NORMAL</v>
      </c>
      <c r="AG66" s="234" t="str">
        <f>IF((AJ66=H66),"ENABLE","DISABLE")</f>
        <v>DISABLE</v>
      </c>
      <c r="AH66" s="234" t="str">
        <f t="shared" si="22"/>
        <v>TRISTATE</v>
      </c>
      <c r="AI66" s="234" t="str">
        <f t="shared" si="23"/>
        <v>HIGH</v>
      </c>
      <c r="AJ66" s="182" t="s">
        <v>3671</v>
      </c>
      <c r="AK66" s="149" t="s">
        <v>2926</v>
      </c>
      <c r="AL66" s="153"/>
      <c r="AM66" s="256"/>
      <c r="AN66" s="152"/>
      <c r="AO66" s="152"/>
      <c r="AP66" s="153"/>
      <c r="AQ66" s="387"/>
      <c r="AR66" s="6" t="s">
        <v>403</v>
      </c>
      <c r="AS66" s="379"/>
      <c r="AT66" s="282" t="s">
        <v>403</v>
      </c>
      <c r="AU66" s="373"/>
      <c r="AV66" s="379"/>
    </row>
    <row r="67" spans="1:48" ht="12.95" customHeight="1" x14ac:dyDescent="0.25">
      <c r="A67" s="197" t="s">
        <v>61</v>
      </c>
      <c r="B67" s="271"/>
      <c r="C67" s="197" t="s">
        <v>1688</v>
      </c>
      <c r="D67" s="197" t="s">
        <v>1689</v>
      </c>
      <c r="E67" s="165" t="s">
        <v>1689</v>
      </c>
      <c r="F67" s="197" t="str">
        <f t="shared" si="20"/>
        <v>unused_GMI_A16</v>
      </c>
      <c r="G67" s="198" t="s">
        <v>828</v>
      </c>
      <c r="H67" s="197" t="s">
        <v>413</v>
      </c>
      <c r="I67" s="197" t="s">
        <v>404</v>
      </c>
      <c r="J67" s="197" t="s">
        <v>405</v>
      </c>
      <c r="K67" s="197" t="s">
        <v>406</v>
      </c>
      <c r="L67" s="198" t="s">
        <v>2062</v>
      </c>
      <c r="M67" s="197" t="s">
        <v>270</v>
      </c>
      <c r="N67" s="197" t="s">
        <v>2062</v>
      </c>
      <c r="O67" s="197" t="s">
        <v>255</v>
      </c>
      <c r="P67" s="197" t="s">
        <v>253</v>
      </c>
      <c r="Q67" s="198" t="s">
        <v>401</v>
      </c>
      <c r="R67" s="197" t="s">
        <v>257</v>
      </c>
      <c r="S67" s="197">
        <v>100</v>
      </c>
      <c r="T67" s="197" t="s">
        <v>407</v>
      </c>
      <c r="U67" s="198">
        <v>2</v>
      </c>
      <c r="V67" s="199">
        <v>1</v>
      </c>
      <c r="W67" s="199">
        <v>1</v>
      </c>
      <c r="X67" s="199" t="s">
        <v>264</v>
      </c>
      <c r="Y67" s="200" t="s">
        <v>265</v>
      </c>
      <c r="Z67" s="200" t="s">
        <v>265</v>
      </c>
      <c r="AA67" s="233" t="str">
        <f t="shared" si="21"/>
        <v>Unused</v>
      </c>
      <c r="AB67" s="234" t="str">
        <f t="shared" si="3"/>
        <v>Unused</v>
      </c>
      <c r="AC67" s="248"/>
      <c r="AD67" s="234" t="str">
        <f t="shared" si="13"/>
        <v>ENABLE</v>
      </c>
      <c r="AE67" s="234" t="str">
        <f t="shared" si="24"/>
        <v>DISABLE</v>
      </c>
      <c r="AF67" s="234" t="str">
        <f t="shared" si="5"/>
        <v>NORMAL</v>
      </c>
      <c r="AG67" s="248"/>
      <c r="AH67" s="234" t="str">
        <f t="shared" si="22"/>
        <v>TRISTATE</v>
      </c>
      <c r="AI67" s="234" t="str">
        <f t="shared" si="23"/>
        <v>HIGH</v>
      </c>
      <c r="AJ67" s="182" t="s">
        <v>3672</v>
      </c>
      <c r="AK67" s="149" t="s">
        <v>2926</v>
      </c>
      <c r="AL67" s="153"/>
      <c r="AM67" s="256"/>
      <c r="AN67" s="152"/>
      <c r="AO67" s="152"/>
      <c r="AP67" s="153"/>
      <c r="AQ67" s="428" t="s">
        <v>1173</v>
      </c>
      <c r="AR67" s="6" t="s">
        <v>3006</v>
      </c>
      <c r="AS67" s="415" t="s">
        <v>1183</v>
      </c>
      <c r="AT67" s="282" t="s">
        <v>404</v>
      </c>
      <c r="AU67" s="371" t="s">
        <v>1183</v>
      </c>
      <c r="AV67" s="415" t="s">
        <v>1183</v>
      </c>
    </row>
    <row r="68" spans="1:48" ht="12.95" customHeight="1" x14ac:dyDescent="0.25">
      <c r="A68" s="197" t="s">
        <v>62</v>
      </c>
      <c r="B68" s="271"/>
      <c r="C68" s="197" t="s">
        <v>1690</v>
      </c>
      <c r="D68" s="197" t="s">
        <v>1691</v>
      </c>
      <c r="E68" s="165" t="s">
        <v>1691</v>
      </c>
      <c r="F68" s="197" t="str">
        <f t="shared" si="20"/>
        <v>unused_GMI_A17</v>
      </c>
      <c r="G68" s="198" t="s">
        <v>829</v>
      </c>
      <c r="H68" s="197" t="s">
        <v>410</v>
      </c>
      <c r="I68" s="197" t="s">
        <v>408</v>
      </c>
      <c r="J68" s="197" t="s">
        <v>409</v>
      </c>
      <c r="K68" s="197" t="s">
        <v>2275</v>
      </c>
      <c r="L68" s="198" t="s">
        <v>2062</v>
      </c>
      <c r="M68" s="197" t="s">
        <v>270</v>
      </c>
      <c r="N68" s="197" t="s">
        <v>2062</v>
      </c>
      <c r="O68" s="197" t="s">
        <v>255</v>
      </c>
      <c r="P68" s="197" t="s">
        <v>253</v>
      </c>
      <c r="Q68" s="198" t="s">
        <v>401</v>
      </c>
      <c r="R68" s="197" t="s">
        <v>257</v>
      </c>
      <c r="S68" s="197">
        <v>100</v>
      </c>
      <c r="T68" s="197" t="s">
        <v>407</v>
      </c>
      <c r="U68" s="198">
        <v>2</v>
      </c>
      <c r="V68" s="199">
        <v>1</v>
      </c>
      <c r="W68" s="199">
        <v>1</v>
      </c>
      <c r="X68" s="199" t="s">
        <v>264</v>
      </c>
      <c r="Y68" s="200" t="s">
        <v>265</v>
      </c>
      <c r="Z68" s="200" t="s">
        <v>265</v>
      </c>
      <c r="AA68" s="233" t="str">
        <f t="shared" si="21"/>
        <v>Unused</v>
      </c>
      <c r="AB68" s="234" t="str">
        <f t="shared" si="3"/>
        <v>Unused</v>
      </c>
      <c r="AC68" s="248"/>
      <c r="AD68" s="234" t="str">
        <f t="shared" si="13"/>
        <v>ENABLE</v>
      </c>
      <c r="AE68" s="234" t="str">
        <f t="shared" si="24"/>
        <v>DISABLE</v>
      </c>
      <c r="AF68" s="234" t="str">
        <f t="shared" si="5"/>
        <v>NORMAL</v>
      </c>
      <c r="AG68" s="248"/>
      <c r="AH68" s="234" t="str">
        <f t="shared" si="22"/>
        <v>TRISTATE</v>
      </c>
      <c r="AI68" s="234" t="str">
        <f t="shared" si="23"/>
        <v>HIGH</v>
      </c>
      <c r="AJ68" s="182" t="s">
        <v>3673</v>
      </c>
      <c r="AK68" s="149" t="s">
        <v>2926</v>
      </c>
      <c r="AL68" s="153"/>
      <c r="AM68" s="256"/>
      <c r="AN68" s="152"/>
      <c r="AO68" s="152"/>
      <c r="AP68" s="153"/>
      <c r="AQ68" s="429"/>
      <c r="AR68" s="6" t="s">
        <v>3007</v>
      </c>
      <c r="AS68" s="415"/>
      <c r="AT68" s="282" t="s">
        <v>408</v>
      </c>
      <c r="AU68" s="372"/>
      <c r="AV68" s="415"/>
    </row>
    <row r="69" spans="1:48" ht="12.95" customHeight="1" x14ac:dyDescent="0.25">
      <c r="A69" s="197" t="s">
        <v>63</v>
      </c>
      <c r="B69" s="271"/>
      <c r="C69" s="197" t="s">
        <v>1692</v>
      </c>
      <c r="D69" s="197" t="s">
        <v>1693</v>
      </c>
      <c r="E69" s="165" t="s">
        <v>1693</v>
      </c>
      <c r="F69" s="197" t="str">
        <f t="shared" si="20"/>
        <v>unused_GMI_A18</v>
      </c>
      <c r="G69" s="198" t="s">
        <v>830</v>
      </c>
      <c r="H69" s="197" t="s">
        <v>2176</v>
      </c>
      <c r="I69" s="197" t="s">
        <v>411</v>
      </c>
      <c r="J69" s="197" t="s">
        <v>412</v>
      </c>
      <c r="K69" s="197" t="s">
        <v>2276</v>
      </c>
      <c r="L69" s="198" t="s">
        <v>2062</v>
      </c>
      <c r="M69" s="197" t="s">
        <v>270</v>
      </c>
      <c r="N69" s="197" t="s">
        <v>2062</v>
      </c>
      <c r="O69" s="197" t="s">
        <v>255</v>
      </c>
      <c r="P69" s="197" t="s">
        <v>253</v>
      </c>
      <c r="Q69" s="198" t="s">
        <v>401</v>
      </c>
      <c r="R69" s="197" t="s">
        <v>257</v>
      </c>
      <c r="S69" s="197">
        <v>100</v>
      </c>
      <c r="T69" s="197" t="s">
        <v>407</v>
      </c>
      <c r="U69" s="198">
        <v>2</v>
      </c>
      <c r="V69" s="199">
        <v>1</v>
      </c>
      <c r="W69" s="199">
        <v>1</v>
      </c>
      <c r="X69" s="199" t="s">
        <v>264</v>
      </c>
      <c r="Y69" s="200" t="s">
        <v>265</v>
      </c>
      <c r="Z69" s="200" t="s">
        <v>265</v>
      </c>
      <c r="AA69" s="233" t="str">
        <f t="shared" si="21"/>
        <v>Unused</v>
      </c>
      <c r="AB69" s="234" t="str">
        <f t="shared" si="3"/>
        <v>Unused</v>
      </c>
      <c r="AC69" s="248"/>
      <c r="AD69" s="234" t="str">
        <f t="shared" si="13"/>
        <v>ENABLE</v>
      </c>
      <c r="AE69" s="234" t="str">
        <f t="shared" si="24"/>
        <v>DISABLE</v>
      </c>
      <c r="AF69" s="234" t="str">
        <f t="shared" si="5"/>
        <v>NORMAL</v>
      </c>
      <c r="AG69" s="248"/>
      <c r="AH69" s="234" t="str">
        <f t="shared" si="22"/>
        <v>TRISTATE</v>
      </c>
      <c r="AI69" s="234" t="str">
        <f t="shared" si="23"/>
        <v>HIGH</v>
      </c>
      <c r="AJ69" s="182" t="s">
        <v>3674</v>
      </c>
      <c r="AK69" s="149" t="s">
        <v>2926</v>
      </c>
      <c r="AL69" s="153"/>
      <c r="AM69" s="256"/>
      <c r="AN69" s="152"/>
      <c r="AO69" s="152"/>
      <c r="AP69" s="153"/>
      <c r="AQ69" s="429"/>
      <c r="AR69" s="6" t="s">
        <v>410</v>
      </c>
      <c r="AS69" s="415"/>
      <c r="AT69" s="282" t="s">
        <v>411</v>
      </c>
      <c r="AU69" s="372"/>
      <c r="AV69" s="415"/>
    </row>
    <row r="70" spans="1:48" ht="12.95" customHeight="1" thickBot="1" x14ac:dyDescent="0.3">
      <c r="A70" s="197" t="s">
        <v>64</v>
      </c>
      <c r="B70" s="271"/>
      <c r="C70" s="197" t="s">
        <v>1694</v>
      </c>
      <c r="D70" s="197" t="s">
        <v>1695</v>
      </c>
      <c r="E70" s="165" t="s">
        <v>1695</v>
      </c>
      <c r="F70" s="197" t="str">
        <f t="shared" si="20"/>
        <v>unused_GMI_A19</v>
      </c>
      <c r="G70" s="198" t="s">
        <v>831</v>
      </c>
      <c r="H70" s="197" t="s">
        <v>2177</v>
      </c>
      <c r="I70" s="197" t="s">
        <v>2178</v>
      </c>
      <c r="J70" s="197" t="s">
        <v>414</v>
      </c>
      <c r="K70" s="360" t="s">
        <v>3090</v>
      </c>
      <c r="L70" s="198" t="s">
        <v>2062</v>
      </c>
      <c r="M70" s="197" t="s">
        <v>270</v>
      </c>
      <c r="N70" s="197" t="s">
        <v>2062</v>
      </c>
      <c r="O70" s="197" t="s">
        <v>255</v>
      </c>
      <c r="P70" s="197" t="s">
        <v>253</v>
      </c>
      <c r="Q70" s="198" t="s">
        <v>401</v>
      </c>
      <c r="R70" s="197" t="s">
        <v>257</v>
      </c>
      <c r="S70" s="197">
        <v>100</v>
      </c>
      <c r="T70" s="197" t="s">
        <v>407</v>
      </c>
      <c r="U70" s="198">
        <v>2</v>
      </c>
      <c r="V70" s="199">
        <v>1</v>
      </c>
      <c r="W70" s="199">
        <v>1</v>
      </c>
      <c r="X70" s="199" t="s">
        <v>264</v>
      </c>
      <c r="Y70" s="200" t="s">
        <v>265</v>
      </c>
      <c r="Z70" s="200" t="s">
        <v>265</v>
      </c>
      <c r="AA70" s="233" t="str">
        <f t="shared" si="21"/>
        <v>Unused</v>
      </c>
      <c r="AB70" s="234" t="str">
        <f t="shared" si="3"/>
        <v>Unused</v>
      </c>
      <c r="AC70" s="248"/>
      <c r="AD70" s="234" t="str">
        <f t="shared" si="13"/>
        <v>ENABLE</v>
      </c>
      <c r="AE70" s="234" t="str">
        <f t="shared" si="24"/>
        <v>DISABLE</v>
      </c>
      <c r="AF70" s="234" t="str">
        <f t="shared" si="5"/>
        <v>NORMAL</v>
      </c>
      <c r="AG70" s="248"/>
      <c r="AH70" s="234" t="str">
        <f t="shared" si="22"/>
        <v>TRISTATE</v>
      </c>
      <c r="AI70" s="234" t="str">
        <f t="shared" si="23"/>
        <v>HIGH</v>
      </c>
      <c r="AJ70" s="182" t="s">
        <v>3675</v>
      </c>
      <c r="AK70" s="149" t="s">
        <v>2926</v>
      </c>
      <c r="AL70" s="153"/>
      <c r="AM70" s="256"/>
      <c r="AN70" s="152"/>
      <c r="AO70" s="152"/>
      <c r="AP70" s="153"/>
      <c r="AQ70" s="430"/>
      <c r="AR70" s="6" t="s">
        <v>413</v>
      </c>
      <c r="AS70" s="415"/>
      <c r="AT70" s="282" t="s">
        <v>3019</v>
      </c>
      <c r="AU70" s="373"/>
      <c r="AV70" s="415"/>
    </row>
    <row r="71" spans="1:48" ht="12.95" customHeight="1" thickBot="1" x14ac:dyDescent="0.3">
      <c r="A71" s="197" t="s">
        <v>65</v>
      </c>
      <c r="B71" s="271"/>
      <c r="C71" s="197" t="s">
        <v>1696</v>
      </c>
      <c r="D71" s="197" t="s">
        <v>1697</v>
      </c>
      <c r="E71" s="165" t="s">
        <v>1697</v>
      </c>
      <c r="F71" s="197" t="str">
        <f t="shared" si="20"/>
        <v>unused_GMI_AD0</v>
      </c>
      <c r="G71" s="198" t="s">
        <v>832</v>
      </c>
      <c r="H71" s="360" t="s">
        <v>3063</v>
      </c>
      <c r="I71" s="197" t="s">
        <v>415</v>
      </c>
      <c r="J71" s="197" t="s">
        <v>416</v>
      </c>
      <c r="K71" s="360" t="s">
        <v>3076</v>
      </c>
      <c r="L71" s="198" t="s">
        <v>2062</v>
      </c>
      <c r="M71" s="197" t="s">
        <v>270</v>
      </c>
      <c r="N71" s="197" t="s">
        <v>270</v>
      </c>
      <c r="O71" s="197" t="s">
        <v>263</v>
      </c>
      <c r="P71" s="197" t="s">
        <v>253</v>
      </c>
      <c r="Q71" s="198" t="s">
        <v>401</v>
      </c>
      <c r="R71" s="197" t="s">
        <v>257</v>
      </c>
      <c r="S71" s="197">
        <v>100</v>
      </c>
      <c r="T71" s="197" t="s">
        <v>417</v>
      </c>
      <c r="U71" s="198">
        <v>2</v>
      </c>
      <c r="V71" s="199">
        <v>1</v>
      </c>
      <c r="W71" s="199">
        <v>1</v>
      </c>
      <c r="X71" s="199" t="s">
        <v>264</v>
      </c>
      <c r="Y71" s="200" t="s">
        <v>265</v>
      </c>
      <c r="Z71" s="200" t="s">
        <v>265</v>
      </c>
      <c r="AA71" s="233" t="str">
        <f t="shared" si="21"/>
        <v>Unused</v>
      </c>
      <c r="AB71" s="234" t="str">
        <f t="shared" si="3"/>
        <v>Unused</v>
      </c>
      <c r="AC71" s="248"/>
      <c r="AD71" s="234" t="str">
        <f t="shared" si="13"/>
        <v>ENABLE</v>
      </c>
      <c r="AE71" s="234" t="str">
        <f t="shared" si="24"/>
        <v>DISABLE</v>
      </c>
      <c r="AF71" s="234" t="str">
        <f t="shared" si="5"/>
        <v>NORMAL</v>
      </c>
      <c r="AG71" s="248"/>
      <c r="AH71" s="234" t="str">
        <f t="shared" si="22"/>
        <v>TRISTATE</v>
      </c>
      <c r="AI71" s="234" t="str">
        <f t="shared" si="23"/>
        <v>HIGH</v>
      </c>
      <c r="AJ71" s="182" t="s">
        <v>1048</v>
      </c>
      <c r="AK71" s="149" t="s">
        <v>2926</v>
      </c>
      <c r="AL71" s="153"/>
      <c r="AM71" s="256"/>
      <c r="AN71" s="152"/>
      <c r="AO71" s="152"/>
      <c r="AP71" s="153"/>
      <c r="AQ71" s="346" t="s">
        <v>3571</v>
      </c>
      <c r="AR71" s="6" t="s">
        <v>1048</v>
      </c>
      <c r="AS71" s="391" t="s">
        <v>1226</v>
      </c>
      <c r="AT71" s="282" t="s">
        <v>1048</v>
      </c>
      <c r="AU71" s="374" t="s">
        <v>1226</v>
      </c>
      <c r="AV71" s="391" t="s">
        <v>1226</v>
      </c>
    </row>
    <row r="72" spans="1:48" ht="12.95" customHeight="1" thickBot="1" x14ac:dyDescent="0.3">
      <c r="A72" s="197" t="s">
        <v>66</v>
      </c>
      <c r="B72" s="271"/>
      <c r="C72" s="197" t="s">
        <v>1698</v>
      </c>
      <c r="D72" s="197" t="s">
        <v>1699</v>
      </c>
      <c r="E72" s="165" t="s">
        <v>1699</v>
      </c>
      <c r="F72" s="197" t="str">
        <f t="shared" si="20"/>
        <v>unused_GMI_AD1</v>
      </c>
      <c r="G72" s="198" t="s">
        <v>833</v>
      </c>
      <c r="H72" s="360" t="s">
        <v>3063</v>
      </c>
      <c r="I72" s="197" t="s">
        <v>418</v>
      </c>
      <c r="J72" s="197" t="s">
        <v>419</v>
      </c>
      <c r="K72" s="360" t="s">
        <v>3076</v>
      </c>
      <c r="L72" s="198" t="s">
        <v>2062</v>
      </c>
      <c r="M72" s="197" t="s">
        <v>270</v>
      </c>
      <c r="N72" s="197" t="s">
        <v>270</v>
      </c>
      <c r="O72" s="197" t="s">
        <v>263</v>
      </c>
      <c r="P72" s="197" t="s">
        <v>253</v>
      </c>
      <c r="Q72" s="198" t="s">
        <v>401</v>
      </c>
      <c r="R72" s="197" t="s">
        <v>257</v>
      </c>
      <c r="S72" s="197">
        <v>100</v>
      </c>
      <c r="T72" s="197" t="s">
        <v>417</v>
      </c>
      <c r="U72" s="198">
        <v>2</v>
      </c>
      <c r="V72" s="199">
        <v>1</v>
      </c>
      <c r="W72" s="199">
        <v>1</v>
      </c>
      <c r="X72" s="199" t="s">
        <v>264</v>
      </c>
      <c r="Y72" s="200" t="s">
        <v>265</v>
      </c>
      <c r="Z72" s="200" t="s">
        <v>265</v>
      </c>
      <c r="AA72" s="233" t="str">
        <f t="shared" si="21"/>
        <v>Unused</v>
      </c>
      <c r="AB72" s="234" t="str">
        <f t="shared" si="3"/>
        <v>Unused</v>
      </c>
      <c r="AC72" s="248"/>
      <c r="AD72" s="234" t="str">
        <f t="shared" si="13"/>
        <v>ENABLE</v>
      </c>
      <c r="AE72" s="234" t="str">
        <f t="shared" si="24"/>
        <v>DISABLE</v>
      </c>
      <c r="AF72" s="234" t="str">
        <f t="shared" si="5"/>
        <v>NORMAL</v>
      </c>
      <c r="AG72" s="248"/>
      <c r="AH72" s="234" t="str">
        <f t="shared" si="22"/>
        <v>TRISTATE</v>
      </c>
      <c r="AI72" s="234" t="str">
        <f t="shared" si="23"/>
        <v>HIGH</v>
      </c>
      <c r="AJ72" s="182" t="s">
        <v>1049</v>
      </c>
      <c r="AK72" s="149" t="s">
        <v>2926</v>
      </c>
      <c r="AL72" s="153"/>
      <c r="AM72" s="256"/>
      <c r="AN72" s="152"/>
      <c r="AO72" s="152"/>
      <c r="AP72" s="153"/>
      <c r="AQ72" s="346" t="s">
        <v>3572</v>
      </c>
      <c r="AR72" s="6" t="s">
        <v>1049</v>
      </c>
      <c r="AS72" s="391"/>
      <c r="AT72" s="282" t="s">
        <v>1049</v>
      </c>
      <c r="AU72" s="376"/>
      <c r="AV72" s="391"/>
    </row>
    <row r="73" spans="1:48" ht="12.95" customHeight="1" thickBot="1" x14ac:dyDescent="0.3">
      <c r="A73" s="197" t="s">
        <v>67</v>
      </c>
      <c r="B73" s="271"/>
      <c r="C73" s="197" t="s">
        <v>1700</v>
      </c>
      <c r="D73" s="197" t="s">
        <v>1701</v>
      </c>
      <c r="E73" s="165" t="s">
        <v>1701</v>
      </c>
      <c r="F73" s="197" t="str">
        <f t="shared" si="20"/>
        <v>unused_GMI_AD10</v>
      </c>
      <c r="G73" s="198" t="s">
        <v>834</v>
      </c>
      <c r="H73" s="197" t="s">
        <v>420</v>
      </c>
      <c r="I73" s="197" t="s">
        <v>421</v>
      </c>
      <c r="J73" s="197" t="s">
        <v>422</v>
      </c>
      <c r="K73" s="360" t="s">
        <v>3076</v>
      </c>
      <c r="L73" s="198" t="s">
        <v>2062</v>
      </c>
      <c r="M73" s="197" t="s">
        <v>270</v>
      </c>
      <c r="N73" s="197" t="s">
        <v>270</v>
      </c>
      <c r="O73" s="197" t="s">
        <v>263</v>
      </c>
      <c r="P73" s="197" t="s">
        <v>253</v>
      </c>
      <c r="Q73" s="198" t="s">
        <v>401</v>
      </c>
      <c r="R73" s="197" t="s">
        <v>257</v>
      </c>
      <c r="S73" s="197">
        <v>100</v>
      </c>
      <c r="T73" s="197" t="s">
        <v>423</v>
      </c>
      <c r="U73" s="198">
        <v>2</v>
      </c>
      <c r="V73" s="199">
        <v>1</v>
      </c>
      <c r="W73" s="199">
        <v>1</v>
      </c>
      <c r="X73" s="199" t="s">
        <v>259</v>
      </c>
      <c r="Y73" s="200" t="s">
        <v>260</v>
      </c>
      <c r="Z73" s="200" t="s">
        <v>260</v>
      </c>
      <c r="AA73" s="233" t="str">
        <f t="shared" si="21"/>
        <v>Unused</v>
      </c>
      <c r="AB73" s="234" t="str">
        <f t="shared" si="3"/>
        <v>Unused</v>
      </c>
      <c r="AC73" s="248"/>
      <c r="AD73" s="234" t="str">
        <f t="shared" si="13"/>
        <v>ENABLE</v>
      </c>
      <c r="AE73" s="234" t="str">
        <f t="shared" si="24"/>
        <v>DISABLE</v>
      </c>
      <c r="AF73" s="234" t="str">
        <f t="shared" si="5"/>
        <v>NORMAL</v>
      </c>
      <c r="AG73" s="248"/>
      <c r="AH73" s="234" t="str">
        <f t="shared" si="22"/>
        <v>TRISTATE</v>
      </c>
      <c r="AI73" s="234" t="str">
        <f t="shared" si="23"/>
        <v>HIGH</v>
      </c>
      <c r="AJ73" s="182" t="s">
        <v>3632</v>
      </c>
      <c r="AK73" s="149" t="s">
        <v>2926</v>
      </c>
      <c r="AL73" s="153"/>
      <c r="AM73" s="256"/>
      <c r="AN73" s="152"/>
      <c r="AO73" s="152"/>
      <c r="AP73" s="153"/>
      <c r="AQ73" s="343" t="s">
        <v>1184</v>
      </c>
      <c r="AR73" s="6" t="s">
        <v>834</v>
      </c>
      <c r="AS73" s="51" t="s">
        <v>1184</v>
      </c>
      <c r="AT73" s="282" t="s">
        <v>834</v>
      </c>
      <c r="AU73" s="51" t="s">
        <v>1184</v>
      </c>
      <c r="AV73" s="51" t="s">
        <v>1184</v>
      </c>
    </row>
    <row r="74" spans="1:48" ht="12.95" customHeight="1" thickBot="1" x14ac:dyDescent="0.3">
      <c r="A74" s="197" t="s">
        <v>68</v>
      </c>
      <c r="B74" s="271"/>
      <c r="C74" s="197" t="s">
        <v>1702</v>
      </c>
      <c r="D74" s="197" t="s">
        <v>1703</v>
      </c>
      <c r="E74" s="165" t="s">
        <v>1703</v>
      </c>
      <c r="F74" s="197" t="str">
        <f t="shared" si="20"/>
        <v>unused_GMI_AD11</v>
      </c>
      <c r="G74" s="198" t="s">
        <v>835</v>
      </c>
      <c r="H74" s="197" t="s">
        <v>424</v>
      </c>
      <c r="I74" s="197" t="s">
        <v>425</v>
      </c>
      <c r="J74" s="197" t="s">
        <v>426</v>
      </c>
      <c r="K74" s="360" t="s">
        <v>3076</v>
      </c>
      <c r="L74" s="198" t="s">
        <v>2062</v>
      </c>
      <c r="M74" s="197" t="s">
        <v>270</v>
      </c>
      <c r="N74" s="197" t="s">
        <v>270</v>
      </c>
      <c r="O74" s="197" t="s">
        <v>263</v>
      </c>
      <c r="P74" s="197" t="s">
        <v>253</v>
      </c>
      <c r="Q74" s="198" t="s">
        <v>401</v>
      </c>
      <c r="R74" s="197" t="s">
        <v>257</v>
      </c>
      <c r="S74" s="197">
        <v>100</v>
      </c>
      <c r="T74" s="197" t="s">
        <v>423</v>
      </c>
      <c r="U74" s="198">
        <v>2</v>
      </c>
      <c r="V74" s="199">
        <v>1</v>
      </c>
      <c r="W74" s="199">
        <v>1</v>
      </c>
      <c r="X74" s="199" t="s">
        <v>259</v>
      </c>
      <c r="Y74" s="200" t="s">
        <v>260</v>
      </c>
      <c r="Z74" s="200" t="s">
        <v>260</v>
      </c>
      <c r="AA74" s="233" t="str">
        <f t="shared" si="21"/>
        <v>Unused</v>
      </c>
      <c r="AB74" s="234" t="str">
        <f t="shared" si="3"/>
        <v>Unused</v>
      </c>
      <c r="AC74" s="248"/>
      <c r="AD74" s="234" t="str">
        <f t="shared" si="13"/>
        <v>ENABLE</v>
      </c>
      <c r="AE74" s="234" t="str">
        <f t="shared" si="24"/>
        <v>DISABLE</v>
      </c>
      <c r="AF74" s="234" t="str">
        <f t="shared" si="5"/>
        <v>NORMAL</v>
      </c>
      <c r="AG74" s="248"/>
      <c r="AH74" s="234" t="str">
        <f t="shared" si="22"/>
        <v>TRISTATE</v>
      </c>
      <c r="AI74" s="234" t="str">
        <f t="shared" si="23"/>
        <v>HIGH</v>
      </c>
      <c r="AJ74" s="182" t="s">
        <v>1050</v>
      </c>
      <c r="AK74" s="149" t="s">
        <v>2926</v>
      </c>
      <c r="AL74" s="153"/>
      <c r="AM74" s="256"/>
      <c r="AN74" s="152"/>
      <c r="AO74" s="152"/>
      <c r="AP74" s="153"/>
      <c r="AQ74" s="343" t="s">
        <v>1187</v>
      </c>
      <c r="AR74" s="6" t="s">
        <v>835</v>
      </c>
      <c r="AS74" s="52"/>
      <c r="AT74" s="282" t="s">
        <v>1050</v>
      </c>
      <c r="AU74" s="51" t="s">
        <v>1187</v>
      </c>
      <c r="AV74" s="51" t="s">
        <v>2452</v>
      </c>
    </row>
    <row r="75" spans="1:48" ht="12.95" customHeight="1" thickBot="1" x14ac:dyDescent="0.3">
      <c r="A75" s="197" t="s">
        <v>69</v>
      </c>
      <c r="B75" s="271"/>
      <c r="C75" s="197" t="s">
        <v>1704</v>
      </c>
      <c r="D75" s="197" t="s">
        <v>1705</v>
      </c>
      <c r="E75" s="165" t="s">
        <v>1705</v>
      </c>
      <c r="F75" s="197" t="str">
        <f t="shared" si="20"/>
        <v>unused_GMI_AD12</v>
      </c>
      <c r="G75" s="198" t="s">
        <v>836</v>
      </c>
      <c r="H75" s="360" t="s">
        <v>3063</v>
      </c>
      <c r="I75" s="197" t="s">
        <v>427</v>
      </c>
      <c r="J75" s="197" t="s">
        <v>428</v>
      </c>
      <c r="K75" s="360" t="s">
        <v>3076</v>
      </c>
      <c r="L75" s="198" t="s">
        <v>2062</v>
      </c>
      <c r="M75" s="197" t="s">
        <v>270</v>
      </c>
      <c r="N75" s="197" t="s">
        <v>270</v>
      </c>
      <c r="O75" s="197" t="s">
        <v>263</v>
      </c>
      <c r="P75" s="197" t="s">
        <v>253</v>
      </c>
      <c r="Q75" s="198" t="s">
        <v>401</v>
      </c>
      <c r="R75" s="197" t="s">
        <v>257</v>
      </c>
      <c r="S75" s="197">
        <v>100</v>
      </c>
      <c r="T75" s="197" t="s">
        <v>423</v>
      </c>
      <c r="U75" s="198">
        <v>2</v>
      </c>
      <c r="V75" s="199">
        <v>1</v>
      </c>
      <c r="W75" s="199">
        <v>1</v>
      </c>
      <c r="X75" s="199" t="s">
        <v>264</v>
      </c>
      <c r="Y75" s="200" t="s">
        <v>265</v>
      </c>
      <c r="Z75" s="200" t="s">
        <v>265</v>
      </c>
      <c r="AA75" s="233" t="str">
        <f t="shared" si="21"/>
        <v>Unused</v>
      </c>
      <c r="AB75" s="234" t="str">
        <f t="shared" si="3"/>
        <v>Unused</v>
      </c>
      <c r="AC75" s="248"/>
      <c r="AD75" s="234" t="str">
        <f t="shared" si="13"/>
        <v>ENABLE</v>
      </c>
      <c r="AE75" s="234" t="str">
        <f t="shared" si="24"/>
        <v>DISABLE</v>
      </c>
      <c r="AF75" s="234" t="str">
        <f t="shared" si="5"/>
        <v>NORMAL</v>
      </c>
      <c r="AG75" s="248"/>
      <c r="AH75" s="234" t="str">
        <f t="shared" si="22"/>
        <v>TRISTATE</v>
      </c>
      <c r="AI75" s="234" t="str">
        <f t="shared" si="23"/>
        <v>HIGH</v>
      </c>
      <c r="AJ75" s="182" t="s">
        <v>3633</v>
      </c>
      <c r="AK75" s="149" t="s">
        <v>2926</v>
      </c>
      <c r="AL75" s="153"/>
      <c r="AM75" s="256"/>
      <c r="AN75" s="152"/>
      <c r="AO75" s="152"/>
      <c r="AP75" s="153"/>
      <c r="AQ75" s="346" t="s">
        <v>3573</v>
      </c>
      <c r="AR75" s="6" t="s">
        <v>836</v>
      </c>
      <c r="AS75" s="51" t="s">
        <v>2247</v>
      </c>
      <c r="AT75" s="282" t="s">
        <v>836</v>
      </c>
      <c r="AU75" s="51" t="s">
        <v>2247</v>
      </c>
      <c r="AV75" s="51" t="s">
        <v>2247</v>
      </c>
    </row>
    <row r="76" spans="1:48" ht="12.95" customHeight="1" thickBot="1" x14ac:dyDescent="0.3">
      <c r="A76" s="197" t="s">
        <v>70</v>
      </c>
      <c r="B76" s="271"/>
      <c r="C76" s="197" t="s">
        <v>1706</v>
      </c>
      <c r="D76" s="197" t="s">
        <v>1707</v>
      </c>
      <c r="E76" s="165" t="s">
        <v>1707</v>
      </c>
      <c r="F76" s="197" t="str">
        <f t="shared" si="20"/>
        <v>unused_GMI_AD13</v>
      </c>
      <c r="G76" s="198" t="s">
        <v>837</v>
      </c>
      <c r="H76" s="360" t="s">
        <v>3063</v>
      </c>
      <c r="I76" s="197" t="s">
        <v>429</v>
      </c>
      <c r="J76" s="197" t="s">
        <v>430</v>
      </c>
      <c r="K76" s="360" t="s">
        <v>3076</v>
      </c>
      <c r="L76" s="198" t="s">
        <v>2062</v>
      </c>
      <c r="M76" s="197" t="s">
        <v>270</v>
      </c>
      <c r="N76" s="197" t="s">
        <v>270</v>
      </c>
      <c r="O76" s="197" t="s">
        <v>263</v>
      </c>
      <c r="P76" s="197" t="s">
        <v>253</v>
      </c>
      <c r="Q76" s="198" t="s">
        <v>401</v>
      </c>
      <c r="R76" s="197" t="s">
        <v>257</v>
      </c>
      <c r="S76" s="197">
        <v>100</v>
      </c>
      <c r="T76" s="197" t="s">
        <v>423</v>
      </c>
      <c r="U76" s="198">
        <v>2</v>
      </c>
      <c r="V76" s="199">
        <v>1</v>
      </c>
      <c r="W76" s="199">
        <v>1</v>
      </c>
      <c r="X76" s="199" t="s">
        <v>264</v>
      </c>
      <c r="Y76" s="200" t="s">
        <v>265</v>
      </c>
      <c r="Z76" s="200" t="s">
        <v>265</v>
      </c>
      <c r="AA76" s="233" t="str">
        <f t="shared" si="21"/>
        <v>Unused</v>
      </c>
      <c r="AB76" s="234" t="str">
        <f t="shared" ref="AB76:AB102" si="25">IF((OR($AA76=0,$AA76=1,$AA76=2,$AA76=3)),"SFIO",IF(($AA76="GPIO"),"GPIO","Unused"))</f>
        <v>Unused</v>
      </c>
      <c r="AC76" s="248"/>
      <c r="AD76" s="234" t="str">
        <f t="shared" si="13"/>
        <v>ENABLE</v>
      </c>
      <c r="AE76" s="234" t="str">
        <f t="shared" si="24"/>
        <v>DISABLE</v>
      </c>
      <c r="AF76" s="234" t="str">
        <f t="shared" ref="AF76:AF139" si="26">IF((OR((AND($AC76="Yes",$AN76="",OR($AK76="In",$AK76="Bidir"))),($AL76="Int PU"))),"PULL_UP",IF(($AL76="Int PD"),"PULL_DOWN",IF((OR($AB76="Unused",$AL76="Drive 1",$AL76="Drive 0",$AL76="Z",$AL76="na",$AL76="",$AN76&lt;&gt;"",$AO76&lt;&gt;"")),"NORMAL")))</f>
        <v>NORMAL</v>
      </c>
      <c r="AG76" s="248"/>
      <c r="AH76" s="234" t="str">
        <f t="shared" si="22"/>
        <v>TRISTATE</v>
      </c>
      <c r="AI76" s="234" t="str">
        <f t="shared" si="23"/>
        <v>HIGH</v>
      </c>
      <c r="AJ76" s="182" t="s">
        <v>2120</v>
      </c>
      <c r="AK76" s="149" t="s">
        <v>2926</v>
      </c>
      <c r="AL76" s="153"/>
      <c r="AM76" s="256"/>
      <c r="AN76" s="152"/>
      <c r="AO76" s="152"/>
      <c r="AP76" s="153"/>
      <c r="AQ76" s="346" t="s">
        <v>3574</v>
      </c>
      <c r="AR76" s="6" t="s">
        <v>837</v>
      </c>
      <c r="AS76" s="52"/>
      <c r="AT76" s="282" t="s">
        <v>2120</v>
      </c>
      <c r="AU76" s="113"/>
      <c r="AV76" s="127"/>
    </row>
    <row r="77" spans="1:48" ht="12.95" customHeight="1" thickBot="1" x14ac:dyDescent="0.3">
      <c r="A77" s="197" t="s">
        <v>71</v>
      </c>
      <c r="B77" s="271"/>
      <c r="C77" s="197" t="s">
        <v>1708</v>
      </c>
      <c r="D77" s="197" t="s">
        <v>1709</v>
      </c>
      <c r="E77" s="165" t="s">
        <v>1709</v>
      </c>
      <c r="F77" s="197" t="str">
        <f t="shared" si="20"/>
        <v>unused_GMI_AD14</v>
      </c>
      <c r="G77" s="198" t="s">
        <v>838</v>
      </c>
      <c r="H77" s="360" t="s">
        <v>3063</v>
      </c>
      <c r="I77" s="197" t="s">
        <v>431</v>
      </c>
      <c r="J77" s="197" t="s">
        <v>432</v>
      </c>
      <c r="K77" s="360" t="s">
        <v>3076</v>
      </c>
      <c r="L77" s="198" t="s">
        <v>2062</v>
      </c>
      <c r="M77" s="197" t="s">
        <v>270</v>
      </c>
      <c r="N77" s="197" t="s">
        <v>270</v>
      </c>
      <c r="O77" s="197" t="s">
        <v>263</v>
      </c>
      <c r="P77" s="197" t="s">
        <v>253</v>
      </c>
      <c r="Q77" s="198" t="s">
        <v>401</v>
      </c>
      <c r="R77" s="197" t="s">
        <v>257</v>
      </c>
      <c r="S77" s="197">
        <v>100</v>
      </c>
      <c r="T77" s="197" t="s">
        <v>423</v>
      </c>
      <c r="U77" s="198">
        <v>2</v>
      </c>
      <c r="V77" s="199">
        <v>1</v>
      </c>
      <c r="W77" s="199">
        <v>1</v>
      </c>
      <c r="X77" s="199" t="s">
        <v>264</v>
      </c>
      <c r="Y77" s="200" t="s">
        <v>265</v>
      </c>
      <c r="Z77" s="200" t="s">
        <v>265</v>
      </c>
      <c r="AA77" s="233" t="str">
        <f t="shared" si="21"/>
        <v>Unused</v>
      </c>
      <c r="AB77" s="234" t="str">
        <f t="shared" si="25"/>
        <v>Unused</v>
      </c>
      <c r="AC77" s="248"/>
      <c r="AD77" s="234" t="str">
        <f t="shared" si="13"/>
        <v>ENABLE</v>
      </c>
      <c r="AE77" s="234" t="str">
        <f t="shared" si="24"/>
        <v>DISABLE</v>
      </c>
      <c r="AF77" s="234" t="str">
        <f t="shared" si="26"/>
        <v>NORMAL</v>
      </c>
      <c r="AG77" s="248"/>
      <c r="AH77" s="234" t="str">
        <f t="shared" si="22"/>
        <v>TRISTATE</v>
      </c>
      <c r="AI77" s="234" t="str">
        <f t="shared" si="23"/>
        <v>HIGH</v>
      </c>
      <c r="AJ77" s="182" t="s">
        <v>3639</v>
      </c>
      <c r="AK77" s="149" t="s">
        <v>2926</v>
      </c>
      <c r="AL77" s="153"/>
      <c r="AM77" s="256"/>
      <c r="AN77" s="152"/>
      <c r="AO77" s="152"/>
      <c r="AP77" s="153"/>
      <c r="AQ77" s="346" t="s">
        <v>3575</v>
      </c>
      <c r="AR77" s="6" t="s">
        <v>838</v>
      </c>
      <c r="AS77" s="51" t="s">
        <v>2248</v>
      </c>
      <c r="AT77" s="282" t="s">
        <v>838</v>
      </c>
      <c r="AU77" s="51" t="s">
        <v>2248</v>
      </c>
      <c r="AV77" s="51" t="s">
        <v>2248</v>
      </c>
    </row>
    <row r="78" spans="1:48" ht="12.95" customHeight="1" thickBot="1" x14ac:dyDescent="0.3">
      <c r="A78" s="197" t="s">
        <v>72</v>
      </c>
      <c r="B78" s="271"/>
      <c r="C78" s="197" t="s">
        <v>1710</v>
      </c>
      <c r="D78" s="197" t="s">
        <v>1573</v>
      </c>
      <c r="E78" s="165" t="s">
        <v>1573</v>
      </c>
      <c r="F78" s="197" t="str">
        <f t="shared" si="20"/>
        <v>unused_GMI_AD15</v>
      </c>
      <c r="G78" s="198" t="s">
        <v>839</v>
      </c>
      <c r="H78" s="360" t="s">
        <v>3063</v>
      </c>
      <c r="I78" s="197" t="s">
        <v>433</v>
      </c>
      <c r="J78" s="197" t="s">
        <v>434</v>
      </c>
      <c r="K78" s="360" t="s">
        <v>3076</v>
      </c>
      <c r="L78" s="198" t="s">
        <v>2062</v>
      </c>
      <c r="M78" s="197" t="s">
        <v>270</v>
      </c>
      <c r="N78" s="197" t="s">
        <v>270</v>
      </c>
      <c r="O78" s="197" t="s">
        <v>263</v>
      </c>
      <c r="P78" s="197" t="s">
        <v>253</v>
      </c>
      <c r="Q78" s="198" t="s">
        <v>401</v>
      </c>
      <c r="R78" s="197" t="s">
        <v>257</v>
      </c>
      <c r="S78" s="197">
        <v>100</v>
      </c>
      <c r="T78" s="197" t="s">
        <v>423</v>
      </c>
      <c r="U78" s="198">
        <v>2</v>
      </c>
      <c r="V78" s="199">
        <v>1</v>
      </c>
      <c r="W78" s="199">
        <v>1</v>
      </c>
      <c r="X78" s="199" t="s">
        <v>264</v>
      </c>
      <c r="Y78" s="200" t="s">
        <v>265</v>
      </c>
      <c r="Z78" s="200" t="s">
        <v>265</v>
      </c>
      <c r="AA78" s="233" t="str">
        <f t="shared" si="21"/>
        <v>Unused</v>
      </c>
      <c r="AB78" s="234" t="str">
        <f t="shared" si="25"/>
        <v>Unused</v>
      </c>
      <c r="AC78" s="248"/>
      <c r="AD78" s="234" t="str">
        <f t="shared" si="13"/>
        <v>ENABLE</v>
      </c>
      <c r="AE78" s="234" t="str">
        <f t="shared" si="24"/>
        <v>DISABLE</v>
      </c>
      <c r="AF78" s="234" t="str">
        <f t="shared" si="26"/>
        <v>NORMAL</v>
      </c>
      <c r="AG78" s="248"/>
      <c r="AH78" s="234" t="str">
        <f t="shared" si="22"/>
        <v>TRISTATE</v>
      </c>
      <c r="AI78" s="234" t="str">
        <f t="shared" si="23"/>
        <v>HIGH</v>
      </c>
      <c r="AJ78" s="182" t="s">
        <v>2121</v>
      </c>
      <c r="AK78" s="149" t="s">
        <v>2926</v>
      </c>
      <c r="AL78" s="153"/>
      <c r="AM78" s="256"/>
      <c r="AN78" s="152"/>
      <c r="AO78" s="152"/>
      <c r="AP78" s="153"/>
      <c r="AQ78" s="343" t="s">
        <v>3576</v>
      </c>
      <c r="AR78" s="6" t="s">
        <v>839</v>
      </c>
      <c r="AS78" s="52"/>
      <c r="AT78" s="282" t="s">
        <v>2121</v>
      </c>
      <c r="AU78" s="51" t="s">
        <v>2422</v>
      </c>
      <c r="AV78" s="51" t="s">
        <v>2422</v>
      </c>
    </row>
    <row r="79" spans="1:48" ht="12.95" customHeight="1" thickBot="1" x14ac:dyDescent="0.3">
      <c r="A79" s="197" t="s">
        <v>73</v>
      </c>
      <c r="B79" s="271"/>
      <c r="C79" s="197" t="s">
        <v>1711</v>
      </c>
      <c r="D79" s="197" t="s">
        <v>1694</v>
      </c>
      <c r="E79" s="165" t="s">
        <v>1694</v>
      </c>
      <c r="F79" s="197" t="str">
        <f t="shared" si="20"/>
        <v>unused_GMI_AD2</v>
      </c>
      <c r="G79" s="198" t="s">
        <v>840</v>
      </c>
      <c r="H79" s="360" t="s">
        <v>3063</v>
      </c>
      <c r="I79" s="197" t="s">
        <v>435</v>
      </c>
      <c r="J79" s="197" t="s">
        <v>436</v>
      </c>
      <c r="K79" s="360" t="s">
        <v>3076</v>
      </c>
      <c r="L79" s="198" t="s">
        <v>2062</v>
      </c>
      <c r="M79" s="197" t="s">
        <v>270</v>
      </c>
      <c r="N79" s="197" t="s">
        <v>270</v>
      </c>
      <c r="O79" s="197" t="s">
        <v>263</v>
      </c>
      <c r="P79" s="197" t="s">
        <v>253</v>
      </c>
      <c r="Q79" s="198" t="s">
        <v>401</v>
      </c>
      <c r="R79" s="197" t="s">
        <v>257</v>
      </c>
      <c r="S79" s="197">
        <v>100</v>
      </c>
      <c r="T79" s="197" t="s">
        <v>417</v>
      </c>
      <c r="U79" s="198">
        <v>2</v>
      </c>
      <c r="V79" s="199">
        <v>1</v>
      </c>
      <c r="W79" s="199">
        <v>1</v>
      </c>
      <c r="X79" s="199" t="s">
        <v>264</v>
      </c>
      <c r="Y79" s="200" t="s">
        <v>265</v>
      </c>
      <c r="Z79" s="200" t="s">
        <v>265</v>
      </c>
      <c r="AA79" s="233" t="str">
        <f t="shared" si="21"/>
        <v>Unused</v>
      </c>
      <c r="AB79" s="234" t="str">
        <f t="shared" si="25"/>
        <v>Unused</v>
      </c>
      <c r="AC79" s="248"/>
      <c r="AD79" s="234" t="str">
        <f t="shared" si="13"/>
        <v>ENABLE</v>
      </c>
      <c r="AE79" s="234" t="str">
        <f t="shared" si="24"/>
        <v>DISABLE</v>
      </c>
      <c r="AF79" s="234" t="str">
        <f t="shared" si="26"/>
        <v>NORMAL</v>
      </c>
      <c r="AG79" s="248"/>
      <c r="AH79" s="234" t="str">
        <f t="shared" si="22"/>
        <v>TRISTATE</v>
      </c>
      <c r="AI79" s="234" t="str">
        <f t="shared" si="23"/>
        <v>HIGH</v>
      </c>
      <c r="AJ79" s="182" t="s">
        <v>1051</v>
      </c>
      <c r="AK79" s="149" t="s">
        <v>2926</v>
      </c>
      <c r="AL79" s="153"/>
      <c r="AM79" s="256"/>
      <c r="AN79" s="152"/>
      <c r="AO79" s="152"/>
      <c r="AP79" s="153"/>
      <c r="AQ79" s="346" t="s">
        <v>3577</v>
      </c>
      <c r="AR79" s="6" t="s">
        <v>1051</v>
      </c>
      <c r="AS79" s="391" t="s">
        <v>1225</v>
      </c>
      <c r="AT79" s="282" t="s">
        <v>1051</v>
      </c>
      <c r="AU79" s="374" t="s">
        <v>1225</v>
      </c>
      <c r="AV79" s="391" t="s">
        <v>2463</v>
      </c>
    </row>
    <row r="80" spans="1:48" ht="12.95" customHeight="1" thickBot="1" x14ac:dyDescent="0.3">
      <c r="A80" s="197" t="s">
        <v>74</v>
      </c>
      <c r="B80" s="271"/>
      <c r="C80" s="197" t="s">
        <v>1712</v>
      </c>
      <c r="D80" s="197" t="s">
        <v>1713</v>
      </c>
      <c r="E80" s="165" t="s">
        <v>1713</v>
      </c>
      <c r="F80" s="197" t="str">
        <f t="shared" si="20"/>
        <v>unused_GMI_AD3</v>
      </c>
      <c r="G80" s="198" t="s">
        <v>841</v>
      </c>
      <c r="H80" s="360" t="s">
        <v>3063</v>
      </c>
      <c r="I80" s="197" t="s">
        <v>437</v>
      </c>
      <c r="J80" s="197" t="s">
        <v>438</v>
      </c>
      <c r="K80" s="360" t="s">
        <v>3076</v>
      </c>
      <c r="L80" s="198" t="s">
        <v>2062</v>
      </c>
      <c r="M80" s="197" t="s">
        <v>270</v>
      </c>
      <c r="N80" s="197" t="s">
        <v>270</v>
      </c>
      <c r="O80" s="197" t="s">
        <v>263</v>
      </c>
      <c r="P80" s="197" t="s">
        <v>253</v>
      </c>
      <c r="Q80" s="198" t="s">
        <v>401</v>
      </c>
      <c r="R80" s="197" t="s">
        <v>257</v>
      </c>
      <c r="S80" s="197">
        <v>100</v>
      </c>
      <c r="T80" s="197" t="s">
        <v>417</v>
      </c>
      <c r="U80" s="198">
        <v>2</v>
      </c>
      <c r="V80" s="199">
        <v>1</v>
      </c>
      <c r="W80" s="199">
        <v>1</v>
      </c>
      <c r="X80" s="199" t="s">
        <v>264</v>
      </c>
      <c r="Y80" s="200" t="s">
        <v>265</v>
      </c>
      <c r="Z80" s="200" t="s">
        <v>265</v>
      </c>
      <c r="AA80" s="233" t="str">
        <f t="shared" si="21"/>
        <v>Unused</v>
      </c>
      <c r="AB80" s="234" t="str">
        <f t="shared" si="25"/>
        <v>Unused</v>
      </c>
      <c r="AC80" s="248"/>
      <c r="AD80" s="234" t="str">
        <f t="shared" si="13"/>
        <v>ENABLE</v>
      </c>
      <c r="AE80" s="234" t="str">
        <f t="shared" si="24"/>
        <v>DISABLE</v>
      </c>
      <c r="AF80" s="234" t="str">
        <f t="shared" si="26"/>
        <v>NORMAL</v>
      </c>
      <c r="AG80" s="248"/>
      <c r="AH80" s="234" t="str">
        <f t="shared" si="22"/>
        <v>TRISTATE</v>
      </c>
      <c r="AI80" s="234" t="str">
        <f t="shared" si="23"/>
        <v>HIGH</v>
      </c>
      <c r="AJ80" s="182" t="s">
        <v>1052</v>
      </c>
      <c r="AK80" s="149" t="s">
        <v>2926</v>
      </c>
      <c r="AL80" s="153"/>
      <c r="AM80" s="256"/>
      <c r="AN80" s="152"/>
      <c r="AO80" s="152"/>
      <c r="AP80" s="153"/>
      <c r="AQ80" s="346" t="s">
        <v>3578</v>
      </c>
      <c r="AR80" s="6" t="s">
        <v>1052</v>
      </c>
      <c r="AS80" s="391"/>
      <c r="AT80" s="282" t="s">
        <v>1052</v>
      </c>
      <c r="AU80" s="376"/>
      <c r="AV80" s="391"/>
    </row>
    <row r="81" spans="1:48" ht="12.95" customHeight="1" thickBot="1" x14ac:dyDescent="0.3">
      <c r="A81" s="197" t="s">
        <v>75</v>
      </c>
      <c r="B81" s="271"/>
      <c r="C81" s="197" t="s">
        <v>1714</v>
      </c>
      <c r="D81" s="197" t="s">
        <v>1652</v>
      </c>
      <c r="E81" s="165" t="s">
        <v>1652</v>
      </c>
      <c r="F81" s="197" t="str">
        <f t="shared" si="20"/>
        <v>unused_GMI_AD4</v>
      </c>
      <c r="G81" s="198" t="s">
        <v>842</v>
      </c>
      <c r="H81" s="360" t="s">
        <v>3063</v>
      </c>
      <c r="I81" s="197" t="s">
        <v>439</v>
      </c>
      <c r="J81" s="197" t="s">
        <v>440</v>
      </c>
      <c r="K81" s="360" t="s">
        <v>3076</v>
      </c>
      <c r="L81" s="198" t="s">
        <v>2062</v>
      </c>
      <c r="M81" s="197" t="s">
        <v>270</v>
      </c>
      <c r="N81" s="197" t="s">
        <v>270</v>
      </c>
      <c r="O81" s="197" t="s">
        <v>263</v>
      </c>
      <c r="P81" s="197" t="s">
        <v>253</v>
      </c>
      <c r="Q81" s="198" t="s">
        <v>401</v>
      </c>
      <c r="R81" s="197" t="s">
        <v>257</v>
      </c>
      <c r="S81" s="197">
        <v>100</v>
      </c>
      <c r="T81" s="197" t="s">
        <v>417</v>
      </c>
      <c r="U81" s="198">
        <v>2</v>
      </c>
      <c r="V81" s="199">
        <v>1</v>
      </c>
      <c r="W81" s="199">
        <v>1</v>
      </c>
      <c r="X81" s="199" t="s">
        <v>264</v>
      </c>
      <c r="Y81" s="200" t="s">
        <v>265</v>
      </c>
      <c r="Z81" s="200" t="s">
        <v>265</v>
      </c>
      <c r="AA81" s="233" t="str">
        <f t="shared" si="21"/>
        <v>Unused</v>
      </c>
      <c r="AB81" s="234" t="str">
        <f t="shared" si="25"/>
        <v>Unused</v>
      </c>
      <c r="AC81" s="248"/>
      <c r="AD81" s="234" t="str">
        <f t="shared" si="13"/>
        <v>ENABLE</v>
      </c>
      <c r="AE81" s="234" t="str">
        <f t="shared" si="24"/>
        <v>DISABLE</v>
      </c>
      <c r="AF81" s="234" t="str">
        <f t="shared" si="26"/>
        <v>NORMAL</v>
      </c>
      <c r="AG81" s="248"/>
      <c r="AH81" s="234" t="str">
        <f t="shared" si="22"/>
        <v>TRISTATE</v>
      </c>
      <c r="AI81" s="234" t="str">
        <f t="shared" si="23"/>
        <v>HIGH</v>
      </c>
      <c r="AJ81" s="182" t="s">
        <v>1053</v>
      </c>
      <c r="AK81" s="149" t="s">
        <v>2926</v>
      </c>
      <c r="AL81" s="153"/>
      <c r="AM81" s="256"/>
      <c r="AN81" s="152"/>
      <c r="AO81" s="152"/>
      <c r="AP81" s="153"/>
      <c r="AQ81" s="346" t="s">
        <v>3579</v>
      </c>
      <c r="AR81" s="6" t="s">
        <v>1053</v>
      </c>
      <c r="AS81" s="374" t="s">
        <v>1216</v>
      </c>
      <c r="AT81" s="282" t="s">
        <v>842</v>
      </c>
      <c r="AU81" s="374" t="s">
        <v>1216</v>
      </c>
      <c r="AV81" s="374" t="s">
        <v>1216</v>
      </c>
    </row>
    <row r="82" spans="1:48" ht="15.75" thickBot="1" x14ac:dyDescent="0.3">
      <c r="A82" s="197" t="s">
        <v>76</v>
      </c>
      <c r="B82" s="271"/>
      <c r="C82" s="197" t="s">
        <v>1685</v>
      </c>
      <c r="D82" s="197" t="s">
        <v>1715</v>
      </c>
      <c r="E82" s="165" t="s">
        <v>1715</v>
      </c>
      <c r="F82" s="197" t="str">
        <f t="shared" si="20"/>
        <v>unused_GMI_AD5</v>
      </c>
      <c r="G82" s="198" t="s">
        <v>843</v>
      </c>
      <c r="H82" s="360" t="s">
        <v>3063</v>
      </c>
      <c r="I82" s="197" t="s">
        <v>441</v>
      </c>
      <c r="J82" s="197" t="s">
        <v>442</v>
      </c>
      <c r="K82" s="360" t="s">
        <v>3076</v>
      </c>
      <c r="L82" s="198" t="s">
        <v>2062</v>
      </c>
      <c r="M82" s="197" t="s">
        <v>270</v>
      </c>
      <c r="N82" s="197" t="s">
        <v>270</v>
      </c>
      <c r="O82" s="197" t="s">
        <v>263</v>
      </c>
      <c r="P82" s="197" t="s">
        <v>253</v>
      </c>
      <c r="Q82" s="198" t="s">
        <v>401</v>
      </c>
      <c r="R82" s="197" t="s">
        <v>257</v>
      </c>
      <c r="S82" s="197">
        <v>100</v>
      </c>
      <c r="T82" s="197" t="s">
        <v>417</v>
      </c>
      <c r="U82" s="198">
        <v>2</v>
      </c>
      <c r="V82" s="199">
        <v>1</v>
      </c>
      <c r="W82" s="199">
        <v>1</v>
      </c>
      <c r="X82" s="199" t="s">
        <v>264</v>
      </c>
      <c r="Y82" s="200" t="s">
        <v>265</v>
      </c>
      <c r="Z82" s="200" t="s">
        <v>265</v>
      </c>
      <c r="AA82" s="233" t="str">
        <f t="shared" si="21"/>
        <v>Unused</v>
      </c>
      <c r="AB82" s="234" t="str">
        <f t="shared" si="25"/>
        <v>Unused</v>
      </c>
      <c r="AC82" s="248"/>
      <c r="AD82" s="234" t="str">
        <f t="shared" si="13"/>
        <v>ENABLE</v>
      </c>
      <c r="AE82" s="234" t="str">
        <f t="shared" si="24"/>
        <v>DISABLE</v>
      </c>
      <c r="AF82" s="234" t="str">
        <f t="shared" si="26"/>
        <v>NORMAL</v>
      </c>
      <c r="AG82" s="248"/>
      <c r="AH82" s="234" t="str">
        <f t="shared" si="22"/>
        <v>TRISTATE</v>
      </c>
      <c r="AI82" s="234" t="str">
        <f t="shared" si="23"/>
        <v>HIGH</v>
      </c>
      <c r="AJ82" s="182" t="s">
        <v>1054</v>
      </c>
      <c r="AK82" s="149" t="s">
        <v>2926</v>
      </c>
      <c r="AL82" s="153"/>
      <c r="AM82" s="256"/>
      <c r="AN82" s="152"/>
      <c r="AO82" s="152"/>
      <c r="AP82" s="153"/>
      <c r="AQ82" s="346" t="s">
        <v>3580</v>
      </c>
      <c r="AR82" s="6" t="s">
        <v>1054</v>
      </c>
      <c r="AS82" s="375"/>
      <c r="AT82" s="282" t="s">
        <v>843</v>
      </c>
      <c r="AU82" s="375"/>
      <c r="AV82" s="375"/>
    </row>
    <row r="83" spans="1:48" ht="12.95" customHeight="1" thickBot="1" x14ac:dyDescent="0.3">
      <c r="A83" s="197" t="s">
        <v>77</v>
      </c>
      <c r="B83" s="271"/>
      <c r="C83" s="197" t="s">
        <v>1716</v>
      </c>
      <c r="D83" s="197" t="s">
        <v>1637</v>
      </c>
      <c r="E83" s="165" t="s">
        <v>1637</v>
      </c>
      <c r="F83" s="197" t="str">
        <f t="shared" si="20"/>
        <v>unused_GMI_AD6</v>
      </c>
      <c r="G83" s="198" t="s">
        <v>844</v>
      </c>
      <c r="H83" s="360" t="s">
        <v>3063</v>
      </c>
      <c r="I83" s="197" t="s">
        <v>443</v>
      </c>
      <c r="J83" s="197" t="s">
        <v>444</v>
      </c>
      <c r="K83" s="360" t="s">
        <v>3076</v>
      </c>
      <c r="L83" s="198" t="s">
        <v>2062</v>
      </c>
      <c r="M83" s="197" t="s">
        <v>270</v>
      </c>
      <c r="N83" s="197" t="s">
        <v>270</v>
      </c>
      <c r="O83" s="197" t="s">
        <v>263</v>
      </c>
      <c r="P83" s="197" t="s">
        <v>253</v>
      </c>
      <c r="Q83" s="198" t="s">
        <v>401</v>
      </c>
      <c r="R83" s="197" t="s">
        <v>257</v>
      </c>
      <c r="S83" s="197">
        <v>100</v>
      </c>
      <c r="T83" s="197" t="s">
        <v>417</v>
      </c>
      <c r="U83" s="198">
        <v>2</v>
      </c>
      <c r="V83" s="199">
        <v>1</v>
      </c>
      <c r="W83" s="199">
        <v>1</v>
      </c>
      <c r="X83" s="199" t="s">
        <v>264</v>
      </c>
      <c r="Y83" s="200" t="s">
        <v>265</v>
      </c>
      <c r="Z83" s="200" t="s">
        <v>265</v>
      </c>
      <c r="AA83" s="233" t="str">
        <f t="shared" si="21"/>
        <v>Unused</v>
      </c>
      <c r="AB83" s="234" t="str">
        <f t="shared" si="25"/>
        <v>Unused</v>
      </c>
      <c r="AC83" s="248"/>
      <c r="AD83" s="234" t="str">
        <f t="shared" si="13"/>
        <v>ENABLE</v>
      </c>
      <c r="AE83" s="234" t="str">
        <f t="shared" si="24"/>
        <v>DISABLE</v>
      </c>
      <c r="AF83" s="234" t="str">
        <f t="shared" si="26"/>
        <v>NORMAL</v>
      </c>
      <c r="AG83" s="248"/>
      <c r="AH83" s="234" t="str">
        <f t="shared" si="22"/>
        <v>TRISTATE</v>
      </c>
      <c r="AI83" s="234" t="str">
        <f t="shared" si="23"/>
        <v>HIGH</v>
      </c>
      <c r="AJ83" s="182" t="s">
        <v>1055</v>
      </c>
      <c r="AK83" s="149" t="s">
        <v>2926</v>
      </c>
      <c r="AL83" s="153"/>
      <c r="AM83" s="256"/>
      <c r="AN83" s="152"/>
      <c r="AO83" s="152"/>
      <c r="AP83" s="153"/>
      <c r="AQ83" s="346" t="s">
        <v>3581</v>
      </c>
      <c r="AR83" s="6" t="s">
        <v>1055</v>
      </c>
      <c r="AS83" s="375"/>
      <c r="AT83" s="282" t="s">
        <v>1055</v>
      </c>
      <c r="AU83" s="375"/>
      <c r="AV83" s="375"/>
    </row>
    <row r="84" spans="1:48" ht="12.95" customHeight="1" thickBot="1" x14ac:dyDescent="0.3">
      <c r="A84" s="197" t="s">
        <v>78</v>
      </c>
      <c r="B84" s="271"/>
      <c r="C84" s="197" t="s">
        <v>1717</v>
      </c>
      <c r="D84" s="197" t="s">
        <v>1646</v>
      </c>
      <c r="E84" s="165" t="s">
        <v>1646</v>
      </c>
      <c r="F84" s="197" t="str">
        <f t="shared" si="20"/>
        <v>unused_GMI_AD7</v>
      </c>
      <c r="G84" s="198" t="s">
        <v>845</v>
      </c>
      <c r="H84" s="360" t="s">
        <v>3063</v>
      </c>
      <c r="I84" s="197" t="s">
        <v>445</v>
      </c>
      <c r="J84" s="197" t="s">
        <v>446</v>
      </c>
      <c r="K84" s="360" t="s">
        <v>3076</v>
      </c>
      <c r="L84" s="198" t="s">
        <v>2062</v>
      </c>
      <c r="M84" s="197" t="s">
        <v>270</v>
      </c>
      <c r="N84" s="197" t="s">
        <v>270</v>
      </c>
      <c r="O84" s="197" t="s">
        <v>263</v>
      </c>
      <c r="P84" s="197" t="s">
        <v>253</v>
      </c>
      <c r="Q84" s="198" t="s">
        <v>401</v>
      </c>
      <c r="R84" s="197" t="s">
        <v>257</v>
      </c>
      <c r="S84" s="197">
        <v>100</v>
      </c>
      <c r="T84" s="197" t="s">
        <v>417</v>
      </c>
      <c r="U84" s="198">
        <v>2</v>
      </c>
      <c r="V84" s="199">
        <v>1</v>
      </c>
      <c r="W84" s="199">
        <v>1</v>
      </c>
      <c r="X84" s="199" t="s">
        <v>264</v>
      </c>
      <c r="Y84" s="200" t="s">
        <v>265</v>
      </c>
      <c r="Z84" s="200" t="s">
        <v>265</v>
      </c>
      <c r="AA84" s="233" t="str">
        <f t="shared" si="21"/>
        <v>Unused</v>
      </c>
      <c r="AB84" s="234" t="str">
        <f t="shared" si="25"/>
        <v>Unused</v>
      </c>
      <c r="AC84" s="248"/>
      <c r="AD84" s="234" t="str">
        <f t="shared" si="13"/>
        <v>ENABLE</v>
      </c>
      <c r="AE84" s="234" t="str">
        <f t="shared" si="24"/>
        <v>DISABLE</v>
      </c>
      <c r="AF84" s="234" t="str">
        <f t="shared" si="26"/>
        <v>NORMAL</v>
      </c>
      <c r="AG84" s="248"/>
      <c r="AH84" s="234" t="str">
        <f t="shared" si="22"/>
        <v>TRISTATE</v>
      </c>
      <c r="AI84" s="234" t="str">
        <f t="shared" si="23"/>
        <v>HIGH</v>
      </c>
      <c r="AJ84" s="182" t="s">
        <v>1056</v>
      </c>
      <c r="AK84" s="149" t="s">
        <v>2926</v>
      </c>
      <c r="AL84" s="153"/>
      <c r="AM84" s="256"/>
      <c r="AN84" s="152"/>
      <c r="AO84" s="152"/>
      <c r="AP84" s="153"/>
      <c r="AQ84" s="346" t="s">
        <v>3582</v>
      </c>
      <c r="AR84" s="6" t="s">
        <v>1056</v>
      </c>
      <c r="AS84" s="376"/>
      <c r="AT84" s="282" t="s">
        <v>1056</v>
      </c>
      <c r="AU84" s="376"/>
      <c r="AV84" s="376"/>
    </row>
    <row r="85" spans="1:48" ht="12.95" customHeight="1" thickBot="1" x14ac:dyDescent="0.3">
      <c r="A85" s="197" t="s">
        <v>79</v>
      </c>
      <c r="B85" s="271"/>
      <c r="C85" s="197" t="s">
        <v>1718</v>
      </c>
      <c r="D85" s="197" t="s">
        <v>1719</v>
      </c>
      <c r="E85" s="165" t="s">
        <v>1719</v>
      </c>
      <c r="F85" s="197" t="str">
        <f t="shared" si="20"/>
        <v>unused_GMI_AD8</v>
      </c>
      <c r="G85" s="198" t="s">
        <v>846</v>
      </c>
      <c r="H85" s="197" t="s">
        <v>447</v>
      </c>
      <c r="I85" s="197" t="s">
        <v>448</v>
      </c>
      <c r="J85" s="197" t="s">
        <v>449</v>
      </c>
      <c r="K85" s="360" t="s">
        <v>3076</v>
      </c>
      <c r="L85" s="198" t="s">
        <v>2062</v>
      </c>
      <c r="M85" s="197" t="s">
        <v>270</v>
      </c>
      <c r="N85" s="197" t="s">
        <v>270</v>
      </c>
      <c r="O85" s="197" t="s">
        <v>263</v>
      </c>
      <c r="P85" s="197" t="s">
        <v>253</v>
      </c>
      <c r="Q85" s="198" t="s">
        <v>401</v>
      </c>
      <c r="R85" s="197" t="s">
        <v>257</v>
      </c>
      <c r="S85" s="197">
        <v>100</v>
      </c>
      <c r="T85" s="197" t="s">
        <v>423</v>
      </c>
      <c r="U85" s="198">
        <v>2</v>
      </c>
      <c r="V85" s="199">
        <v>1</v>
      </c>
      <c r="W85" s="199">
        <v>1</v>
      </c>
      <c r="X85" s="199" t="s">
        <v>259</v>
      </c>
      <c r="Y85" s="200" t="s">
        <v>260</v>
      </c>
      <c r="Z85" s="200" t="s">
        <v>260</v>
      </c>
      <c r="AA85" s="233" t="str">
        <f t="shared" si="21"/>
        <v>Unused</v>
      </c>
      <c r="AB85" s="234" t="str">
        <f t="shared" si="25"/>
        <v>Unused</v>
      </c>
      <c r="AC85" s="248"/>
      <c r="AD85" s="234" t="str">
        <f t="shared" si="13"/>
        <v>ENABLE</v>
      </c>
      <c r="AE85" s="234" t="str">
        <f t="shared" si="24"/>
        <v>DISABLE</v>
      </c>
      <c r="AF85" s="234" t="str">
        <f t="shared" si="26"/>
        <v>NORMAL</v>
      </c>
      <c r="AG85" s="248"/>
      <c r="AH85" s="234" t="str">
        <f t="shared" si="22"/>
        <v>TRISTATE</v>
      </c>
      <c r="AI85" s="234" t="str">
        <f t="shared" si="23"/>
        <v>HIGH</v>
      </c>
      <c r="AJ85" s="182" t="s">
        <v>2122</v>
      </c>
      <c r="AK85" s="149" t="s">
        <v>2926</v>
      </c>
      <c r="AL85" s="153"/>
      <c r="AM85" s="256"/>
      <c r="AN85" s="152"/>
      <c r="AO85" s="152"/>
      <c r="AP85" s="153"/>
      <c r="AQ85" s="343" t="s">
        <v>1185</v>
      </c>
      <c r="AR85" s="6" t="s">
        <v>2122</v>
      </c>
      <c r="AS85" s="66" t="s">
        <v>1185</v>
      </c>
      <c r="AT85" s="285" t="s">
        <v>447</v>
      </c>
      <c r="AU85" s="66" t="s">
        <v>1185</v>
      </c>
      <c r="AV85" s="66" t="s">
        <v>1185</v>
      </c>
    </row>
    <row r="86" spans="1:48" ht="12.95" customHeight="1" thickBot="1" x14ac:dyDescent="0.3">
      <c r="A86" s="197" t="s">
        <v>80</v>
      </c>
      <c r="B86" s="271"/>
      <c r="C86" s="197" t="s">
        <v>1707</v>
      </c>
      <c r="D86" s="197" t="s">
        <v>1720</v>
      </c>
      <c r="E86" s="165" t="s">
        <v>1720</v>
      </c>
      <c r="F86" s="197" t="str">
        <f t="shared" si="20"/>
        <v>unused_GMI_AD9</v>
      </c>
      <c r="G86" s="198" t="s">
        <v>847</v>
      </c>
      <c r="H86" s="197" t="s">
        <v>450</v>
      </c>
      <c r="I86" s="197" t="s">
        <v>451</v>
      </c>
      <c r="J86" s="197" t="s">
        <v>452</v>
      </c>
      <c r="K86" s="360" t="s">
        <v>3076</v>
      </c>
      <c r="L86" s="198" t="s">
        <v>2062</v>
      </c>
      <c r="M86" s="197" t="s">
        <v>270</v>
      </c>
      <c r="N86" s="197" t="s">
        <v>270</v>
      </c>
      <c r="O86" s="197" t="s">
        <v>263</v>
      </c>
      <c r="P86" s="197" t="s">
        <v>253</v>
      </c>
      <c r="Q86" s="198" t="s">
        <v>401</v>
      </c>
      <c r="R86" s="197" t="s">
        <v>257</v>
      </c>
      <c r="S86" s="197">
        <v>100</v>
      </c>
      <c r="T86" s="197" t="s">
        <v>423</v>
      </c>
      <c r="U86" s="198">
        <v>2</v>
      </c>
      <c r="V86" s="199">
        <v>1</v>
      </c>
      <c r="W86" s="199">
        <v>1</v>
      </c>
      <c r="X86" s="199" t="s">
        <v>259</v>
      </c>
      <c r="Y86" s="200" t="s">
        <v>260</v>
      </c>
      <c r="Z86" s="200" t="s">
        <v>260</v>
      </c>
      <c r="AA86" s="233" t="str">
        <f t="shared" si="21"/>
        <v>Unused</v>
      </c>
      <c r="AB86" s="234" t="str">
        <f t="shared" si="25"/>
        <v>Unused</v>
      </c>
      <c r="AC86" s="248"/>
      <c r="AD86" s="234" t="str">
        <f t="shared" si="13"/>
        <v>ENABLE</v>
      </c>
      <c r="AE86" s="234" t="str">
        <f t="shared" si="24"/>
        <v>DISABLE</v>
      </c>
      <c r="AF86" s="234" t="str">
        <f t="shared" si="26"/>
        <v>NORMAL</v>
      </c>
      <c r="AG86" s="248"/>
      <c r="AH86" s="234" t="str">
        <f t="shared" si="22"/>
        <v>TRISTATE</v>
      </c>
      <c r="AI86" s="234" t="str">
        <f t="shared" si="23"/>
        <v>HIGH</v>
      </c>
      <c r="AJ86" s="182" t="s">
        <v>1132</v>
      </c>
      <c r="AK86" s="149" t="s">
        <v>2926</v>
      </c>
      <c r="AL86" s="153"/>
      <c r="AM86" s="256"/>
      <c r="AN86" s="152"/>
      <c r="AO86" s="152"/>
      <c r="AP86" s="153"/>
      <c r="AQ86" s="345"/>
      <c r="AR86" s="6" t="s">
        <v>1132</v>
      </c>
      <c r="AS86" s="52"/>
      <c r="AT86" s="285" t="s">
        <v>1132</v>
      </c>
      <c r="AU86" s="51" t="s">
        <v>2423</v>
      </c>
      <c r="AV86" s="51" t="s">
        <v>2423</v>
      </c>
    </row>
    <row r="87" spans="1:48" ht="12.95" customHeight="1" thickBot="1" x14ac:dyDescent="0.3">
      <c r="A87" s="268" t="s">
        <v>81</v>
      </c>
      <c r="B87" s="273">
        <v>1</v>
      </c>
      <c r="C87" s="197" t="s">
        <v>1721</v>
      </c>
      <c r="D87" s="197" t="s">
        <v>1658</v>
      </c>
      <c r="E87" s="165" t="s">
        <v>1658</v>
      </c>
      <c r="F87" s="197" t="str">
        <f t="shared" si="20"/>
        <v>unused_GMI_ADV_N</v>
      </c>
      <c r="G87" s="198" t="s">
        <v>848</v>
      </c>
      <c r="H87" s="360" t="s">
        <v>3063</v>
      </c>
      <c r="I87" s="197" t="s">
        <v>453</v>
      </c>
      <c r="J87" s="197" t="s">
        <v>454</v>
      </c>
      <c r="K87" s="360" t="s">
        <v>3076</v>
      </c>
      <c r="L87" s="198" t="s">
        <v>2062</v>
      </c>
      <c r="M87" s="197" t="s">
        <v>270</v>
      </c>
      <c r="N87" s="197" t="s">
        <v>270</v>
      </c>
      <c r="O87" s="197" t="s">
        <v>263</v>
      </c>
      <c r="P87" s="197" t="s">
        <v>253</v>
      </c>
      <c r="Q87" s="198" t="s">
        <v>401</v>
      </c>
      <c r="R87" s="197" t="s">
        <v>257</v>
      </c>
      <c r="S87" s="197">
        <v>100</v>
      </c>
      <c r="T87" s="197" t="s">
        <v>417</v>
      </c>
      <c r="U87" s="198">
        <v>2</v>
      </c>
      <c r="V87" s="199">
        <v>0</v>
      </c>
      <c r="W87" s="199">
        <v>1</v>
      </c>
      <c r="X87" s="199" t="s">
        <v>264</v>
      </c>
      <c r="Y87" s="263" t="s">
        <v>2960</v>
      </c>
      <c r="Z87" s="263" t="s">
        <v>2960</v>
      </c>
      <c r="AA87" s="233" t="str">
        <f t="shared" si="21"/>
        <v>Unused</v>
      </c>
      <c r="AB87" s="234" t="str">
        <f t="shared" si="25"/>
        <v>Unused</v>
      </c>
      <c r="AC87" s="248"/>
      <c r="AD87" s="234" t="str">
        <f t="shared" si="13"/>
        <v>ENABLE</v>
      </c>
      <c r="AE87" s="234" t="str">
        <f t="shared" si="24"/>
        <v>DISABLE</v>
      </c>
      <c r="AF87" s="234" t="str">
        <f t="shared" si="26"/>
        <v>NORMAL</v>
      </c>
      <c r="AG87" s="248"/>
      <c r="AH87" s="234" t="str">
        <f t="shared" si="22"/>
        <v>TRISTATE</v>
      </c>
      <c r="AI87" s="234" t="str">
        <f t="shared" si="23"/>
        <v>HIGH</v>
      </c>
      <c r="AJ87" s="182" t="s">
        <v>1057</v>
      </c>
      <c r="AK87" s="149" t="s">
        <v>2926</v>
      </c>
      <c r="AL87" s="153"/>
      <c r="AM87" s="256"/>
      <c r="AN87" s="152"/>
      <c r="AO87" s="152"/>
      <c r="AP87" s="153"/>
      <c r="AQ87" s="345"/>
      <c r="AR87" s="6" t="s">
        <v>1057</v>
      </c>
      <c r="AS87" s="391" t="s">
        <v>1224</v>
      </c>
      <c r="AT87" s="285" t="s">
        <v>1057</v>
      </c>
      <c r="AU87" s="106" t="s">
        <v>2424</v>
      </c>
      <c r="AV87" s="391" t="s">
        <v>1224</v>
      </c>
    </row>
    <row r="88" spans="1:48" ht="12.95" customHeight="1" thickBot="1" x14ac:dyDescent="0.3">
      <c r="A88" s="268" t="s">
        <v>82</v>
      </c>
      <c r="B88" s="273">
        <v>1</v>
      </c>
      <c r="C88" s="197" t="s">
        <v>1722</v>
      </c>
      <c r="D88" s="197" t="s">
        <v>1723</v>
      </c>
      <c r="E88" s="165" t="s">
        <v>1723</v>
      </c>
      <c r="F88" s="197" t="str">
        <f t="shared" si="20"/>
        <v>unused_GMI_CLK</v>
      </c>
      <c r="G88" s="198" t="s">
        <v>849</v>
      </c>
      <c r="H88" s="360" t="s">
        <v>3063</v>
      </c>
      <c r="I88" s="197" t="s">
        <v>455</v>
      </c>
      <c r="J88" s="197" t="s">
        <v>456</v>
      </c>
      <c r="K88" s="360" t="s">
        <v>3076</v>
      </c>
      <c r="L88" s="198" t="s">
        <v>2062</v>
      </c>
      <c r="M88" s="197" t="s">
        <v>270</v>
      </c>
      <c r="N88" s="197" t="s">
        <v>270</v>
      </c>
      <c r="O88" s="197" t="s">
        <v>263</v>
      </c>
      <c r="P88" s="197" t="s">
        <v>253</v>
      </c>
      <c r="Q88" s="198" t="s">
        <v>401</v>
      </c>
      <c r="R88" s="197" t="s">
        <v>257</v>
      </c>
      <c r="S88" s="197">
        <v>100</v>
      </c>
      <c r="T88" s="197" t="s">
        <v>417</v>
      </c>
      <c r="U88" s="198">
        <v>2</v>
      </c>
      <c r="V88" s="199">
        <v>0</v>
      </c>
      <c r="W88" s="199">
        <v>1</v>
      </c>
      <c r="X88" s="199" t="s">
        <v>264</v>
      </c>
      <c r="Y88" s="263" t="s">
        <v>2961</v>
      </c>
      <c r="Z88" s="263" t="s">
        <v>2961</v>
      </c>
      <c r="AA88" s="233" t="str">
        <f t="shared" si="21"/>
        <v>Unused</v>
      </c>
      <c r="AB88" s="234" t="str">
        <f t="shared" si="25"/>
        <v>Unused</v>
      </c>
      <c r="AC88" s="248"/>
      <c r="AD88" s="234" t="str">
        <f t="shared" si="13"/>
        <v>ENABLE</v>
      </c>
      <c r="AE88" s="234" t="str">
        <f t="shared" si="24"/>
        <v>DISABLE</v>
      </c>
      <c r="AF88" s="234" t="str">
        <f t="shared" si="26"/>
        <v>NORMAL</v>
      </c>
      <c r="AG88" s="248"/>
      <c r="AH88" s="234" t="str">
        <f t="shared" si="22"/>
        <v>TRISTATE</v>
      </c>
      <c r="AI88" s="234" t="str">
        <f t="shared" si="23"/>
        <v>HIGH</v>
      </c>
      <c r="AJ88" s="182" t="s">
        <v>1058</v>
      </c>
      <c r="AK88" s="149" t="s">
        <v>2926</v>
      </c>
      <c r="AL88" s="153"/>
      <c r="AM88" s="257"/>
      <c r="AN88" s="152"/>
      <c r="AO88" s="152"/>
      <c r="AP88" s="153"/>
      <c r="AQ88" s="343" t="s">
        <v>3583</v>
      </c>
      <c r="AR88" s="6" t="s">
        <v>1058</v>
      </c>
      <c r="AS88" s="391"/>
      <c r="AT88" s="285" t="s">
        <v>1058</v>
      </c>
      <c r="AU88" s="106" t="s">
        <v>2425</v>
      </c>
      <c r="AV88" s="391"/>
    </row>
    <row r="89" spans="1:48" ht="12.95" customHeight="1" thickBot="1" x14ac:dyDescent="0.3">
      <c r="A89" s="268" t="s">
        <v>83</v>
      </c>
      <c r="B89" s="273">
        <v>4</v>
      </c>
      <c r="C89" s="197" t="s">
        <v>1724</v>
      </c>
      <c r="D89" s="197" t="s">
        <v>1725</v>
      </c>
      <c r="E89" s="165" t="s">
        <v>1725</v>
      </c>
      <c r="F89" s="197" t="str">
        <f t="shared" si="20"/>
        <v>unused_GMI_CS0_N</v>
      </c>
      <c r="G89" s="198" t="s">
        <v>850</v>
      </c>
      <c r="H89" s="360" t="s">
        <v>3063</v>
      </c>
      <c r="I89" s="197" t="s">
        <v>2204</v>
      </c>
      <c r="J89" s="197" t="s">
        <v>2181</v>
      </c>
      <c r="K89" s="197" t="s">
        <v>2274</v>
      </c>
      <c r="L89" s="198" t="s">
        <v>2062</v>
      </c>
      <c r="M89" s="197" t="s">
        <v>254</v>
      </c>
      <c r="N89" s="197" t="s">
        <v>2062</v>
      </c>
      <c r="O89" s="197" t="s">
        <v>263</v>
      </c>
      <c r="P89" s="197">
        <v>33</v>
      </c>
      <c r="Q89" s="198" t="s">
        <v>401</v>
      </c>
      <c r="R89" s="197" t="s">
        <v>257</v>
      </c>
      <c r="S89" s="197">
        <v>100</v>
      </c>
      <c r="T89" s="197" t="s">
        <v>457</v>
      </c>
      <c r="U89" s="198">
        <v>2</v>
      </c>
      <c r="V89" s="199">
        <v>1</v>
      </c>
      <c r="W89" s="199">
        <v>1</v>
      </c>
      <c r="X89" s="199" t="s">
        <v>300</v>
      </c>
      <c r="Y89" s="263" t="s">
        <v>301</v>
      </c>
      <c r="Z89" s="263" t="s">
        <v>301</v>
      </c>
      <c r="AA89" s="233" t="str">
        <f t="shared" si="21"/>
        <v>Unused</v>
      </c>
      <c r="AB89" s="234" t="str">
        <f t="shared" si="25"/>
        <v>Unused</v>
      </c>
      <c r="AC89" s="248"/>
      <c r="AD89" s="234" t="str">
        <f t="shared" si="13"/>
        <v>ENABLE</v>
      </c>
      <c r="AE89" s="234" t="str">
        <f t="shared" si="24"/>
        <v>DISABLE</v>
      </c>
      <c r="AF89" s="234" t="str">
        <f t="shared" si="26"/>
        <v>NORMAL</v>
      </c>
      <c r="AG89" s="248"/>
      <c r="AH89" s="234" t="str">
        <f t="shared" si="22"/>
        <v>TRISTATE</v>
      </c>
      <c r="AI89" s="234" t="str">
        <f t="shared" si="23"/>
        <v>HIGH</v>
      </c>
      <c r="AJ89" s="182" t="s">
        <v>1059</v>
      </c>
      <c r="AK89" s="149" t="s">
        <v>2926</v>
      </c>
      <c r="AL89" s="153"/>
      <c r="AM89" s="168"/>
      <c r="AN89" s="152"/>
      <c r="AO89" s="152"/>
      <c r="AP89" s="153"/>
      <c r="AQ89" s="343" t="s">
        <v>3584</v>
      </c>
      <c r="AR89" s="6" t="s">
        <v>1059</v>
      </c>
      <c r="AS89" s="52"/>
      <c r="AT89" s="285" t="s">
        <v>1059</v>
      </c>
      <c r="AU89" s="113"/>
      <c r="AV89" s="51" t="s">
        <v>2461</v>
      </c>
    </row>
    <row r="90" spans="1:48" ht="12.95" customHeight="1" thickBot="1" x14ac:dyDescent="0.3">
      <c r="A90" s="197" t="s">
        <v>84</v>
      </c>
      <c r="B90" s="271"/>
      <c r="C90" s="197" t="s">
        <v>1726</v>
      </c>
      <c r="D90" s="197" t="s">
        <v>1727</v>
      </c>
      <c r="E90" s="165" t="s">
        <v>1727</v>
      </c>
      <c r="F90" s="197" t="str">
        <f t="shared" si="20"/>
        <v>unused_GMI_CS1_N</v>
      </c>
      <c r="G90" s="198" t="s">
        <v>851</v>
      </c>
      <c r="H90" s="360" t="s">
        <v>3063</v>
      </c>
      <c r="I90" s="197" t="s">
        <v>2215</v>
      </c>
      <c r="J90" s="197" t="s">
        <v>2182</v>
      </c>
      <c r="K90" s="197" t="s">
        <v>458</v>
      </c>
      <c r="L90" s="198" t="s">
        <v>2062</v>
      </c>
      <c r="M90" s="197" t="s">
        <v>254</v>
      </c>
      <c r="N90" s="197" t="s">
        <v>2062</v>
      </c>
      <c r="O90" s="197" t="s">
        <v>263</v>
      </c>
      <c r="P90" s="197">
        <v>15</v>
      </c>
      <c r="Q90" s="198" t="s">
        <v>401</v>
      </c>
      <c r="R90" s="197" t="s">
        <v>257</v>
      </c>
      <c r="S90" s="197">
        <v>100</v>
      </c>
      <c r="T90" s="197" t="s">
        <v>407</v>
      </c>
      <c r="U90" s="198">
        <v>2</v>
      </c>
      <c r="V90" s="199">
        <v>1</v>
      </c>
      <c r="W90" s="199">
        <v>1</v>
      </c>
      <c r="X90" s="199" t="s">
        <v>300</v>
      </c>
      <c r="Y90" s="200" t="s">
        <v>301</v>
      </c>
      <c r="Z90" s="200" t="s">
        <v>301</v>
      </c>
      <c r="AA90" s="233" t="str">
        <f t="shared" si="21"/>
        <v>Unused</v>
      </c>
      <c r="AB90" s="234" t="str">
        <f t="shared" si="25"/>
        <v>Unused</v>
      </c>
      <c r="AC90" s="248"/>
      <c r="AD90" s="234" t="str">
        <f t="shared" si="13"/>
        <v>ENABLE</v>
      </c>
      <c r="AE90" s="234" t="str">
        <f t="shared" si="24"/>
        <v>DISABLE</v>
      </c>
      <c r="AF90" s="234" t="str">
        <f t="shared" si="26"/>
        <v>NORMAL</v>
      </c>
      <c r="AG90" s="248"/>
      <c r="AH90" s="234" t="str">
        <f t="shared" si="22"/>
        <v>TRISTATE</v>
      </c>
      <c r="AI90" s="234" t="str">
        <f t="shared" si="23"/>
        <v>HIGH</v>
      </c>
      <c r="AJ90" s="182" t="s">
        <v>3634</v>
      </c>
      <c r="AK90" s="149" t="s">
        <v>2926</v>
      </c>
      <c r="AL90" s="153"/>
      <c r="AM90" s="168"/>
      <c r="AN90" s="152"/>
      <c r="AO90" s="152"/>
      <c r="AP90" s="153"/>
      <c r="AQ90" s="343" t="s">
        <v>1186</v>
      </c>
      <c r="AR90" s="6" t="s">
        <v>851</v>
      </c>
      <c r="AS90" s="51" t="s">
        <v>1186</v>
      </c>
      <c r="AT90" s="285" t="s">
        <v>851</v>
      </c>
      <c r="AU90" s="51" t="s">
        <v>1186</v>
      </c>
      <c r="AV90" s="51" t="s">
        <v>1186</v>
      </c>
    </row>
    <row r="91" spans="1:48" ht="12.95" customHeight="1" thickBot="1" x14ac:dyDescent="0.3">
      <c r="A91" s="197" t="s">
        <v>85</v>
      </c>
      <c r="B91" s="271"/>
      <c r="C91" s="197" t="s">
        <v>1728</v>
      </c>
      <c r="D91" s="197" t="s">
        <v>1684</v>
      </c>
      <c r="E91" s="165" t="s">
        <v>1684</v>
      </c>
      <c r="F91" s="197" t="str">
        <f t="shared" si="20"/>
        <v>unused_GMI_CS2_N</v>
      </c>
      <c r="G91" s="198" t="s">
        <v>852</v>
      </c>
      <c r="H91" s="360" t="s">
        <v>3063</v>
      </c>
      <c r="I91" s="197" t="s">
        <v>2214</v>
      </c>
      <c r="J91" s="197" t="s">
        <v>2183</v>
      </c>
      <c r="K91" s="360" t="s">
        <v>3076</v>
      </c>
      <c r="L91" s="198" t="s">
        <v>2062</v>
      </c>
      <c r="M91" s="197" t="s">
        <v>270</v>
      </c>
      <c r="N91" s="197" t="s">
        <v>270</v>
      </c>
      <c r="O91" s="197" t="s">
        <v>263</v>
      </c>
      <c r="P91" s="197" t="s">
        <v>253</v>
      </c>
      <c r="Q91" s="198" t="s">
        <v>401</v>
      </c>
      <c r="R91" s="197" t="s">
        <v>257</v>
      </c>
      <c r="S91" s="197">
        <v>100</v>
      </c>
      <c r="T91" s="197" t="s">
        <v>417</v>
      </c>
      <c r="U91" s="198">
        <v>2</v>
      </c>
      <c r="V91" s="199">
        <v>0</v>
      </c>
      <c r="W91" s="199">
        <v>1</v>
      </c>
      <c r="X91" s="199" t="s">
        <v>300</v>
      </c>
      <c r="Y91" s="200">
        <v>1</v>
      </c>
      <c r="Z91" s="200">
        <v>1</v>
      </c>
      <c r="AA91" s="233" t="str">
        <f t="shared" si="21"/>
        <v>Unused</v>
      </c>
      <c r="AB91" s="234" t="str">
        <f t="shared" si="25"/>
        <v>Unused</v>
      </c>
      <c r="AC91" s="248"/>
      <c r="AD91" s="234" t="str">
        <f t="shared" si="13"/>
        <v>ENABLE</v>
      </c>
      <c r="AE91" s="234" t="str">
        <f t="shared" si="24"/>
        <v>DISABLE</v>
      </c>
      <c r="AF91" s="234" t="str">
        <f t="shared" si="26"/>
        <v>NORMAL</v>
      </c>
      <c r="AG91" s="248"/>
      <c r="AH91" s="234" t="str">
        <f t="shared" si="22"/>
        <v>TRISTATE</v>
      </c>
      <c r="AI91" s="234" t="str">
        <f t="shared" si="23"/>
        <v>HIGH</v>
      </c>
      <c r="AJ91" s="182" t="s">
        <v>1060</v>
      </c>
      <c r="AK91" s="149" t="s">
        <v>2926</v>
      </c>
      <c r="AL91" s="153"/>
      <c r="AM91" s="258"/>
      <c r="AN91" s="152"/>
      <c r="AO91" s="152"/>
      <c r="AP91" s="153"/>
      <c r="AQ91" s="345"/>
      <c r="AR91" s="6" t="s">
        <v>1060</v>
      </c>
      <c r="AS91" s="384"/>
      <c r="AT91" s="285" t="s">
        <v>1060</v>
      </c>
      <c r="AU91" s="113"/>
      <c r="AV91" s="127"/>
    </row>
    <row r="92" spans="1:48" ht="12.95" customHeight="1" thickBot="1" x14ac:dyDescent="0.3">
      <c r="A92" s="197" t="s">
        <v>86</v>
      </c>
      <c r="B92" s="271"/>
      <c r="C92" s="197" t="s">
        <v>1729</v>
      </c>
      <c r="D92" s="197" t="s">
        <v>1730</v>
      </c>
      <c r="E92" s="165" t="s">
        <v>1730</v>
      </c>
      <c r="F92" s="197" t="str">
        <f t="shared" si="20"/>
        <v>unused_GMI_CS3_N</v>
      </c>
      <c r="G92" s="198" t="s">
        <v>853</v>
      </c>
      <c r="H92" s="360" t="s">
        <v>3063</v>
      </c>
      <c r="I92" s="197" t="s">
        <v>2213</v>
      </c>
      <c r="J92" s="197" t="s">
        <v>2184</v>
      </c>
      <c r="K92" s="197" t="s">
        <v>459</v>
      </c>
      <c r="L92" s="198" t="s">
        <v>2062</v>
      </c>
      <c r="M92" s="197" t="s">
        <v>270</v>
      </c>
      <c r="N92" s="197" t="s">
        <v>270</v>
      </c>
      <c r="O92" s="197" t="s">
        <v>263</v>
      </c>
      <c r="P92" s="197" t="s">
        <v>253</v>
      </c>
      <c r="Q92" s="198" t="s">
        <v>401</v>
      </c>
      <c r="R92" s="197" t="s">
        <v>257</v>
      </c>
      <c r="S92" s="197">
        <v>100</v>
      </c>
      <c r="T92" s="197" t="s">
        <v>417</v>
      </c>
      <c r="U92" s="198">
        <v>2</v>
      </c>
      <c r="V92" s="199">
        <v>0</v>
      </c>
      <c r="W92" s="199">
        <v>1</v>
      </c>
      <c r="X92" s="199" t="s">
        <v>300</v>
      </c>
      <c r="Y92" s="200">
        <v>1</v>
      </c>
      <c r="Z92" s="200">
        <v>1</v>
      </c>
      <c r="AA92" s="233" t="str">
        <f t="shared" si="21"/>
        <v>Unused</v>
      </c>
      <c r="AB92" s="234" t="str">
        <f t="shared" si="25"/>
        <v>Unused</v>
      </c>
      <c r="AC92" s="248"/>
      <c r="AD92" s="234" t="str">
        <f t="shared" si="13"/>
        <v>ENABLE</v>
      </c>
      <c r="AE92" s="234" t="str">
        <f t="shared" si="24"/>
        <v>DISABLE</v>
      </c>
      <c r="AF92" s="234" t="str">
        <f t="shared" si="26"/>
        <v>NORMAL</v>
      </c>
      <c r="AG92" s="248"/>
      <c r="AH92" s="234" t="str">
        <f t="shared" si="22"/>
        <v>TRISTATE</v>
      </c>
      <c r="AI92" s="234" t="str">
        <f t="shared" si="23"/>
        <v>HIGH</v>
      </c>
      <c r="AJ92" s="182" t="s">
        <v>1061</v>
      </c>
      <c r="AK92" s="149" t="s">
        <v>2926</v>
      </c>
      <c r="AL92" s="153"/>
      <c r="AM92" s="257"/>
      <c r="AN92" s="152"/>
      <c r="AO92" s="152"/>
      <c r="AP92" s="153"/>
      <c r="AQ92" s="346"/>
      <c r="AR92" s="6" t="s">
        <v>1061</v>
      </c>
      <c r="AS92" s="384"/>
      <c r="AT92" s="285" t="s">
        <v>1061</v>
      </c>
      <c r="AU92" s="51" t="s">
        <v>2447</v>
      </c>
      <c r="AV92" s="51" t="s">
        <v>2447</v>
      </c>
    </row>
    <row r="93" spans="1:48" ht="12.95" customHeight="1" thickBot="1" x14ac:dyDescent="0.3">
      <c r="A93" s="197" t="s">
        <v>87</v>
      </c>
      <c r="B93" s="271"/>
      <c r="C93" s="197" t="s">
        <v>1731</v>
      </c>
      <c r="D93" s="197" t="s">
        <v>1688</v>
      </c>
      <c r="E93" s="165" t="s">
        <v>1688</v>
      </c>
      <c r="F93" s="197" t="str">
        <f t="shared" si="20"/>
        <v>unused_GMI_CS4_N</v>
      </c>
      <c r="G93" s="198" t="s">
        <v>854</v>
      </c>
      <c r="H93" s="360" t="s">
        <v>3063</v>
      </c>
      <c r="I93" s="197" t="s">
        <v>2212</v>
      </c>
      <c r="J93" s="197" t="s">
        <v>2185</v>
      </c>
      <c r="K93" s="360" t="s">
        <v>3076</v>
      </c>
      <c r="L93" s="198" t="s">
        <v>2062</v>
      </c>
      <c r="M93" s="197" t="s">
        <v>254</v>
      </c>
      <c r="N93" s="197" t="s">
        <v>2062</v>
      </c>
      <c r="O93" s="197" t="s">
        <v>263</v>
      </c>
      <c r="P93" s="197">
        <v>34</v>
      </c>
      <c r="Q93" s="198" t="s">
        <v>401</v>
      </c>
      <c r="R93" s="197" t="s">
        <v>257</v>
      </c>
      <c r="S93" s="197">
        <v>100</v>
      </c>
      <c r="T93" s="197" t="s">
        <v>417</v>
      </c>
      <c r="U93" s="198">
        <v>2</v>
      </c>
      <c r="V93" s="199">
        <v>1</v>
      </c>
      <c r="W93" s="199">
        <v>1</v>
      </c>
      <c r="X93" s="199" t="s">
        <v>300</v>
      </c>
      <c r="Y93" s="200" t="s">
        <v>301</v>
      </c>
      <c r="Z93" s="200" t="s">
        <v>301</v>
      </c>
      <c r="AA93" s="233" t="str">
        <f t="shared" si="21"/>
        <v>Unused</v>
      </c>
      <c r="AB93" s="234" t="str">
        <f t="shared" si="25"/>
        <v>Unused</v>
      </c>
      <c r="AC93" s="248"/>
      <c r="AD93" s="234" t="str">
        <f t="shared" si="13"/>
        <v>ENABLE</v>
      </c>
      <c r="AE93" s="234" t="str">
        <f t="shared" si="24"/>
        <v>DISABLE</v>
      </c>
      <c r="AF93" s="234" t="str">
        <f t="shared" si="26"/>
        <v>NORMAL</v>
      </c>
      <c r="AG93" s="248"/>
      <c r="AH93" s="234" t="str">
        <f t="shared" si="22"/>
        <v>TRISTATE</v>
      </c>
      <c r="AI93" s="234" t="str">
        <f t="shared" si="23"/>
        <v>HIGH</v>
      </c>
      <c r="AJ93" s="182" t="s">
        <v>3538</v>
      </c>
      <c r="AK93" s="149" t="s">
        <v>2926</v>
      </c>
      <c r="AL93" s="153"/>
      <c r="AM93" s="168"/>
      <c r="AN93" s="152"/>
      <c r="AO93" s="152"/>
      <c r="AP93" s="153"/>
      <c r="AQ93" s="346"/>
      <c r="AR93" s="6" t="s">
        <v>854</v>
      </c>
      <c r="AS93" s="51" t="s">
        <v>1222</v>
      </c>
      <c r="AT93" s="285" t="s">
        <v>854</v>
      </c>
      <c r="AU93" s="51" t="s">
        <v>1222</v>
      </c>
      <c r="AV93" s="51" t="s">
        <v>1222</v>
      </c>
    </row>
    <row r="94" spans="1:48" ht="12.95" customHeight="1" thickBot="1" x14ac:dyDescent="0.3">
      <c r="A94" s="197" t="s">
        <v>88</v>
      </c>
      <c r="B94" s="271"/>
      <c r="C94" s="197" t="s">
        <v>1701</v>
      </c>
      <c r="D94" s="197" t="s">
        <v>1732</v>
      </c>
      <c r="E94" s="165" t="s">
        <v>1732</v>
      </c>
      <c r="F94" s="197" t="str">
        <f t="shared" si="20"/>
        <v>unused_GMI_CS6_N</v>
      </c>
      <c r="G94" s="198" t="s">
        <v>855</v>
      </c>
      <c r="H94" s="197" t="s">
        <v>460</v>
      </c>
      <c r="I94" s="197" t="s">
        <v>2211</v>
      </c>
      <c r="J94" s="197" t="s">
        <v>2180</v>
      </c>
      <c r="K94" s="197" t="s">
        <v>461</v>
      </c>
      <c r="L94" s="198" t="s">
        <v>2062</v>
      </c>
      <c r="M94" s="197" t="s">
        <v>270</v>
      </c>
      <c r="N94" s="197" t="s">
        <v>270</v>
      </c>
      <c r="O94" s="197" t="s">
        <v>263</v>
      </c>
      <c r="P94" s="197" t="s">
        <v>253</v>
      </c>
      <c r="Q94" s="198" t="s">
        <v>401</v>
      </c>
      <c r="R94" s="197" t="s">
        <v>257</v>
      </c>
      <c r="S94" s="197">
        <v>100</v>
      </c>
      <c r="T94" s="197" t="s">
        <v>417</v>
      </c>
      <c r="U94" s="198">
        <v>2</v>
      </c>
      <c r="V94" s="199">
        <v>0</v>
      </c>
      <c r="W94" s="199">
        <v>1</v>
      </c>
      <c r="X94" s="199" t="s">
        <v>300</v>
      </c>
      <c r="Y94" s="200" t="s">
        <v>301</v>
      </c>
      <c r="Z94" s="200" t="s">
        <v>301</v>
      </c>
      <c r="AA94" s="233" t="str">
        <f t="shared" si="21"/>
        <v>Unused</v>
      </c>
      <c r="AB94" s="234" t="str">
        <f t="shared" si="25"/>
        <v>Unused</v>
      </c>
      <c r="AC94" s="248"/>
      <c r="AD94" s="234" t="str">
        <f t="shared" si="13"/>
        <v>ENABLE</v>
      </c>
      <c r="AE94" s="234" t="str">
        <f t="shared" si="24"/>
        <v>DISABLE</v>
      </c>
      <c r="AF94" s="234" t="str">
        <f t="shared" si="26"/>
        <v>NORMAL</v>
      </c>
      <c r="AG94" s="248"/>
      <c r="AH94" s="234" t="str">
        <f t="shared" si="22"/>
        <v>TRISTATE</v>
      </c>
      <c r="AI94" s="234" t="str">
        <f t="shared" si="23"/>
        <v>HIGH</v>
      </c>
      <c r="AJ94" s="182" t="s">
        <v>1062</v>
      </c>
      <c r="AK94" s="149" t="s">
        <v>2926</v>
      </c>
      <c r="AL94" s="153"/>
      <c r="AM94" s="259"/>
      <c r="AN94" s="152"/>
      <c r="AO94" s="152"/>
      <c r="AP94" s="153"/>
      <c r="AQ94" s="345"/>
      <c r="AR94" s="6" t="s">
        <v>1062</v>
      </c>
      <c r="AS94" s="52"/>
      <c r="AT94" s="282" t="s">
        <v>1062</v>
      </c>
      <c r="AU94" s="113"/>
      <c r="AV94" s="127"/>
    </row>
    <row r="95" spans="1:48" ht="12.95" customHeight="1" thickBot="1" x14ac:dyDescent="0.3">
      <c r="A95" s="197" t="s">
        <v>89</v>
      </c>
      <c r="B95" s="271"/>
      <c r="C95" s="197" t="s">
        <v>1697</v>
      </c>
      <c r="D95" s="197" t="s">
        <v>1733</v>
      </c>
      <c r="E95" s="165" t="s">
        <v>1733</v>
      </c>
      <c r="F95" s="197" t="str">
        <f t="shared" si="20"/>
        <v>unused_GMI_CS7_N</v>
      </c>
      <c r="G95" s="198" t="s">
        <v>856</v>
      </c>
      <c r="H95" s="197" t="s">
        <v>462</v>
      </c>
      <c r="I95" s="197" t="s">
        <v>2210</v>
      </c>
      <c r="J95" s="197" t="s">
        <v>2179</v>
      </c>
      <c r="K95" s="197" t="s">
        <v>463</v>
      </c>
      <c r="L95" s="198" t="s">
        <v>2062</v>
      </c>
      <c r="M95" s="197" t="s">
        <v>254</v>
      </c>
      <c r="N95" s="197" t="s">
        <v>2062</v>
      </c>
      <c r="O95" s="197" t="s">
        <v>263</v>
      </c>
      <c r="P95" s="197">
        <v>35</v>
      </c>
      <c r="Q95" s="198" t="s">
        <v>401</v>
      </c>
      <c r="R95" s="197" t="s">
        <v>257</v>
      </c>
      <c r="S95" s="197">
        <v>100</v>
      </c>
      <c r="T95" s="197" t="s">
        <v>423</v>
      </c>
      <c r="U95" s="198">
        <v>2</v>
      </c>
      <c r="V95" s="199">
        <v>1</v>
      </c>
      <c r="W95" s="199">
        <v>1</v>
      </c>
      <c r="X95" s="199" t="s">
        <v>300</v>
      </c>
      <c r="Y95" s="200" t="s">
        <v>301</v>
      </c>
      <c r="Z95" s="200" t="s">
        <v>301</v>
      </c>
      <c r="AA95" s="233" t="str">
        <f t="shared" si="21"/>
        <v>Unused</v>
      </c>
      <c r="AB95" s="234" t="str">
        <f t="shared" si="25"/>
        <v>Unused</v>
      </c>
      <c r="AC95" s="248"/>
      <c r="AD95" s="234" t="str">
        <f t="shared" si="13"/>
        <v>ENABLE</v>
      </c>
      <c r="AE95" s="234" t="str">
        <f t="shared" si="24"/>
        <v>DISABLE</v>
      </c>
      <c r="AF95" s="234" t="str">
        <f t="shared" si="26"/>
        <v>NORMAL</v>
      </c>
      <c r="AG95" s="248"/>
      <c r="AH95" s="234" t="str">
        <f t="shared" si="22"/>
        <v>TRISTATE</v>
      </c>
      <c r="AI95" s="234" t="str">
        <f t="shared" si="23"/>
        <v>HIGH</v>
      </c>
      <c r="AJ95" s="182" t="s">
        <v>1063</v>
      </c>
      <c r="AK95" s="149" t="s">
        <v>2926</v>
      </c>
      <c r="AL95" s="153"/>
      <c r="AM95" s="168"/>
      <c r="AN95" s="152"/>
      <c r="AO95" s="152"/>
      <c r="AP95" s="153"/>
      <c r="AQ95" s="346"/>
      <c r="AR95" s="6" t="s">
        <v>1063</v>
      </c>
      <c r="AS95" s="51" t="s">
        <v>2246</v>
      </c>
      <c r="AT95" s="282" t="s">
        <v>856</v>
      </c>
      <c r="AU95" s="51" t="s">
        <v>2246</v>
      </c>
      <c r="AV95" s="51" t="s">
        <v>2246</v>
      </c>
    </row>
    <row r="96" spans="1:48" ht="12.95" customHeight="1" thickBot="1" x14ac:dyDescent="0.3">
      <c r="A96" s="197" t="s">
        <v>90</v>
      </c>
      <c r="B96" s="271"/>
      <c r="C96" s="197" t="s">
        <v>1719</v>
      </c>
      <c r="D96" s="197" t="s">
        <v>1734</v>
      </c>
      <c r="E96" s="165" t="s">
        <v>1734</v>
      </c>
      <c r="F96" s="197" t="str">
        <f t="shared" si="20"/>
        <v>unused_GMI_DQS</v>
      </c>
      <c r="G96" s="198" t="s">
        <v>857</v>
      </c>
      <c r="H96" s="360" t="s">
        <v>3063</v>
      </c>
      <c r="I96" s="197" t="s">
        <v>464</v>
      </c>
      <c r="J96" s="197" t="s">
        <v>465</v>
      </c>
      <c r="K96" s="360" t="s">
        <v>3090</v>
      </c>
      <c r="L96" s="198" t="s">
        <v>2062</v>
      </c>
      <c r="M96" s="197" t="s">
        <v>270</v>
      </c>
      <c r="N96" s="197" t="s">
        <v>270</v>
      </c>
      <c r="O96" s="197" t="s">
        <v>263</v>
      </c>
      <c r="P96" s="197" t="s">
        <v>253</v>
      </c>
      <c r="Q96" s="198" t="s">
        <v>401</v>
      </c>
      <c r="R96" s="197" t="s">
        <v>257</v>
      </c>
      <c r="S96" s="197">
        <v>100</v>
      </c>
      <c r="T96" s="197" t="s">
        <v>417</v>
      </c>
      <c r="U96" s="198">
        <v>2</v>
      </c>
      <c r="V96" s="199">
        <v>0</v>
      </c>
      <c r="W96" s="199">
        <v>1</v>
      </c>
      <c r="X96" s="199" t="s">
        <v>264</v>
      </c>
      <c r="Y96" s="200" t="s">
        <v>265</v>
      </c>
      <c r="Z96" s="200" t="s">
        <v>265</v>
      </c>
      <c r="AA96" s="233" t="str">
        <f t="shared" si="21"/>
        <v>Unused</v>
      </c>
      <c r="AB96" s="234" t="str">
        <f t="shared" si="25"/>
        <v>Unused</v>
      </c>
      <c r="AC96" s="248"/>
      <c r="AD96" s="234" t="str">
        <f t="shared" si="13"/>
        <v>ENABLE</v>
      </c>
      <c r="AE96" s="234" t="str">
        <f t="shared" si="24"/>
        <v>DISABLE</v>
      </c>
      <c r="AF96" s="234" t="str">
        <f t="shared" si="26"/>
        <v>NORMAL</v>
      </c>
      <c r="AG96" s="248"/>
      <c r="AH96" s="234" t="str">
        <f t="shared" si="22"/>
        <v>TRISTATE</v>
      </c>
      <c r="AI96" s="234" t="str">
        <f t="shared" si="23"/>
        <v>HIGH</v>
      </c>
      <c r="AJ96" s="182" t="s">
        <v>1064</v>
      </c>
      <c r="AK96" s="149" t="s">
        <v>2926</v>
      </c>
      <c r="AL96" s="153"/>
      <c r="AM96" s="259"/>
      <c r="AN96" s="152"/>
      <c r="AO96" s="152"/>
      <c r="AP96" s="153"/>
      <c r="AQ96" s="346" t="s">
        <v>3585</v>
      </c>
      <c r="AR96" s="6" t="s">
        <v>1064</v>
      </c>
      <c r="AS96" s="52"/>
      <c r="AT96" s="282" t="s">
        <v>1064</v>
      </c>
      <c r="AU96" s="51" t="s">
        <v>2278</v>
      </c>
      <c r="AV96" s="127"/>
    </row>
    <row r="97" spans="1:48" ht="12.95" customHeight="1" thickBot="1" x14ac:dyDescent="0.3">
      <c r="A97" s="197" t="s">
        <v>91</v>
      </c>
      <c r="B97" s="271"/>
      <c r="C97" s="197" t="s">
        <v>1735</v>
      </c>
      <c r="D97" s="197" t="s">
        <v>1736</v>
      </c>
      <c r="E97" s="165" t="s">
        <v>1736</v>
      </c>
      <c r="F97" s="197" t="str">
        <f t="shared" si="20"/>
        <v>unused_GMI_IORDY</v>
      </c>
      <c r="G97" s="198" t="s">
        <v>858</v>
      </c>
      <c r="H97" s="360" t="s">
        <v>3063</v>
      </c>
      <c r="I97" s="197" t="s">
        <v>2209</v>
      </c>
      <c r="J97" s="197" t="s">
        <v>466</v>
      </c>
      <c r="K97" s="360" t="s">
        <v>3076</v>
      </c>
      <c r="L97" s="198" t="s">
        <v>2062</v>
      </c>
      <c r="M97" s="197" t="s">
        <v>254</v>
      </c>
      <c r="N97" s="197" t="s">
        <v>2062</v>
      </c>
      <c r="O97" s="197" t="s">
        <v>263</v>
      </c>
      <c r="P97" s="197">
        <v>23</v>
      </c>
      <c r="Q97" s="198" t="s">
        <v>401</v>
      </c>
      <c r="R97" s="197" t="s">
        <v>257</v>
      </c>
      <c r="S97" s="197">
        <v>100</v>
      </c>
      <c r="T97" s="197" t="s">
        <v>423</v>
      </c>
      <c r="U97" s="198">
        <v>2</v>
      </c>
      <c r="V97" s="199">
        <v>0</v>
      </c>
      <c r="W97" s="199">
        <v>1</v>
      </c>
      <c r="X97" s="199" t="s">
        <v>300</v>
      </c>
      <c r="Y97" s="200" t="s">
        <v>301</v>
      </c>
      <c r="Z97" s="200" t="s">
        <v>301</v>
      </c>
      <c r="AA97" s="233" t="str">
        <f t="shared" si="21"/>
        <v>Unused</v>
      </c>
      <c r="AB97" s="234" t="str">
        <f t="shared" si="25"/>
        <v>Unused</v>
      </c>
      <c r="AC97" s="248"/>
      <c r="AD97" s="234" t="str">
        <f t="shared" si="13"/>
        <v>ENABLE</v>
      </c>
      <c r="AE97" s="234" t="str">
        <f t="shared" si="24"/>
        <v>DISABLE</v>
      </c>
      <c r="AF97" s="234" t="str">
        <f t="shared" si="26"/>
        <v>NORMAL</v>
      </c>
      <c r="AG97" s="248"/>
      <c r="AH97" s="234" t="str">
        <f t="shared" si="22"/>
        <v>TRISTATE</v>
      </c>
      <c r="AI97" s="234" t="str">
        <f t="shared" si="23"/>
        <v>HIGH</v>
      </c>
      <c r="AJ97" s="182" t="s">
        <v>3640</v>
      </c>
      <c r="AK97" s="149" t="s">
        <v>2926</v>
      </c>
      <c r="AL97" s="153"/>
      <c r="AM97" s="168"/>
      <c r="AN97" s="152"/>
      <c r="AO97" s="152"/>
      <c r="AP97" s="153"/>
      <c r="AQ97" s="343" t="s">
        <v>3586</v>
      </c>
      <c r="AR97" s="6" t="s">
        <v>858</v>
      </c>
      <c r="AS97" s="51" t="s">
        <v>2249</v>
      </c>
      <c r="AT97" s="282" t="s">
        <v>858</v>
      </c>
      <c r="AU97" s="51" t="s">
        <v>2426</v>
      </c>
      <c r="AV97" s="51" t="s">
        <v>2249</v>
      </c>
    </row>
    <row r="98" spans="1:48" ht="12.95" customHeight="1" thickBot="1" x14ac:dyDescent="0.3">
      <c r="A98" s="268" t="s">
        <v>92</v>
      </c>
      <c r="B98" s="273">
        <v>1</v>
      </c>
      <c r="C98" s="197" t="s">
        <v>1705</v>
      </c>
      <c r="D98" s="197" t="s">
        <v>1644</v>
      </c>
      <c r="E98" s="165" t="s">
        <v>1644</v>
      </c>
      <c r="F98" s="197" t="str">
        <f t="shared" si="20"/>
        <v>unused_GMI_OE_N</v>
      </c>
      <c r="G98" s="198" t="s">
        <v>859</v>
      </c>
      <c r="H98" s="360" t="s">
        <v>3063</v>
      </c>
      <c r="I98" s="197" t="s">
        <v>2208</v>
      </c>
      <c r="J98" s="197" t="s">
        <v>467</v>
      </c>
      <c r="K98" s="360" t="s">
        <v>3090</v>
      </c>
      <c r="L98" s="198" t="s">
        <v>2062</v>
      </c>
      <c r="M98" s="197" t="s">
        <v>270</v>
      </c>
      <c r="N98" s="197" t="s">
        <v>270</v>
      </c>
      <c r="O98" s="197" t="s">
        <v>263</v>
      </c>
      <c r="P98" s="197" t="s">
        <v>253</v>
      </c>
      <c r="Q98" s="198" t="s">
        <v>401</v>
      </c>
      <c r="R98" s="197" t="s">
        <v>257</v>
      </c>
      <c r="S98" s="197">
        <v>100</v>
      </c>
      <c r="T98" s="197" t="s">
        <v>417</v>
      </c>
      <c r="U98" s="198">
        <v>2</v>
      </c>
      <c r="V98" s="199">
        <v>0</v>
      </c>
      <c r="W98" s="199">
        <v>1</v>
      </c>
      <c r="X98" s="199" t="s">
        <v>264</v>
      </c>
      <c r="Y98" s="263" t="s">
        <v>2960</v>
      </c>
      <c r="Z98" s="263" t="s">
        <v>2960</v>
      </c>
      <c r="AA98" s="233" t="str">
        <f t="shared" si="21"/>
        <v>Unused</v>
      </c>
      <c r="AB98" s="234" t="str">
        <f t="shared" si="25"/>
        <v>Unused</v>
      </c>
      <c r="AC98" s="248"/>
      <c r="AD98" s="234" t="str">
        <f t="shared" si="13"/>
        <v>ENABLE</v>
      </c>
      <c r="AE98" s="234" t="str">
        <f t="shared" si="24"/>
        <v>DISABLE</v>
      </c>
      <c r="AF98" s="234" t="str">
        <f t="shared" si="26"/>
        <v>NORMAL</v>
      </c>
      <c r="AG98" s="248"/>
      <c r="AH98" s="234" t="str">
        <f t="shared" si="22"/>
        <v>TRISTATE</v>
      </c>
      <c r="AI98" s="234" t="str">
        <f t="shared" si="23"/>
        <v>HIGH</v>
      </c>
      <c r="AJ98" s="182" t="s">
        <v>1065</v>
      </c>
      <c r="AK98" s="149" t="s">
        <v>2926</v>
      </c>
      <c r="AL98" s="153"/>
      <c r="AM98" s="258"/>
      <c r="AN98" s="152"/>
      <c r="AO98" s="152"/>
      <c r="AP98" s="153"/>
      <c r="AQ98" s="345"/>
      <c r="AR98" s="6" t="s">
        <v>1065</v>
      </c>
      <c r="AS98" s="56" t="s">
        <v>1223</v>
      </c>
      <c r="AT98" s="282" t="s">
        <v>1065</v>
      </c>
      <c r="AU98" s="56" t="s">
        <v>1223</v>
      </c>
      <c r="AV98" s="56" t="s">
        <v>1223</v>
      </c>
    </row>
    <row r="99" spans="1:48" ht="12.95" customHeight="1" thickBot="1" x14ac:dyDescent="0.3">
      <c r="A99" s="268" t="s">
        <v>93</v>
      </c>
      <c r="B99" s="273">
        <v>5</v>
      </c>
      <c r="C99" s="197" t="s">
        <v>1737</v>
      </c>
      <c r="D99" s="197" t="s">
        <v>1738</v>
      </c>
      <c r="E99" s="165" t="s">
        <v>1738</v>
      </c>
      <c r="F99" s="197" t="str">
        <f t="shared" si="20"/>
        <v>unused_GMI_RST_N</v>
      </c>
      <c r="G99" s="198" t="s">
        <v>860</v>
      </c>
      <c r="H99" s="197" t="s">
        <v>468</v>
      </c>
      <c r="I99" s="197" t="s">
        <v>455</v>
      </c>
      <c r="J99" s="197" t="s">
        <v>463</v>
      </c>
      <c r="K99" s="360" t="s">
        <v>3090</v>
      </c>
      <c r="L99" s="198" t="s">
        <v>2062</v>
      </c>
      <c r="M99" s="197" t="s">
        <v>270</v>
      </c>
      <c r="N99" s="197" t="s">
        <v>270</v>
      </c>
      <c r="O99" s="197" t="s">
        <v>263</v>
      </c>
      <c r="P99" s="197" t="s">
        <v>253</v>
      </c>
      <c r="Q99" s="198" t="s">
        <v>401</v>
      </c>
      <c r="R99" s="197" t="s">
        <v>257</v>
      </c>
      <c r="S99" s="197">
        <v>100</v>
      </c>
      <c r="T99" s="197" t="s">
        <v>417</v>
      </c>
      <c r="U99" s="198">
        <v>2</v>
      </c>
      <c r="V99" s="199">
        <v>0</v>
      </c>
      <c r="W99" s="199">
        <v>1</v>
      </c>
      <c r="X99" s="199" t="s">
        <v>300</v>
      </c>
      <c r="Y99" s="263" t="s">
        <v>2961</v>
      </c>
      <c r="Z99" s="263" t="s">
        <v>2961</v>
      </c>
      <c r="AA99" s="233" t="str">
        <f t="shared" si="21"/>
        <v>Unused</v>
      </c>
      <c r="AB99" s="234" t="str">
        <f t="shared" si="25"/>
        <v>Unused</v>
      </c>
      <c r="AC99" s="248"/>
      <c r="AD99" s="234" t="str">
        <f t="shared" ref="AD99:AD162" si="27">IF(($AB99="Unused"), "ENABLE", IF((OR($AK99="Bidir",$AK99="Out")), "NORMAL", IF((OR($AK99="IN",AL99="Z", AL99="Int PU",AL99="Int PD")),"ENABLE","NORMAL")))</f>
        <v>ENABLE</v>
      </c>
      <c r="AE99" s="234" t="str">
        <f t="shared" si="24"/>
        <v>DISABLE</v>
      </c>
      <c r="AF99" s="234" t="str">
        <f t="shared" si="26"/>
        <v>NORMAL</v>
      </c>
      <c r="AG99" s="248"/>
      <c r="AH99" s="234" t="str">
        <f t="shared" si="22"/>
        <v>TRISTATE</v>
      </c>
      <c r="AI99" s="234" t="str">
        <f t="shared" si="23"/>
        <v>HIGH</v>
      </c>
      <c r="AJ99" s="182" t="s">
        <v>1066</v>
      </c>
      <c r="AK99" s="149" t="s">
        <v>2926</v>
      </c>
      <c r="AL99" s="153"/>
      <c r="AM99" s="256"/>
      <c r="AN99" s="152"/>
      <c r="AO99" s="152"/>
      <c r="AP99" s="153"/>
      <c r="AQ99" s="345"/>
      <c r="AR99" s="6" t="s">
        <v>1066</v>
      </c>
      <c r="AS99" s="384"/>
      <c r="AT99" s="282" t="s">
        <v>1066</v>
      </c>
      <c r="AU99" s="107"/>
      <c r="AV99" s="127"/>
    </row>
    <row r="100" spans="1:48" ht="12.95" customHeight="1" thickBot="1" x14ac:dyDescent="0.3">
      <c r="A100" s="268" t="s">
        <v>94</v>
      </c>
      <c r="B100" s="273"/>
      <c r="C100" s="197" t="s">
        <v>1739</v>
      </c>
      <c r="D100" s="197" t="s">
        <v>1740</v>
      </c>
      <c r="E100" s="165" t="s">
        <v>1740</v>
      </c>
      <c r="F100" s="197" t="str">
        <f t="shared" si="20"/>
        <v>unused_GMI_WAIT</v>
      </c>
      <c r="G100" s="198" t="s">
        <v>861</v>
      </c>
      <c r="H100" s="360" t="s">
        <v>3063</v>
      </c>
      <c r="I100" s="197" t="s">
        <v>469</v>
      </c>
      <c r="J100" s="197" t="s">
        <v>465</v>
      </c>
      <c r="K100" s="360" t="s">
        <v>3076</v>
      </c>
      <c r="L100" s="198" t="s">
        <v>2062</v>
      </c>
      <c r="M100" s="197" t="s">
        <v>270</v>
      </c>
      <c r="N100" s="197" t="s">
        <v>270</v>
      </c>
      <c r="O100" s="197" t="s">
        <v>263</v>
      </c>
      <c r="P100" s="197" t="s">
        <v>253</v>
      </c>
      <c r="Q100" s="198" t="s">
        <v>401</v>
      </c>
      <c r="R100" s="197" t="s">
        <v>257</v>
      </c>
      <c r="S100" s="197">
        <v>100</v>
      </c>
      <c r="T100" s="197" t="s">
        <v>417</v>
      </c>
      <c r="U100" s="198">
        <v>2</v>
      </c>
      <c r="V100" s="199">
        <v>0</v>
      </c>
      <c r="W100" s="199">
        <v>1</v>
      </c>
      <c r="X100" s="199" t="s">
        <v>300</v>
      </c>
      <c r="Y100" s="263" t="s">
        <v>301</v>
      </c>
      <c r="Z100" s="263" t="s">
        <v>301</v>
      </c>
      <c r="AA100" s="233" t="str">
        <f t="shared" si="21"/>
        <v>Unused</v>
      </c>
      <c r="AB100" s="234" t="str">
        <f t="shared" si="25"/>
        <v>Unused</v>
      </c>
      <c r="AC100" s="248"/>
      <c r="AD100" s="234" t="str">
        <f t="shared" si="27"/>
        <v>ENABLE</v>
      </c>
      <c r="AE100" s="234" t="str">
        <f t="shared" si="24"/>
        <v>DISABLE</v>
      </c>
      <c r="AF100" s="234" t="str">
        <f t="shared" si="26"/>
        <v>NORMAL</v>
      </c>
      <c r="AG100" s="248"/>
      <c r="AH100" s="234" t="str">
        <f t="shared" si="22"/>
        <v>TRISTATE</v>
      </c>
      <c r="AI100" s="234" t="str">
        <f t="shared" si="23"/>
        <v>HIGH</v>
      </c>
      <c r="AJ100" s="182" t="s">
        <v>1067</v>
      </c>
      <c r="AK100" s="149" t="s">
        <v>2926</v>
      </c>
      <c r="AL100" s="153"/>
      <c r="AM100" s="257"/>
      <c r="AN100" s="152"/>
      <c r="AO100" s="152"/>
      <c r="AP100" s="153"/>
      <c r="AQ100" s="346" t="s">
        <v>3587</v>
      </c>
      <c r="AR100" s="6" t="s">
        <v>1067</v>
      </c>
      <c r="AS100" s="384"/>
      <c r="AT100" s="282" t="s">
        <v>1067</v>
      </c>
      <c r="AU100" s="51" t="s">
        <v>2279</v>
      </c>
      <c r="AV100" s="127"/>
    </row>
    <row r="101" spans="1:48" ht="12.95" customHeight="1" thickBot="1" x14ac:dyDescent="0.3">
      <c r="A101" s="268" t="s">
        <v>95</v>
      </c>
      <c r="B101" s="273"/>
      <c r="C101" s="197" t="s">
        <v>1741</v>
      </c>
      <c r="D101" s="197" t="s">
        <v>1742</v>
      </c>
      <c r="E101" s="165" t="s">
        <v>1742</v>
      </c>
      <c r="F101" s="197" t="str">
        <f t="shared" si="20"/>
        <v>unused_GMI_WP_N</v>
      </c>
      <c r="G101" s="198" t="s">
        <v>862</v>
      </c>
      <c r="H101" s="360" t="s">
        <v>3063</v>
      </c>
      <c r="I101" s="197" t="s">
        <v>2210</v>
      </c>
      <c r="J101" s="197" t="s">
        <v>470</v>
      </c>
      <c r="K101" s="197" t="s">
        <v>459</v>
      </c>
      <c r="L101" s="198" t="s">
        <v>2062</v>
      </c>
      <c r="M101" s="197" t="s">
        <v>254</v>
      </c>
      <c r="N101" s="197" t="s">
        <v>2062</v>
      </c>
      <c r="O101" s="197" t="s">
        <v>263</v>
      </c>
      <c r="P101" s="197">
        <v>8</v>
      </c>
      <c r="Q101" s="198" t="s">
        <v>401</v>
      </c>
      <c r="R101" s="197" t="s">
        <v>257</v>
      </c>
      <c r="S101" s="197">
        <v>100</v>
      </c>
      <c r="T101" s="197" t="s">
        <v>457</v>
      </c>
      <c r="U101" s="198">
        <v>2</v>
      </c>
      <c r="V101" s="199">
        <v>1</v>
      </c>
      <c r="W101" s="199">
        <v>1</v>
      </c>
      <c r="X101" s="199" t="s">
        <v>300</v>
      </c>
      <c r="Y101" s="263" t="s">
        <v>301</v>
      </c>
      <c r="Z101" s="263" t="s">
        <v>301</v>
      </c>
      <c r="AA101" s="233" t="str">
        <f t="shared" si="21"/>
        <v>Unused</v>
      </c>
      <c r="AB101" s="234" t="str">
        <f t="shared" si="25"/>
        <v>Unused</v>
      </c>
      <c r="AC101" s="248"/>
      <c r="AD101" s="234" t="str">
        <f t="shared" si="27"/>
        <v>ENABLE</v>
      </c>
      <c r="AE101" s="234" t="str">
        <f t="shared" si="24"/>
        <v>DISABLE</v>
      </c>
      <c r="AF101" s="234" t="str">
        <f t="shared" si="26"/>
        <v>NORMAL</v>
      </c>
      <c r="AG101" s="248"/>
      <c r="AH101" s="234" t="str">
        <f t="shared" si="22"/>
        <v>TRISTATE</v>
      </c>
      <c r="AI101" s="234" t="str">
        <f t="shared" si="23"/>
        <v>HIGH</v>
      </c>
      <c r="AJ101" s="182" t="s">
        <v>1068</v>
      </c>
      <c r="AK101" s="149" t="s">
        <v>2926</v>
      </c>
      <c r="AL101" s="153"/>
      <c r="AM101" s="168"/>
      <c r="AN101" s="152"/>
      <c r="AO101" s="152"/>
      <c r="AP101" s="153"/>
      <c r="AQ101" s="346" t="s">
        <v>3588</v>
      </c>
      <c r="AR101" s="6" t="s">
        <v>1068</v>
      </c>
      <c r="AS101" s="51" t="s">
        <v>1188</v>
      </c>
      <c r="AT101" s="282" t="s">
        <v>862</v>
      </c>
      <c r="AU101" s="51" t="s">
        <v>1188</v>
      </c>
      <c r="AV101" s="51" t="s">
        <v>2462</v>
      </c>
    </row>
    <row r="102" spans="1:48" ht="12.95" customHeight="1" thickBot="1" x14ac:dyDescent="0.3">
      <c r="A102" s="268" t="s">
        <v>96</v>
      </c>
      <c r="B102" s="273">
        <v>1</v>
      </c>
      <c r="C102" s="197" t="s">
        <v>1743</v>
      </c>
      <c r="D102" s="197" t="s">
        <v>1744</v>
      </c>
      <c r="E102" s="165" t="s">
        <v>1744</v>
      </c>
      <c r="F102" s="197" t="str">
        <f t="shared" si="20"/>
        <v>unused_GMI_WR_N</v>
      </c>
      <c r="G102" s="198" t="s">
        <v>863</v>
      </c>
      <c r="H102" s="360" t="s">
        <v>3063</v>
      </c>
      <c r="I102" s="197" t="s">
        <v>2207</v>
      </c>
      <c r="J102" s="197" t="s">
        <v>471</v>
      </c>
      <c r="K102" s="360" t="s">
        <v>3090</v>
      </c>
      <c r="L102" s="198" t="s">
        <v>2062</v>
      </c>
      <c r="M102" s="197" t="s">
        <v>270</v>
      </c>
      <c r="N102" s="197" t="s">
        <v>270</v>
      </c>
      <c r="O102" s="197" t="s">
        <v>263</v>
      </c>
      <c r="P102" s="197" t="s">
        <v>253</v>
      </c>
      <c r="Q102" s="198" t="s">
        <v>401</v>
      </c>
      <c r="R102" s="197" t="s">
        <v>257</v>
      </c>
      <c r="S102" s="197">
        <v>100</v>
      </c>
      <c r="T102" s="197" t="s">
        <v>417</v>
      </c>
      <c r="U102" s="198">
        <v>2</v>
      </c>
      <c r="V102" s="199">
        <v>0</v>
      </c>
      <c r="W102" s="199">
        <v>1</v>
      </c>
      <c r="X102" s="199" t="s">
        <v>264</v>
      </c>
      <c r="Y102" s="263" t="s">
        <v>2960</v>
      </c>
      <c r="Z102" s="263" t="s">
        <v>2960</v>
      </c>
      <c r="AA102" s="233" t="str">
        <f t="shared" si="21"/>
        <v>Unused</v>
      </c>
      <c r="AB102" s="234" t="str">
        <f t="shared" si="25"/>
        <v>Unused</v>
      </c>
      <c r="AC102" s="248"/>
      <c r="AD102" s="234" t="str">
        <f t="shared" si="27"/>
        <v>ENABLE</v>
      </c>
      <c r="AE102" s="234" t="str">
        <f t="shared" si="24"/>
        <v>DISABLE</v>
      </c>
      <c r="AF102" s="234" t="str">
        <f t="shared" si="26"/>
        <v>NORMAL</v>
      </c>
      <c r="AG102" s="248"/>
      <c r="AH102" s="234" t="str">
        <f t="shared" si="22"/>
        <v>TRISTATE</v>
      </c>
      <c r="AI102" s="234" t="str">
        <f t="shared" si="23"/>
        <v>HIGH</v>
      </c>
      <c r="AJ102" s="182" t="s">
        <v>1069</v>
      </c>
      <c r="AK102" s="149" t="s">
        <v>2926</v>
      </c>
      <c r="AL102" s="153"/>
      <c r="AM102" s="258"/>
      <c r="AN102" s="152"/>
      <c r="AO102" s="152"/>
      <c r="AP102" s="153"/>
      <c r="AQ102" s="345"/>
      <c r="AR102" s="6" t="s">
        <v>1069</v>
      </c>
      <c r="AS102" s="55" t="s">
        <v>2285</v>
      </c>
      <c r="AT102" s="283" t="s">
        <v>1069</v>
      </c>
      <c r="AU102" s="55" t="s">
        <v>2285</v>
      </c>
      <c r="AV102" s="55" t="s">
        <v>2285</v>
      </c>
    </row>
    <row r="103" spans="1:48" s="24" customFormat="1" ht="18" customHeight="1" thickBot="1" x14ac:dyDescent="0.3">
      <c r="A103" s="160" t="s">
        <v>1234</v>
      </c>
      <c r="B103" s="272"/>
      <c r="C103" s="160"/>
      <c r="D103" s="160"/>
      <c r="E103" s="215"/>
      <c r="F103" s="160"/>
      <c r="G103" s="201"/>
      <c r="H103" s="160"/>
      <c r="I103" s="160"/>
      <c r="J103" s="160"/>
      <c r="K103" s="160"/>
      <c r="L103" s="201"/>
      <c r="M103" s="160"/>
      <c r="N103" s="160"/>
      <c r="O103" s="160"/>
      <c r="P103" s="160"/>
      <c r="Q103" s="201"/>
      <c r="R103" s="160"/>
      <c r="S103" s="160"/>
      <c r="T103" s="160"/>
      <c r="U103" s="201"/>
      <c r="V103" s="160"/>
      <c r="W103" s="160"/>
      <c r="X103" s="160"/>
      <c r="Y103" s="202"/>
      <c r="Z103" s="202"/>
      <c r="AA103" s="235"/>
      <c r="AB103" s="236"/>
      <c r="AC103" s="236"/>
      <c r="AD103" s="236"/>
      <c r="AE103" s="236"/>
      <c r="AF103" s="236"/>
      <c r="AG103" s="236"/>
      <c r="AH103" s="236"/>
      <c r="AI103" s="237"/>
      <c r="AJ103" s="160"/>
      <c r="AK103" s="35"/>
      <c r="AL103" s="154"/>
      <c r="AM103" s="169"/>
      <c r="AN103" s="154"/>
      <c r="AO103" s="154"/>
      <c r="AP103" s="154"/>
      <c r="AQ103" s="45"/>
      <c r="AR103" s="277"/>
      <c r="AS103" s="57"/>
      <c r="AT103" s="284"/>
      <c r="AU103" s="57"/>
      <c r="AV103" s="57"/>
    </row>
    <row r="104" spans="1:48" ht="12.95" customHeight="1" thickBot="1" x14ac:dyDescent="0.3">
      <c r="A104" s="197" t="s">
        <v>97</v>
      </c>
      <c r="B104" s="271"/>
      <c r="C104" s="197" t="s">
        <v>1745</v>
      </c>
      <c r="D104" s="197" t="s">
        <v>1517</v>
      </c>
      <c r="E104" s="165" t="s">
        <v>1517</v>
      </c>
      <c r="F104" s="197" t="str">
        <f t="shared" ref="F104:F148" si="28">CONCATENATE("unused_",A104)</f>
        <v>unused_CRT_HSYNC</v>
      </c>
      <c r="G104" s="198" t="s">
        <v>864</v>
      </c>
      <c r="H104" s="197" t="s">
        <v>472</v>
      </c>
      <c r="I104" s="360" t="s">
        <v>3063</v>
      </c>
      <c r="J104" s="360" t="s">
        <v>3076</v>
      </c>
      <c r="K104" s="360" t="s">
        <v>3090</v>
      </c>
      <c r="L104" s="198" t="s">
        <v>2062</v>
      </c>
      <c r="M104" s="197" t="s">
        <v>270</v>
      </c>
      <c r="N104" s="197" t="s">
        <v>270</v>
      </c>
      <c r="O104" s="197" t="s">
        <v>255</v>
      </c>
      <c r="P104" s="197" t="s">
        <v>253</v>
      </c>
      <c r="Q104" s="198" t="s">
        <v>473</v>
      </c>
      <c r="R104" s="197" t="s">
        <v>257</v>
      </c>
      <c r="S104" s="197">
        <v>100</v>
      </c>
      <c r="T104" s="197" t="s">
        <v>474</v>
      </c>
      <c r="U104" s="198">
        <v>0</v>
      </c>
      <c r="V104" s="199">
        <v>1</v>
      </c>
      <c r="W104" s="199">
        <v>1</v>
      </c>
      <c r="X104" s="199" t="s">
        <v>300</v>
      </c>
      <c r="Y104" s="200" t="s">
        <v>301</v>
      </c>
      <c r="Z104" s="200" t="s">
        <v>301</v>
      </c>
      <c r="AA104" s="233" t="str">
        <f t="shared" ref="AA104:AA148" si="29">IF((AJ104=H104),0,IF((AJ104=I104),1,IF((AJ104=J104),2,IF((AJ104=K104),3,IF((AJ104=G104),"GPIO",IF((AJ104=F104),"Unused"))))))</f>
        <v>Unused</v>
      </c>
      <c r="AB104" s="234" t="str">
        <f t="shared" ref="AB104:AB148" si="30">IF((OR($AA104=0,$AA104=1,$AA104=2,$AA104=3)),"SFIO",IF(($AA104="GPIO"),"GPIO","Unused"))</f>
        <v>Unused</v>
      </c>
      <c r="AC104" s="248"/>
      <c r="AD104" s="234" t="str">
        <f t="shared" si="27"/>
        <v>ENABLE</v>
      </c>
      <c r="AE104" s="234" t="str">
        <f>IF((OR($AB104="Unused",$AK104="OUT")),"DISABLE","ENABLE")</f>
        <v>DISABLE</v>
      </c>
      <c r="AF104" s="234" t="str">
        <f t="shared" si="26"/>
        <v>NORMAL</v>
      </c>
      <c r="AG104" s="248"/>
      <c r="AH104" s="234" t="str">
        <f t="shared" ref="AH104:AH148" si="31">IF((AND($AB104="GPIO",$AK104="Out")),"DRIVEN",IF((AND($AB104="GPIO",$AK104="Bidir")),"DRIVEN","TRISTATE"))</f>
        <v>TRISTATE</v>
      </c>
      <c r="AI104" s="234" t="str">
        <f t="shared" ref="AI104:AI148" si="32">IF((OR($AL104="Drive 0")),"LOW","HIGH")</f>
        <v>HIGH</v>
      </c>
      <c r="AJ104" s="182" t="s">
        <v>1070</v>
      </c>
      <c r="AK104" s="149" t="s">
        <v>2926</v>
      </c>
      <c r="AL104" s="153"/>
      <c r="AM104" s="256"/>
      <c r="AN104" s="152"/>
      <c r="AO104" s="152"/>
      <c r="AP104" s="153"/>
      <c r="AQ104" s="346" t="s">
        <v>3589</v>
      </c>
      <c r="AR104" s="6" t="s">
        <v>1070</v>
      </c>
      <c r="AS104" s="384"/>
      <c r="AT104" s="281" t="s">
        <v>1070</v>
      </c>
      <c r="AU104" s="437"/>
      <c r="AV104" s="66" t="s">
        <v>472</v>
      </c>
    </row>
    <row r="105" spans="1:48" ht="12.95" customHeight="1" thickBot="1" x14ac:dyDescent="0.3">
      <c r="A105" s="197" t="s">
        <v>98</v>
      </c>
      <c r="B105" s="271"/>
      <c r="C105" s="197" t="s">
        <v>1746</v>
      </c>
      <c r="D105" s="197" t="s">
        <v>1523</v>
      </c>
      <c r="E105" s="165" t="s">
        <v>1523</v>
      </c>
      <c r="F105" s="197" t="str">
        <f t="shared" si="28"/>
        <v>unused_CRT_VSYNC</v>
      </c>
      <c r="G105" s="198" t="s">
        <v>865</v>
      </c>
      <c r="H105" s="197" t="s">
        <v>475</v>
      </c>
      <c r="I105" s="360" t="s">
        <v>3063</v>
      </c>
      <c r="J105" s="360" t="s">
        <v>3076</v>
      </c>
      <c r="K105" s="360" t="s">
        <v>3090</v>
      </c>
      <c r="L105" s="198" t="s">
        <v>2062</v>
      </c>
      <c r="M105" s="197" t="s">
        <v>270</v>
      </c>
      <c r="N105" s="197" t="s">
        <v>270</v>
      </c>
      <c r="O105" s="197" t="s">
        <v>255</v>
      </c>
      <c r="P105" s="197" t="s">
        <v>253</v>
      </c>
      <c r="Q105" s="198" t="s">
        <v>473</v>
      </c>
      <c r="R105" s="197" t="s">
        <v>257</v>
      </c>
      <c r="S105" s="197">
        <v>100</v>
      </c>
      <c r="T105" s="197" t="s">
        <v>474</v>
      </c>
      <c r="U105" s="198">
        <v>0</v>
      </c>
      <c r="V105" s="199">
        <v>1</v>
      </c>
      <c r="W105" s="199">
        <v>1</v>
      </c>
      <c r="X105" s="199" t="s">
        <v>300</v>
      </c>
      <c r="Y105" s="200" t="s">
        <v>301</v>
      </c>
      <c r="Z105" s="200" t="s">
        <v>301</v>
      </c>
      <c r="AA105" s="233" t="str">
        <f t="shared" si="29"/>
        <v>Unused</v>
      </c>
      <c r="AB105" s="234" t="str">
        <f t="shared" si="30"/>
        <v>Unused</v>
      </c>
      <c r="AC105" s="248"/>
      <c r="AD105" s="234" t="str">
        <f t="shared" si="27"/>
        <v>ENABLE</v>
      </c>
      <c r="AE105" s="234" t="str">
        <f t="shared" ref="AE105:AE148" si="33">IF((OR($AB105="Unused",$AK105="OUT")),"DISABLE","ENABLE")</f>
        <v>DISABLE</v>
      </c>
      <c r="AF105" s="234" t="str">
        <f t="shared" si="26"/>
        <v>NORMAL</v>
      </c>
      <c r="AG105" s="248"/>
      <c r="AH105" s="234" t="str">
        <f t="shared" si="31"/>
        <v>TRISTATE</v>
      </c>
      <c r="AI105" s="234" t="str">
        <f t="shared" si="32"/>
        <v>HIGH</v>
      </c>
      <c r="AJ105" s="182" t="s">
        <v>1071</v>
      </c>
      <c r="AK105" s="149" t="s">
        <v>2926</v>
      </c>
      <c r="AL105" s="153"/>
      <c r="AM105" s="256"/>
      <c r="AN105" s="152"/>
      <c r="AO105" s="152"/>
      <c r="AP105" s="153"/>
      <c r="AQ105" s="345"/>
      <c r="AR105" s="6" t="s">
        <v>1071</v>
      </c>
      <c r="AS105" s="384"/>
      <c r="AT105" s="282" t="s">
        <v>1071</v>
      </c>
      <c r="AU105" s="438"/>
      <c r="AV105" s="66" t="s">
        <v>475</v>
      </c>
    </row>
    <row r="106" spans="1:48" ht="12.95" customHeight="1" x14ac:dyDescent="0.25">
      <c r="A106" s="197" t="s">
        <v>99</v>
      </c>
      <c r="B106" s="271"/>
      <c r="C106" s="197" t="s">
        <v>1747</v>
      </c>
      <c r="D106" s="197" t="s">
        <v>1748</v>
      </c>
      <c r="E106" s="165" t="s">
        <v>1748</v>
      </c>
      <c r="F106" s="197" t="str">
        <f t="shared" si="28"/>
        <v>unused_DDC_SCL</v>
      </c>
      <c r="G106" s="198" t="s">
        <v>866</v>
      </c>
      <c r="H106" s="197" t="s">
        <v>476</v>
      </c>
      <c r="I106" s="360" t="s">
        <v>3063</v>
      </c>
      <c r="J106" s="360" t="s">
        <v>3076</v>
      </c>
      <c r="K106" s="360" t="s">
        <v>3090</v>
      </c>
      <c r="L106" s="198" t="s">
        <v>270</v>
      </c>
      <c r="M106" s="197" t="s">
        <v>270</v>
      </c>
      <c r="N106" s="197" t="s">
        <v>270</v>
      </c>
      <c r="O106" s="197" t="s">
        <v>255</v>
      </c>
      <c r="P106" s="197" t="s">
        <v>253</v>
      </c>
      <c r="Q106" s="198" t="s">
        <v>473</v>
      </c>
      <c r="R106" s="197" t="s">
        <v>477</v>
      </c>
      <c r="S106" s="197" t="s">
        <v>478</v>
      </c>
      <c r="T106" s="197" t="s">
        <v>479</v>
      </c>
      <c r="U106" s="198">
        <v>0</v>
      </c>
      <c r="V106" s="199">
        <v>1</v>
      </c>
      <c r="W106" s="199">
        <v>1</v>
      </c>
      <c r="X106" s="199" t="s">
        <v>264</v>
      </c>
      <c r="Y106" s="200" t="s">
        <v>265</v>
      </c>
      <c r="Z106" s="200" t="s">
        <v>265</v>
      </c>
      <c r="AA106" s="233" t="str">
        <f t="shared" si="29"/>
        <v>Unused</v>
      </c>
      <c r="AB106" s="234" t="str">
        <f t="shared" si="30"/>
        <v>Unused</v>
      </c>
      <c r="AC106" s="248"/>
      <c r="AD106" s="234" t="str">
        <f t="shared" si="27"/>
        <v>ENABLE</v>
      </c>
      <c r="AE106" s="234" t="str">
        <f t="shared" si="33"/>
        <v>DISABLE</v>
      </c>
      <c r="AF106" s="234" t="str">
        <f t="shared" si="26"/>
        <v>NORMAL</v>
      </c>
      <c r="AG106" s="234" t="str">
        <f>IF((AJ106=H106),"ENABLE","DISABLE")</f>
        <v>DISABLE</v>
      </c>
      <c r="AH106" s="234" t="str">
        <f t="shared" si="31"/>
        <v>TRISTATE</v>
      </c>
      <c r="AI106" s="234" t="str">
        <f t="shared" si="32"/>
        <v>HIGH</v>
      </c>
      <c r="AJ106" s="182" t="s">
        <v>3676</v>
      </c>
      <c r="AK106" s="149" t="s">
        <v>2926</v>
      </c>
      <c r="AL106" s="153"/>
      <c r="AM106" s="256"/>
      <c r="AN106" s="152"/>
      <c r="AO106" s="152"/>
      <c r="AP106" s="153"/>
      <c r="AQ106" s="385" t="s">
        <v>1189</v>
      </c>
      <c r="AR106" s="6" t="s">
        <v>476</v>
      </c>
      <c r="AS106" s="379" t="s">
        <v>1189</v>
      </c>
      <c r="AT106" s="282" t="s">
        <v>476</v>
      </c>
      <c r="AU106" s="371" t="s">
        <v>1189</v>
      </c>
      <c r="AV106" s="379" t="s">
        <v>1189</v>
      </c>
    </row>
    <row r="107" spans="1:48" ht="12.95" customHeight="1" thickBot="1" x14ac:dyDescent="0.3">
      <c r="A107" s="197" t="s">
        <v>100</v>
      </c>
      <c r="B107" s="271"/>
      <c r="C107" s="197" t="s">
        <v>1749</v>
      </c>
      <c r="D107" s="197" t="s">
        <v>1750</v>
      </c>
      <c r="E107" s="165" t="s">
        <v>1750</v>
      </c>
      <c r="F107" s="197" t="str">
        <f t="shared" si="28"/>
        <v>unused_DDC_SDA</v>
      </c>
      <c r="G107" s="198" t="s">
        <v>867</v>
      </c>
      <c r="H107" s="197" t="s">
        <v>480</v>
      </c>
      <c r="I107" s="360" t="s">
        <v>3063</v>
      </c>
      <c r="J107" s="360" t="s">
        <v>3076</v>
      </c>
      <c r="K107" s="360" t="s">
        <v>3090</v>
      </c>
      <c r="L107" s="198" t="s">
        <v>270</v>
      </c>
      <c r="M107" s="197" t="s">
        <v>270</v>
      </c>
      <c r="N107" s="197" t="s">
        <v>270</v>
      </c>
      <c r="O107" s="197" t="s">
        <v>255</v>
      </c>
      <c r="P107" s="197" t="s">
        <v>253</v>
      </c>
      <c r="Q107" s="198" t="s">
        <v>473</v>
      </c>
      <c r="R107" s="197" t="s">
        <v>477</v>
      </c>
      <c r="S107" s="197" t="s">
        <v>478</v>
      </c>
      <c r="T107" s="197" t="s">
        <v>479</v>
      </c>
      <c r="U107" s="198">
        <v>0</v>
      </c>
      <c r="V107" s="199">
        <v>1</v>
      </c>
      <c r="W107" s="199">
        <v>1</v>
      </c>
      <c r="X107" s="199" t="s">
        <v>264</v>
      </c>
      <c r="Y107" s="200" t="s">
        <v>265</v>
      </c>
      <c r="Z107" s="200" t="s">
        <v>265</v>
      </c>
      <c r="AA107" s="233" t="str">
        <f t="shared" si="29"/>
        <v>Unused</v>
      </c>
      <c r="AB107" s="234" t="str">
        <f t="shared" si="30"/>
        <v>Unused</v>
      </c>
      <c r="AC107" s="248"/>
      <c r="AD107" s="234" t="str">
        <f t="shared" si="27"/>
        <v>ENABLE</v>
      </c>
      <c r="AE107" s="234" t="str">
        <f t="shared" si="33"/>
        <v>DISABLE</v>
      </c>
      <c r="AF107" s="234" t="str">
        <f t="shared" si="26"/>
        <v>NORMAL</v>
      </c>
      <c r="AG107" s="234" t="str">
        <f>IF((AJ107=H107),"ENABLE","DISABLE")</f>
        <v>DISABLE</v>
      </c>
      <c r="AH107" s="234" t="str">
        <f t="shared" si="31"/>
        <v>TRISTATE</v>
      </c>
      <c r="AI107" s="234" t="str">
        <f t="shared" si="32"/>
        <v>HIGH</v>
      </c>
      <c r="AJ107" s="182" t="s">
        <v>3677</v>
      </c>
      <c r="AK107" s="149" t="s">
        <v>2926</v>
      </c>
      <c r="AL107" s="153"/>
      <c r="AM107" s="257"/>
      <c r="AN107" s="152"/>
      <c r="AO107" s="152"/>
      <c r="AP107" s="153"/>
      <c r="AQ107" s="387"/>
      <c r="AR107" s="6" t="s">
        <v>480</v>
      </c>
      <c r="AS107" s="379"/>
      <c r="AT107" s="282" t="s">
        <v>480</v>
      </c>
      <c r="AU107" s="373"/>
      <c r="AV107" s="379"/>
    </row>
    <row r="108" spans="1:48" ht="12.95" customHeight="1" thickBot="1" x14ac:dyDescent="0.3">
      <c r="A108" s="197" t="s">
        <v>101</v>
      </c>
      <c r="B108" s="271"/>
      <c r="C108" s="197" t="s">
        <v>1751</v>
      </c>
      <c r="D108" s="197" t="s">
        <v>1752</v>
      </c>
      <c r="E108" s="165" t="s">
        <v>1752</v>
      </c>
      <c r="F108" s="197" t="str">
        <f t="shared" si="28"/>
        <v>unused_HDMI_INT</v>
      </c>
      <c r="G108" s="198" t="s">
        <v>868</v>
      </c>
      <c r="H108" s="360" t="s">
        <v>3037</v>
      </c>
      <c r="I108" s="360" t="s">
        <v>3037</v>
      </c>
      <c r="J108" s="360" t="s">
        <v>3037</v>
      </c>
      <c r="K108" s="360" t="s">
        <v>3037</v>
      </c>
      <c r="L108" s="198" t="s">
        <v>270</v>
      </c>
      <c r="M108" s="197" t="s">
        <v>254</v>
      </c>
      <c r="N108" s="197" t="s">
        <v>270</v>
      </c>
      <c r="O108" s="197" t="s">
        <v>255</v>
      </c>
      <c r="P108" s="197">
        <v>4</v>
      </c>
      <c r="Q108" s="198" t="s">
        <v>473</v>
      </c>
      <c r="R108" s="197" t="s">
        <v>477</v>
      </c>
      <c r="S108" s="197" t="s">
        <v>478</v>
      </c>
      <c r="T108" s="197" t="s">
        <v>481</v>
      </c>
      <c r="U108" s="198">
        <v>0</v>
      </c>
      <c r="V108" s="199">
        <v>1</v>
      </c>
      <c r="W108" s="199">
        <v>1</v>
      </c>
      <c r="X108" s="199" t="s">
        <v>264</v>
      </c>
      <c r="Y108" s="200" t="s">
        <v>265</v>
      </c>
      <c r="Z108" s="200" t="s">
        <v>265</v>
      </c>
      <c r="AA108" s="233" t="str">
        <f t="shared" si="29"/>
        <v>Unused</v>
      </c>
      <c r="AB108" s="234" t="str">
        <f t="shared" si="30"/>
        <v>Unused</v>
      </c>
      <c r="AC108" s="248"/>
      <c r="AD108" s="234" t="str">
        <f t="shared" si="27"/>
        <v>ENABLE</v>
      </c>
      <c r="AE108" s="234" t="str">
        <f t="shared" si="33"/>
        <v>DISABLE</v>
      </c>
      <c r="AF108" s="234" t="str">
        <f t="shared" si="26"/>
        <v>NORMAL</v>
      </c>
      <c r="AG108" s="248"/>
      <c r="AH108" s="234" t="str">
        <f t="shared" si="31"/>
        <v>TRISTATE</v>
      </c>
      <c r="AI108" s="234" t="str">
        <f t="shared" si="32"/>
        <v>HIGH</v>
      </c>
      <c r="AJ108" s="182" t="s">
        <v>3641</v>
      </c>
      <c r="AK108" s="149" t="s">
        <v>2926</v>
      </c>
      <c r="AL108" s="153"/>
      <c r="AM108" s="168"/>
      <c r="AN108" s="152"/>
      <c r="AO108" s="152"/>
      <c r="AP108" s="153"/>
      <c r="AQ108" s="343" t="s">
        <v>1190</v>
      </c>
      <c r="AR108" s="6" t="s">
        <v>868</v>
      </c>
      <c r="AS108" s="44" t="s">
        <v>1190</v>
      </c>
      <c r="AT108" s="282" t="s">
        <v>101</v>
      </c>
      <c r="AU108" s="51" t="s">
        <v>2428</v>
      </c>
      <c r="AV108" s="44" t="s">
        <v>1190</v>
      </c>
    </row>
    <row r="109" spans="1:48" ht="12.95" customHeight="1" thickBot="1" x14ac:dyDescent="0.3">
      <c r="A109" s="197" t="s">
        <v>102</v>
      </c>
      <c r="B109" s="271"/>
      <c r="C109" s="197" t="s">
        <v>1675</v>
      </c>
      <c r="D109" s="197" t="s">
        <v>1753</v>
      </c>
      <c r="E109" s="165" t="s">
        <v>1753</v>
      </c>
      <c r="F109" s="197" t="str">
        <f t="shared" si="28"/>
        <v>unused_LCD_CS0_N</v>
      </c>
      <c r="G109" s="198" t="s">
        <v>869</v>
      </c>
      <c r="H109" s="197" t="s">
        <v>2186</v>
      </c>
      <c r="I109" s="197" t="s">
        <v>2187</v>
      </c>
      <c r="J109" s="197" t="s">
        <v>2188</v>
      </c>
      <c r="K109" s="360" t="s">
        <v>3037</v>
      </c>
      <c r="L109" s="198" t="s">
        <v>2062</v>
      </c>
      <c r="M109" s="197" t="s">
        <v>270</v>
      </c>
      <c r="N109" s="197" t="s">
        <v>270</v>
      </c>
      <c r="O109" s="197" t="s">
        <v>255</v>
      </c>
      <c r="P109" s="197" t="s">
        <v>253</v>
      </c>
      <c r="Q109" s="198" t="s">
        <v>473</v>
      </c>
      <c r="R109" s="197" t="s">
        <v>257</v>
      </c>
      <c r="S109" s="197">
        <v>100</v>
      </c>
      <c r="T109" s="197" t="s">
        <v>482</v>
      </c>
      <c r="U109" s="198">
        <v>0</v>
      </c>
      <c r="V109" s="199">
        <v>1</v>
      </c>
      <c r="W109" s="199">
        <v>0</v>
      </c>
      <c r="X109" s="199" t="s">
        <v>300</v>
      </c>
      <c r="Y109" s="200" t="s">
        <v>301</v>
      </c>
      <c r="Z109" s="200" t="s">
        <v>301</v>
      </c>
      <c r="AA109" s="233" t="str">
        <f t="shared" si="29"/>
        <v>Unused</v>
      </c>
      <c r="AB109" s="234" t="str">
        <f t="shared" si="30"/>
        <v>Unused</v>
      </c>
      <c r="AC109" s="248"/>
      <c r="AD109" s="234" t="str">
        <f t="shared" si="27"/>
        <v>ENABLE</v>
      </c>
      <c r="AE109" s="234" t="str">
        <f t="shared" si="33"/>
        <v>DISABLE</v>
      </c>
      <c r="AF109" s="234" t="str">
        <f t="shared" si="26"/>
        <v>NORMAL</v>
      </c>
      <c r="AG109" s="248"/>
      <c r="AH109" s="234" t="str">
        <f t="shared" si="31"/>
        <v>TRISTATE</v>
      </c>
      <c r="AI109" s="234" t="str">
        <f t="shared" si="32"/>
        <v>HIGH</v>
      </c>
      <c r="AJ109" s="182" t="s">
        <v>1133</v>
      </c>
      <c r="AK109" s="149" t="s">
        <v>2926</v>
      </c>
      <c r="AL109" s="153"/>
      <c r="AM109" s="258"/>
      <c r="AN109" s="152"/>
      <c r="AO109" s="152"/>
      <c r="AP109" s="153"/>
      <c r="AQ109" s="343" t="s">
        <v>3590</v>
      </c>
      <c r="AR109" s="6" t="s">
        <v>1133</v>
      </c>
      <c r="AS109" s="388"/>
      <c r="AT109" s="282" t="s">
        <v>1133</v>
      </c>
      <c r="AU109" s="51" t="s">
        <v>2261</v>
      </c>
      <c r="AV109" s="388"/>
    </row>
    <row r="110" spans="1:48" ht="12.95" customHeight="1" thickBot="1" x14ac:dyDescent="0.3">
      <c r="A110" s="197" t="s">
        <v>103</v>
      </c>
      <c r="B110" s="271"/>
      <c r="C110" s="197" t="s">
        <v>1754</v>
      </c>
      <c r="D110" s="197" t="s">
        <v>1755</v>
      </c>
      <c r="E110" s="165" t="s">
        <v>1755</v>
      </c>
      <c r="F110" s="197" t="str">
        <f t="shared" si="28"/>
        <v>unused_LCD_CS1_N</v>
      </c>
      <c r="G110" s="198" t="s">
        <v>870</v>
      </c>
      <c r="H110" s="197" t="s">
        <v>483</v>
      </c>
      <c r="I110" s="197" t="s">
        <v>484</v>
      </c>
      <c r="J110" s="197" t="s">
        <v>2189</v>
      </c>
      <c r="K110" s="360" t="s">
        <v>3076</v>
      </c>
      <c r="L110" s="198" t="s">
        <v>2062</v>
      </c>
      <c r="M110" s="197" t="s">
        <v>270</v>
      </c>
      <c r="N110" s="197" t="s">
        <v>270</v>
      </c>
      <c r="O110" s="197" t="s">
        <v>255</v>
      </c>
      <c r="P110" s="197" t="s">
        <v>253</v>
      </c>
      <c r="Q110" s="198" t="s">
        <v>473</v>
      </c>
      <c r="R110" s="197" t="s">
        <v>257</v>
      </c>
      <c r="S110" s="197">
        <v>100</v>
      </c>
      <c r="T110" s="197" t="s">
        <v>481</v>
      </c>
      <c r="U110" s="198">
        <v>0</v>
      </c>
      <c r="V110" s="199">
        <v>1</v>
      </c>
      <c r="W110" s="199">
        <v>0</v>
      </c>
      <c r="X110" s="199" t="s">
        <v>300</v>
      </c>
      <c r="Y110" s="200" t="s">
        <v>301</v>
      </c>
      <c r="Z110" s="200" t="s">
        <v>301</v>
      </c>
      <c r="AA110" s="233" t="str">
        <f t="shared" si="29"/>
        <v>Unused</v>
      </c>
      <c r="AB110" s="234" t="str">
        <f t="shared" si="30"/>
        <v>Unused</v>
      </c>
      <c r="AC110" s="248"/>
      <c r="AD110" s="234" t="str">
        <f t="shared" si="27"/>
        <v>ENABLE</v>
      </c>
      <c r="AE110" s="234" t="str">
        <f t="shared" si="33"/>
        <v>DISABLE</v>
      </c>
      <c r="AF110" s="234" t="str">
        <f t="shared" si="26"/>
        <v>NORMAL</v>
      </c>
      <c r="AG110" s="248"/>
      <c r="AH110" s="234" t="str">
        <f t="shared" si="31"/>
        <v>TRISTATE</v>
      </c>
      <c r="AI110" s="234" t="str">
        <f t="shared" si="32"/>
        <v>HIGH</v>
      </c>
      <c r="AJ110" s="182" t="s">
        <v>1072</v>
      </c>
      <c r="AK110" s="149" t="s">
        <v>2926</v>
      </c>
      <c r="AL110" s="153"/>
      <c r="AM110" s="256"/>
      <c r="AN110" s="152"/>
      <c r="AO110" s="152"/>
      <c r="AP110" s="153"/>
      <c r="AQ110" s="343" t="s">
        <v>1209</v>
      </c>
      <c r="AR110" s="6" t="s">
        <v>1072</v>
      </c>
      <c r="AS110" s="390"/>
      <c r="AT110" s="282" t="s">
        <v>1072</v>
      </c>
      <c r="AU110" s="51" t="s">
        <v>1209</v>
      </c>
      <c r="AV110" s="390"/>
    </row>
    <row r="111" spans="1:48" ht="12.95" customHeight="1" x14ac:dyDescent="0.25">
      <c r="A111" s="197" t="s">
        <v>104</v>
      </c>
      <c r="B111" s="271"/>
      <c r="C111" s="197" t="s">
        <v>1756</v>
      </c>
      <c r="D111" s="197" t="s">
        <v>1757</v>
      </c>
      <c r="E111" s="165" t="s">
        <v>1757</v>
      </c>
      <c r="F111" s="197" t="str">
        <f t="shared" si="28"/>
        <v>unused_LCD_D0</v>
      </c>
      <c r="G111" s="198" t="s">
        <v>871</v>
      </c>
      <c r="H111" s="197" t="s">
        <v>485</v>
      </c>
      <c r="I111" s="197" t="s">
        <v>486</v>
      </c>
      <c r="J111" s="360" t="s">
        <v>3063</v>
      </c>
      <c r="K111" s="360" t="s">
        <v>3076</v>
      </c>
      <c r="L111" s="198" t="s">
        <v>2062</v>
      </c>
      <c r="M111" s="197" t="s">
        <v>270</v>
      </c>
      <c r="N111" s="197" t="s">
        <v>270</v>
      </c>
      <c r="O111" s="197" t="s">
        <v>255</v>
      </c>
      <c r="P111" s="197" t="s">
        <v>253</v>
      </c>
      <c r="Q111" s="198" t="s">
        <v>473</v>
      </c>
      <c r="R111" s="197" t="s">
        <v>257</v>
      </c>
      <c r="S111" s="197">
        <v>100</v>
      </c>
      <c r="T111" s="197" t="s">
        <v>481</v>
      </c>
      <c r="U111" s="198">
        <v>0</v>
      </c>
      <c r="V111" s="199">
        <v>1</v>
      </c>
      <c r="W111" s="199">
        <v>0</v>
      </c>
      <c r="X111" s="199" t="s">
        <v>259</v>
      </c>
      <c r="Y111" s="200" t="s">
        <v>260</v>
      </c>
      <c r="Z111" s="200" t="s">
        <v>260</v>
      </c>
      <c r="AA111" s="233" t="str">
        <f t="shared" si="29"/>
        <v>Unused</v>
      </c>
      <c r="AB111" s="234" t="str">
        <f t="shared" si="30"/>
        <v>Unused</v>
      </c>
      <c r="AC111" s="248"/>
      <c r="AD111" s="234" t="str">
        <f t="shared" si="27"/>
        <v>ENABLE</v>
      </c>
      <c r="AE111" s="234" t="str">
        <f t="shared" si="33"/>
        <v>DISABLE</v>
      </c>
      <c r="AF111" s="234" t="str">
        <f t="shared" si="26"/>
        <v>NORMAL</v>
      </c>
      <c r="AG111" s="248"/>
      <c r="AH111" s="234" t="str">
        <f t="shared" si="31"/>
        <v>TRISTATE</v>
      </c>
      <c r="AI111" s="234" t="str">
        <f t="shared" si="32"/>
        <v>HIGH</v>
      </c>
      <c r="AJ111" s="182" t="s">
        <v>3678</v>
      </c>
      <c r="AK111" s="149" t="s">
        <v>2926</v>
      </c>
      <c r="AL111" s="153"/>
      <c r="AM111" s="256"/>
      <c r="AN111" s="152"/>
      <c r="AO111" s="152"/>
      <c r="AP111" s="153"/>
      <c r="AQ111" s="434" t="s">
        <v>3591</v>
      </c>
      <c r="AR111" s="6" t="s">
        <v>871</v>
      </c>
      <c r="AS111" s="380" t="s">
        <v>2282</v>
      </c>
      <c r="AT111" s="282" t="s">
        <v>485</v>
      </c>
      <c r="AU111" s="439" t="s">
        <v>2282</v>
      </c>
      <c r="AV111" s="439" t="s">
        <v>2282</v>
      </c>
    </row>
    <row r="112" spans="1:48" ht="12.95" customHeight="1" x14ac:dyDescent="0.25">
      <c r="A112" s="197" t="s">
        <v>105</v>
      </c>
      <c r="B112" s="271"/>
      <c r="C112" s="197" t="s">
        <v>1758</v>
      </c>
      <c r="D112" s="197" t="s">
        <v>1759</v>
      </c>
      <c r="E112" s="165" t="s">
        <v>1759</v>
      </c>
      <c r="F112" s="197" t="str">
        <f t="shared" si="28"/>
        <v>unused_LCD_D1</v>
      </c>
      <c r="G112" s="198" t="s">
        <v>872</v>
      </c>
      <c r="H112" s="197" t="s">
        <v>487</v>
      </c>
      <c r="I112" s="197" t="s">
        <v>488</v>
      </c>
      <c r="J112" s="360" t="s">
        <v>3063</v>
      </c>
      <c r="K112" s="360" t="s">
        <v>3076</v>
      </c>
      <c r="L112" s="198" t="s">
        <v>2062</v>
      </c>
      <c r="M112" s="197" t="s">
        <v>270</v>
      </c>
      <c r="N112" s="197" t="s">
        <v>270</v>
      </c>
      <c r="O112" s="197" t="s">
        <v>255</v>
      </c>
      <c r="P112" s="197" t="s">
        <v>253</v>
      </c>
      <c r="Q112" s="198" t="s">
        <v>473</v>
      </c>
      <c r="R112" s="197" t="s">
        <v>257</v>
      </c>
      <c r="S112" s="197">
        <v>100</v>
      </c>
      <c r="T112" s="197" t="s">
        <v>481</v>
      </c>
      <c r="U112" s="198">
        <v>0</v>
      </c>
      <c r="V112" s="199">
        <v>1</v>
      </c>
      <c r="W112" s="199">
        <v>0</v>
      </c>
      <c r="X112" s="199" t="s">
        <v>259</v>
      </c>
      <c r="Y112" s="200" t="s">
        <v>260</v>
      </c>
      <c r="Z112" s="200" t="s">
        <v>260</v>
      </c>
      <c r="AA112" s="233" t="str">
        <f t="shared" si="29"/>
        <v>Unused</v>
      </c>
      <c r="AB112" s="234" t="str">
        <f t="shared" si="30"/>
        <v>Unused</v>
      </c>
      <c r="AC112" s="248"/>
      <c r="AD112" s="234" t="str">
        <f t="shared" si="27"/>
        <v>ENABLE</v>
      </c>
      <c r="AE112" s="234" t="str">
        <f t="shared" si="33"/>
        <v>DISABLE</v>
      </c>
      <c r="AF112" s="234" t="str">
        <f t="shared" si="26"/>
        <v>NORMAL</v>
      </c>
      <c r="AG112" s="248"/>
      <c r="AH112" s="234" t="str">
        <f t="shared" si="31"/>
        <v>TRISTATE</v>
      </c>
      <c r="AI112" s="234" t="str">
        <f t="shared" si="32"/>
        <v>HIGH</v>
      </c>
      <c r="AJ112" s="182" t="s">
        <v>3679</v>
      </c>
      <c r="AK112" s="149" t="s">
        <v>2926</v>
      </c>
      <c r="AL112" s="153"/>
      <c r="AM112" s="256"/>
      <c r="AN112" s="152"/>
      <c r="AO112" s="152"/>
      <c r="AP112" s="153"/>
      <c r="AQ112" s="435"/>
      <c r="AR112" s="6" t="s">
        <v>872</v>
      </c>
      <c r="AS112" s="381"/>
      <c r="AT112" s="282" t="s">
        <v>487</v>
      </c>
      <c r="AU112" s="440"/>
      <c r="AV112" s="440"/>
    </row>
    <row r="113" spans="1:48" ht="12.95" customHeight="1" x14ac:dyDescent="0.25">
      <c r="A113" s="197" t="s">
        <v>106</v>
      </c>
      <c r="B113" s="271"/>
      <c r="C113" s="197" t="s">
        <v>1760</v>
      </c>
      <c r="D113" s="197" t="s">
        <v>1761</v>
      </c>
      <c r="E113" s="165" t="s">
        <v>1761</v>
      </c>
      <c r="F113" s="197" t="str">
        <f t="shared" si="28"/>
        <v>unused_LCD_D10</v>
      </c>
      <c r="G113" s="198" t="s">
        <v>873</v>
      </c>
      <c r="H113" s="197" t="s">
        <v>489</v>
      </c>
      <c r="I113" s="197" t="s">
        <v>490</v>
      </c>
      <c r="J113" s="360" t="s">
        <v>3063</v>
      </c>
      <c r="K113" s="360" t="s">
        <v>3076</v>
      </c>
      <c r="L113" s="198" t="s">
        <v>2062</v>
      </c>
      <c r="M113" s="197" t="s">
        <v>270</v>
      </c>
      <c r="N113" s="197" t="s">
        <v>270</v>
      </c>
      <c r="O113" s="197" t="s">
        <v>255</v>
      </c>
      <c r="P113" s="197" t="s">
        <v>253</v>
      </c>
      <c r="Q113" s="198" t="s">
        <v>473</v>
      </c>
      <c r="R113" s="197" t="s">
        <v>257</v>
      </c>
      <c r="S113" s="197">
        <v>100</v>
      </c>
      <c r="T113" s="197" t="s">
        <v>481</v>
      </c>
      <c r="U113" s="198">
        <v>0</v>
      </c>
      <c r="V113" s="199">
        <v>1</v>
      </c>
      <c r="W113" s="199">
        <v>0</v>
      </c>
      <c r="X113" s="199" t="s">
        <v>259</v>
      </c>
      <c r="Y113" s="200" t="s">
        <v>260</v>
      </c>
      <c r="Z113" s="200" t="s">
        <v>260</v>
      </c>
      <c r="AA113" s="233" t="str">
        <f t="shared" si="29"/>
        <v>Unused</v>
      </c>
      <c r="AB113" s="234" t="str">
        <f t="shared" si="30"/>
        <v>Unused</v>
      </c>
      <c r="AC113" s="248"/>
      <c r="AD113" s="234" t="str">
        <f t="shared" si="27"/>
        <v>ENABLE</v>
      </c>
      <c r="AE113" s="234" t="str">
        <f t="shared" si="33"/>
        <v>DISABLE</v>
      </c>
      <c r="AF113" s="234" t="str">
        <f t="shared" si="26"/>
        <v>NORMAL</v>
      </c>
      <c r="AG113" s="248"/>
      <c r="AH113" s="234" t="str">
        <f t="shared" si="31"/>
        <v>TRISTATE</v>
      </c>
      <c r="AI113" s="234" t="str">
        <f t="shared" si="32"/>
        <v>HIGH</v>
      </c>
      <c r="AJ113" s="182" t="s">
        <v>3680</v>
      </c>
      <c r="AK113" s="149" t="s">
        <v>2926</v>
      </c>
      <c r="AL113" s="153"/>
      <c r="AM113" s="256"/>
      <c r="AN113" s="152"/>
      <c r="AO113" s="152"/>
      <c r="AP113" s="153"/>
      <c r="AQ113" s="435"/>
      <c r="AR113" s="6" t="s">
        <v>873</v>
      </c>
      <c r="AS113" s="381"/>
      <c r="AT113" s="282" t="s">
        <v>489</v>
      </c>
      <c r="AU113" s="440"/>
      <c r="AV113" s="440"/>
    </row>
    <row r="114" spans="1:48" ht="12.95" customHeight="1" x14ac:dyDescent="0.25">
      <c r="A114" s="197" t="s">
        <v>107</v>
      </c>
      <c r="B114" s="271"/>
      <c r="C114" s="197" t="s">
        <v>1762</v>
      </c>
      <c r="D114" s="197" t="s">
        <v>1763</v>
      </c>
      <c r="E114" s="165" t="s">
        <v>1763</v>
      </c>
      <c r="F114" s="197" t="str">
        <f t="shared" si="28"/>
        <v>unused_LCD_D11</v>
      </c>
      <c r="G114" s="198" t="s">
        <v>874</v>
      </c>
      <c r="H114" s="197" t="s">
        <v>491</v>
      </c>
      <c r="I114" s="197" t="s">
        <v>492</v>
      </c>
      <c r="J114" s="360" t="s">
        <v>3063</v>
      </c>
      <c r="K114" s="360" t="s">
        <v>3076</v>
      </c>
      <c r="L114" s="198" t="s">
        <v>2062</v>
      </c>
      <c r="M114" s="197" t="s">
        <v>270</v>
      </c>
      <c r="N114" s="197" t="s">
        <v>270</v>
      </c>
      <c r="O114" s="197" t="s">
        <v>255</v>
      </c>
      <c r="P114" s="197" t="s">
        <v>253</v>
      </c>
      <c r="Q114" s="198" t="s">
        <v>473</v>
      </c>
      <c r="R114" s="197" t="s">
        <v>257</v>
      </c>
      <c r="S114" s="197">
        <v>100</v>
      </c>
      <c r="T114" s="197" t="s">
        <v>481</v>
      </c>
      <c r="U114" s="198">
        <v>0</v>
      </c>
      <c r="V114" s="199">
        <v>1</v>
      </c>
      <c r="W114" s="199">
        <v>0</v>
      </c>
      <c r="X114" s="199" t="s">
        <v>259</v>
      </c>
      <c r="Y114" s="200" t="s">
        <v>260</v>
      </c>
      <c r="Z114" s="200" t="s">
        <v>260</v>
      </c>
      <c r="AA114" s="233" t="str">
        <f t="shared" si="29"/>
        <v>Unused</v>
      </c>
      <c r="AB114" s="234" t="str">
        <f t="shared" si="30"/>
        <v>Unused</v>
      </c>
      <c r="AC114" s="248"/>
      <c r="AD114" s="234" t="str">
        <f t="shared" si="27"/>
        <v>ENABLE</v>
      </c>
      <c r="AE114" s="234" t="str">
        <f t="shared" si="33"/>
        <v>DISABLE</v>
      </c>
      <c r="AF114" s="234" t="str">
        <f t="shared" si="26"/>
        <v>NORMAL</v>
      </c>
      <c r="AG114" s="248"/>
      <c r="AH114" s="234" t="str">
        <f t="shared" si="31"/>
        <v>TRISTATE</v>
      </c>
      <c r="AI114" s="234" t="str">
        <f t="shared" si="32"/>
        <v>HIGH</v>
      </c>
      <c r="AJ114" s="182" t="s">
        <v>3681</v>
      </c>
      <c r="AK114" s="149" t="s">
        <v>2926</v>
      </c>
      <c r="AL114" s="153"/>
      <c r="AM114" s="256"/>
      <c r="AN114" s="152"/>
      <c r="AO114" s="152"/>
      <c r="AP114" s="153"/>
      <c r="AQ114" s="435"/>
      <c r="AR114" s="6" t="s">
        <v>874</v>
      </c>
      <c r="AS114" s="381"/>
      <c r="AT114" s="282" t="s">
        <v>491</v>
      </c>
      <c r="AU114" s="440"/>
      <c r="AV114" s="440"/>
    </row>
    <row r="115" spans="1:48" ht="12.95" customHeight="1" x14ac:dyDescent="0.25">
      <c r="A115" s="197" t="s">
        <v>108</v>
      </c>
      <c r="B115" s="271"/>
      <c r="C115" s="197" t="s">
        <v>1764</v>
      </c>
      <c r="D115" s="197" t="s">
        <v>1765</v>
      </c>
      <c r="E115" s="165" t="s">
        <v>1765</v>
      </c>
      <c r="F115" s="197" t="str">
        <f t="shared" si="28"/>
        <v>unused_LCD_D12</v>
      </c>
      <c r="G115" s="198" t="s">
        <v>875</v>
      </c>
      <c r="H115" s="197" t="s">
        <v>493</v>
      </c>
      <c r="I115" s="197" t="s">
        <v>494</v>
      </c>
      <c r="J115" s="360" t="s">
        <v>3063</v>
      </c>
      <c r="K115" s="360" t="s">
        <v>3076</v>
      </c>
      <c r="L115" s="198" t="s">
        <v>2062</v>
      </c>
      <c r="M115" s="197" t="s">
        <v>270</v>
      </c>
      <c r="N115" s="197" t="s">
        <v>270</v>
      </c>
      <c r="O115" s="197" t="s">
        <v>255</v>
      </c>
      <c r="P115" s="197" t="s">
        <v>253</v>
      </c>
      <c r="Q115" s="198" t="s">
        <v>473</v>
      </c>
      <c r="R115" s="197" t="s">
        <v>257</v>
      </c>
      <c r="S115" s="197">
        <v>100</v>
      </c>
      <c r="T115" s="197" t="s">
        <v>481</v>
      </c>
      <c r="U115" s="198">
        <v>0</v>
      </c>
      <c r="V115" s="199">
        <v>1</v>
      </c>
      <c r="W115" s="199">
        <v>0</v>
      </c>
      <c r="X115" s="199" t="s">
        <v>259</v>
      </c>
      <c r="Y115" s="200" t="s">
        <v>260</v>
      </c>
      <c r="Z115" s="200" t="s">
        <v>260</v>
      </c>
      <c r="AA115" s="233" t="str">
        <f t="shared" si="29"/>
        <v>Unused</v>
      </c>
      <c r="AB115" s="234" t="str">
        <f t="shared" si="30"/>
        <v>Unused</v>
      </c>
      <c r="AC115" s="248"/>
      <c r="AD115" s="234" t="str">
        <f t="shared" si="27"/>
        <v>ENABLE</v>
      </c>
      <c r="AE115" s="234" t="str">
        <f t="shared" si="33"/>
        <v>DISABLE</v>
      </c>
      <c r="AF115" s="234" t="str">
        <f t="shared" si="26"/>
        <v>NORMAL</v>
      </c>
      <c r="AG115" s="248"/>
      <c r="AH115" s="234" t="str">
        <f t="shared" si="31"/>
        <v>TRISTATE</v>
      </c>
      <c r="AI115" s="234" t="str">
        <f t="shared" si="32"/>
        <v>HIGH</v>
      </c>
      <c r="AJ115" s="182" t="s">
        <v>3682</v>
      </c>
      <c r="AK115" s="149" t="s">
        <v>2926</v>
      </c>
      <c r="AL115" s="153"/>
      <c r="AM115" s="256"/>
      <c r="AN115" s="152"/>
      <c r="AO115" s="152"/>
      <c r="AP115" s="153"/>
      <c r="AQ115" s="435"/>
      <c r="AR115" s="6" t="s">
        <v>875</v>
      </c>
      <c r="AS115" s="381"/>
      <c r="AT115" s="282" t="s">
        <v>493</v>
      </c>
      <c r="AU115" s="440"/>
      <c r="AV115" s="440"/>
    </row>
    <row r="116" spans="1:48" ht="12.95" customHeight="1" x14ac:dyDescent="0.25">
      <c r="A116" s="197" t="s">
        <v>109</v>
      </c>
      <c r="B116" s="271"/>
      <c r="C116" s="197" t="s">
        <v>1766</v>
      </c>
      <c r="D116" s="197" t="s">
        <v>1767</v>
      </c>
      <c r="E116" s="165" t="s">
        <v>1767</v>
      </c>
      <c r="F116" s="197" t="str">
        <f t="shared" si="28"/>
        <v>unused_LCD_D13</v>
      </c>
      <c r="G116" s="198" t="s">
        <v>876</v>
      </c>
      <c r="H116" s="197" t="s">
        <v>495</v>
      </c>
      <c r="I116" s="197" t="s">
        <v>496</v>
      </c>
      <c r="J116" s="360" t="s">
        <v>3063</v>
      </c>
      <c r="K116" s="360" t="s">
        <v>3076</v>
      </c>
      <c r="L116" s="198" t="s">
        <v>2062</v>
      </c>
      <c r="M116" s="197" t="s">
        <v>270</v>
      </c>
      <c r="N116" s="197" t="s">
        <v>270</v>
      </c>
      <c r="O116" s="197" t="s">
        <v>255</v>
      </c>
      <c r="P116" s="197" t="s">
        <v>253</v>
      </c>
      <c r="Q116" s="198" t="s">
        <v>473</v>
      </c>
      <c r="R116" s="197" t="s">
        <v>257</v>
      </c>
      <c r="S116" s="197">
        <v>100</v>
      </c>
      <c r="T116" s="197" t="s">
        <v>481</v>
      </c>
      <c r="U116" s="198">
        <v>0</v>
      </c>
      <c r="V116" s="199">
        <v>1</v>
      </c>
      <c r="W116" s="199">
        <v>0</v>
      </c>
      <c r="X116" s="199" t="s">
        <v>259</v>
      </c>
      <c r="Y116" s="200" t="s">
        <v>260</v>
      </c>
      <c r="Z116" s="200" t="s">
        <v>260</v>
      </c>
      <c r="AA116" s="233" t="str">
        <f t="shared" si="29"/>
        <v>Unused</v>
      </c>
      <c r="AB116" s="234" t="str">
        <f t="shared" si="30"/>
        <v>Unused</v>
      </c>
      <c r="AC116" s="248"/>
      <c r="AD116" s="234" t="str">
        <f t="shared" si="27"/>
        <v>ENABLE</v>
      </c>
      <c r="AE116" s="234" t="str">
        <f t="shared" si="33"/>
        <v>DISABLE</v>
      </c>
      <c r="AF116" s="234" t="str">
        <f t="shared" si="26"/>
        <v>NORMAL</v>
      </c>
      <c r="AG116" s="248"/>
      <c r="AH116" s="234" t="str">
        <f t="shared" si="31"/>
        <v>TRISTATE</v>
      </c>
      <c r="AI116" s="234" t="str">
        <f t="shared" si="32"/>
        <v>HIGH</v>
      </c>
      <c r="AJ116" s="182" t="s">
        <v>3683</v>
      </c>
      <c r="AK116" s="149" t="s">
        <v>2926</v>
      </c>
      <c r="AL116" s="153"/>
      <c r="AM116" s="256"/>
      <c r="AN116" s="152"/>
      <c r="AO116" s="152"/>
      <c r="AP116" s="153"/>
      <c r="AQ116" s="435"/>
      <c r="AR116" s="6" t="s">
        <v>876</v>
      </c>
      <c r="AS116" s="381"/>
      <c r="AT116" s="282" t="s">
        <v>495</v>
      </c>
      <c r="AU116" s="440"/>
      <c r="AV116" s="440"/>
    </row>
    <row r="117" spans="1:48" ht="12.95" customHeight="1" x14ac:dyDescent="0.25">
      <c r="A117" s="197" t="s">
        <v>110</v>
      </c>
      <c r="B117" s="271"/>
      <c r="C117" s="197" t="s">
        <v>1768</v>
      </c>
      <c r="D117" s="197" t="s">
        <v>1521</v>
      </c>
      <c r="E117" s="165" t="s">
        <v>1521</v>
      </c>
      <c r="F117" s="197" t="str">
        <f t="shared" si="28"/>
        <v>unused_LCD_D14</v>
      </c>
      <c r="G117" s="198" t="s">
        <v>877</v>
      </c>
      <c r="H117" s="197" t="s">
        <v>497</v>
      </c>
      <c r="I117" s="197" t="s">
        <v>498</v>
      </c>
      <c r="J117" s="360" t="s">
        <v>3063</v>
      </c>
      <c r="K117" s="360" t="s">
        <v>3076</v>
      </c>
      <c r="L117" s="198" t="s">
        <v>2062</v>
      </c>
      <c r="M117" s="197" t="s">
        <v>270</v>
      </c>
      <c r="N117" s="197" t="s">
        <v>270</v>
      </c>
      <c r="O117" s="197" t="s">
        <v>255</v>
      </c>
      <c r="P117" s="197" t="s">
        <v>253</v>
      </c>
      <c r="Q117" s="198" t="s">
        <v>473</v>
      </c>
      <c r="R117" s="197" t="s">
        <v>257</v>
      </c>
      <c r="S117" s="197">
        <v>100</v>
      </c>
      <c r="T117" s="197" t="s">
        <v>481</v>
      </c>
      <c r="U117" s="198">
        <v>0</v>
      </c>
      <c r="V117" s="199">
        <v>1</v>
      </c>
      <c r="W117" s="199">
        <v>0</v>
      </c>
      <c r="X117" s="199" t="s">
        <v>259</v>
      </c>
      <c r="Y117" s="200" t="s">
        <v>260</v>
      </c>
      <c r="Z117" s="200" t="s">
        <v>260</v>
      </c>
      <c r="AA117" s="233" t="str">
        <f t="shared" si="29"/>
        <v>Unused</v>
      </c>
      <c r="AB117" s="234" t="str">
        <f t="shared" si="30"/>
        <v>Unused</v>
      </c>
      <c r="AC117" s="248"/>
      <c r="AD117" s="234" t="str">
        <f t="shared" si="27"/>
        <v>ENABLE</v>
      </c>
      <c r="AE117" s="234" t="str">
        <f t="shared" si="33"/>
        <v>DISABLE</v>
      </c>
      <c r="AF117" s="234" t="str">
        <f t="shared" si="26"/>
        <v>NORMAL</v>
      </c>
      <c r="AG117" s="248"/>
      <c r="AH117" s="234" t="str">
        <f t="shared" si="31"/>
        <v>TRISTATE</v>
      </c>
      <c r="AI117" s="234" t="str">
        <f t="shared" si="32"/>
        <v>HIGH</v>
      </c>
      <c r="AJ117" s="182" t="s">
        <v>3684</v>
      </c>
      <c r="AK117" s="149" t="s">
        <v>2926</v>
      </c>
      <c r="AL117" s="153"/>
      <c r="AM117" s="256"/>
      <c r="AN117" s="152"/>
      <c r="AO117" s="152"/>
      <c r="AP117" s="153"/>
      <c r="AQ117" s="435"/>
      <c r="AR117" s="6" t="s">
        <v>877</v>
      </c>
      <c r="AS117" s="381"/>
      <c r="AT117" s="282" t="s">
        <v>497</v>
      </c>
      <c r="AU117" s="440"/>
      <c r="AV117" s="440"/>
    </row>
    <row r="118" spans="1:48" ht="12.95" customHeight="1" x14ac:dyDescent="0.25">
      <c r="A118" s="197" t="s">
        <v>111</v>
      </c>
      <c r="B118" s="271"/>
      <c r="C118" s="197" t="s">
        <v>1769</v>
      </c>
      <c r="D118" s="197" t="s">
        <v>1770</v>
      </c>
      <c r="E118" s="165" t="s">
        <v>1770</v>
      </c>
      <c r="F118" s="197" t="str">
        <f t="shared" si="28"/>
        <v>unused_LCD_D15</v>
      </c>
      <c r="G118" s="198" t="s">
        <v>878</v>
      </c>
      <c r="H118" s="197" t="s">
        <v>499</v>
      </c>
      <c r="I118" s="197" t="s">
        <v>500</v>
      </c>
      <c r="J118" s="360" t="s">
        <v>3063</v>
      </c>
      <c r="K118" s="360" t="s">
        <v>3076</v>
      </c>
      <c r="L118" s="198" t="s">
        <v>2062</v>
      </c>
      <c r="M118" s="197" t="s">
        <v>270</v>
      </c>
      <c r="N118" s="197" t="s">
        <v>270</v>
      </c>
      <c r="O118" s="197" t="s">
        <v>255</v>
      </c>
      <c r="P118" s="197" t="s">
        <v>253</v>
      </c>
      <c r="Q118" s="198" t="s">
        <v>473</v>
      </c>
      <c r="R118" s="197" t="s">
        <v>257</v>
      </c>
      <c r="S118" s="197">
        <v>100</v>
      </c>
      <c r="T118" s="197" t="s">
        <v>481</v>
      </c>
      <c r="U118" s="198">
        <v>0</v>
      </c>
      <c r="V118" s="199">
        <v>1</v>
      </c>
      <c r="W118" s="199">
        <v>0</v>
      </c>
      <c r="X118" s="199" t="s">
        <v>259</v>
      </c>
      <c r="Y118" s="200" t="s">
        <v>260</v>
      </c>
      <c r="Z118" s="200" t="s">
        <v>260</v>
      </c>
      <c r="AA118" s="233" t="str">
        <f t="shared" si="29"/>
        <v>Unused</v>
      </c>
      <c r="AB118" s="234" t="str">
        <f t="shared" si="30"/>
        <v>Unused</v>
      </c>
      <c r="AC118" s="248"/>
      <c r="AD118" s="234" t="str">
        <f t="shared" si="27"/>
        <v>ENABLE</v>
      </c>
      <c r="AE118" s="234" t="str">
        <f t="shared" si="33"/>
        <v>DISABLE</v>
      </c>
      <c r="AF118" s="234" t="str">
        <f t="shared" si="26"/>
        <v>NORMAL</v>
      </c>
      <c r="AG118" s="248"/>
      <c r="AH118" s="234" t="str">
        <f t="shared" si="31"/>
        <v>TRISTATE</v>
      </c>
      <c r="AI118" s="234" t="str">
        <f t="shared" si="32"/>
        <v>HIGH</v>
      </c>
      <c r="AJ118" s="182" t="s">
        <v>3685</v>
      </c>
      <c r="AK118" s="149" t="s">
        <v>2926</v>
      </c>
      <c r="AL118" s="153"/>
      <c r="AM118" s="256"/>
      <c r="AN118" s="152"/>
      <c r="AO118" s="152"/>
      <c r="AP118" s="153"/>
      <c r="AQ118" s="435"/>
      <c r="AR118" s="6" t="s">
        <v>878</v>
      </c>
      <c r="AS118" s="381"/>
      <c r="AT118" s="282" t="s">
        <v>499</v>
      </c>
      <c r="AU118" s="440"/>
      <c r="AV118" s="440"/>
    </row>
    <row r="119" spans="1:48" ht="12.95" customHeight="1" x14ac:dyDescent="0.25">
      <c r="A119" s="197" t="s">
        <v>112</v>
      </c>
      <c r="B119" s="271"/>
      <c r="C119" s="197" t="s">
        <v>1771</v>
      </c>
      <c r="D119" s="197" t="s">
        <v>1772</v>
      </c>
      <c r="E119" s="165" t="s">
        <v>1772</v>
      </c>
      <c r="F119" s="197" t="str">
        <f t="shared" si="28"/>
        <v>unused_LCD_D16</v>
      </c>
      <c r="G119" s="198" t="s">
        <v>879</v>
      </c>
      <c r="H119" s="197" t="s">
        <v>501</v>
      </c>
      <c r="I119" s="197" t="s">
        <v>502</v>
      </c>
      <c r="J119" s="360" t="s">
        <v>3063</v>
      </c>
      <c r="K119" s="360" t="s">
        <v>3076</v>
      </c>
      <c r="L119" s="198" t="s">
        <v>2062</v>
      </c>
      <c r="M119" s="197" t="s">
        <v>270</v>
      </c>
      <c r="N119" s="197" t="s">
        <v>270</v>
      </c>
      <c r="O119" s="197" t="s">
        <v>255</v>
      </c>
      <c r="P119" s="197" t="s">
        <v>253</v>
      </c>
      <c r="Q119" s="198" t="s">
        <v>473</v>
      </c>
      <c r="R119" s="197" t="s">
        <v>257</v>
      </c>
      <c r="S119" s="197">
        <v>100</v>
      </c>
      <c r="T119" s="197" t="s">
        <v>481</v>
      </c>
      <c r="U119" s="198">
        <v>0</v>
      </c>
      <c r="V119" s="199">
        <v>1</v>
      </c>
      <c r="W119" s="199">
        <v>0</v>
      </c>
      <c r="X119" s="199" t="s">
        <v>259</v>
      </c>
      <c r="Y119" s="200" t="s">
        <v>260</v>
      </c>
      <c r="Z119" s="200" t="s">
        <v>260</v>
      </c>
      <c r="AA119" s="233" t="str">
        <f t="shared" si="29"/>
        <v>Unused</v>
      </c>
      <c r="AB119" s="234" t="str">
        <f t="shared" si="30"/>
        <v>Unused</v>
      </c>
      <c r="AC119" s="248"/>
      <c r="AD119" s="234" t="str">
        <f t="shared" si="27"/>
        <v>ENABLE</v>
      </c>
      <c r="AE119" s="234" t="str">
        <f t="shared" si="33"/>
        <v>DISABLE</v>
      </c>
      <c r="AF119" s="234" t="str">
        <f t="shared" si="26"/>
        <v>NORMAL</v>
      </c>
      <c r="AG119" s="248"/>
      <c r="AH119" s="234" t="str">
        <f t="shared" si="31"/>
        <v>TRISTATE</v>
      </c>
      <c r="AI119" s="234" t="str">
        <f t="shared" si="32"/>
        <v>HIGH</v>
      </c>
      <c r="AJ119" s="182" t="s">
        <v>3686</v>
      </c>
      <c r="AK119" s="149" t="s">
        <v>2926</v>
      </c>
      <c r="AL119" s="153"/>
      <c r="AM119" s="256"/>
      <c r="AN119" s="152"/>
      <c r="AO119" s="152"/>
      <c r="AP119" s="153"/>
      <c r="AQ119" s="435"/>
      <c r="AR119" s="6" t="s">
        <v>879</v>
      </c>
      <c r="AS119" s="381"/>
      <c r="AT119" s="282" t="s">
        <v>501</v>
      </c>
      <c r="AU119" s="440"/>
      <c r="AV119" s="440"/>
    </row>
    <row r="120" spans="1:48" ht="12.95" customHeight="1" x14ac:dyDescent="0.25">
      <c r="A120" s="197" t="s">
        <v>113</v>
      </c>
      <c r="B120" s="271"/>
      <c r="C120" s="197" t="s">
        <v>1773</v>
      </c>
      <c r="D120" s="197" t="s">
        <v>1493</v>
      </c>
      <c r="E120" s="165" t="s">
        <v>1493</v>
      </c>
      <c r="F120" s="197" t="str">
        <f t="shared" si="28"/>
        <v>unused_LCD_D17</v>
      </c>
      <c r="G120" s="198" t="s">
        <v>880</v>
      </c>
      <c r="H120" s="197" t="s">
        <v>503</v>
      </c>
      <c r="I120" s="197" t="s">
        <v>504</v>
      </c>
      <c r="J120" s="360" t="s">
        <v>3063</v>
      </c>
      <c r="K120" s="360" t="s">
        <v>3076</v>
      </c>
      <c r="L120" s="198" t="s">
        <v>2062</v>
      </c>
      <c r="M120" s="197" t="s">
        <v>270</v>
      </c>
      <c r="N120" s="197" t="s">
        <v>270</v>
      </c>
      <c r="O120" s="197" t="s">
        <v>255</v>
      </c>
      <c r="P120" s="197" t="s">
        <v>253</v>
      </c>
      <c r="Q120" s="198" t="s">
        <v>473</v>
      </c>
      <c r="R120" s="197" t="s">
        <v>257</v>
      </c>
      <c r="S120" s="197">
        <v>100</v>
      </c>
      <c r="T120" s="197" t="s">
        <v>481</v>
      </c>
      <c r="U120" s="198">
        <v>0</v>
      </c>
      <c r="V120" s="199">
        <v>1</v>
      </c>
      <c r="W120" s="199">
        <v>0</v>
      </c>
      <c r="X120" s="199" t="s">
        <v>259</v>
      </c>
      <c r="Y120" s="200" t="s">
        <v>260</v>
      </c>
      <c r="Z120" s="200" t="s">
        <v>260</v>
      </c>
      <c r="AA120" s="233" t="str">
        <f t="shared" si="29"/>
        <v>Unused</v>
      </c>
      <c r="AB120" s="234" t="str">
        <f t="shared" si="30"/>
        <v>Unused</v>
      </c>
      <c r="AC120" s="248"/>
      <c r="AD120" s="234" t="str">
        <f t="shared" si="27"/>
        <v>ENABLE</v>
      </c>
      <c r="AE120" s="234" t="str">
        <f t="shared" si="33"/>
        <v>DISABLE</v>
      </c>
      <c r="AF120" s="234" t="str">
        <f t="shared" si="26"/>
        <v>NORMAL</v>
      </c>
      <c r="AG120" s="248"/>
      <c r="AH120" s="234" t="str">
        <f t="shared" si="31"/>
        <v>TRISTATE</v>
      </c>
      <c r="AI120" s="234" t="str">
        <f t="shared" si="32"/>
        <v>HIGH</v>
      </c>
      <c r="AJ120" s="182" t="s">
        <v>3687</v>
      </c>
      <c r="AK120" s="149" t="s">
        <v>2926</v>
      </c>
      <c r="AL120" s="153"/>
      <c r="AM120" s="256"/>
      <c r="AN120" s="152"/>
      <c r="AO120" s="152"/>
      <c r="AP120" s="153"/>
      <c r="AQ120" s="435"/>
      <c r="AR120" s="6" t="s">
        <v>880</v>
      </c>
      <c r="AS120" s="382"/>
      <c r="AT120" s="282" t="s">
        <v>503</v>
      </c>
      <c r="AU120" s="440"/>
      <c r="AV120" s="440"/>
    </row>
    <row r="121" spans="1:48" ht="12.95" customHeight="1" x14ac:dyDescent="0.25">
      <c r="A121" s="197" t="s">
        <v>114</v>
      </c>
      <c r="B121" s="271"/>
      <c r="C121" s="197" t="s">
        <v>1774</v>
      </c>
      <c r="D121" s="197" t="s">
        <v>1775</v>
      </c>
      <c r="E121" s="165" t="s">
        <v>1775</v>
      </c>
      <c r="F121" s="197" t="str">
        <f t="shared" si="28"/>
        <v>unused_LCD_D18</v>
      </c>
      <c r="G121" s="198" t="s">
        <v>881</v>
      </c>
      <c r="H121" s="197" t="s">
        <v>505</v>
      </c>
      <c r="I121" s="197" t="s">
        <v>506</v>
      </c>
      <c r="J121" s="360" t="s">
        <v>3063</v>
      </c>
      <c r="K121" s="360" t="s">
        <v>3076</v>
      </c>
      <c r="L121" s="198" t="s">
        <v>2062</v>
      </c>
      <c r="M121" s="197" t="s">
        <v>270</v>
      </c>
      <c r="N121" s="197" t="s">
        <v>270</v>
      </c>
      <c r="O121" s="197" t="s">
        <v>255</v>
      </c>
      <c r="P121" s="197" t="s">
        <v>253</v>
      </c>
      <c r="Q121" s="198" t="s">
        <v>473</v>
      </c>
      <c r="R121" s="197" t="s">
        <v>257</v>
      </c>
      <c r="S121" s="197">
        <v>100</v>
      </c>
      <c r="T121" s="197" t="s">
        <v>481</v>
      </c>
      <c r="U121" s="198">
        <v>0</v>
      </c>
      <c r="V121" s="199">
        <v>1</v>
      </c>
      <c r="W121" s="199">
        <v>0</v>
      </c>
      <c r="X121" s="199" t="s">
        <v>259</v>
      </c>
      <c r="Y121" s="200" t="s">
        <v>260</v>
      </c>
      <c r="Z121" s="200" t="s">
        <v>260</v>
      </c>
      <c r="AA121" s="233" t="str">
        <f t="shared" si="29"/>
        <v>Unused</v>
      </c>
      <c r="AB121" s="234" t="str">
        <f t="shared" si="30"/>
        <v>Unused</v>
      </c>
      <c r="AC121" s="248"/>
      <c r="AD121" s="234" t="str">
        <f t="shared" si="27"/>
        <v>ENABLE</v>
      </c>
      <c r="AE121" s="234" t="str">
        <f t="shared" si="33"/>
        <v>DISABLE</v>
      </c>
      <c r="AF121" s="234" t="str">
        <f t="shared" si="26"/>
        <v>NORMAL</v>
      </c>
      <c r="AG121" s="248"/>
      <c r="AH121" s="234" t="str">
        <f t="shared" si="31"/>
        <v>TRISTATE</v>
      </c>
      <c r="AI121" s="234" t="str">
        <f t="shared" si="32"/>
        <v>HIGH</v>
      </c>
      <c r="AJ121" s="182" t="s">
        <v>1134</v>
      </c>
      <c r="AK121" s="149" t="s">
        <v>2926</v>
      </c>
      <c r="AL121" s="153"/>
      <c r="AM121" s="256"/>
      <c r="AN121" s="152"/>
      <c r="AO121" s="152"/>
      <c r="AP121" s="153"/>
      <c r="AQ121" s="435"/>
      <c r="AR121" s="6" t="s">
        <v>881</v>
      </c>
      <c r="AS121" s="388"/>
      <c r="AT121" s="282" t="s">
        <v>1134</v>
      </c>
      <c r="AU121" s="440"/>
      <c r="AV121" s="440"/>
    </row>
    <row r="122" spans="1:48" ht="12.95" customHeight="1" x14ac:dyDescent="0.25">
      <c r="A122" s="197" t="s">
        <v>115</v>
      </c>
      <c r="B122" s="271"/>
      <c r="C122" s="197" t="s">
        <v>1776</v>
      </c>
      <c r="D122" s="197" t="s">
        <v>1777</v>
      </c>
      <c r="E122" s="165" t="s">
        <v>1777</v>
      </c>
      <c r="F122" s="197" t="str">
        <f t="shared" si="28"/>
        <v>unused_LCD_D19</v>
      </c>
      <c r="G122" s="198" t="s">
        <v>882</v>
      </c>
      <c r="H122" s="197" t="s">
        <v>507</v>
      </c>
      <c r="I122" s="197" t="s">
        <v>508</v>
      </c>
      <c r="J122" s="360" t="s">
        <v>3063</v>
      </c>
      <c r="K122" s="360" t="s">
        <v>3076</v>
      </c>
      <c r="L122" s="198" t="s">
        <v>2062</v>
      </c>
      <c r="M122" s="197" t="s">
        <v>270</v>
      </c>
      <c r="N122" s="197" t="s">
        <v>270</v>
      </c>
      <c r="O122" s="197" t="s">
        <v>255</v>
      </c>
      <c r="P122" s="197" t="s">
        <v>253</v>
      </c>
      <c r="Q122" s="198" t="s">
        <v>473</v>
      </c>
      <c r="R122" s="197" t="s">
        <v>257</v>
      </c>
      <c r="S122" s="197">
        <v>100</v>
      </c>
      <c r="T122" s="197" t="s">
        <v>481</v>
      </c>
      <c r="U122" s="198">
        <v>0</v>
      </c>
      <c r="V122" s="199">
        <v>1</v>
      </c>
      <c r="W122" s="199">
        <v>0</v>
      </c>
      <c r="X122" s="199" t="s">
        <v>259</v>
      </c>
      <c r="Y122" s="200" t="s">
        <v>260</v>
      </c>
      <c r="Z122" s="200" t="s">
        <v>260</v>
      </c>
      <c r="AA122" s="233" t="str">
        <f t="shared" si="29"/>
        <v>Unused</v>
      </c>
      <c r="AB122" s="234" t="str">
        <f t="shared" si="30"/>
        <v>Unused</v>
      </c>
      <c r="AC122" s="248"/>
      <c r="AD122" s="234" t="str">
        <f t="shared" si="27"/>
        <v>ENABLE</v>
      </c>
      <c r="AE122" s="234" t="str">
        <f t="shared" si="33"/>
        <v>DISABLE</v>
      </c>
      <c r="AF122" s="234" t="str">
        <f t="shared" si="26"/>
        <v>NORMAL</v>
      </c>
      <c r="AG122" s="248"/>
      <c r="AH122" s="234" t="str">
        <f t="shared" si="31"/>
        <v>TRISTATE</v>
      </c>
      <c r="AI122" s="234" t="str">
        <f t="shared" si="32"/>
        <v>HIGH</v>
      </c>
      <c r="AJ122" s="182" t="s">
        <v>1135</v>
      </c>
      <c r="AK122" s="149" t="s">
        <v>2926</v>
      </c>
      <c r="AL122" s="153"/>
      <c r="AM122" s="256"/>
      <c r="AN122" s="152"/>
      <c r="AO122" s="152"/>
      <c r="AP122" s="153"/>
      <c r="AQ122" s="435"/>
      <c r="AR122" s="6" t="s">
        <v>1135</v>
      </c>
      <c r="AS122" s="390"/>
      <c r="AT122" s="282" t="s">
        <v>1135</v>
      </c>
      <c r="AU122" s="440"/>
      <c r="AV122" s="440"/>
    </row>
    <row r="123" spans="1:48" ht="12.95" customHeight="1" x14ac:dyDescent="0.25">
      <c r="A123" s="197" t="s">
        <v>116</v>
      </c>
      <c r="B123" s="271"/>
      <c r="C123" s="197" t="s">
        <v>1778</v>
      </c>
      <c r="D123" s="197" t="s">
        <v>1779</v>
      </c>
      <c r="E123" s="165" t="s">
        <v>1779</v>
      </c>
      <c r="F123" s="197" t="str">
        <f t="shared" si="28"/>
        <v>unused_LCD_D2</v>
      </c>
      <c r="G123" s="198" t="s">
        <v>883</v>
      </c>
      <c r="H123" s="197" t="s">
        <v>509</v>
      </c>
      <c r="I123" s="197" t="s">
        <v>510</v>
      </c>
      <c r="J123" s="360" t="s">
        <v>3063</v>
      </c>
      <c r="K123" s="360" t="s">
        <v>3076</v>
      </c>
      <c r="L123" s="198" t="s">
        <v>2062</v>
      </c>
      <c r="M123" s="197" t="s">
        <v>270</v>
      </c>
      <c r="N123" s="197" t="s">
        <v>270</v>
      </c>
      <c r="O123" s="197" t="s">
        <v>255</v>
      </c>
      <c r="P123" s="197" t="s">
        <v>253</v>
      </c>
      <c r="Q123" s="198" t="s">
        <v>473</v>
      </c>
      <c r="R123" s="197" t="s">
        <v>257</v>
      </c>
      <c r="S123" s="197">
        <v>100</v>
      </c>
      <c r="T123" s="197" t="s">
        <v>481</v>
      </c>
      <c r="U123" s="198">
        <v>0</v>
      </c>
      <c r="V123" s="199">
        <v>1</v>
      </c>
      <c r="W123" s="199">
        <v>0</v>
      </c>
      <c r="X123" s="199" t="s">
        <v>259</v>
      </c>
      <c r="Y123" s="200" t="s">
        <v>260</v>
      </c>
      <c r="Z123" s="200" t="s">
        <v>260</v>
      </c>
      <c r="AA123" s="233" t="str">
        <f t="shared" si="29"/>
        <v>Unused</v>
      </c>
      <c r="AB123" s="234" t="str">
        <f t="shared" si="30"/>
        <v>Unused</v>
      </c>
      <c r="AC123" s="248"/>
      <c r="AD123" s="234" t="str">
        <f t="shared" si="27"/>
        <v>ENABLE</v>
      </c>
      <c r="AE123" s="234" t="str">
        <f t="shared" si="33"/>
        <v>DISABLE</v>
      </c>
      <c r="AF123" s="234" t="str">
        <f t="shared" si="26"/>
        <v>NORMAL</v>
      </c>
      <c r="AG123" s="248"/>
      <c r="AH123" s="234" t="str">
        <f t="shared" si="31"/>
        <v>TRISTATE</v>
      </c>
      <c r="AI123" s="234" t="str">
        <f t="shared" si="32"/>
        <v>HIGH</v>
      </c>
      <c r="AJ123" s="182" t="s">
        <v>3688</v>
      </c>
      <c r="AK123" s="149" t="s">
        <v>2926</v>
      </c>
      <c r="AL123" s="153"/>
      <c r="AM123" s="256"/>
      <c r="AN123" s="152"/>
      <c r="AO123" s="152"/>
      <c r="AP123" s="153"/>
      <c r="AQ123" s="435"/>
      <c r="AR123" s="6" t="s">
        <v>883</v>
      </c>
      <c r="AS123" s="42" t="s">
        <v>2281</v>
      </c>
      <c r="AT123" s="282" t="s">
        <v>509</v>
      </c>
      <c r="AU123" s="440"/>
      <c r="AV123" s="440"/>
    </row>
    <row r="124" spans="1:48" ht="12.95" customHeight="1" x14ac:dyDescent="0.25">
      <c r="A124" s="197" t="s">
        <v>117</v>
      </c>
      <c r="B124" s="271"/>
      <c r="C124" s="197" t="s">
        <v>1780</v>
      </c>
      <c r="D124" s="197" t="s">
        <v>1781</v>
      </c>
      <c r="E124" s="165" t="s">
        <v>1781</v>
      </c>
      <c r="F124" s="197" t="str">
        <f t="shared" si="28"/>
        <v>unused_LCD_D20</v>
      </c>
      <c r="G124" s="198" t="s">
        <v>884</v>
      </c>
      <c r="H124" s="197" t="s">
        <v>511</v>
      </c>
      <c r="I124" s="197" t="s">
        <v>512</v>
      </c>
      <c r="J124" s="360" t="s">
        <v>3063</v>
      </c>
      <c r="K124" s="360" t="s">
        <v>3076</v>
      </c>
      <c r="L124" s="198" t="s">
        <v>2062</v>
      </c>
      <c r="M124" s="197" t="s">
        <v>270</v>
      </c>
      <c r="N124" s="197" t="s">
        <v>270</v>
      </c>
      <c r="O124" s="197" t="s">
        <v>255</v>
      </c>
      <c r="P124" s="197" t="s">
        <v>253</v>
      </c>
      <c r="Q124" s="198" t="s">
        <v>473</v>
      </c>
      <c r="R124" s="197" t="s">
        <v>257</v>
      </c>
      <c r="S124" s="197">
        <v>100</v>
      </c>
      <c r="T124" s="197" t="s">
        <v>481</v>
      </c>
      <c r="U124" s="198">
        <v>0</v>
      </c>
      <c r="V124" s="199">
        <v>1</v>
      </c>
      <c r="W124" s="199">
        <v>0</v>
      </c>
      <c r="X124" s="199" t="s">
        <v>259</v>
      </c>
      <c r="Y124" s="200" t="s">
        <v>260</v>
      </c>
      <c r="Z124" s="200" t="s">
        <v>260</v>
      </c>
      <c r="AA124" s="233" t="str">
        <f t="shared" si="29"/>
        <v>Unused</v>
      </c>
      <c r="AB124" s="234" t="str">
        <f t="shared" si="30"/>
        <v>Unused</v>
      </c>
      <c r="AC124" s="248"/>
      <c r="AD124" s="234" t="str">
        <f t="shared" si="27"/>
        <v>ENABLE</v>
      </c>
      <c r="AE124" s="234" t="str">
        <f t="shared" si="33"/>
        <v>DISABLE</v>
      </c>
      <c r="AF124" s="234" t="str">
        <f t="shared" si="26"/>
        <v>NORMAL</v>
      </c>
      <c r="AG124" s="248"/>
      <c r="AH124" s="234" t="str">
        <f t="shared" si="31"/>
        <v>TRISTATE</v>
      </c>
      <c r="AI124" s="234" t="str">
        <f t="shared" si="32"/>
        <v>HIGH</v>
      </c>
      <c r="AJ124" s="182" t="s">
        <v>1136</v>
      </c>
      <c r="AK124" s="149" t="s">
        <v>2926</v>
      </c>
      <c r="AL124" s="153"/>
      <c r="AM124" s="256"/>
      <c r="AN124" s="152"/>
      <c r="AO124" s="152"/>
      <c r="AP124" s="153"/>
      <c r="AQ124" s="435"/>
      <c r="AR124" s="6" t="s">
        <v>1136</v>
      </c>
      <c r="AS124" s="388"/>
      <c r="AT124" s="282" t="s">
        <v>1136</v>
      </c>
      <c r="AU124" s="440"/>
      <c r="AV124" s="440"/>
    </row>
    <row r="125" spans="1:48" ht="12.95" customHeight="1" x14ac:dyDescent="0.25">
      <c r="A125" s="197" t="s">
        <v>118</v>
      </c>
      <c r="B125" s="271"/>
      <c r="C125" s="197" t="s">
        <v>1782</v>
      </c>
      <c r="D125" s="197" t="s">
        <v>1783</v>
      </c>
      <c r="E125" s="165" t="s">
        <v>1783</v>
      </c>
      <c r="F125" s="197" t="str">
        <f t="shared" si="28"/>
        <v>unused_LCD_D21</v>
      </c>
      <c r="G125" s="198" t="s">
        <v>885</v>
      </c>
      <c r="H125" s="197" t="s">
        <v>513</v>
      </c>
      <c r="I125" s="197" t="s">
        <v>514</v>
      </c>
      <c r="J125" s="360" t="s">
        <v>3063</v>
      </c>
      <c r="K125" s="360" t="s">
        <v>3076</v>
      </c>
      <c r="L125" s="198" t="s">
        <v>2062</v>
      </c>
      <c r="M125" s="197" t="s">
        <v>270</v>
      </c>
      <c r="N125" s="197" t="s">
        <v>270</v>
      </c>
      <c r="O125" s="197" t="s">
        <v>255</v>
      </c>
      <c r="P125" s="197" t="s">
        <v>253</v>
      </c>
      <c r="Q125" s="198" t="s">
        <v>473</v>
      </c>
      <c r="R125" s="197" t="s">
        <v>257</v>
      </c>
      <c r="S125" s="197">
        <v>100</v>
      </c>
      <c r="T125" s="197" t="s">
        <v>481</v>
      </c>
      <c r="U125" s="198">
        <v>0</v>
      </c>
      <c r="V125" s="199">
        <v>1</v>
      </c>
      <c r="W125" s="199">
        <v>0</v>
      </c>
      <c r="X125" s="199" t="s">
        <v>259</v>
      </c>
      <c r="Y125" s="200" t="s">
        <v>260</v>
      </c>
      <c r="Z125" s="200" t="s">
        <v>260</v>
      </c>
      <c r="AA125" s="233" t="str">
        <f t="shared" si="29"/>
        <v>Unused</v>
      </c>
      <c r="AB125" s="234" t="str">
        <f t="shared" si="30"/>
        <v>Unused</v>
      </c>
      <c r="AC125" s="248"/>
      <c r="AD125" s="234" t="str">
        <f t="shared" si="27"/>
        <v>ENABLE</v>
      </c>
      <c r="AE125" s="234" t="str">
        <f t="shared" si="33"/>
        <v>DISABLE</v>
      </c>
      <c r="AF125" s="234" t="str">
        <f t="shared" si="26"/>
        <v>NORMAL</v>
      </c>
      <c r="AG125" s="248"/>
      <c r="AH125" s="234" t="str">
        <f t="shared" si="31"/>
        <v>TRISTATE</v>
      </c>
      <c r="AI125" s="234" t="str">
        <f t="shared" si="32"/>
        <v>HIGH</v>
      </c>
      <c r="AJ125" s="182" t="s">
        <v>1137</v>
      </c>
      <c r="AK125" s="149" t="s">
        <v>2926</v>
      </c>
      <c r="AL125" s="153"/>
      <c r="AM125" s="256"/>
      <c r="AN125" s="152"/>
      <c r="AO125" s="152"/>
      <c r="AP125" s="153"/>
      <c r="AQ125" s="435"/>
      <c r="AR125" s="6" t="s">
        <v>885</v>
      </c>
      <c r="AS125" s="389"/>
      <c r="AT125" s="282" t="s">
        <v>1137</v>
      </c>
      <c r="AU125" s="440"/>
      <c r="AV125" s="440"/>
    </row>
    <row r="126" spans="1:48" ht="12.95" customHeight="1" x14ac:dyDescent="0.25">
      <c r="A126" s="197" t="s">
        <v>119</v>
      </c>
      <c r="B126" s="271"/>
      <c r="C126" s="197" t="s">
        <v>1784</v>
      </c>
      <c r="D126" s="197" t="s">
        <v>1785</v>
      </c>
      <c r="E126" s="165" t="s">
        <v>1785</v>
      </c>
      <c r="F126" s="197" t="str">
        <f t="shared" si="28"/>
        <v>unused_LCD_D22</v>
      </c>
      <c r="G126" s="198" t="s">
        <v>886</v>
      </c>
      <c r="H126" s="197" t="s">
        <v>515</v>
      </c>
      <c r="I126" s="197" t="s">
        <v>516</v>
      </c>
      <c r="J126" s="360" t="s">
        <v>3063</v>
      </c>
      <c r="K126" s="360" t="s">
        <v>3076</v>
      </c>
      <c r="L126" s="198" t="s">
        <v>2062</v>
      </c>
      <c r="M126" s="197" t="s">
        <v>270</v>
      </c>
      <c r="N126" s="197" t="s">
        <v>270</v>
      </c>
      <c r="O126" s="197" t="s">
        <v>255</v>
      </c>
      <c r="P126" s="197" t="s">
        <v>253</v>
      </c>
      <c r="Q126" s="198" t="s">
        <v>473</v>
      </c>
      <c r="R126" s="197" t="s">
        <v>257</v>
      </c>
      <c r="S126" s="197">
        <v>100</v>
      </c>
      <c r="T126" s="197" t="s">
        <v>481</v>
      </c>
      <c r="U126" s="198">
        <v>0</v>
      </c>
      <c r="V126" s="199">
        <v>1</v>
      </c>
      <c r="W126" s="199">
        <v>0</v>
      </c>
      <c r="X126" s="199" t="s">
        <v>259</v>
      </c>
      <c r="Y126" s="200" t="s">
        <v>260</v>
      </c>
      <c r="Z126" s="200" t="s">
        <v>260</v>
      </c>
      <c r="AA126" s="233" t="str">
        <f t="shared" si="29"/>
        <v>Unused</v>
      </c>
      <c r="AB126" s="234" t="str">
        <f t="shared" si="30"/>
        <v>Unused</v>
      </c>
      <c r="AC126" s="248"/>
      <c r="AD126" s="234" t="str">
        <f t="shared" si="27"/>
        <v>ENABLE</v>
      </c>
      <c r="AE126" s="234" t="str">
        <f t="shared" si="33"/>
        <v>DISABLE</v>
      </c>
      <c r="AF126" s="234" t="str">
        <f t="shared" si="26"/>
        <v>NORMAL</v>
      </c>
      <c r="AG126" s="248"/>
      <c r="AH126" s="234" t="str">
        <f t="shared" si="31"/>
        <v>TRISTATE</v>
      </c>
      <c r="AI126" s="234" t="str">
        <f t="shared" si="32"/>
        <v>HIGH</v>
      </c>
      <c r="AJ126" s="182" t="s">
        <v>1138</v>
      </c>
      <c r="AK126" s="149" t="s">
        <v>2926</v>
      </c>
      <c r="AL126" s="153"/>
      <c r="AM126" s="256"/>
      <c r="AN126" s="152"/>
      <c r="AO126" s="152"/>
      <c r="AP126" s="153"/>
      <c r="AQ126" s="435"/>
      <c r="AR126" s="6" t="s">
        <v>886</v>
      </c>
      <c r="AS126" s="389"/>
      <c r="AT126" s="282" t="s">
        <v>1138</v>
      </c>
      <c r="AU126" s="440"/>
      <c r="AV126" s="440"/>
    </row>
    <row r="127" spans="1:48" ht="12.95" customHeight="1" x14ac:dyDescent="0.25">
      <c r="A127" s="197" t="s">
        <v>120</v>
      </c>
      <c r="B127" s="271"/>
      <c r="C127" s="197" t="s">
        <v>1786</v>
      </c>
      <c r="D127" s="197" t="s">
        <v>1787</v>
      </c>
      <c r="E127" s="165" t="s">
        <v>1787</v>
      </c>
      <c r="F127" s="197" t="str">
        <f t="shared" si="28"/>
        <v>unused_LCD_D23</v>
      </c>
      <c r="G127" s="198" t="s">
        <v>887</v>
      </c>
      <c r="H127" s="197" t="s">
        <v>517</v>
      </c>
      <c r="I127" s="197" t="s">
        <v>518</v>
      </c>
      <c r="J127" s="360" t="s">
        <v>3063</v>
      </c>
      <c r="K127" s="360" t="s">
        <v>3076</v>
      </c>
      <c r="L127" s="198" t="s">
        <v>2062</v>
      </c>
      <c r="M127" s="197" t="s">
        <v>270</v>
      </c>
      <c r="N127" s="197" t="s">
        <v>270</v>
      </c>
      <c r="O127" s="197" t="s">
        <v>255</v>
      </c>
      <c r="P127" s="197" t="s">
        <v>253</v>
      </c>
      <c r="Q127" s="198" t="s">
        <v>473</v>
      </c>
      <c r="R127" s="197" t="s">
        <v>257</v>
      </c>
      <c r="S127" s="197">
        <v>100</v>
      </c>
      <c r="T127" s="197" t="s">
        <v>481</v>
      </c>
      <c r="U127" s="198">
        <v>0</v>
      </c>
      <c r="V127" s="199">
        <v>1</v>
      </c>
      <c r="W127" s="199">
        <v>0</v>
      </c>
      <c r="X127" s="199" t="s">
        <v>259</v>
      </c>
      <c r="Y127" s="200" t="s">
        <v>260</v>
      </c>
      <c r="Z127" s="200" t="s">
        <v>260</v>
      </c>
      <c r="AA127" s="233" t="str">
        <f t="shared" si="29"/>
        <v>Unused</v>
      </c>
      <c r="AB127" s="234" t="str">
        <f t="shared" si="30"/>
        <v>Unused</v>
      </c>
      <c r="AC127" s="248"/>
      <c r="AD127" s="234" t="str">
        <f t="shared" si="27"/>
        <v>ENABLE</v>
      </c>
      <c r="AE127" s="234" t="str">
        <f t="shared" si="33"/>
        <v>DISABLE</v>
      </c>
      <c r="AF127" s="234" t="str">
        <f t="shared" si="26"/>
        <v>NORMAL</v>
      </c>
      <c r="AG127" s="248"/>
      <c r="AH127" s="234" t="str">
        <f t="shared" si="31"/>
        <v>TRISTATE</v>
      </c>
      <c r="AI127" s="234" t="str">
        <f t="shared" si="32"/>
        <v>HIGH</v>
      </c>
      <c r="AJ127" s="182" t="s">
        <v>1139</v>
      </c>
      <c r="AK127" s="149" t="s">
        <v>2926</v>
      </c>
      <c r="AL127" s="153"/>
      <c r="AM127" s="256"/>
      <c r="AN127" s="152"/>
      <c r="AO127" s="152"/>
      <c r="AP127" s="153"/>
      <c r="AQ127" s="435"/>
      <c r="AR127" s="6" t="s">
        <v>887</v>
      </c>
      <c r="AS127" s="390"/>
      <c r="AT127" s="282" t="s">
        <v>1139</v>
      </c>
      <c r="AU127" s="440"/>
      <c r="AV127" s="440"/>
    </row>
    <row r="128" spans="1:48" ht="12.95" customHeight="1" x14ac:dyDescent="0.25">
      <c r="A128" s="197" t="s">
        <v>121</v>
      </c>
      <c r="B128" s="271"/>
      <c r="C128" s="197" t="s">
        <v>1788</v>
      </c>
      <c r="D128" s="197" t="s">
        <v>1789</v>
      </c>
      <c r="E128" s="165" t="s">
        <v>1789</v>
      </c>
      <c r="F128" s="197" t="str">
        <f t="shared" si="28"/>
        <v>unused_LCD_D3</v>
      </c>
      <c r="G128" s="198" t="s">
        <v>888</v>
      </c>
      <c r="H128" s="197" t="s">
        <v>519</v>
      </c>
      <c r="I128" s="197" t="s">
        <v>520</v>
      </c>
      <c r="J128" s="360" t="s">
        <v>3063</v>
      </c>
      <c r="K128" s="360" t="s">
        <v>3076</v>
      </c>
      <c r="L128" s="198" t="s">
        <v>2062</v>
      </c>
      <c r="M128" s="197" t="s">
        <v>270</v>
      </c>
      <c r="N128" s="197" t="s">
        <v>270</v>
      </c>
      <c r="O128" s="197" t="s">
        <v>255</v>
      </c>
      <c r="P128" s="197" t="s">
        <v>253</v>
      </c>
      <c r="Q128" s="198" t="s">
        <v>473</v>
      </c>
      <c r="R128" s="197" t="s">
        <v>257</v>
      </c>
      <c r="S128" s="197">
        <v>100</v>
      </c>
      <c r="T128" s="197" t="s">
        <v>481</v>
      </c>
      <c r="U128" s="198">
        <v>0</v>
      </c>
      <c r="V128" s="199">
        <v>1</v>
      </c>
      <c r="W128" s="199">
        <v>0</v>
      </c>
      <c r="X128" s="199" t="s">
        <v>259</v>
      </c>
      <c r="Y128" s="200" t="s">
        <v>260</v>
      </c>
      <c r="Z128" s="200" t="s">
        <v>260</v>
      </c>
      <c r="AA128" s="233" t="str">
        <f t="shared" si="29"/>
        <v>Unused</v>
      </c>
      <c r="AB128" s="234" t="str">
        <f t="shared" si="30"/>
        <v>Unused</v>
      </c>
      <c r="AC128" s="248"/>
      <c r="AD128" s="234" t="str">
        <f t="shared" si="27"/>
        <v>ENABLE</v>
      </c>
      <c r="AE128" s="234" t="str">
        <f t="shared" si="33"/>
        <v>DISABLE</v>
      </c>
      <c r="AF128" s="234" t="str">
        <f t="shared" si="26"/>
        <v>NORMAL</v>
      </c>
      <c r="AG128" s="248"/>
      <c r="AH128" s="234" t="str">
        <f t="shared" si="31"/>
        <v>TRISTATE</v>
      </c>
      <c r="AI128" s="234" t="str">
        <f t="shared" si="32"/>
        <v>HIGH</v>
      </c>
      <c r="AJ128" s="182" t="s">
        <v>3689</v>
      </c>
      <c r="AK128" s="149" t="s">
        <v>2926</v>
      </c>
      <c r="AL128" s="153"/>
      <c r="AM128" s="256"/>
      <c r="AN128" s="152"/>
      <c r="AO128" s="152"/>
      <c r="AP128" s="153"/>
      <c r="AQ128" s="435"/>
      <c r="AR128" s="6" t="s">
        <v>888</v>
      </c>
      <c r="AS128" s="383" t="s">
        <v>2281</v>
      </c>
      <c r="AT128" s="282" t="s">
        <v>519</v>
      </c>
      <c r="AU128" s="440"/>
      <c r="AV128" s="440"/>
    </row>
    <row r="129" spans="1:48" ht="12.95" customHeight="1" x14ac:dyDescent="0.25">
      <c r="A129" s="197" t="s">
        <v>122</v>
      </c>
      <c r="B129" s="271"/>
      <c r="C129" s="197" t="s">
        <v>1790</v>
      </c>
      <c r="D129" s="197" t="s">
        <v>1791</v>
      </c>
      <c r="E129" s="165" t="s">
        <v>1791</v>
      </c>
      <c r="F129" s="197" t="str">
        <f t="shared" si="28"/>
        <v>unused_LCD_D4</v>
      </c>
      <c r="G129" s="198" t="s">
        <v>889</v>
      </c>
      <c r="H129" s="197" t="s">
        <v>521</v>
      </c>
      <c r="I129" s="197" t="s">
        <v>522</v>
      </c>
      <c r="J129" s="360" t="s">
        <v>3063</v>
      </c>
      <c r="K129" s="360" t="s">
        <v>3076</v>
      </c>
      <c r="L129" s="198" t="s">
        <v>2062</v>
      </c>
      <c r="M129" s="197" t="s">
        <v>270</v>
      </c>
      <c r="N129" s="197" t="s">
        <v>270</v>
      </c>
      <c r="O129" s="197" t="s">
        <v>255</v>
      </c>
      <c r="P129" s="197" t="s">
        <v>253</v>
      </c>
      <c r="Q129" s="198" t="s">
        <v>473</v>
      </c>
      <c r="R129" s="197" t="s">
        <v>257</v>
      </c>
      <c r="S129" s="197">
        <v>100</v>
      </c>
      <c r="T129" s="197" t="s">
        <v>481</v>
      </c>
      <c r="U129" s="198">
        <v>0</v>
      </c>
      <c r="V129" s="199">
        <v>1</v>
      </c>
      <c r="W129" s="199">
        <v>0</v>
      </c>
      <c r="X129" s="199" t="s">
        <v>259</v>
      </c>
      <c r="Y129" s="200" t="s">
        <v>260</v>
      </c>
      <c r="Z129" s="200" t="s">
        <v>260</v>
      </c>
      <c r="AA129" s="233" t="str">
        <f t="shared" si="29"/>
        <v>Unused</v>
      </c>
      <c r="AB129" s="234" t="str">
        <f t="shared" si="30"/>
        <v>Unused</v>
      </c>
      <c r="AC129" s="248"/>
      <c r="AD129" s="234" t="str">
        <f t="shared" si="27"/>
        <v>ENABLE</v>
      </c>
      <c r="AE129" s="234" t="str">
        <f t="shared" si="33"/>
        <v>DISABLE</v>
      </c>
      <c r="AF129" s="234" t="str">
        <f t="shared" si="26"/>
        <v>NORMAL</v>
      </c>
      <c r="AG129" s="248"/>
      <c r="AH129" s="234" t="str">
        <f t="shared" si="31"/>
        <v>TRISTATE</v>
      </c>
      <c r="AI129" s="234" t="str">
        <f t="shared" si="32"/>
        <v>HIGH</v>
      </c>
      <c r="AJ129" s="182" t="s">
        <v>1073</v>
      </c>
      <c r="AK129" s="149" t="s">
        <v>2926</v>
      </c>
      <c r="AL129" s="153"/>
      <c r="AM129" s="256"/>
      <c r="AN129" s="152"/>
      <c r="AO129" s="152"/>
      <c r="AP129" s="153"/>
      <c r="AQ129" s="435"/>
      <c r="AR129" s="6" t="s">
        <v>1073</v>
      </c>
      <c r="AS129" s="383"/>
      <c r="AT129" s="282" t="s">
        <v>521</v>
      </c>
      <c r="AU129" s="440"/>
      <c r="AV129" s="440"/>
    </row>
    <row r="130" spans="1:48" ht="12.95" customHeight="1" x14ac:dyDescent="0.25">
      <c r="A130" s="197" t="s">
        <v>123</v>
      </c>
      <c r="B130" s="271"/>
      <c r="C130" s="197" t="s">
        <v>1792</v>
      </c>
      <c r="D130" s="197" t="s">
        <v>1793</v>
      </c>
      <c r="E130" s="165" t="s">
        <v>1793</v>
      </c>
      <c r="F130" s="197" t="str">
        <f t="shared" si="28"/>
        <v>unused_LCD_D5</v>
      </c>
      <c r="G130" s="198" t="s">
        <v>890</v>
      </c>
      <c r="H130" s="197" t="s">
        <v>523</v>
      </c>
      <c r="I130" s="197" t="s">
        <v>524</v>
      </c>
      <c r="J130" s="360" t="s">
        <v>3063</v>
      </c>
      <c r="K130" s="360" t="s">
        <v>3076</v>
      </c>
      <c r="L130" s="198" t="s">
        <v>2062</v>
      </c>
      <c r="M130" s="197" t="s">
        <v>270</v>
      </c>
      <c r="N130" s="197" t="s">
        <v>270</v>
      </c>
      <c r="O130" s="197" t="s">
        <v>255</v>
      </c>
      <c r="P130" s="197" t="s">
        <v>253</v>
      </c>
      <c r="Q130" s="198" t="s">
        <v>473</v>
      </c>
      <c r="R130" s="197" t="s">
        <v>257</v>
      </c>
      <c r="S130" s="197">
        <v>100</v>
      </c>
      <c r="T130" s="197" t="s">
        <v>481</v>
      </c>
      <c r="U130" s="198">
        <v>0</v>
      </c>
      <c r="V130" s="199">
        <v>1</v>
      </c>
      <c r="W130" s="199">
        <v>0</v>
      </c>
      <c r="X130" s="199" t="s">
        <v>259</v>
      </c>
      <c r="Y130" s="200" t="s">
        <v>260</v>
      </c>
      <c r="Z130" s="200" t="s">
        <v>260</v>
      </c>
      <c r="AA130" s="233" t="str">
        <f t="shared" si="29"/>
        <v>Unused</v>
      </c>
      <c r="AB130" s="234" t="str">
        <f t="shared" si="30"/>
        <v>Unused</v>
      </c>
      <c r="AC130" s="248"/>
      <c r="AD130" s="234" t="str">
        <f t="shared" si="27"/>
        <v>ENABLE</v>
      </c>
      <c r="AE130" s="234" t="str">
        <f t="shared" si="33"/>
        <v>DISABLE</v>
      </c>
      <c r="AF130" s="234" t="str">
        <f t="shared" si="26"/>
        <v>NORMAL</v>
      </c>
      <c r="AG130" s="248"/>
      <c r="AH130" s="234" t="str">
        <f t="shared" si="31"/>
        <v>TRISTATE</v>
      </c>
      <c r="AI130" s="234" t="str">
        <f t="shared" si="32"/>
        <v>HIGH</v>
      </c>
      <c r="AJ130" s="182" t="s">
        <v>1074</v>
      </c>
      <c r="AK130" s="149" t="s">
        <v>2926</v>
      </c>
      <c r="AL130" s="153"/>
      <c r="AM130" s="256"/>
      <c r="AN130" s="152"/>
      <c r="AO130" s="152"/>
      <c r="AP130" s="153"/>
      <c r="AQ130" s="435"/>
      <c r="AR130" s="6" t="s">
        <v>1074</v>
      </c>
      <c r="AS130" s="383"/>
      <c r="AT130" s="282" t="s">
        <v>523</v>
      </c>
      <c r="AU130" s="440"/>
      <c r="AV130" s="440"/>
    </row>
    <row r="131" spans="1:48" ht="12.95" customHeight="1" x14ac:dyDescent="0.25">
      <c r="A131" s="197" t="s">
        <v>124</v>
      </c>
      <c r="B131" s="271"/>
      <c r="C131" s="197" t="s">
        <v>1794</v>
      </c>
      <c r="D131" s="197" t="s">
        <v>1790</v>
      </c>
      <c r="E131" s="165" t="s">
        <v>1790</v>
      </c>
      <c r="F131" s="197" t="str">
        <f t="shared" si="28"/>
        <v>unused_LCD_D6</v>
      </c>
      <c r="G131" s="198" t="s">
        <v>891</v>
      </c>
      <c r="H131" s="197" t="s">
        <v>525</v>
      </c>
      <c r="I131" s="197" t="s">
        <v>526</v>
      </c>
      <c r="J131" s="360" t="s">
        <v>3063</v>
      </c>
      <c r="K131" s="360" t="s">
        <v>3076</v>
      </c>
      <c r="L131" s="198" t="s">
        <v>2062</v>
      </c>
      <c r="M131" s="197" t="s">
        <v>270</v>
      </c>
      <c r="N131" s="197" t="s">
        <v>270</v>
      </c>
      <c r="O131" s="197" t="s">
        <v>255</v>
      </c>
      <c r="P131" s="197" t="s">
        <v>253</v>
      </c>
      <c r="Q131" s="198" t="s">
        <v>473</v>
      </c>
      <c r="R131" s="197" t="s">
        <v>257</v>
      </c>
      <c r="S131" s="197">
        <v>100</v>
      </c>
      <c r="T131" s="197" t="s">
        <v>481</v>
      </c>
      <c r="U131" s="198">
        <v>0</v>
      </c>
      <c r="V131" s="199">
        <v>1</v>
      </c>
      <c r="W131" s="199">
        <v>0</v>
      </c>
      <c r="X131" s="199" t="s">
        <v>259</v>
      </c>
      <c r="Y131" s="200" t="s">
        <v>260</v>
      </c>
      <c r="Z131" s="200" t="s">
        <v>260</v>
      </c>
      <c r="AA131" s="233" t="str">
        <f t="shared" si="29"/>
        <v>Unused</v>
      </c>
      <c r="AB131" s="234" t="str">
        <f t="shared" si="30"/>
        <v>Unused</v>
      </c>
      <c r="AC131" s="248"/>
      <c r="AD131" s="234" t="str">
        <f t="shared" si="27"/>
        <v>ENABLE</v>
      </c>
      <c r="AE131" s="234" t="str">
        <f t="shared" si="33"/>
        <v>DISABLE</v>
      </c>
      <c r="AF131" s="234" t="str">
        <f t="shared" si="26"/>
        <v>NORMAL</v>
      </c>
      <c r="AG131" s="248"/>
      <c r="AH131" s="234" t="str">
        <f t="shared" si="31"/>
        <v>TRISTATE</v>
      </c>
      <c r="AI131" s="234" t="str">
        <f t="shared" si="32"/>
        <v>HIGH</v>
      </c>
      <c r="AJ131" s="182" t="s">
        <v>1075</v>
      </c>
      <c r="AK131" s="149" t="s">
        <v>2926</v>
      </c>
      <c r="AL131" s="153"/>
      <c r="AM131" s="256"/>
      <c r="AN131" s="152"/>
      <c r="AO131" s="152"/>
      <c r="AP131" s="153"/>
      <c r="AQ131" s="435"/>
      <c r="AR131" s="6" t="s">
        <v>1075</v>
      </c>
      <c r="AS131" s="383"/>
      <c r="AT131" s="282" t="s">
        <v>525</v>
      </c>
      <c r="AU131" s="440"/>
      <c r="AV131" s="440"/>
    </row>
    <row r="132" spans="1:48" ht="12.95" customHeight="1" x14ac:dyDescent="0.25">
      <c r="A132" s="197" t="s">
        <v>125</v>
      </c>
      <c r="B132" s="271"/>
      <c r="C132" s="197" t="s">
        <v>1795</v>
      </c>
      <c r="D132" s="197" t="s">
        <v>1504</v>
      </c>
      <c r="E132" s="165" t="s">
        <v>1504</v>
      </c>
      <c r="F132" s="197" t="str">
        <f t="shared" si="28"/>
        <v>unused_LCD_D7</v>
      </c>
      <c r="G132" s="198" t="s">
        <v>892</v>
      </c>
      <c r="H132" s="197" t="s">
        <v>527</v>
      </c>
      <c r="I132" s="197" t="s">
        <v>528</v>
      </c>
      <c r="J132" s="360" t="s">
        <v>3063</v>
      </c>
      <c r="K132" s="360" t="s">
        <v>3076</v>
      </c>
      <c r="L132" s="198" t="s">
        <v>2062</v>
      </c>
      <c r="M132" s="197" t="s">
        <v>270</v>
      </c>
      <c r="N132" s="197" t="s">
        <v>270</v>
      </c>
      <c r="O132" s="197" t="s">
        <v>255</v>
      </c>
      <c r="P132" s="197" t="s">
        <v>253</v>
      </c>
      <c r="Q132" s="198" t="s">
        <v>473</v>
      </c>
      <c r="R132" s="197" t="s">
        <v>257</v>
      </c>
      <c r="S132" s="197">
        <v>100</v>
      </c>
      <c r="T132" s="197" t="s">
        <v>481</v>
      </c>
      <c r="U132" s="198">
        <v>0</v>
      </c>
      <c r="V132" s="199">
        <v>1</v>
      </c>
      <c r="W132" s="199">
        <v>0</v>
      </c>
      <c r="X132" s="199" t="s">
        <v>259</v>
      </c>
      <c r="Y132" s="200" t="s">
        <v>260</v>
      </c>
      <c r="Z132" s="200" t="s">
        <v>260</v>
      </c>
      <c r="AA132" s="233" t="str">
        <f t="shared" si="29"/>
        <v>Unused</v>
      </c>
      <c r="AB132" s="234" t="str">
        <f t="shared" si="30"/>
        <v>Unused</v>
      </c>
      <c r="AC132" s="248"/>
      <c r="AD132" s="234" t="str">
        <f t="shared" si="27"/>
        <v>ENABLE</v>
      </c>
      <c r="AE132" s="234" t="str">
        <f t="shared" si="33"/>
        <v>DISABLE</v>
      </c>
      <c r="AF132" s="234" t="str">
        <f t="shared" si="26"/>
        <v>NORMAL</v>
      </c>
      <c r="AG132" s="248"/>
      <c r="AH132" s="234" t="str">
        <f t="shared" si="31"/>
        <v>TRISTATE</v>
      </c>
      <c r="AI132" s="234" t="str">
        <f t="shared" si="32"/>
        <v>HIGH</v>
      </c>
      <c r="AJ132" s="182" t="s">
        <v>3690</v>
      </c>
      <c r="AK132" s="149" t="s">
        <v>2926</v>
      </c>
      <c r="AL132" s="153"/>
      <c r="AM132" s="256"/>
      <c r="AN132" s="152"/>
      <c r="AO132" s="152"/>
      <c r="AP132" s="153"/>
      <c r="AQ132" s="435"/>
      <c r="AR132" s="6" t="s">
        <v>892</v>
      </c>
      <c r="AS132" s="383"/>
      <c r="AT132" s="282" t="s">
        <v>527</v>
      </c>
      <c r="AU132" s="440"/>
      <c r="AV132" s="440"/>
    </row>
    <row r="133" spans="1:48" ht="12.95" customHeight="1" x14ac:dyDescent="0.25">
      <c r="A133" s="197" t="s">
        <v>126</v>
      </c>
      <c r="B133" s="271"/>
      <c r="C133" s="197" t="s">
        <v>1796</v>
      </c>
      <c r="D133" s="197" t="s">
        <v>1797</v>
      </c>
      <c r="E133" s="165" t="s">
        <v>1797</v>
      </c>
      <c r="F133" s="197" t="str">
        <f t="shared" si="28"/>
        <v>unused_LCD_D8</v>
      </c>
      <c r="G133" s="198" t="s">
        <v>893</v>
      </c>
      <c r="H133" s="197" t="s">
        <v>529</v>
      </c>
      <c r="I133" s="197" t="s">
        <v>530</v>
      </c>
      <c r="J133" s="360" t="s">
        <v>3063</v>
      </c>
      <c r="K133" s="360" t="s">
        <v>3076</v>
      </c>
      <c r="L133" s="198" t="s">
        <v>2062</v>
      </c>
      <c r="M133" s="197" t="s">
        <v>270</v>
      </c>
      <c r="N133" s="197" t="s">
        <v>270</v>
      </c>
      <c r="O133" s="197" t="s">
        <v>255</v>
      </c>
      <c r="P133" s="197" t="s">
        <v>253</v>
      </c>
      <c r="Q133" s="198" t="s">
        <v>473</v>
      </c>
      <c r="R133" s="197" t="s">
        <v>257</v>
      </c>
      <c r="S133" s="197">
        <v>100</v>
      </c>
      <c r="T133" s="197" t="s">
        <v>481</v>
      </c>
      <c r="U133" s="198">
        <v>0</v>
      </c>
      <c r="V133" s="199">
        <v>1</v>
      </c>
      <c r="W133" s="199">
        <v>0</v>
      </c>
      <c r="X133" s="199" t="s">
        <v>259</v>
      </c>
      <c r="Y133" s="200" t="s">
        <v>260</v>
      </c>
      <c r="Z133" s="200" t="s">
        <v>260</v>
      </c>
      <c r="AA133" s="233" t="str">
        <f t="shared" si="29"/>
        <v>Unused</v>
      </c>
      <c r="AB133" s="234" t="str">
        <f t="shared" si="30"/>
        <v>Unused</v>
      </c>
      <c r="AC133" s="248"/>
      <c r="AD133" s="234" t="str">
        <f t="shared" si="27"/>
        <v>ENABLE</v>
      </c>
      <c r="AE133" s="234" t="str">
        <f t="shared" si="33"/>
        <v>DISABLE</v>
      </c>
      <c r="AF133" s="234" t="str">
        <f t="shared" si="26"/>
        <v>NORMAL</v>
      </c>
      <c r="AG133" s="248"/>
      <c r="AH133" s="234" t="str">
        <f t="shared" si="31"/>
        <v>TRISTATE</v>
      </c>
      <c r="AI133" s="234" t="str">
        <f t="shared" si="32"/>
        <v>HIGH</v>
      </c>
      <c r="AJ133" s="182" t="s">
        <v>3691</v>
      </c>
      <c r="AK133" s="149" t="s">
        <v>2926</v>
      </c>
      <c r="AL133" s="153"/>
      <c r="AM133" s="256"/>
      <c r="AN133" s="152"/>
      <c r="AO133" s="152"/>
      <c r="AP133" s="153"/>
      <c r="AQ133" s="435"/>
      <c r="AR133" s="6" t="s">
        <v>893</v>
      </c>
      <c r="AS133" s="383"/>
      <c r="AT133" s="282" t="s">
        <v>529</v>
      </c>
      <c r="AU133" s="440"/>
      <c r="AV133" s="440"/>
    </row>
    <row r="134" spans="1:48" ht="12.95" customHeight="1" thickBot="1" x14ac:dyDescent="0.3">
      <c r="A134" s="197" t="s">
        <v>127</v>
      </c>
      <c r="B134" s="271"/>
      <c r="C134" s="197" t="s">
        <v>1798</v>
      </c>
      <c r="D134" s="197" t="s">
        <v>1799</v>
      </c>
      <c r="E134" s="165" t="s">
        <v>1799</v>
      </c>
      <c r="F134" s="197" t="str">
        <f t="shared" si="28"/>
        <v>unused_LCD_D9</v>
      </c>
      <c r="G134" s="198" t="s">
        <v>894</v>
      </c>
      <c r="H134" s="197" t="s">
        <v>531</v>
      </c>
      <c r="I134" s="197" t="s">
        <v>532</v>
      </c>
      <c r="J134" s="360" t="s">
        <v>3063</v>
      </c>
      <c r="K134" s="360" t="s">
        <v>3076</v>
      </c>
      <c r="L134" s="198" t="s">
        <v>2062</v>
      </c>
      <c r="M134" s="197" t="s">
        <v>270</v>
      </c>
      <c r="N134" s="197" t="s">
        <v>270</v>
      </c>
      <c r="O134" s="197" t="s">
        <v>255</v>
      </c>
      <c r="P134" s="197" t="s">
        <v>253</v>
      </c>
      <c r="Q134" s="198" t="s">
        <v>473</v>
      </c>
      <c r="R134" s="197" t="s">
        <v>257</v>
      </c>
      <c r="S134" s="197">
        <v>100</v>
      </c>
      <c r="T134" s="197" t="s">
        <v>481</v>
      </c>
      <c r="U134" s="198">
        <v>0</v>
      </c>
      <c r="V134" s="199">
        <v>1</v>
      </c>
      <c r="W134" s="199">
        <v>0</v>
      </c>
      <c r="X134" s="199" t="s">
        <v>259</v>
      </c>
      <c r="Y134" s="200" t="s">
        <v>260</v>
      </c>
      <c r="Z134" s="200" t="s">
        <v>260</v>
      </c>
      <c r="AA134" s="233" t="str">
        <f t="shared" si="29"/>
        <v>Unused</v>
      </c>
      <c r="AB134" s="234" t="str">
        <f t="shared" si="30"/>
        <v>Unused</v>
      </c>
      <c r="AC134" s="248"/>
      <c r="AD134" s="234" t="str">
        <f t="shared" si="27"/>
        <v>ENABLE</v>
      </c>
      <c r="AE134" s="234" t="str">
        <f t="shared" si="33"/>
        <v>DISABLE</v>
      </c>
      <c r="AF134" s="234" t="str">
        <f t="shared" si="26"/>
        <v>NORMAL</v>
      </c>
      <c r="AG134" s="248"/>
      <c r="AH134" s="234" t="str">
        <f t="shared" si="31"/>
        <v>TRISTATE</v>
      </c>
      <c r="AI134" s="234" t="str">
        <f t="shared" si="32"/>
        <v>HIGH</v>
      </c>
      <c r="AJ134" s="182" t="s">
        <v>3692</v>
      </c>
      <c r="AK134" s="149" t="s">
        <v>2926</v>
      </c>
      <c r="AL134" s="153"/>
      <c r="AM134" s="256"/>
      <c r="AN134" s="152"/>
      <c r="AO134" s="152"/>
      <c r="AP134" s="153"/>
      <c r="AQ134" s="436"/>
      <c r="AR134" s="6" t="s">
        <v>894</v>
      </c>
      <c r="AS134" s="383"/>
      <c r="AT134" s="282" t="s">
        <v>531</v>
      </c>
      <c r="AU134" s="441"/>
      <c r="AV134" s="441"/>
    </row>
    <row r="135" spans="1:48" ht="12.95" customHeight="1" thickBot="1" x14ac:dyDescent="0.3">
      <c r="A135" s="197" t="s">
        <v>128</v>
      </c>
      <c r="B135" s="271"/>
      <c r="C135" s="197" t="s">
        <v>1800</v>
      </c>
      <c r="D135" s="197" t="s">
        <v>1801</v>
      </c>
      <c r="E135" s="165" t="s">
        <v>1801</v>
      </c>
      <c r="F135" s="197" t="str">
        <f t="shared" si="28"/>
        <v>unused_LCD_DC0</v>
      </c>
      <c r="G135" s="198" t="s">
        <v>895</v>
      </c>
      <c r="H135" s="197" t="s">
        <v>533</v>
      </c>
      <c r="I135" s="197" t="s">
        <v>534</v>
      </c>
      <c r="J135" s="360" t="s">
        <v>3063</v>
      </c>
      <c r="K135" s="360" t="s">
        <v>3076</v>
      </c>
      <c r="L135" s="198" t="s">
        <v>2062</v>
      </c>
      <c r="M135" s="197" t="s">
        <v>270</v>
      </c>
      <c r="N135" s="197" t="s">
        <v>270</v>
      </c>
      <c r="O135" s="197" t="s">
        <v>255</v>
      </c>
      <c r="P135" s="197" t="s">
        <v>253</v>
      </c>
      <c r="Q135" s="198" t="s">
        <v>473</v>
      </c>
      <c r="R135" s="197" t="s">
        <v>257</v>
      </c>
      <c r="S135" s="197">
        <v>100</v>
      </c>
      <c r="T135" s="197" t="s">
        <v>482</v>
      </c>
      <c r="U135" s="198">
        <v>0</v>
      </c>
      <c r="V135" s="199">
        <v>1</v>
      </c>
      <c r="W135" s="199">
        <v>0</v>
      </c>
      <c r="X135" s="199" t="s">
        <v>259</v>
      </c>
      <c r="Y135" s="200" t="s">
        <v>260</v>
      </c>
      <c r="Z135" s="200" t="s">
        <v>260</v>
      </c>
      <c r="AA135" s="233" t="str">
        <f t="shared" si="29"/>
        <v>Unused</v>
      </c>
      <c r="AB135" s="234" t="str">
        <f t="shared" si="30"/>
        <v>Unused</v>
      </c>
      <c r="AC135" s="248"/>
      <c r="AD135" s="234" t="str">
        <f t="shared" si="27"/>
        <v>ENABLE</v>
      </c>
      <c r="AE135" s="234" t="str">
        <f t="shared" si="33"/>
        <v>DISABLE</v>
      </c>
      <c r="AF135" s="234" t="str">
        <f t="shared" si="26"/>
        <v>NORMAL</v>
      </c>
      <c r="AG135" s="248"/>
      <c r="AH135" s="234" t="str">
        <f t="shared" si="31"/>
        <v>TRISTATE</v>
      </c>
      <c r="AI135" s="234" t="str">
        <f t="shared" si="32"/>
        <v>HIGH</v>
      </c>
      <c r="AJ135" s="182" t="s">
        <v>1140</v>
      </c>
      <c r="AK135" s="149" t="s">
        <v>2926</v>
      </c>
      <c r="AL135" s="153"/>
      <c r="AM135" s="256"/>
      <c r="AN135" s="152"/>
      <c r="AO135" s="152"/>
      <c r="AP135" s="153"/>
      <c r="AQ135" s="343" t="s">
        <v>3592</v>
      </c>
      <c r="AR135" s="6" t="s">
        <v>1140</v>
      </c>
      <c r="AS135" s="388"/>
      <c r="AT135" s="282" t="s">
        <v>1140</v>
      </c>
      <c r="AU135" s="67" t="s">
        <v>2430</v>
      </c>
      <c r="AV135" s="388"/>
    </row>
    <row r="136" spans="1:48" ht="12.95" customHeight="1" thickBot="1" x14ac:dyDescent="0.3">
      <c r="A136" s="197" t="s">
        <v>129</v>
      </c>
      <c r="B136" s="271"/>
      <c r="C136" s="197" t="s">
        <v>1802</v>
      </c>
      <c r="D136" s="197" t="s">
        <v>1803</v>
      </c>
      <c r="E136" s="165" t="s">
        <v>1803</v>
      </c>
      <c r="F136" s="197" t="str">
        <f t="shared" si="28"/>
        <v>unused_LCD_DC1</v>
      </c>
      <c r="G136" s="198" t="s">
        <v>896</v>
      </c>
      <c r="H136" s="197" t="s">
        <v>535</v>
      </c>
      <c r="I136" s="197" t="s">
        <v>536</v>
      </c>
      <c r="J136" s="360" t="s">
        <v>3063</v>
      </c>
      <c r="K136" s="360" t="s">
        <v>3076</v>
      </c>
      <c r="L136" s="198" t="s">
        <v>2062</v>
      </c>
      <c r="M136" s="197" t="s">
        <v>270</v>
      </c>
      <c r="N136" s="197" t="s">
        <v>270</v>
      </c>
      <c r="O136" s="197" t="s">
        <v>255</v>
      </c>
      <c r="P136" s="197" t="s">
        <v>253</v>
      </c>
      <c r="Q136" s="198" t="s">
        <v>473</v>
      </c>
      <c r="R136" s="197" t="s">
        <v>257</v>
      </c>
      <c r="S136" s="197">
        <v>100</v>
      </c>
      <c r="T136" s="197" t="s">
        <v>481</v>
      </c>
      <c r="U136" s="198">
        <v>0</v>
      </c>
      <c r="V136" s="199">
        <v>1</v>
      </c>
      <c r="W136" s="199">
        <v>0</v>
      </c>
      <c r="X136" s="199" t="s">
        <v>259</v>
      </c>
      <c r="Y136" s="200" t="s">
        <v>260</v>
      </c>
      <c r="Z136" s="200" t="s">
        <v>260</v>
      </c>
      <c r="AA136" s="233" t="str">
        <f t="shared" si="29"/>
        <v>Unused</v>
      </c>
      <c r="AB136" s="234" t="str">
        <f t="shared" si="30"/>
        <v>Unused</v>
      </c>
      <c r="AC136" s="248"/>
      <c r="AD136" s="234" t="str">
        <f t="shared" si="27"/>
        <v>ENABLE</v>
      </c>
      <c r="AE136" s="234" t="str">
        <f t="shared" si="33"/>
        <v>DISABLE</v>
      </c>
      <c r="AF136" s="234" t="str">
        <f t="shared" si="26"/>
        <v>NORMAL</v>
      </c>
      <c r="AG136" s="248"/>
      <c r="AH136" s="234" t="str">
        <f t="shared" si="31"/>
        <v>TRISTATE</v>
      </c>
      <c r="AI136" s="234" t="str">
        <f t="shared" si="32"/>
        <v>HIGH</v>
      </c>
      <c r="AJ136" s="182" t="s">
        <v>1141</v>
      </c>
      <c r="AK136" s="149" t="s">
        <v>2926</v>
      </c>
      <c r="AL136" s="153"/>
      <c r="AM136" s="256"/>
      <c r="AN136" s="152"/>
      <c r="AO136" s="152"/>
      <c r="AP136" s="153"/>
      <c r="AQ136" s="346" t="s">
        <v>3593</v>
      </c>
      <c r="AR136" s="6" t="s">
        <v>896</v>
      </c>
      <c r="AS136" s="390"/>
      <c r="AT136" s="282" t="s">
        <v>1141</v>
      </c>
      <c r="AU136" s="105"/>
      <c r="AV136" s="390"/>
    </row>
    <row r="137" spans="1:48" ht="12.95" customHeight="1" thickBot="1" x14ac:dyDescent="0.3">
      <c r="A137" s="197" t="s">
        <v>130</v>
      </c>
      <c r="B137" s="271"/>
      <c r="C137" s="197" t="s">
        <v>1804</v>
      </c>
      <c r="D137" s="197" t="s">
        <v>1805</v>
      </c>
      <c r="E137" s="165" t="s">
        <v>1805</v>
      </c>
      <c r="F137" s="197" t="str">
        <f t="shared" si="28"/>
        <v>unused_LCD_DE</v>
      </c>
      <c r="G137" s="198" t="s">
        <v>897</v>
      </c>
      <c r="H137" s="197" t="s">
        <v>537</v>
      </c>
      <c r="I137" s="197" t="s">
        <v>538</v>
      </c>
      <c r="J137" s="360" t="s">
        <v>3063</v>
      </c>
      <c r="K137" s="360" t="s">
        <v>3076</v>
      </c>
      <c r="L137" s="198" t="s">
        <v>2062</v>
      </c>
      <c r="M137" s="197" t="s">
        <v>270</v>
      </c>
      <c r="N137" s="197" t="s">
        <v>270</v>
      </c>
      <c r="O137" s="197" t="s">
        <v>255</v>
      </c>
      <c r="P137" s="197" t="s">
        <v>253</v>
      </c>
      <c r="Q137" s="198" t="s">
        <v>473</v>
      </c>
      <c r="R137" s="197" t="s">
        <v>257</v>
      </c>
      <c r="S137" s="197">
        <v>100</v>
      </c>
      <c r="T137" s="197" t="s">
        <v>481</v>
      </c>
      <c r="U137" s="198">
        <v>0</v>
      </c>
      <c r="V137" s="199">
        <v>1</v>
      </c>
      <c r="W137" s="199">
        <v>0</v>
      </c>
      <c r="X137" s="199" t="s">
        <v>259</v>
      </c>
      <c r="Y137" s="200" t="s">
        <v>260</v>
      </c>
      <c r="Z137" s="200" t="s">
        <v>260</v>
      </c>
      <c r="AA137" s="233" t="str">
        <f t="shared" si="29"/>
        <v>Unused</v>
      </c>
      <c r="AB137" s="234" t="str">
        <f t="shared" si="30"/>
        <v>Unused</v>
      </c>
      <c r="AC137" s="248"/>
      <c r="AD137" s="234" t="str">
        <f t="shared" si="27"/>
        <v>ENABLE</v>
      </c>
      <c r="AE137" s="234" t="str">
        <f t="shared" si="33"/>
        <v>DISABLE</v>
      </c>
      <c r="AF137" s="234" t="str">
        <f t="shared" si="26"/>
        <v>NORMAL</v>
      </c>
      <c r="AG137" s="248"/>
      <c r="AH137" s="234" t="str">
        <f t="shared" si="31"/>
        <v>TRISTATE</v>
      </c>
      <c r="AI137" s="234" t="str">
        <f t="shared" si="32"/>
        <v>HIGH</v>
      </c>
      <c r="AJ137" s="182" t="s">
        <v>3693</v>
      </c>
      <c r="AK137" s="149" t="s">
        <v>2926</v>
      </c>
      <c r="AL137" s="153"/>
      <c r="AM137" s="256"/>
      <c r="AN137" s="152"/>
      <c r="AO137" s="152"/>
      <c r="AP137" s="153"/>
      <c r="AQ137" s="353" t="s">
        <v>130</v>
      </c>
      <c r="AR137" s="6" t="s">
        <v>537</v>
      </c>
      <c r="AS137" s="42" t="s">
        <v>130</v>
      </c>
      <c r="AT137" s="282" t="s">
        <v>537</v>
      </c>
      <c r="AU137" s="42" t="s">
        <v>130</v>
      </c>
      <c r="AV137" s="42" t="s">
        <v>130</v>
      </c>
    </row>
    <row r="138" spans="1:48" ht="12.95" customHeight="1" thickBot="1" x14ac:dyDescent="0.3">
      <c r="A138" s="197" t="s">
        <v>131</v>
      </c>
      <c r="B138" s="271"/>
      <c r="C138" s="197" t="s">
        <v>1806</v>
      </c>
      <c r="D138" s="197" t="s">
        <v>1807</v>
      </c>
      <c r="E138" s="165" t="s">
        <v>1807</v>
      </c>
      <c r="F138" s="197" t="str">
        <f t="shared" si="28"/>
        <v>unused_LCD_HSYNC</v>
      </c>
      <c r="G138" s="198" t="s">
        <v>898</v>
      </c>
      <c r="H138" s="197" t="s">
        <v>539</v>
      </c>
      <c r="I138" s="197" t="s">
        <v>540</v>
      </c>
      <c r="J138" s="360" t="s">
        <v>3063</v>
      </c>
      <c r="K138" s="360" t="s">
        <v>3076</v>
      </c>
      <c r="L138" s="198" t="s">
        <v>2062</v>
      </c>
      <c r="M138" s="197" t="s">
        <v>270</v>
      </c>
      <c r="N138" s="197" t="s">
        <v>270</v>
      </c>
      <c r="O138" s="197" t="s">
        <v>255</v>
      </c>
      <c r="P138" s="197" t="s">
        <v>253</v>
      </c>
      <c r="Q138" s="198" t="s">
        <v>473</v>
      </c>
      <c r="R138" s="197" t="s">
        <v>257</v>
      </c>
      <c r="S138" s="197">
        <v>100</v>
      </c>
      <c r="T138" s="197" t="s">
        <v>481</v>
      </c>
      <c r="U138" s="198">
        <v>0</v>
      </c>
      <c r="V138" s="199">
        <v>1</v>
      </c>
      <c r="W138" s="199">
        <v>0</v>
      </c>
      <c r="X138" s="199" t="s">
        <v>300</v>
      </c>
      <c r="Y138" s="200" t="s">
        <v>301</v>
      </c>
      <c r="Z138" s="200" t="s">
        <v>301</v>
      </c>
      <c r="AA138" s="233" t="str">
        <f t="shared" si="29"/>
        <v>Unused</v>
      </c>
      <c r="AB138" s="234" t="str">
        <f t="shared" si="30"/>
        <v>Unused</v>
      </c>
      <c r="AC138" s="248"/>
      <c r="AD138" s="234" t="str">
        <f t="shared" si="27"/>
        <v>ENABLE</v>
      </c>
      <c r="AE138" s="234" t="str">
        <f t="shared" si="33"/>
        <v>DISABLE</v>
      </c>
      <c r="AF138" s="234" t="str">
        <f t="shared" si="26"/>
        <v>NORMAL</v>
      </c>
      <c r="AG138" s="248"/>
      <c r="AH138" s="234" t="str">
        <f t="shared" si="31"/>
        <v>TRISTATE</v>
      </c>
      <c r="AI138" s="234" t="str">
        <f t="shared" si="32"/>
        <v>HIGH</v>
      </c>
      <c r="AJ138" s="182" t="s">
        <v>1076</v>
      </c>
      <c r="AK138" s="149" t="s">
        <v>2926</v>
      </c>
      <c r="AL138" s="153"/>
      <c r="AM138" s="256"/>
      <c r="AN138" s="152"/>
      <c r="AO138" s="152"/>
      <c r="AP138" s="153"/>
      <c r="AQ138" s="353" t="s">
        <v>131</v>
      </c>
      <c r="AR138" s="6" t="s">
        <v>1076</v>
      </c>
      <c r="AS138" s="42" t="s">
        <v>131</v>
      </c>
      <c r="AT138" s="282" t="s">
        <v>539</v>
      </c>
      <c r="AU138" s="42" t="s">
        <v>131</v>
      </c>
      <c r="AV138" s="42" t="s">
        <v>131</v>
      </c>
    </row>
    <row r="139" spans="1:48" ht="12.95" customHeight="1" thickBot="1" x14ac:dyDescent="0.3">
      <c r="A139" s="197" t="s">
        <v>132</v>
      </c>
      <c r="B139" s="271"/>
      <c r="C139" s="197" t="s">
        <v>1808</v>
      </c>
      <c r="D139" s="197" t="s">
        <v>1809</v>
      </c>
      <c r="E139" s="165" t="s">
        <v>1809</v>
      </c>
      <c r="F139" s="197" t="str">
        <f t="shared" si="28"/>
        <v>unused_LCD_M1</v>
      </c>
      <c r="G139" s="198" t="s">
        <v>899</v>
      </c>
      <c r="H139" s="197" t="s">
        <v>541</v>
      </c>
      <c r="I139" s="197" t="s">
        <v>542</v>
      </c>
      <c r="J139" s="360" t="s">
        <v>3063</v>
      </c>
      <c r="K139" s="360" t="s">
        <v>3076</v>
      </c>
      <c r="L139" s="198" t="s">
        <v>2062</v>
      </c>
      <c r="M139" s="197" t="s">
        <v>270</v>
      </c>
      <c r="N139" s="197" t="s">
        <v>270</v>
      </c>
      <c r="O139" s="197" t="s">
        <v>255</v>
      </c>
      <c r="P139" s="197" t="s">
        <v>253</v>
      </c>
      <c r="Q139" s="198" t="s">
        <v>473</v>
      </c>
      <c r="R139" s="197" t="s">
        <v>257</v>
      </c>
      <c r="S139" s="197">
        <v>100</v>
      </c>
      <c r="T139" s="197" t="s">
        <v>481</v>
      </c>
      <c r="U139" s="198">
        <v>0</v>
      </c>
      <c r="V139" s="199">
        <v>1</v>
      </c>
      <c r="W139" s="199">
        <v>0</v>
      </c>
      <c r="X139" s="199" t="s">
        <v>259</v>
      </c>
      <c r="Y139" s="200" t="s">
        <v>260</v>
      </c>
      <c r="Z139" s="200" t="s">
        <v>260</v>
      </c>
      <c r="AA139" s="233" t="str">
        <f t="shared" si="29"/>
        <v>Unused</v>
      </c>
      <c r="AB139" s="234" t="str">
        <f t="shared" si="30"/>
        <v>Unused</v>
      </c>
      <c r="AC139" s="248"/>
      <c r="AD139" s="234" t="str">
        <f t="shared" si="27"/>
        <v>ENABLE</v>
      </c>
      <c r="AE139" s="234" t="str">
        <f t="shared" si="33"/>
        <v>DISABLE</v>
      </c>
      <c r="AF139" s="234" t="str">
        <f t="shared" si="26"/>
        <v>NORMAL</v>
      </c>
      <c r="AG139" s="248"/>
      <c r="AH139" s="234" t="str">
        <f t="shared" si="31"/>
        <v>TRISTATE</v>
      </c>
      <c r="AI139" s="234" t="str">
        <f t="shared" si="32"/>
        <v>HIGH</v>
      </c>
      <c r="AJ139" s="182" t="s">
        <v>1142</v>
      </c>
      <c r="AK139" s="149" t="s">
        <v>2926</v>
      </c>
      <c r="AL139" s="153"/>
      <c r="AM139" s="256"/>
      <c r="AN139" s="152"/>
      <c r="AO139" s="152"/>
      <c r="AP139" s="153"/>
      <c r="AQ139" s="343" t="s">
        <v>3594</v>
      </c>
      <c r="AR139" s="6" t="s">
        <v>899</v>
      </c>
      <c r="AS139" s="43"/>
      <c r="AT139" s="282" t="s">
        <v>1142</v>
      </c>
      <c r="AU139" s="44" t="s">
        <v>1210</v>
      </c>
      <c r="AV139" s="126"/>
    </row>
    <row r="140" spans="1:48" ht="12.95" customHeight="1" thickBot="1" x14ac:dyDescent="0.3">
      <c r="A140" s="197" t="s">
        <v>133</v>
      </c>
      <c r="B140" s="271"/>
      <c r="C140" s="197" t="s">
        <v>1810</v>
      </c>
      <c r="D140" s="197" t="s">
        <v>1811</v>
      </c>
      <c r="E140" s="165" t="s">
        <v>1811</v>
      </c>
      <c r="F140" s="197" t="str">
        <f t="shared" si="28"/>
        <v>unused_LCD_PCLK</v>
      </c>
      <c r="G140" s="198" t="s">
        <v>900</v>
      </c>
      <c r="H140" s="197" t="s">
        <v>543</v>
      </c>
      <c r="I140" s="197" t="s">
        <v>544</v>
      </c>
      <c r="J140" s="360" t="s">
        <v>3063</v>
      </c>
      <c r="K140" s="360" t="s">
        <v>3076</v>
      </c>
      <c r="L140" s="198" t="s">
        <v>2062</v>
      </c>
      <c r="M140" s="197" t="s">
        <v>270</v>
      </c>
      <c r="N140" s="197" t="s">
        <v>270</v>
      </c>
      <c r="O140" s="197" t="s">
        <v>255</v>
      </c>
      <c r="P140" s="197" t="s">
        <v>253</v>
      </c>
      <c r="Q140" s="198" t="s">
        <v>473</v>
      </c>
      <c r="R140" s="197" t="s">
        <v>257</v>
      </c>
      <c r="S140" s="197">
        <v>100</v>
      </c>
      <c r="T140" s="197" t="s">
        <v>481</v>
      </c>
      <c r="U140" s="198">
        <v>0</v>
      </c>
      <c r="V140" s="199">
        <v>1</v>
      </c>
      <c r="W140" s="199">
        <v>0</v>
      </c>
      <c r="X140" s="199" t="s">
        <v>259</v>
      </c>
      <c r="Y140" s="200" t="s">
        <v>260</v>
      </c>
      <c r="Z140" s="200" t="s">
        <v>260</v>
      </c>
      <c r="AA140" s="233" t="str">
        <f t="shared" si="29"/>
        <v>Unused</v>
      </c>
      <c r="AB140" s="234" t="str">
        <f t="shared" si="30"/>
        <v>Unused</v>
      </c>
      <c r="AC140" s="248"/>
      <c r="AD140" s="234" t="str">
        <f t="shared" si="27"/>
        <v>ENABLE</v>
      </c>
      <c r="AE140" s="234" t="str">
        <f t="shared" si="33"/>
        <v>DISABLE</v>
      </c>
      <c r="AF140" s="234" t="str">
        <f t="shared" ref="AF140:AF170" si="34">IF((OR((AND($AC140="Yes",$AN140="",OR($AK140="In",$AK140="Bidir"))),($AL140="Int PU"))),"PULL_UP",IF(($AL140="Int PD"),"PULL_DOWN",IF((OR($AB140="Unused",$AL140="Drive 1",$AL140="Drive 0",$AL140="Z",$AL140="na",$AL140="",$AN140&lt;&gt;"",$AO140&lt;&gt;"")),"NORMAL")))</f>
        <v>NORMAL</v>
      </c>
      <c r="AG140" s="248"/>
      <c r="AH140" s="234" t="str">
        <f t="shared" si="31"/>
        <v>TRISTATE</v>
      </c>
      <c r="AI140" s="234" t="str">
        <f t="shared" si="32"/>
        <v>HIGH</v>
      </c>
      <c r="AJ140" s="182" t="s">
        <v>1077</v>
      </c>
      <c r="AK140" s="149" t="s">
        <v>2926</v>
      </c>
      <c r="AL140" s="153"/>
      <c r="AM140" s="256"/>
      <c r="AN140" s="152"/>
      <c r="AO140" s="152"/>
      <c r="AP140" s="153"/>
      <c r="AQ140" s="353" t="s">
        <v>133</v>
      </c>
      <c r="AR140" s="6" t="s">
        <v>1077</v>
      </c>
      <c r="AS140" s="42" t="s">
        <v>133</v>
      </c>
      <c r="AT140" s="282" t="s">
        <v>543</v>
      </c>
      <c r="AU140" s="42" t="s">
        <v>133</v>
      </c>
      <c r="AV140" s="42" t="s">
        <v>133</v>
      </c>
    </row>
    <row r="141" spans="1:48" ht="12.95" customHeight="1" thickBot="1" x14ac:dyDescent="0.3">
      <c r="A141" s="197" t="s">
        <v>134</v>
      </c>
      <c r="B141" s="271"/>
      <c r="C141" s="197" t="s">
        <v>1812</v>
      </c>
      <c r="D141" s="197" t="s">
        <v>1813</v>
      </c>
      <c r="E141" s="165" t="s">
        <v>1813</v>
      </c>
      <c r="F141" s="197" t="str">
        <f t="shared" si="28"/>
        <v>unused_LCD_PWR0</v>
      </c>
      <c r="G141" s="198" t="s">
        <v>901</v>
      </c>
      <c r="H141" s="197" t="s">
        <v>545</v>
      </c>
      <c r="I141" s="197" t="s">
        <v>546</v>
      </c>
      <c r="J141" s="197" t="s">
        <v>547</v>
      </c>
      <c r="K141" s="360" t="s">
        <v>3077</v>
      </c>
      <c r="L141" s="198" t="s">
        <v>2062</v>
      </c>
      <c r="M141" s="197" t="s">
        <v>270</v>
      </c>
      <c r="N141" s="197" t="s">
        <v>270</v>
      </c>
      <c r="O141" s="197" t="s">
        <v>255</v>
      </c>
      <c r="P141" s="197" t="s">
        <v>253</v>
      </c>
      <c r="Q141" s="198" t="s">
        <v>473</v>
      </c>
      <c r="R141" s="197" t="s">
        <v>257</v>
      </c>
      <c r="S141" s="197">
        <v>100</v>
      </c>
      <c r="T141" s="197" t="s">
        <v>481</v>
      </c>
      <c r="U141" s="198">
        <v>0</v>
      </c>
      <c r="V141" s="199">
        <v>1</v>
      </c>
      <c r="W141" s="199">
        <v>0</v>
      </c>
      <c r="X141" s="199" t="s">
        <v>259</v>
      </c>
      <c r="Y141" s="200" t="s">
        <v>260</v>
      </c>
      <c r="Z141" s="200" t="s">
        <v>260</v>
      </c>
      <c r="AA141" s="233" t="str">
        <f t="shared" si="29"/>
        <v>Unused</v>
      </c>
      <c r="AB141" s="234" t="str">
        <f t="shared" si="30"/>
        <v>Unused</v>
      </c>
      <c r="AC141" s="248"/>
      <c r="AD141" s="234" t="str">
        <f t="shared" si="27"/>
        <v>ENABLE</v>
      </c>
      <c r="AE141" s="234" t="str">
        <f t="shared" si="33"/>
        <v>DISABLE</v>
      </c>
      <c r="AF141" s="234" t="str">
        <f t="shared" si="34"/>
        <v>NORMAL</v>
      </c>
      <c r="AG141" s="248"/>
      <c r="AH141" s="234" t="str">
        <f t="shared" si="31"/>
        <v>TRISTATE</v>
      </c>
      <c r="AI141" s="234" t="str">
        <f t="shared" si="32"/>
        <v>HIGH</v>
      </c>
      <c r="AJ141" s="182" t="s">
        <v>1078</v>
      </c>
      <c r="AK141" s="149" t="s">
        <v>2926</v>
      </c>
      <c r="AL141" s="153"/>
      <c r="AM141" s="256"/>
      <c r="AN141" s="152"/>
      <c r="AO141" s="152"/>
      <c r="AP141" s="153"/>
      <c r="AQ141" s="344" t="s">
        <v>3595</v>
      </c>
      <c r="AR141" s="6" t="s">
        <v>901</v>
      </c>
      <c r="AS141" s="388"/>
      <c r="AT141" s="282" t="s">
        <v>1078</v>
      </c>
      <c r="AU141" s="113"/>
      <c r="AV141" s="51" t="s">
        <v>2464</v>
      </c>
    </row>
    <row r="142" spans="1:48" ht="12.95" customHeight="1" thickBot="1" x14ac:dyDescent="0.3">
      <c r="A142" s="197" t="s">
        <v>135</v>
      </c>
      <c r="B142" s="271"/>
      <c r="C142" s="197" t="s">
        <v>1814</v>
      </c>
      <c r="D142" s="197" t="s">
        <v>1815</v>
      </c>
      <c r="E142" s="165" t="s">
        <v>1815</v>
      </c>
      <c r="F142" s="197" t="str">
        <f t="shared" si="28"/>
        <v>unused_LCD_PWR1</v>
      </c>
      <c r="G142" s="198" t="s">
        <v>902</v>
      </c>
      <c r="H142" s="197" t="s">
        <v>548</v>
      </c>
      <c r="I142" s="197" t="s">
        <v>549</v>
      </c>
      <c r="J142" s="360" t="s">
        <v>3063</v>
      </c>
      <c r="K142" s="360" t="s">
        <v>3076</v>
      </c>
      <c r="L142" s="198" t="s">
        <v>2062</v>
      </c>
      <c r="M142" s="197" t="s">
        <v>270</v>
      </c>
      <c r="N142" s="197" t="s">
        <v>270</v>
      </c>
      <c r="O142" s="197" t="s">
        <v>255</v>
      </c>
      <c r="P142" s="197" t="s">
        <v>253</v>
      </c>
      <c r="Q142" s="198" t="s">
        <v>473</v>
      </c>
      <c r="R142" s="197" t="s">
        <v>257</v>
      </c>
      <c r="S142" s="197">
        <v>100</v>
      </c>
      <c r="T142" s="197" t="s">
        <v>482</v>
      </c>
      <c r="U142" s="198">
        <v>0</v>
      </c>
      <c r="V142" s="199">
        <v>1</v>
      </c>
      <c r="W142" s="199">
        <v>0</v>
      </c>
      <c r="X142" s="199" t="s">
        <v>259</v>
      </c>
      <c r="Y142" s="200" t="s">
        <v>260</v>
      </c>
      <c r="Z142" s="200" t="s">
        <v>260</v>
      </c>
      <c r="AA142" s="233" t="str">
        <f t="shared" si="29"/>
        <v>Unused</v>
      </c>
      <c r="AB142" s="234" t="str">
        <f t="shared" si="30"/>
        <v>Unused</v>
      </c>
      <c r="AC142" s="248"/>
      <c r="AD142" s="234" t="str">
        <f t="shared" si="27"/>
        <v>ENABLE</v>
      </c>
      <c r="AE142" s="234" t="str">
        <f t="shared" si="33"/>
        <v>DISABLE</v>
      </c>
      <c r="AF142" s="234" t="str">
        <f t="shared" si="34"/>
        <v>NORMAL</v>
      </c>
      <c r="AG142" s="248"/>
      <c r="AH142" s="234" t="str">
        <f t="shared" si="31"/>
        <v>TRISTATE</v>
      </c>
      <c r="AI142" s="234" t="str">
        <f t="shared" si="32"/>
        <v>HIGH</v>
      </c>
      <c r="AJ142" s="182" t="s">
        <v>1143</v>
      </c>
      <c r="AK142" s="149" t="s">
        <v>2926</v>
      </c>
      <c r="AL142" s="153"/>
      <c r="AM142" s="256"/>
      <c r="AN142" s="152"/>
      <c r="AO142" s="152"/>
      <c r="AP142" s="153"/>
      <c r="AQ142" s="343" t="s">
        <v>1211</v>
      </c>
      <c r="AR142" s="6" t="s">
        <v>902</v>
      </c>
      <c r="AS142" s="389"/>
      <c r="AT142" s="282" t="s">
        <v>1143</v>
      </c>
      <c r="AU142" s="51" t="s">
        <v>1211</v>
      </c>
      <c r="AV142" s="51" t="s">
        <v>135</v>
      </c>
    </row>
    <row r="143" spans="1:48" ht="12.95" customHeight="1" thickBot="1" x14ac:dyDescent="0.3">
      <c r="A143" s="197" t="s">
        <v>136</v>
      </c>
      <c r="B143" s="271"/>
      <c r="C143" s="197" t="s">
        <v>1816</v>
      </c>
      <c r="D143" s="197" t="s">
        <v>1817</v>
      </c>
      <c r="E143" s="165" t="s">
        <v>1817</v>
      </c>
      <c r="F143" s="197" t="str">
        <f t="shared" si="28"/>
        <v>unused_LCD_PWR2</v>
      </c>
      <c r="G143" s="198" t="s">
        <v>903</v>
      </c>
      <c r="H143" s="197" t="s">
        <v>550</v>
      </c>
      <c r="I143" s="197" t="s">
        <v>551</v>
      </c>
      <c r="J143" s="197" t="s">
        <v>552</v>
      </c>
      <c r="K143" s="360" t="s">
        <v>3077</v>
      </c>
      <c r="L143" s="198" t="s">
        <v>2062</v>
      </c>
      <c r="M143" s="197" t="s">
        <v>270</v>
      </c>
      <c r="N143" s="197" t="s">
        <v>270</v>
      </c>
      <c r="O143" s="197" t="s">
        <v>255</v>
      </c>
      <c r="P143" s="197" t="s">
        <v>253</v>
      </c>
      <c r="Q143" s="198" t="s">
        <v>473</v>
      </c>
      <c r="R143" s="197" t="s">
        <v>257</v>
      </c>
      <c r="S143" s="197">
        <v>100</v>
      </c>
      <c r="T143" s="197" t="s">
        <v>482</v>
      </c>
      <c r="U143" s="198">
        <v>0</v>
      </c>
      <c r="V143" s="199">
        <v>1</v>
      </c>
      <c r="W143" s="199">
        <v>0</v>
      </c>
      <c r="X143" s="199" t="s">
        <v>259</v>
      </c>
      <c r="Y143" s="200" t="s">
        <v>260</v>
      </c>
      <c r="Z143" s="200" t="s">
        <v>260</v>
      </c>
      <c r="AA143" s="233" t="str">
        <f t="shared" si="29"/>
        <v>Unused</v>
      </c>
      <c r="AB143" s="234" t="str">
        <f t="shared" si="30"/>
        <v>Unused</v>
      </c>
      <c r="AC143" s="248"/>
      <c r="AD143" s="234" t="str">
        <f t="shared" si="27"/>
        <v>ENABLE</v>
      </c>
      <c r="AE143" s="234" t="str">
        <f t="shared" si="33"/>
        <v>DISABLE</v>
      </c>
      <c r="AF143" s="234" t="str">
        <f t="shared" si="34"/>
        <v>NORMAL</v>
      </c>
      <c r="AG143" s="248"/>
      <c r="AH143" s="234" t="str">
        <f t="shared" si="31"/>
        <v>TRISTATE</v>
      </c>
      <c r="AI143" s="234" t="str">
        <f t="shared" si="32"/>
        <v>HIGH</v>
      </c>
      <c r="AJ143" s="182" t="s">
        <v>1144</v>
      </c>
      <c r="AK143" s="149" t="s">
        <v>2926</v>
      </c>
      <c r="AL143" s="153"/>
      <c r="AM143" s="256"/>
      <c r="AN143" s="152"/>
      <c r="AO143" s="152"/>
      <c r="AP143" s="153"/>
      <c r="AQ143" s="354" t="s">
        <v>1213</v>
      </c>
      <c r="AR143" s="6" t="s">
        <v>903</v>
      </c>
      <c r="AS143" s="389"/>
      <c r="AT143" s="282" t="s">
        <v>1144</v>
      </c>
      <c r="AU143" s="113"/>
      <c r="AV143" s="128"/>
    </row>
    <row r="144" spans="1:48" ht="12.95" customHeight="1" thickBot="1" x14ac:dyDescent="0.3">
      <c r="A144" s="197" t="s">
        <v>137</v>
      </c>
      <c r="B144" s="271"/>
      <c r="C144" s="197" t="s">
        <v>1668</v>
      </c>
      <c r="D144" s="197" t="s">
        <v>1818</v>
      </c>
      <c r="E144" s="165" t="s">
        <v>1818</v>
      </c>
      <c r="F144" s="197" t="str">
        <f t="shared" si="28"/>
        <v>unused_LCD_SCK</v>
      </c>
      <c r="G144" s="198" t="s">
        <v>904</v>
      </c>
      <c r="H144" s="197" t="s">
        <v>553</v>
      </c>
      <c r="I144" s="197" t="s">
        <v>554</v>
      </c>
      <c r="J144" s="197" t="s">
        <v>555</v>
      </c>
      <c r="K144" s="360" t="s">
        <v>3077</v>
      </c>
      <c r="L144" s="198" t="s">
        <v>2062</v>
      </c>
      <c r="M144" s="197" t="s">
        <v>270</v>
      </c>
      <c r="N144" s="197" t="s">
        <v>270</v>
      </c>
      <c r="O144" s="197" t="s">
        <v>255</v>
      </c>
      <c r="P144" s="197" t="s">
        <v>253</v>
      </c>
      <c r="Q144" s="198" t="s">
        <v>473</v>
      </c>
      <c r="R144" s="197" t="s">
        <v>257</v>
      </c>
      <c r="S144" s="197">
        <v>100</v>
      </c>
      <c r="T144" s="197" t="s">
        <v>482</v>
      </c>
      <c r="U144" s="198">
        <v>0</v>
      </c>
      <c r="V144" s="199">
        <v>1</v>
      </c>
      <c r="W144" s="199">
        <v>0</v>
      </c>
      <c r="X144" s="199" t="s">
        <v>300</v>
      </c>
      <c r="Y144" s="200" t="s">
        <v>301</v>
      </c>
      <c r="Z144" s="200" t="s">
        <v>301</v>
      </c>
      <c r="AA144" s="233" t="str">
        <f t="shared" si="29"/>
        <v>Unused</v>
      </c>
      <c r="AB144" s="234" t="str">
        <f t="shared" si="30"/>
        <v>Unused</v>
      </c>
      <c r="AC144" s="248"/>
      <c r="AD144" s="234" t="str">
        <f t="shared" si="27"/>
        <v>ENABLE</v>
      </c>
      <c r="AE144" s="234" t="str">
        <f t="shared" si="33"/>
        <v>DISABLE</v>
      </c>
      <c r="AF144" s="234" t="str">
        <f t="shared" si="34"/>
        <v>NORMAL</v>
      </c>
      <c r="AG144" s="248"/>
      <c r="AH144" s="234" t="str">
        <f t="shared" si="31"/>
        <v>TRISTATE</v>
      </c>
      <c r="AI144" s="234" t="str">
        <f t="shared" si="32"/>
        <v>HIGH</v>
      </c>
      <c r="AJ144" s="182" t="s">
        <v>1079</v>
      </c>
      <c r="AK144" s="149" t="s">
        <v>2926</v>
      </c>
      <c r="AL144" s="153"/>
      <c r="AM144" s="256"/>
      <c r="AN144" s="152"/>
      <c r="AO144" s="152"/>
      <c r="AP144" s="153"/>
      <c r="AQ144" s="343" t="s">
        <v>3596</v>
      </c>
      <c r="AR144" s="6" t="s">
        <v>1079</v>
      </c>
      <c r="AS144" s="389"/>
      <c r="AT144" s="282" t="s">
        <v>1079</v>
      </c>
      <c r="AU144" s="51" t="s">
        <v>2433</v>
      </c>
      <c r="AV144" s="128"/>
    </row>
    <row r="145" spans="1:48" ht="12.95" customHeight="1" thickBot="1" x14ac:dyDescent="0.3">
      <c r="A145" s="197" t="s">
        <v>138</v>
      </c>
      <c r="B145" s="271"/>
      <c r="C145" s="197" t="s">
        <v>1819</v>
      </c>
      <c r="D145" s="197" t="s">
        <v>1820</v>
      </c>
      <c r="E145" s="165" t="s">
        <v>1820</v>
      </c>
      <c r="F145" s="197" t="str">
        <f t="shared" si="28"/>
        <v>unused_LCD_SDIN</v>
      </c>
      <c r="G145" s="198" t="s">
        <v>905</v>
      </c>
      <c r="H145" s="197" t="s">
        <v>556</v>
      </c>
      <c r="I145" s="197" t="s">
        <v>557</v>
      </c>
      <c r="J145" s="197" t="s">
        <v>558</v>
      </c>
      <c r="K145" s="360" t="s">
        <v>3037</v>
      </c>
      <c r="L145" s="198" t="s">
        <v>2062</v>
      </c>
      <c r="M145" s="197" t="s">
        <v>270</v>
      </c>
      <c r="N145" s="197" t="s">
        <v>270</v>
      </c>
      <c r="O145" s="197" t="s">
        <v>255</v>
      </c>
      <c r="P145" s="197" t="s">
        <v>253</v>
      </c>
      <c r="Q145" s="198" t="s">
        <v>473</v>
      </c>
      <c r="R145" s="197" t="s">
        <v>257</v>
      </c>
      <c r="S145" s="197">
        <v>100</v>
      </c>
      <c r="T145" s="197" t="s">
        <v>482</v>
      </c>
      <c r="U145" s="198">
        <v>0</v>
      </c>
      <c r="V145" s="199">
        <v>1</v>
      </c>
      <c r="W145" s="199">
        <v>0</v>
      </c>
      <c r="X145" s="199" t="s">
        <v>300</v>
      </c>
      <c r="Y145" s="200" t="s">
        <v>301</v>
      </c>
      <c r="Z145" s="200" t="s">
        <v>301</v>
      </c>
      <c r="AA145" s="233" t="str">
        <f t="shared" si="29"/>
        <v>Unused</v>
      </c>
      <c r="AB145" s="234" t="str">
        <f t="shared" si="30"/>
        <v>Unused</v>
      </c>
      <c r="AC145" s="248"/>
      <c r="AD145" s="234" t="str">
        <f t="shared" si="27"/>
        <v>ENABLE</v>
      </c>
      <c r="AE145" s="234" t="str">
        <f t="shared" si="33"/>
        <v>DISABLE</v>
      </c>
      <c r="AF145" s="234" t="str">
        <f t="shared" si="34"/>
        <v>NORMAL</v>
      </c>
      <c r="AG145" s="248"/>
      <c r="AH145" s="234" t="str">
        <f t="shared" si="31"/>
        <v>TRISTATE</v>
      </c>
      <c r="AI145" s="234" t="str">
        <f t="shared" si="32"/>
        <v>HIGH</v>
      </c>
      <c r="AJ145" s="182" t="s">
        <v>1080</v>
      </c>
      <c r="AK145" s="149" t="s">
        <v>2926</v>
      </c>
      <c r="AL145" s="153"/>
      <c r="AM145" s="256"/>
      <c r="AN145" s="152"/>
      <c r="AO145" s="152"/>
      <c r="AP145" s="153"/>
      <c r="AQ145" s="343" t="s">
        <v>3597</v>
      </c>
      <c r="AR145" s="6" t="s">
        <v>1080</v>
      </c>
      <c r="AS145" s="389"/>
      <c r="AT145" s="282" t="s">
        <v>1080</v>
      </c>
      <c r="AU145" s="51" t="s">
        <v>2263</v>
      </c>
      <c r="AV145" s="128"/>
    </row>
    <row r="146" spans="1:48" ht="12.95" customHeight="1" thickBot="1" x14ac:dyDescent="0.3">
      <c r="A146" s="197" t="s">
        <v>139</v>
      </c>
      <c r="B146" s="271"/>
      <c r="C146" s="197" t="s">
        <v>1821</v>
      </c>
      <c r="D146" s="197" t="s">
        <v>1822</v>
      </c>
      <c r="E146" s="165" t="s">
        <v>1822</v>
      </c>
      <c r="F146" s="197" t="str">
        <f t="shared" si="28"/>
        <v>unused_LCD_SDOUT</v>
      </c>
      <c r="G146" s="198" t="s">
        <v>906</v>
      </c>
      <c r="H146" s="197" t="s">
        <v>559</v>
      </c>
      <c r="I146" s="197" t="s">
        <v>560</v>
      </c>
      <c r="J146" s="197" t="s">
        <v>561</v>
      </c>
      <c r="K146" s="360" t="s">
        <v>3077</v>
      </c>
      <c r="L146" s="198" t="s">
        <v>2062</v>
      </c>
      <c r="M146" s="197" t="s">
        <v>270</v>
      </c>
      <c r="N146" s="197" t="s">
        <v>270</v>
      </c>
      <c r="O146" s="197" t="s">
        <v>255</v>
      </c>
      <c r="P146" s="197" t="s">
        <v>253</v>
      </c>
      <c r="Q146" s="198" t="s">
        <v>473</v>
      </c>
      <c r="R146" s="197" t="s">
        <v>257</v>
      </c>
      <c r="S146" s="197">
        <v>100</v>
      </c>
      <c r="T146" s="197" t="s">
        <v>482</v>
      </c>
      <c r="U146" s="198">
        <v>0</v>
      </c>
      <c r="V146" s="199">
        <v>1</v>
      </c>
      <c r="W146" s="199">
        <v>0</v>
      </c>
      <c r="X146" s="199" t="s">
        <v>300</v>
      </c>
      <c r="Y146" s="200" t="s">
        <v>301</v>
      </c>
      <c r="Z146" s="200" t="s">
        <v>301</v>
      </c>
      <c r="AA146" s="233" t="str">
        <f t="shared" si="29"/>
        <v>Unused</v>
      </c>
      <c r="AB146" s="234" t="str">
        <f t="shared" si="30"/>
        <v>Unused</v>
      </c>
      <c r="AC146" s="248"/>
      <c r="AD146" s="234" t="str">
        <f t="shared" si="27"/>
        <v>ENABLE</v>
      </c>
      <c r="AE146" s="234" t="str">
        <f t="shared" si="33"/>
        <v>DISABLE</v>
      </c>
      <c r="AF146" s="234" t="str">
        <f t="shared" si="34"/>
        <v>NORMAL</v>
      </c>
      <c r="AG146" s="248"/>
      <c r="AH146" s="234" t="str">
        <f t="shared" si="31"/>
        <v>TRISTATE</v>
      </c>
      <c r="AI146" s="234" t="str">
        <f t="shared" si="32"/>
        <v>HIGH</v>
      </c>
      <c r="AJ146" s="182" t="s">
        <v>1081</v>
      </c>
      <c r="AK146" s="149" t="s">
        <v>2926</v>
      </c>
      <c r="AL146" s="153"/>
      <c r="AM146" s="256"/>
      <c r="AN146" s="152"/>
      <c r="AO146" s="152"/>
      <c r="AP146" s="153"/>
      <c r="AQ146" s="346" t="s">
        <v>3598</v>
      </c>
      <c r="AR146" s="6" t="s">
        <v>1081</v>
      </c>
      <c r="AS146" s="390"/>
      <c r="AT146" s="282" t="s">
        <v>1081</v>
      </c>
      <c r="AU146" s="113"/>
      <c r="AV146" s="125"/>
    </row>
    <row r="147" spans="1:48" ht="12.95" customHeight="1" thickBot="1" x14ac:dyDescent="0.3">
      <c r="A147" s="197" t="s">
        <v>140</v>
      </c>
      <c r="B147" s="271"/>
      <c r="C147" s="197" t="s">
        <v>1823</v>
      </c>
      <c r="D147" s="197" t="s">
        <v>1824</v>
      </c>
      <c r="E147" s="165" t="s">
        <v>1824</v>
      </c>
      <c r="F147" s="197" t="str">
        <f t="shared" si="28"/>
        <v>unused_LCD_VSYNC</v>
      </c>
      <c r="G147" s="198" t="s">
        <v>907</v>
      </c>
      <c r="H147" s="197" t="s">
        <v>562</v>
      </c>
      <c r="I147" s="197" t="s">
        <v>563</v>
      </c>
      <c r="J147" s="360" t="s">
        <v>3063</v>
      </c>
      <c r="K147" s="360" t="s">
        <v>3076</v>
      </c>
      <c r="L147" s="198" t="s">
        <v>2062</v>
      </c>
      <c r="M147" s="197" t="s">
        <v>270</v>
      </c>
      <c r="N147" s="197" t="s">
        <v>270</v>
      </c>
      <c r="O147" s="197" t="s">
        <v>255</v>
      </c>
      <c r="P147" s="197" t="s">
        <v>253</v>
      </c>
      <c r="Q147" s="198" t="s">
        <v>473</v>
      </c>
      <c r="R147" s="197" t="s">
        <v>257</v>
      </c>
      <c r="S147" s="197">
        <v>100</v>
      </c>
      <c r="T147" s="197" t="s">
        <v>481</v>
      </c>
      <c r="U147" s="198">
        <v>0</v>
      </c>
      <c r="V147" s="199">
        <v>1</v>
      </c>
      <c r="W147" s="199">
        <v>0</v>
      </c>
      <c r="X147" s="199" t="s">
        <v>300</v>
      </c>
      <c r="Y147" s="200" t="s">
        <v>301</v>
      </c>
      <c r="Z147" s="200" t="s">
        <v>301</v>
      </c>
      <c r="AA147" s="233" t="str">
        <f t="shared" si="29"/>
        <v>Unused</v>
      </c>
      <c r="AB147" s="234" t="str">
        <f t="shared" si="30"/>
        <v>Unused</v>
      </c>
      <c r="AC147" s="248"/>
      <c r="AD147" s="234" t="str">
        <f t="shared" si="27"/>
        <v>ENABLE</v>
      </c>
      <c r="AE147" s="234" t="str">
        <f t="shared" si="33"/>
        <v>DISABLE</v>
      </c>
      <c r="AF147" s="234" t="str">
        <f t="shared" si="34"/>
        <v>NORMAL</v>
      </c>
      <c r="AG147" s="248"/>
      <c r="AH147" s="234" t="str">
        <f t="shared" si="31"/>
        <v>TRISTATE</v>
      </c>
      <c r="AI147" s="234" t="str">
        <f t="shared" si="32"/>
        <v>HIGH</v>
      </c>
      <c r="AJ147" s="182" t="s">
        <v>1082</v>
      </c>
      <c r="AK147" s="149" t="s">
        <v>2926</v>
      </c>
      <c r="AL147" s="153"/>
      <c r="AM147" s="256"/>
      <c r="AN147" s="152"/>
      <c r="AO147" s="152"/>
      <c r="AP147" s="153"/>
      <c r="AQ147" s="353" t="s">
        <v>140</v>
      </c>
      <c r="AR147" s="6" t="s">
        <v>1082</v>
      </c>
      <c r="AS147" s="42" t="s">
        <v>140</v>
      </c>
      <c r="AT147" s="282" t="s">
        <v>562</v>
      </c>
      <c r="AU147" s="42" t="s">
        <v>140</v>
      </c>
      <c r="AV147" s="42" t="s">
        <v>140</v>
      </c>
    </row>
    <row r="148" spans="1:48" ht="12.95" customHeight="1" thickBot="1" x14ac:dyDescent="0.3">
      <c r="A148" s="197" t="s">
        <v>141</v>
      </c>
      <c r="B148" s="271"/>
      <c r="C148" s="197" t="s">
        <v>1825</v>
      </c>
      <c r="D148" s="197" t="s">
        <v>1527</v>
      </c>
      <c r="E148" s="165" t="s">
        <v>1527</v>
      </c>
      <c r="F148" s="197" t="str">
        <f t="shared" si="28"/>
        <v>unused_LCD_WR_N</v>
      </c>
      <c r="G148" s="198" t="s">
        <v>908</v>
      </c>
      <c r="H148" s="197" t="s">
        <v>564</v>
      </c>
      <c r="I148" s="197" t="s">
        <v>565</v>
      </c>
      <c r="J148" s="197" t="s">
        <v>566</v>
      </c>
      <c r="K148" s="360" t="s">
        <v>3077</v>
      </c>
      <c r="L148" s="198" t="s">
        <v>2062</v>
      </c>
      <c r="M148" s="197" t="s">
        <v>270</v>
      </c>
      <c r="N148" s="197" t="s">
        <v>270</v>
      </c>
      <c r="O148" s="197" t="s">
        <v>255</v>
      </c>
      <c r="P148" s="197" t="s">
        <v>253</v>
      </c>
      <c r="Q148" s="198" t="s">
        <v>473</v>
      </c>
      <c r="R148" s="197" t="s">
        <v>257</v>
      </c>
      <c r="S148" s="197">
        <v>100</v>
      </c>
      <c r="T148" s="197" t="s">
        <v>482</v>
      </c>
      <c r="U148" s="198">
        <v>0</v>
      </c>
      <c r="V148" s="199">
        <v>1</v>
      </c>
      <c r="W148" s="199">
        <v>0</v>
      </c>
      <c r="X148" s="199" t="s">
        <v>300</v>
      </c>
      <c r="Y148" s="200" t="s">
        <v>301</v>
      </c>
      <c r="Z148" s="200" t="s">
        <v>301</v>
      </c>
      <c r="AA148" s="233" t="str">
        <f t="shared" si="29"/>
        <v>Unused</v>
      </c>
      <c r="AB148" s="234" t="str">
        <f t="shared" si="30"/>
        <v>Unused</v>
      </c>
      <c r="AC148" s="248"/>
      <c r="AD148" s="234" t="str">
        <f t="shared" si="27"/>
        <v>ENABLE</v>
      </c>
      <c r="AE148" s="234" t="str">
        <f t="shared" si="33"/>
        <v>DISABLE</v>
      </c>
      <c r="AF148" s="234" t="str">
        <f t="shared" si="34"/>
        <v>NORMAL</v>
      </c>
      <c r="AG148" s="248"/>
      <c r="AH148" s="234" t="str">
        <f t="shared" si="31"/>
        <v>TRISTATE</v>
      </c>
      <c r="AI148" s="234" t="str">
        <f t="shared" si="32"/>
        <v>HIGH</v>
      </c>
      <c r="AJ148" s="182" t="s">
        <v>1083</v>
      </c>
      <c r="AK148" s="149" t="s">
        <v>2926</v>
      </c>
      <c r="AL148" s="153"/>
      <c r="AM148" s="256"/>
      <c r="AN148" s="152"/>
      <c r="AO148" s="152"/>
      <c r="AP148" s="153"/>
      <c r="AQ148" s="346" t="s">
        <v>3599</v>
      </c>
      <c r="AR148" s="6" t="s">
        <v>908</v>
      </c>
      <c r="AS148" s="43"/>
      <c r="AT148" s="283" t="s">
        <v>1083</v>
      </c>
      <c r="AU148" s="112"/>
      <c r="AV148" s="126"/>
    </row>
    <row r="149" spans="1:48" s="24" customFormat="1" ht="18" customHeight="1" thickBot="1" x14ac:dyDescent="0.3">
      <c r="A149" s="160" t="s">
        <v>1235</v>
      </c>
      <c r="B149" s="272"/>
      <c r="C149" s="160"/>
      <c r="D149" s="160"/>
      <c r="E149" s="215"/>
      <c r="F149" s="160"/>
      <c r="G149" s="201"/>
      <c r="H149" s="160"/>
      <c r="I149" s="160"/>
      <c r="J149" s="160"/>
      <c r="K149" s="160"/>
      <c r="L149" s="201"/>
      <c r="M149" s="160"/>
      <c r="N149" s="160"/>
      <c r="O149" s="160"/>
      <c r="P149" s="160"/>
      <c r="Q149" s="201"/>
      <c r="R149" s="160"/>
      <c r="S149" s="160"/>
      <c r="T149" s="160"/>
      <c r="U149" s="201"/>
      <c r="V149" s="160"/>
      <c r="W149" s="160"/>
      <c r="X149" s="160"/>
      <c r="Y149" s="202"/>
      <c r="Z149" s="202"/>
      <c r="AA149" s="235"/>
      <c r="AB149" s="236"/>
      <c r="AC149" s="236"/>
      <c r="AD149" s="236"/>
      <c r="AE149" s="236"/>
      <c r="AF149" s="236"/>
      <c r="AG149" s="236"/>
      <c r="AH149" s="236"/>
      <c r="AI149" s="237"/>
      <c r="AJ149" s="160"/>
      <c r="AK149" s="35"/>
      <c r="AL149" s="154"/>
      <c r="AM149" s="169"/>
      <c r="AN149" s="154"/>
      <c r="AO149" s="154"/>
      <c r="AP149" s="154"/>
      <c r="AQ149" s="45"/>
      <c r="AR149" s="277"/>
      <c r="AS149" s="45"/>
      <c r="AT149" s="284"/>
      <c r="AU149" s="45"/>
      <c r="AV149" s="45"/>
    </row>
    <row r="150" spans="1:48" ht="12.95" customHeight="1" thickBot="1" x14ac:dyDescent="0.3">
      <c r="A150" s="197" t="s">
        <v>142</v>
      </c>
      <c r="B150" s="271"/>
      <c r="C150" s="197" t="s">
        <v>1489</v>
      </c>
      <c r="D150" s="409"/>
      <c r="E150" s="412"/>
      <c r="F150" s="197" t="str">
        <f t="shared" ref="F150:F159" si="35">CONCATENATE("unused_",A150)</f>
        <v>unused_PEX_L0_CLKREQ_N</v>
      </c>
      <c r="G150" s="198" t="s">
        <v>909</v>
      </c>
      <c r="H150" s="197" t="s">
        <v>2190</v>
      </c>
      <c r="I150" s="197" t="s">
        <v>567</v>
      </c>
      <c r="J150" s="360" t="s">
        <v>3076</v>
      </c>
      <c r="K150" s="360" t="s">
        <v>3090</v>
      </c>
      <c r="L150" s="198" t="s">
        <v>2062</v>
      </c>
      <c r="M150" s="197" t="s">
        <v>270</v>
      </c>
      <c r="N150" s="197" t="s">
        <v>270</v>
      </c>
      <c r="O150" s="197" t="s">
        <v>255</v>
      </c>
      <c r="P150" s="197" t="s">
        <v>253</v>
      </c>
      <c r="Q150" s="198" t="s">
        <v>568</v>
      </c>
      <c r="R150" s="197" t="s">
        <v>257</v>
      </c>
      <c r="S150" s="197">
        <v>100</v>
      </c>
      <c r="T150" s="197" t="s">
        <v>569</v>
      </c>
      <c r="U150" s="198">
        <v>0</v>
      </c>
      <c r="V150" s="199">
        <v>1</v>
      </c>
      <c r="W150" s="199">
        <v>1</v>
      </c>
      <c r="X150" s="199" t="s">
        <v>264</v>
      </c>
      <c r="Y150" s="200" t="s">
        <v>265</v>
      </c>
      <c r="Z150" s="200" t="s">
        <v>265</v>
      </c>
      <c r="AA150" s="233" t="str">
        <f t="shared" ref="AA150:AA159" si="36">IF((AJ150=H150),0,IF((AJ150=I150),1,IF((AJ150=J150),2,IF((AJ150=K150),3,IF((AJ150=G150),"GPIO",IF((AJ150=F150),"Unused"))))))</f>
        <v>Unused</v>
      </c>
      <c r="AB150" s="234" t="str">
        <f t="shared" ref="AB150:AB159" si="37">IF((OR($AA150=0,$AA150=1,$AA150=2,$AA150=3)),"SFIO",IF(($AA150="GPIO"),"GPIO","Unused"))</f>
        <v>Unused</v>
      </c>
      <c r="AC150" s="248"/>
      <c r="AD150" s="234" t="str">
        <f t="shared" si="27"/>
        <v>ENABLE</v>
      </c>
      <c r="AE150" s="234" t="str">
        <f>IF((OR($AB150="Unused",$AK150="OUT")),"DISABLE","ENABLE")</f>
        <v>DISABLE</v>
      </c>
      <c r="AF150" s="234" t="str">
        <f t="shared" si="34"/>
        <v>NORMAL</v>
      </c>
      <c r="AG150" s="248"/>
      <c r="AH150" s="234" t="str">
        <f t="shared" ref="AH150:AH159" si="38">IF((AND($AB150="GPIO",$AK150="Out")),"DRIVEN",IF((AND($AB150="GPIO",$AK150="Bidir")),"DRIVEN","TRISTATE"))</f>
        <v>TRISTATE</v>
      </c>
      <c r="AI150" s="234" t="str">
        <f t="shared" ref="AI150:AI159" si="39">IF((OR($AL150="Drive 0")),"LOW","HIGH")</f>
        <v>HIGH</v>
      </c>
      <c r="AJ150" s="182" t="s">
        <v>1084</v>
      </c>
      <c r="AK150" s="149" t="s">
        <v>2926</v>
      </c>
      <c r="AL150" s="153"/>
      <c r="AM150" s="256"/>
      <c r="AN150" s="152"/>
      <c r="AO150" s="152"/>
      <c r="AP150" s="153"/>
      <c r="AQ150" s="355"/>
      <c r="AR150" s="6" t="s">
        <v>1084</v>
      </c>
      <c r="AS150" s="51" t="s">
        <v>1187</v>
      </c>
      <c r="AT150" s="281" t="s">
        <v>909</v>
      </c>
      <c r="AU150" s="442" t="s">
        <v>2280</v>
      </c>
      <c r="AV150" s="126"/>
    </row>
    <row r="151" spans="1:48" ht="12.95" customHeight="1" thickBot="1" x14ac:dyDescent="0.3">
      <c r="A151" s="197" t="s">
        <v>143</v>
      </c>
      <c r="B151" s="271"/>
      <c r="C151" s="197" t="s">
        <v>1490</v>
      </c>
      <c r="D151" s="410"/>
      <c r="E151" s="413"/>
      <c r="F151" s="197" t="str">
        <f t="shared" si="35"/>
        <v>unused_PEX_L0_PRSNT_N</v>
      </c>
      <c r="G151" s="198" t="s">
        <v>910</v>
      </c>
      <c r="H151" s="197" t="s">
        <v>2191</v>
      </c>
      <c r="I151" s="197" t="s">
        <v>570</v>
      </c>
      <c r="J151" s="360" t="s">
        <v>3076</v>
      </c>
      <c r="K151" s="360" t="s">
        <v>3090</v>
      </c>
      <c r="L151" s="198" t="s">
        <v>2062</v>
      </c>
      <c r="M151" s="197" t="s">
        <v>270</v>
      </c>
      <c r="N151" s="197" t="s">
        <v>270</v>
      </c>
      <c r="O151" s="197" t="s">
        <v>255</v>
      </c>
      <c r="P151" s="197" t="s">
        <v>253</v>
      </c>
      <c r="Q151" s="198" t="s">
        <v>568</v>
      </c>
      <c r="R151" s="197" t="s">
        <v>257</v>
      </c>
      <c r="S151" s="197">
        <v>100</v>
      </c>
      <c r="T151" s="197" t="s">
        <v>569</v>
      </c>
      <c r="U151" s="198">
        <v>0</v>
      </c>
      <c r="V151" s="199">
        <v>1</v>
      </c>
      <c r="W151" s="199">
        <v>1</v>
      </c>
      <c r="X151" s="199" t="s">
        <v>264</v>
      </c>
      <c r="Y151" s="200" t="s">
        <v>265</v>
      </c>
      <c r="Z151" s="200" t="s">
        <v>265</v>
      </c>
      <c r="AA151" s="233" t="str">
        <f t="shared" si="36"/>
        <v>Unused</v>
      </c>
      <c r="AB151" s="234" t="str">
        <f t="shared" si="37"/>
        <v>Unused</v>
      </c>
      <c r="AC151" s="248"/>
      <c r="AD151" s="234" t="str">
        <f t="shared" si="27"/>
        <v>ENABLE</v>
      </c>
      <c r="AE151" s="234" t="str">
        <f t="shared" ref="AE151:AE159" si="40">IF((OR($AB151="Unused",$AK151="OUT")),"DISABLE","ENABLE")</f>
        <v>DISABLE</v>
      </c>
      <c r="AF151" s="234" t="str">
        <f t="shared" si="34"/>
        <v>NORMAL</v>
      </c>
      <c r="AG151" s="248"/>
      <c r="AH151" s="234" t="str">
        <f t="shared" si="38"/>
        <v>TRISTATE</v>
      </c>
      <c r="AI151" s="234" t="str">
        <f t="shared" si="39"/>
        <v>HIGH</v>
      </c>
      <c r="AJ151" s="182" t="s">
        <v>1085</v>
      </c>
      <c r="AK151" s="149" t="s">
        <v>2926</v>
      </c>
      <c r="AL151" s="153"/>
      <c r="AM151" s="256"/>
      <c r="AN151" s="152"/>
      <c r="AO151" s="152"/>
      <c r="AP151" s="153"/>
      <c r="AQ151" s="355"/>
      <c r="AR151" s="6" t="s">
        <v>1085</v>
      </c>
      <c r="AS151" s="51" t="s">
        <v>2243</v>
      </c>
      <c r="AT151" s="282" t="s">
        <v>910</v>
      </c>
      <c r="AU151" s="443"/>
      <c r="AV151" s="126"/>
    </row>
    <row r="152" spans="1:48" ht="12.95" customHeight="1" thickBot="1" x14ac:dyDescent="0.3">
      <c r="A152" s="197" t="s">
        <v>144</v>
      </c>
      <c r="B152" s="271"/>
      <c r="C152" s="197" t="s">
        <v>1491</v>
      </c>
      <c r="D152" s="410"/>
      <c r="E152" s="413"/>
      <c r="F152" s="197" t="str">
        <f t="shared" si="35"/>
        <v>unused_PEX_L0_RST_N</v>
      </c>
      <c r="G152" s="198" t="s">
        <v>911</v>
      </c>
      <c r="H152" s="197" t="s">
        <v>2192</v>
      </c>
      <c r="I152" s="197" t="s">
        <v>571</v>
      </c>
      <c r="J152" s="360" t="s">
        <v>3076</v>
      </c>
      <c r="K152" s="360" t="s">
        <v>3090</v>
      </c>
      <c r="L152" s="198" t="s">
        <v>2062</v>
      </c>
      <c r="M152" s="197" t="s">
        <v>270</v>
      </c>
      <c r="N152" s="197" t="s">
        <v>270</v>
      </c>
      <c r="O152" s="197" t="s">
        <v>255</v>
      </c>
      <c r="P152" s="197" t="s">
        <v>253</v>
      </c>
      <c r="Q152" s="198" t="s">
        <v>568</v>
      </c>
      <c r="R152" s="197" t="s">
        <v>257</v>
      </c>
      <c r="S152" s="197">
        <v>100</v>
      </c>
      <c r="T152" s="197" t="s">
        <v>569</v>
      </c>
      <c r="U152" s="198">
        <v>0</v>
      </c>
      <c r="V152" s="199">
        <v>1</v>
      </c>
      <c r="W152" s="199">
        <v>1</v>
      </c>
      <c r="X152" s="199" t="s">
        <v>264</v>
      </c>
      <c r="Y152" s="200" t="s">
        <v>265</v>
      </c>
      <c r="Z152" s="200" t="s">
        <v>265</v>
      </c>
      <c r="AA152" s="233" t="str">
        <f t="shared" si="36"/>
        <v>Unused</v>
      </c>
      <c r="AB152" s="234" t="str">
        <f t="shared" si="37"/>
        <v>Unused</v>
      </c>
      <c r="AC152" s="248"/>
      <c r="AD152" s="234" t="str">
        <f t="shared" si="27"/>
        <v>ENABLE</v>
      </c>
      <c r="AE152" s="234" t="str">
        <f t="shared" si="40"/>
        <v>DISABLE</v>
      </c>
      <c r="AF152" s="234" t="str">
        <f t="shared" si="34"/>
        <v>NORMAL</v>
      </c>
      <c r="AG152" s="248"/>
      <c r="AH152" s="234" t="str">
        <f t="shared" si="38"/>
        <v>TRISTATE</v>
      </c>
      <c r="AI152" s="234" t="str">
        <f t="shared" si="39"/>
        <v>HIGH</v>
      </c>
      <c r="AJ152" s="182" t="s">
        <v>1086</v>
      </c>
      <c r="AK152" s="149" t="s">
        <v>2926</v>
      </c>
      <c r="AL152" s="153"/>
      <c r="AM152" s="256"/>
      <c r="AN152" s="152"/>
      <c r="AO152" s="152"/>
      <c r="AP152" s="153"/>
      <c r="AQ152" s="355"/>
      <c r="AR152" s="6" t="s">
        <v>1086</v>
      </c>
      <c r="AS152" s="51" t="s">
        <v>2256</v>
      </c>
      <c r="AT152" s="282" t="s">
        <v>911</v>
      </c>
      <c r="AU152" s="443"/>
      <c r="AV152" s="51" t="s">
        <v>2256</v>
      </c>
    </row>
    <row r="153" spans="1:48" ht="12.95" customHeight="1" thickBot="1" x14ac:dyDescent="0.3">
      <c r="A153" s="197" t="s">
        <v>145</v>
      </c>
      <c r="B153" s="271"/>
      <c r="C153" s="197" t="s">
        <v>1500</v>
      </c>
      <c r="D153" s="410"/>
      <c r="E153" s="413"/>
      <c r="F153" s="197" t="str">
        <f t="shared" si="35"/>
        <v>unused_PEX_L1_CLKREQ_N</v>
      </c>
      <c r="G153" s="198" t="s">
        <v>912</v>
      </c>
      <c r="H153" s="197" t="s">
        <v>2193</v>
      </c>
      <c r="I153" s="197" t="s">
        <v>572</v>
      </c>
      <c r="J153" s="360" t="s">
        <v>3076</v>
      </c>
      <c r="K153" s="360" t="s">
        <v>3090</v>
      </c>
      <c r="L153" s="198" t="s">
        <v>2062</v>
      </c>
      <c r="M153" s="197" t="s">
        <v>270</v>
      </c>
      <c r="N153" s="197" t="s">
        <v>270</v>
      </c>
      <c r="O153" s="197" t="s">
        <v>255</v>
      </c>
      <c r="P153" s="197" t="s">
        <v>253</v>
      </c>
      <c r="Q153" s="198" t="s">
        <v>568</v>
      </c>
      <c r="R153" s="197" t="s">
        <v>257</v>
      </c>
      <c r="S153" s="197">
        <v>100</v>
      </c>
      <c r="T153" s="197" t="s">
        <v>569</v>
      </c>
      <c r="U153" s="198">
        <v>0</v>
      </c>
      <c r="V153" s="199">
        <v>1</v>
      </c>
      <c r="W153" s="199">
        <v>1</v>
      </c>
      <c r="X153" s="199" t="s">
        <v>264</v>
      </c>
      <c r="Y153" s="200" t="s">
        <v>265</v>
      </c>
      <c r="Z153" s="200" t="s">
        <v>265</v>
      </c>
      <c r="AA153" s="233" t="str">
        <f t="shared" si="36"/>
        <v>Unused</v>
      </c>
      <c r="AB153" s="234" t="str">
        <f t="shared" si="37"/>
        <v>Unused</v>
      </c>
      <c r="AC153" s="248"/>
      <c r="AD153" s="234" t="str">
        <f t="shared" si="27"/>
        <v>ENABLE</v>
      </c>
      <c r="AE153" s="234" t="str">
        <f t="shared" si="40"/>
        <v>DISABLE</v>
      </c>
      <c r="AF153" s="234" t="str">
        <f t="shared" si="34"/>
        <v>NORMAL</v>
      </c>
      <c r="AG153" s="248"/>
      <c r="AH153" s="234" t="str">
        <f t="shared" si="38"/>
        <v>TRISTATE</v>
      </c>
      <c r="AI153" s="234" t="str">
        <f t="shared" si="39"/>
        <v>HIGH</v>
      </c>
      <c r="AJ153" s="182" t="s">
        <v>1087</v>
      </c>
      <c r="AK153" s="149" t="s">
        <v>2926</v>
      </c>
      <c r="AL153" s="153"/>
      <c r="AM153" s="256"/>
      <c r="AN153" s="152"/>
      <c r="AO153" s="152"/>
      <c r="AP153" s="153"/>
      <c r="AQ153" s="355"/>
      <c r="AR153" s="6" t="s">
        <v>1087</v>
      </c>
      <c r="AS153" s="51" t="s">
        <v>2244</v>
      </c>
      <c r="AT153" s="282" t="s">
        <v>912</v>
      </c>
      <c r="AU153" s="443"/>
      <c r="AV153" s="51" t="s">
        <v>2244</v>
      </c>
    </row>
    <row r="154" spans="1:48" ht="12.95" customHeight="1" thickBot="1" x14ac:dyDescent="0.3">
      <c r="A154" s="197" t="s">
        <v>146</v>
      </c>
      <c r="B154" s="271"/>
      <c r="C154" s="197" t="s">
        <v>1501</v>
      </c>
      <c r="D154" s="410"/>
      <c r="E154" s="413"/>
      <c r="F154" s="197" t="str">
        <f t="shared" si="35"/>
        <v>unused_PEX_L1_PRSNT_N</v>
      </c>
      <c r="G154" s="198" t="s">
        <v>913</v>
      </c>
      <c r="H154" s="197" t="s">
        <v>2194</v>
      </c>
      <c r="I154" s="197" t="s">
        <v>573</v>
      </c>
      <c r="J154" s="360" t="s">
        <v>3076</v>
      </c>
      <c r="K154" s="360" t="s">
        <v>3090</v>
      </c>
      <c r="L154" s="198" t="s">
        <v>2062</v>
      </c>
      <c r="M154" s="197" t="s">
        <v>270</v>
      </c>
      <c r="N154" s="197" t="s">
        <v>270</v>
      </c>
      <c r="O154" s="197" t="s">
        <v>255</v>
      </c>
      <c r="P154" s="197" t="s">
        <v>253</v>
      </c>
      <c r="Q154" s="198" t="s">
        <v>568</v>
      </c>
      <c r="R154" s="197" t="s">
        <v>257</v>
      </c>
      <c r="S154" s="197">
        <v>100</v>
      </c>
      <c r="T154" s="197" t="s">
        <v>569</v>
      </c>
      <c r="U154" s="198">
        <v>0</v>
      </c>
      <c r="V154" s="199">
        <v>1</v>
      </c>
      <c r="W154" s="199">
        <v>1</v>
      </c>
      <c r="X154" s="199" t="s">
        <v>264</v>
      </c>
      <c r="Y154" s="200" t="s">
        <v>265</v>
      </c>
      <c r="Z154" s="200" t="s">
        <v>265</v>
      </c>
      <c r="AA154" s="233" t="str">
        <f t="shared" si="36"/>
        <v>Unused</v>
      </c>
      <c r="AB154" s="234" t="str">
        <f t="shared" si="37"/>
        <v>Unused</v>
      </c>
      <c r="AC154" s="248"/>
      <c r="AD154" s="234" t="str">
        <f t="shared" si="27"/>
        <v>ENABLE</v>
      </c>
      <c r="AE154" s="234" t="str">
        <f t="shared" si="40"/>
        <v>DISABLE</v>
      </c>
      <c r="AF154" s="234" t="str">
        <f t="shared" si="34"/>
        <v>NORMAL</v>
      </c>
      <c r="AG154" s="248"/>
      <c r="AH154" s="234" t="str">
        <f t="shared" si="38"/>
        <v>TRISTATE</v>
      </c>
      <c r="AI154" s="234" t="str">
        <f t="shared" si="39"/>
        <v>HIGH</v>
      </c>
      <c r="AJ154" s="182" t="s">
        <v>1088</v>
      </c>
      <c r="AK154" s="149" t="s">
        <v>2926</v>
      </c>
      <c r="AL154" s="153"/>
      <c r="AM154" s="256"/>
      <c r="AN154" s="152"/>
      <c r="AO154" s="152"/>
      <c r="AP154" s="153"/>
      <c r="AQ154" s="355"/>
      <c r="AR154" s="6" t="s">
        <v>1088</v>
      </c>
      <c r="AS154" s="51" t="s">
        <v>2245</v>
      </c>
      <c r="AT154" s="282" t="s">
        <v>913</v>
      </c>
      <c r="AU154" s="443"/>
      <c r="AV154" s="51" t="s">
        <v>2245</v>
      </c>
    </row>
    <row r="155" spans="1:48" ht="12.95" customHeight="1" thickBot="1" x14ac:dyDescent="0.3">
      <c r="A155" s="197" t="s">
        <v>147</v>
      </c>
      <c r="B155" s="271"/>
      <c r="C155" s="197" t="s">
        <v>1502</v>
      </c>
      <c r="D155" s="410"/>
      <c r="E155" s="414"/>
      <c r="F155" s="197" t="str">
        <f t="shared" si="35"/>
        <v>unused_PEX_L1_RST_N</v>
      </c>
      <c r="G155" s="198" t="s">
        <v>914</v>
      </c>
      <c r="H155" s="197" t="s">
        <v>2195</v>
      </c>
      <c r="I155" s="197" t="s">
        <v>574</v>
      </c>
      <c r="J155" s="360" t="s">
        <v>3076</v>
      </c>
      <c r="K155" s="360" t="s">
        <v>3090</v>
      </c>
      <c r="L155" s="198" t="s">
        <v>2062</v>
      </c>
      <c r="M155" s="197" t="s">
        <v>270</v>
      </c>
      <c r="N155" s="197" t="s">
        <v>270</v>
      </c>
      <c r="O155" s="197" t="s">
        <v>255</v>
      </c>
      <c r="P155" s="197" t="s">
        <v>253</v>
      </c>
      <c r="Q155" s="198" t="s">
        <v>568</v>
      </c>
      <c r="R155" s="197" t="s">
        <v>257</v>
      </c>
      <c r="S155" s="197">
        <v>100</v>
      </c>
      <c r="T155" s="197" t="s">
        <v>569</v>
      </c>
      <c r="U155" s="198">
        <v>0</v>
      </c>
      <c r="V155" s="199">
        <v>1</v>
      </c>
      <c r="W155" s="199">
        <v>1</v>
      </c>
      <c r="X155" s="199" t="s">
        <v>264</v>
      </c>
      <c r="Y155" s="200" t="s">
        <v>265</v>
      </c>
      <c r="Z155" s="200" t="s">
        <v>265</v>
      </c>
      <c r="AA155" s="233" t="str">
        <f t="shared" si="36"/>
        <v>Unused</v>
      </c>
      <c r="AB155" s="234" t="str">
        <f t="shared" si="37"/>
        <v>Unused</v>
      </c>
      <c r="AC155" s="248"/>
      <c r="AD155" s="234" t="str">
        <f t="shared" si="27"/>
        <v>ENABLE</v>
      </c>
      <c r="AE155" s="234" t="str">
        <f t="shared" si="40"/>
        <v>DISABLE</v>
      </c>
      <c r="AF155" s="234" t="str">
        <f t="shared" si="34"/>
        <v>NORMAL</v>
      </c>
      <c r="AG155" s="248"/>
      <c r="AH155" s="234" t="str">
        <f t="shared" si="38"/>
        <v>TRISTATE</v>
      </c>
      <c r="AI155" s="234" t="str">
        <f t="shared" si="39"/>
        <v>HIGH</v>
      </c>
      <c r="AJ155" s="182" t="s">
        <v>1089</v>
      </c>
      <c r="AK155" s="149" t="s">
        <v>2926</v>
      </c>
      <c r="AL155" s="153"/>
      <c r="AM155" s="256"/>
      <c r="AN155" s="152"/>
      <c r="AO155" s="152"/>
      <c r="AP155" s="153"/>
      <c r="AQ155" s="355"/>
      <c r="AR155" s="6" t="s">
        <v>1089</v>
      </c>
      <c r="AS155" s="54" t="s">
        <v>2257</v>
      </c>
      <c r="AT155" s="282" t="s">
        <v>914</v>
      </c>
      <c r="AU155" s="444"/>
      <c r="AV155" s="54" t="s">
        <v>2257</v>
      </c>
    </row>
    <row r="156" spans="1:48" ht="12.95" customHeight="1" thickBot="1" x14ac:dyDescent="0.3">
      <c r="A156" s="197" t="s">
        <v>148</v>
      </c>
      <c r="B156" s="271"/>
      <c r="C156" s="197" t="s">
        <v>1511</v>
      </c>
      <c r="D156" s="119" t="s">
        <v>2995</v>
      </c>
      <c r="E156" s="218" t="s">
        <v>2995</v>
      </c>
      <c r="F156" s="197" t="str">
        <f t="shared" si="35"/>
        <v>unused_PEX_L2_CLKREQ_N</v>
      </c>
      <c r="G156" s="198" t="s">
        <v>915</v>
      </c>
      <c r="H156" s="197" t="s">
        <v>2196</v>
      </c>
      <c r="I156" s="197" t="s">
        <v>575</v>
      </c>
      <c r="J156" s="360" t="s">
        <v>3076</v>
      </c>
      <c r="K156" s="360" t="s">
        <v>3090</v>
      </c>
      <c r="L156" s="198" t="s">
        <v>2062</v>
      </c>
      <c r="M156" s="197" t="s">
        <v>270</v>
      </c>
      <c r="N156" s="197" t="s">
        <v>270</v>
      </c>
      <c r="O156" s="197" t="s">
        <v>255</v>
      </c>
      <c r="P156" s="197" t="s">
        <v>253</v>
      </c>
      <c r="Q156" s="198" t="s">
        <v>568</v>
      </c>
      <c r="R156" s="197" t="s">
        <v>257</v>
      </c>
      <c r="S156" s="197">
        <v>100</v>
      </c>
      <c r="T156" s="197" t="s">
        <v>569</v>
      </c>
      <c r="U156" s="198">
        <v>0</v>
      </c>
      <c r="V156" s="199">
        <v>1</v>
      </c>
      <c r="W156" s="199">
        <v>1</v>
      </c>
      <c r="X156" s="199" t="s">
        <v>264</v>
      </c>
      <c r="Y156" s="200" t="s">
        <v>265</v>
      </c>
      <c r="Z156" s="200" t="s">
        <v>265</v>
      </c>
      <c r="AA156" s="233" t="str">
        <f t="shared" si="36"/>
        <v>Unused</v>
      </c>
      <c r="AB156" s="234" t="str">
        <f t="shared" si="37"/>
        <v>Unused</v>
      </c>
      <c r="AC156" s="248"/>
      <c r="AD156" s="234" t="str">
        <f t="shared" si="27"/>
        <v>ENABLE</v>
      </c>
      <c r="AE156" s="234" t="str">
        <f t="shared" si="40"/>
        <v>DISABLE</v>
      </c>
      <c r="AF156" s="234" t="str">
        <f t="shared" si="34"/>
        <v>NORMAL</v>
      </c>
      <c r="AG156" s="248"/>
      <c r="AH156" s="234" t="str">
        <f t="shared" si="38"/>
        <v>TRISTATE</v>
      </c>
      <c r="AI156" s="234" t="str">
        <f t="shared" si="39"/>
        <v>HIGH</v>
      </c>
      <c r="AJ156" s="182" t="s">
        <v>1090</v>
      </c>
      <c r="AK156" s="149" t="s">
        <v>2926</v>
      </c>
      <c r="AL156" s="153"/>
      <c r="AM156" s="256"/>
      <c r="AN156" s="152"/>
      <c r="AO156" s="152"/>
      <c r="AP156" s="153"/>
      <c r="AQ156" s="343" t="s">
        <v>2256</v>
      </c>
      <c r="AR156" s="6" t="s">
        <v>1090</v>
      </c>
      <c r="AS156" s="379" t="s">
        <v>1219</v>
      </c>
      <c r="AT156" s="282" t="s">
        <v>3020</v>
      </c>
      <c r="AU156" s="47" t="s">
        <v>2256</v>
      </c>
      <c r="AV156" s="422"/>
    </row>
    <row r="157" spans="1:48" ht="12.95" customHeight="1" thickBot="1" x14ac:dyDescent="0.3">
      <c r="A157" s="197" t="s">
        <v>149</v>
      </c>
      <c r="B157" s="271"/>
      <c r="C157" s="197" t="s">
        <v>1512</v>
      </c>
      <c r="D157" s="119" t="s">
        <v>2996</v>
      </c>
      <c r="E157" s="218" t="s">
        <v>2996</v>
      </c>
      <c r="F157" s="197" t="str">
        <f t="shared" si="35"/>
        <v>unused_PEX_L2_PRSNT_N</v>
      </c>
      <c r="G157" s="198" t="s">
        <v>916</v>
      </c>
      <c r="H157" s="197" t="s">
        <v>2197</v>
      </c>
      <c r="I157" s="197" t="s">
        <v>576</v>
      </c>
      <c r="J157" s="360" t="s">
        <v>3076</v>
      </c>
      <c r="K157" s="360" t="s">
        <v>3090</v>
      </c>
      <c r="L157" s="198" t="s">
        <v>2062</v>
      </c>
      <c r="M157" s="197" t="s">
        <v>270</v>
      </c>
      <c r="N157" s="197" t="s">
        <v>270</v>
      </c>
      <c r="O157" s="197" t="s">
        <v>255</v>
      </c>
      <c r="P157" s="197" t="s">
        <v>253</v>
      </c>
      <c r="Q157" s="198" t="s">
        <v>568</v>
      </c>
      <c r="R157" s="197" t="s">
        <v>257</v>
      </c>
      <c r="S157" s="197">
        <v>100</v>
      </c>
      <c r="T157" s="197" t="s">
        <v>569</v>
      </c>
      <c r="U157" s="198">
        <v>0</v>
      </c>
      <c r="V157" s="199">
        <v>1</v>
      </c>
      <c r="W157" s="199">
        <v>1</v>
      </c>
      <c r="X157" s="199" t="s">
        <v>264</v>
      </c>
      <c r="Y157" s="200" t="s">
        <v>265</v>
      </c>
      <c r="Z157" s="200" t="s">
        <v>265</v>
      </c>
      <c r="AA157" s="233" t="str">
        <f t="shared" si="36"/>
        <v>Unused</v>
      </c>
      <c r="AB157" s="234" t="str">
        <f t="shared" si="37"/>
        <v>Unused</v>
      </c>
      <c r="AC157" s="248"/>
      <c r="AD157" s="234" t="str">
        <f t="shared" si="27"/>
        <v>ENABLE</v>
      </c>
      <c r="AE157" s="234" t="str">
        <f t="shared" si="40"/>
        <v>DISABLE</v>
      </c>
      <c r="AF157" s="234" t="str">
        <f t="shared" si="34"/>
        <v>NORMAL</v>
      </c>
      <c r="AG157" s="248"/>
      <c r="AH157" s="234" t="str">
        <f t="shared" si="38"/>
        <v>TRISTATE</v>
      </c>
      <c r="AI157" s="234" t="str">
        <f t="shared" si="39"/>
        <v>HIGH</v>
      </c>
      <c r="AJ157" s="182" t="s">
        <v>1091</v>
      </c>
      <c r="AK157" s="149" t="s">
        <v>2926</v>
      </c>
      <c r="AL157" s="153"/>
      <c r="AM157" s="256"/>
      <c r="AN157" s="152"/>
      <c r="AO157" s="152"/>
      <c r="AP157" s="153"/>
      <c r="AQ157" s="343" t="s">
        <v>3600</v>
      </c>
      <c r="AR157" s="6" t="s">
        <v>1091</v>
      </c>
      <c r="AS157" s="379"/>
      <c r="AT157" s="282" t="s">
        <v>3021</v>
      </c>
      <c r="AU157" s="47" t="s">
        <v>2257</v>
      </c>
      <c r="AV157" s="422"/>
    </row>
    <row r="158" spans="1:48" ht="12.95" customHeight="1" thickBot="1" x14ac:dyDescent="0.3">
      <c r="A158" s="197" t="s">
        <v>150</v>
      </c>
      <c r="B158" s="271"/>
      <c r="C158" s="197" t="s">
        <v>1513</v>
      </c>
      <c r="D158" s="119" t="s">
        <v>2999</v>
      </c>
      <c r="E158" s="218" t="s">
        <v>2997</v>
      </c>
      <c r="F158" s="197" t="str">
        <f t="shared" si="35"/>
        <v>unused_PEX_L2_RST_N</v>
      </c>
      <c r="G158" s="198" t="s">
        <v>917</v>
      </c>
      <c r="H158" s="197" t="s">
        <v>2198</v>
      </c>
      <c r="I158" s="197" t="s">
        <v>577</v>
      </c>
      <c r="J158" s="360" t="s">
        <v>3076</v>
      </c>
      <c r="K158" s="360" t="s">
        <v>3090</v>
      </c>
      <c r="L158" s="198" t="s">
        <v>2062</v>
      </c>
      <c r="M158" s="197" t="s">
        <v>270</v>
      </c>
      <c r="N158" s="197" t="s">
        <v>270</v>
      </c>
      <c r="O158" s="197" t="s">
        <v>255</v>
      </c>
      <c r="P158" s="197" t="s">
        <v>253</v>
      </c>
      <c r="Q158" s="198" t="s">
        <v>568</v>
      </c>
      <c r="R158" s="197" t="s">
        <v>257</v>
      </c>
      <c r="S158" s="197">
        <v>100</v>
      </c>
      <c r="T158" s="197" t="s">
        <v>569</v>
      </c>
      <c r="U158" s="198">
        <v>0</v>
      </c>
      <c r="V158" s="199">
        <v>1</v>
      </c>
      <c r="W158" s="199">
        <v>1</v>
      </c>
      <c r="X158" s="199" t="s">
        <v>264</v>
      </c>
      <c r="Y158" s="200" t="s">
        <v>265</v>
      </c>
      <c r="Z158" s="200" t="s">
        <v>265</v>
      </c>
      <c r="AA158" s="233" t="str">
        <f t="shared" si="36"/>
        <v>Unused</v>
      </c>
      <c r="AB158" s="234" t="str">
        <f t="shared" si="37"/>
        <v>Unused</v>
      </c>
      <c r="AC158" s="248"/>
      <c r="AD158" s="234" t="str">
        <f t="shared" si="27"/>
        <v>ENABLE</v>
      </c>
      <c r="AE158" s="234" t="str">
        <f t="shared" si="40"/>
        <v>DISABLE</v>
      </c>
      <c r="AF158" s="234" t="str">
        <f t="shared" si="34"/>
        <v>NORMAL</v>
      </c>
      <c r="AG158" s="248"/>
      <c r="AH158" s="234" t="str">
        <f t="shared" si="38"/>
        <v>TRISTATE</v>
      </c>
      <c r="AI158" s="234" t="str">
        <f t="shared" si="39"/>
        <v>HIGH</v>
      </c>
      <c r="AJ158" s="182" t="s">
        <v>1092</v>
      </c>
      <c r="AK158" s="149" t="s">
        <v>2926</v>
      </c>
      <c r="AL158" s="153"/>
      <c r="AM158" s="257"/>
      <c r="AN158" s="152"/>
      <c r="AO158" s="152"/>
      <c r="AP158" s="153"/>
      <c r="AQ158" s="343" t="s">
        <v>3601</v>
      </c>
      <c r="AR158" s="6" t="s">
        <v>1092</v>
      </c>
      <c r="AS158" s="379"/>
      <c r="AT158" s="282" t="s">
        <v>3022</v>
      </c>
      <c r="AU158" s="47" t="s">
        <v>2445</v>
      </c>
      <c r="AV158" s="422"/>
    </row>
    <row r="159" spans="1:48" ht="12.95" customHeight="1" thickBot="1" x14ac:dyDescent="0.3">
      <c r="A159" s="197" t="s">
        <v>151</v>
      </c>
      <c r="B159" s="271"/>
      <c r="C159" s="197" t="s">
        <v>1826</v>
      </c>
      <c r="D159" s="120" t="s">
        <v>2998</v>
      </c>
      <c r="E159" s="219" t="s">
        <v>2998</v>
      </c>
      <c r="F159" s="197" t="str">
        <f t="shared" si="35"/>
        <v>unused_PEX_WAKE_N</v>
      </c>
      <c r="G159" s="198" t="s">
        <v>918</v>
      </c>
      <c r="H159" s="197" t="s">
        <v>2199</v>
      </c>
      <c r="I159" s="197" t="s">
        <v>578</v>
      </c>
      <c r="J159" s="360" t="s">
        <v>3076</v>
      </c>
      <c r="K159" s="360" t="s">
        <v>3090</v>
      </c>
      <c r="L159" s="198" t="s">
        <v>2062</v>
      </c>
      <c r="M159" s="197" t="s">
        <v>254</v>
      </c>
      <c r="N159" s="197" t="s">
        <v>2062</v>
      </c>
      <c r="O159" s="197" t="s">
        <v>255</v>
      </c>
      <c r="P159" s="197">
        <v>14</v>
      </c>
      <c r="Q159" s="198" t="s">
        <v>568</v>
      </c>
      <c r="R159" s="197" t="s">
        <v>257</v>
      </c>
      <c r="S159" s="197">
        <v>100</v>
      </c>
      <c r="T159" s="197" t="s">
        <v>569</v>
      </c>
      <c r="U159" s="198">
        <v>0</v>
      </c>
      <c r="V159" s="199">
        <v>1</v>
      </c>
      <c r="W159" s="199">
        <v>1</v>
      </c>
      <c r="X159" s="199" t="s">
        <v>264</v>
      </c>
      <c r="Y159" s="200" t="s">
        <v>265</v>
      </c>
      <c r="Z159" s="200" t="s">
        <v>265</v>
      </c>
      <c r="AA159" s="233" t="str">
        <f t="shared" si="36"/>
        <v>Unused</v>
      </c>
      <c r="AB159" s="234" t="str">
        <f t="shared" si="37"/>
        <v>Unused</v>
      </c>
      <c r="AC159" s="248"/>
      <c r="AD159" s="234" t="str">
        <f t="shared" si="27"/>
        <v>ENABLE</v>
      </c>
      <c r="AE159" s="234" t="str">
        <f t="shared" si="40"/>
        <v>DISABLE</v>
      </c>
      <c r="AF159" s="234" t="str">
        <f t="shared" si="34"/>
        <v>NORMAL</v>
      </c>
      <c r="AG159" s="248"/>
      <c r="AH159" s="234" t="str">
        <f t="shared" si="38"/>
        <v>TRISTATE</v>
      </c>
      <c r="AI159" s="234" t="str">
        <f t="shared" si="39"/>
        <v>HIGH</v>
      </c>
      <c r="AJ159" s="182" t="s">
        <v>1093</v>
      </c>
      <c r="AK159" s="149" t="s">
        <v>2926</v>
      </c>
      <c r="AL159" s="153"/>
      <c r="AM159" s="170"/>
      <c r="AN159" s="152"/>
      <c r="AO159" s="152"/>
      <c r="AP159" s="153"/>
      <c r="AQ159" s="343" t="s">
        <v>3602</v>
      </c>
      <c r="AR159" s="6" t="s">
        <v>1093</v>
      </c>
      <c r="AS159" s="379"/>
      <c r="AT159" s="283" t="s">
        <v>3023</v>
      </c>
      <c r="AU159" s="47" t="s">
        <v>2446</v>
      </c>
      <c r="AV159" s="422"/>
    </row>
    <row r="160" spans="1:48" s="24" customFormat="1" ht="18" customHeight="1" thickBot="1" x14ac:dyDescent="0.3">
      <c r="A160" s="160" t="s">
        <v>1236</v>
      </c>
      <c r="B160" s="272"/>
      <c r="C160" s="160"/>
      <c r="D160" s="160"/>
      <c r="E160" s="215"/>
      <c r="F160" s="160"/>
      <c r="G160" s="201"/>
      <c r="H160" s="160"/>
      <c r="I160" s="160"/>
      <c r="J160" s="160"/>
      <c r="K160" s="160"/>
      <c r="L160" s="201"/>
      <c r="M160" s="160"/>
      <c r="N160" s="160"/>
      <c r="O160" s="160"/>
      <c r="P160" s="160"/>
      <c r="Q160" s="201"/>
      <c r="R160" s="160"/>
      <c r="S160" s="160"/>
      <c r="T160" s="160"/>
      <c r="U160" s="201"/>
      <c r="V160" s="160"/>
      <c r="W160" s="160"/>
      <c r="X160" s="160"/>
      <c r="Y160" s="202"/>
      <c r="Z160" s="202"/>
      <c r="AA160" s="235"/>
      <c r="AB160" s="236"/>
      <c r="AC160" s="236"/>
      <c r="AD160" s="236"/>
      <c r="AE160" s="236"/>
      <c r="AF160" s="236"/>
      <c r="AG160" s="236"/>
      <c r="AH160" s="236"/>
      <c r="AI160" s="237"/>
      <c r="AJ160" s="160"/>
      <c r="AK160" s="35"/>
      <c r="AL160" s="154"/>
      <c r="AM160" s="169"/>
      <c r="AN160" s="154"/>
      <c r="AO160" s="154"/>
      <c r="AP160" s="154"/>
      <c r="AQ160" s="45"/>
      <c r="AR160" s="277"/>
      <c r="AS160" s="45"/>
      <c r="AT160" s="284"/>
      <c r="AU160" s="45"/>
      <c r="AV160" s="45"/>
    </row>
    <row r="161" spans="1:48" ht="12.95" customHeight="1" thickBot="1" x14ac:dyDescent="0.3">
      <c r="A161" s="197" t="s">
        <v>152</v>
      </c>
      <c r="B161" s="271"/>
      <c r="C161" s="197" t="s">
        <v>1827</v>
      </c>
      <c r="D161" s="197" t="s">
        <v>1828</v>
      </c>
      <c r="E161" s="165" t="s">
        <v>1828</v>
      </c>
      <c r="F161" s="197" t="str">
        <f t="shared" ref="F161:F170" si="41">CONCATENATE("unused_",A161)</f>
        <v>unused_CLK2_OUT</v>
      </c>
      <c r="G161" s="198" t="s">
        <v>919</v>
      </c>
      <c r="H161" s="197" t="s">
        <v>579</v>
      </c>
      <c r="I161" s="360" t="s">
        <v>3063</v>
      </c>
      <c r="J161" s="360" t="s">
        <v>3076</v>
      </c>
      <c r="K161" s="360" t="s">
        <v>3090</v>
      </c>
      <c r="L161" s="198" t="s">
        <v>254</v>
      </c>
      <c r="M161" s="197" t="s">
        <v>254</v>
      </c>
      <c r="N161" s="197" t="s">
        <v>2062</v>
      </c>
      <c r="O161" s="197" t="s">
        <v>255</v>
      </c>
      <c r="P161" s="197" t="s">
        <v>253</v>
      </c>
      <c r="Q161" s="198" t="s">
        <v>580</v>
      </c>
      <c r="R161" s="197" t="s">
        <v>257</v>
      </c>
      <c r="S161" s="197">
        <v>100</v>
      </c>
      <c r="T161" s="197" t="s">
        <v>581</v>
      </c>
      <c r="U161" s="198">
        <v>0</v>
      </c>
      <c r="V161" s="199">
        <v>1</v>
      </c>
      <c r="W161" s="199">
        <v>1</v>
      </c>
      <c r="X161" s="199" t="s">
        <v>259</v>
      </c>
      <c r="Y161" s="200" t="s">
        <v>260</v>
      </c>
      <c r="Z161" s="200" t="s">
        <v>260</v>
      </c>
      <c r="AA161" s="233" t="str">
        <f t="shared" ref="AA161:AA170" si="42">IF((AJ161=H161),0,IF((AJ161=I161),1,IF((AJ161=J161),2,IF((AJ161=K161),3,IF((AJ161=G161),"GPIO",IF((AJ161=F161),"Unused"))))))</f>
        <v>Unused</v>
      </c>
      <c r="AB161" s="234" t="str">
        <f t="shared" ref="AB161:AB170" si="43">IF((OR($AA161=0,$AA161=1,$AA161=2,$AA161=3)),"SFIO",IF(($AA161="GPIO"),"GPIO","Unused"))</f>
        <v>Unused</v>
      </c>
      <c r="AC161" s="248"/>
      <c r="AD161" s="234" t="str">
        <f t="shared" si="27"/>
        <v>ENABLE</v>
      </c>
      <c r="AE161" s="234" t="str">
        <f>IF((OR($AB161="Unused",$AK161="OUT")),"DISABLE","ENABLE")</f>
        <v>DISABLE</v>
      </c>
      <c r="AF161" s="234" t="str">
        <f t="shared" si="34"/>
        <v>NORMAL</v>
      </c>
      <c r="AG161" s="248"/>
      <c r="AH161" s="234" t="str">
        <f t="shared" ref="AH161:AH170" si="44">IF((AND($AB161="GPIO",$AK161="Out")),"DRIVEN",IF((AND($AB161="GPIO",$AK161="Bidir")),"DRIVEN","TRISTATE"))</f>
        <v>TRISTATE</v>
      </c>
      <c r="AI161" s="234" t="str">
        <f t="shared" ref="AI161:AI170" si="45">IF((OR($AL161="Drive 0")),"LOW","HIGH")</f>
        <v>HIGH</v>
      </c>
      <c r="AJ161" s="182" t="s">
        <v>1094</v>
      </c>
      <c r="AK161" s="149" t="s">
        <v>2926</v>
      </c>
      <c r="AL161" s="153"/>
      <c r="AM161" s="256"/>
      <c r="AN161" s="152"/>
      <c r="AO161" s="152"/>
      <c r="AP161" s="153"/>
      <c r="AQ161" s="345"/>
      <c r="AR161" s="6" t="s">
        <v>1094</v>
      </c>
      <c r="AS161" s="416"/>
      <c r="AT161" s="281" t="s">
        <v>1094</v>
      </c>
      <c r="AU161" s="437"/>
      <c r="AV161" s="416"/>
    </row>
    <row r="162" spans="1:48" ht="12.95" customHeight="1" thickBot="1" x14ac:dyDescent="0.3">
      <c r="A162" s="197" t="s">
        <v>153</v>
      </c>
      <c r="B162" s="271"/>
      <c r="C162" s="197" t="s">
        <v>1740</v>
      </c>
      <c r="D162" s="197" t="s">
        <v>1829</v>
      </c>
      <c r="E162" s="165" t="s">
        <v>1829</v>
      </c>
      <c r="F162" s="197" t="str">
        <f t="shared" si="41"/>
        <v>unused_CLK2_REQ</v>
      </c>
      <c r="G162" s="198" t="s">
        <v>920</v>
      </c>
      <c r="H162" s="197" t="s">
        <v>582</v>
      </c>
      <c r="I162" s="360" t="s">
        <v>3063</v>
      </c>
      <c r="J162" s="360" t="s">
        <v>3076</v>
      </c>
      <c r="K162" s="360" t="s">
        <v>3090</v>
      </c>
      <c r="L162" s="198" t="s">
        <v>2062</v>
      </c>
      <c r="M162" s="197" t="s">
        <v>254</v>
      </c>
      <c r="N162" s="197" t="s">
        <v>2062</v>
      </c>
      <c r="O162" s="197" t="s">
        <v>255</v>
      </c>
      <c r="P162" s="197" t="s">
        <v>253</v>
      </c>
      <c r="Q162" s="198" t="s">
        <v>580</v>
      </c>
      <c r="R162" s="197" t="s">
        <v>257</v>
      </c>
      <c r="S162" s="197">
        <v>100</v>
      </c>
      <c r="T162" s="197" t="s">
        <v>581</v>
      </c>
      <c r="U162" s="198">
        <v>0</v>
      </c>
      <c r="V162" s="199">
        <v>1</v>
      </c>
      <c r="W162" s="199">
        <v>1</v>
      </c>
      <c r="X162" s="199" t="s">
        <v>264</v>
      </c>
      <c r="Y162" s="200" t="s">
        <v>265</v>
      </c>
      <c r="Z162" s="200" t="s">
        <v>265</v>
      </c>
      <c r="AA162" s="233" t="str">
        <f t="shared" si="42"/>
        <v>Unused</v>
      </c>
      <c r="AB162" s="234" t="str">
        <f t="shared" si="43"/>
        <v>Unused</v>
      </c>
      <c r="AC162" s="248"/>
      <c r="AD162" s="234" t="str">
        <f t="shared" si="27"/>
        <v>ENABLE</v>
      </c>
      <c r="AE162" s="234" t="str">
        <f t="shared" ref="AE162:AE170" si="46">IF((OR($AB162="Unused",$AK162="OUT")),"DISABLE","ENABLE")</f>
        <v>DISABLE</v>
      </c>
      <c r="AF162" s="234" t="str">
        <f t="shared" si="34"/>
        <v>NORMAL</v>
      </c>
      <c r="AG162" s="248"/>
      <c r="AH162" s="234" t="str">
        <f t="shared" si="44"/>
        <v>TRISTATE</v>
      </c>
      <c r="AI162" s="234" t="str">
        <f t="shared" si="45"/>
        <v>HIGH</v>
      </c>
      <c r="AJ162" s="182" t="s">
        <v>1095</v>
      </c>
      <c r="AK162" s="149" t="s">
        <v>2926</v>
      </c>
      <c r="AL162" s="153"/>
      <c r="AM162" s="256"/>
      <c r="AN162" s="152"/>
      <c r="AO162" s="152"/>
      <c r="AP162" s="153"/>
      <c r="AQ162" s="345"/>
      <c r="AR162" s="6" t="s">
        <v>1095</v>
      </c>
      <c r="AS162" s="416"/>
      <c r="AT162" s="282" t="s">
        <v>1095</v>
      </c>
      <c r="AU162" s="445"/>
      <c r="AV162" s="416"/>
    </row>
    <row r="163" spans="1:48" ht="12.95" customHeight="1" thickBot="1" x14ac:dyDescent="0.3">
      <c r="A163" s="197" t="s">
        <v>154</v>
      </c>
      <c r="B163" s="271"/>
      <c r="C163" s="197" t="s">
        <v>1830</v>
      </c>
      <c r="D163" s="197" t="s">
        <v>1831</v>
      </c>
      <c r="E163" s="165" t="s">
        <v>1831</v>
      </c>
      <c r="F163" s="197" t="str">
        <f t="shared" si="41"/>
        <v>unused_GPIO_PV2</v>
      </c>
      <c r="G163" s="198" t="s">
        <v>921</v>
      </c>
      <c r="H163" s="197" t="s">
        <v>583</v>
      </c>
      <c r="I163" s="360" t="s">
        <v>3063</v>
      </c>
      <c r="J163" s="360" t="s">
        <v>3076</v>
      </c>
      <c r="K163" s="360" t="s">
        <v>3090</v>
      </c>
      <c r="L163" s="198" t="s">
        <v>2062</v>
      </c>
      <c r="M163" s="197" t="s">
        <v>270</v>
      </c>
      <c r="N163" s="197" t="s">
        <v>270</v>
      </c>
      <c r="O163" s="197" t="s">
        <v>255</v>
      </c>
      <c r="P163" s="197" t="s">
        <v>253</v>
      </c>
      <c r="Q163" s="198" t="s">
        <v>580</v>
      </c>
      <c r="R163" s="197" t="s">
        <v>257</v>
      </c>
      <c r="S163" s="197">
        <v>100</v>
      </c>
      <c r="T163" s="197" t="s">
        <v>338</v>
      </c>
      <c r="U163" s="198">
        <v>0</v>
      </c>
      <c r="V163" s="199">
        <v>1</v>
      </c>
      <c r="W163" s="199">
        <v>1</v>
      </c>
      <c r="X163" s="199" t="s">
        <v>264</v>
      </c>
      <c r="Y163" s="200" t="s">
        <v>265</v>
      </c>
      <c r="Z163" s="200" t="s">
        <v>265</v>
      </c>
      <c r="AA163" s="233" t="str">
        <f t="shared" si="42"/>
        <v>Unused</v>
      </c>
      <c r="AB163" s="234" t="str">
        <f t="shared" si="43"/>
        <v>Unused</v>
      </c>
      <c r="AC163" s="248"/>
      <c r="AD163" s="234" t="str">
        <f t="shared" ref="AD163:AD170" si="47">IF(($AB163="Unused"), "ENABLE", IF((OR($AK163="Bidir",$AK163="Out")), "NORMAL", IF((OR($AK163="IN",AL163="Z", AL163="Int PU",AL163="Int PD")),"ENABLE","NORMAL")))</f>
        <v>ENABLE</v>
      </c>
      <c r="AE163" s="234" t="str">
        <f t="shared" si="46"/>
        <v>DISABLE</v>
      </c>
      <c r="AF163" s="234" t="str">
        <f t="shared" si="34"/>
        <v>NORMAL</v>
      </c>
      <c r="AG163" s="248"/>
      <c r="AH163" s="234" t="str">
        <f t="shared" si="44"/>
        <v>TRISTATE</v>
      </c>
      <c r="AI163" s="234" t="str">
        <f t="shared" si="45"/>
        <v>HIGH</v>
      </c>
      <c r="AJ163" s="182" t="s">
        <v>1145</v>
      </c>
      <c r="AK163" s="149" t="s">
        <v>2926</v>
      </c>
      <c r="AL163" s="153"/>
      <c r="AM163" s="256"/>
      <c r="AN163" s="152"/>
      <c r="AO163" s="152"/>
      <c r="AP163" s="153"/>
      <c r="AQ163" s="345"/>
      <c r="AR163" s="6" t="s">
        <v>921</v>
      </c>
      <c r="AS163" s="416"/>
      <c r="AT163" s="282" t="s">
        <v>1145</v>
      </c>
      <c r="AU163" s="445"/>
      <c r="AV163" s="416"/>
    </row>
    <row r="164" spans="1:48" ht="12.95" customHeight="1" thickBot="1" x14ac:dyDescent="0.3">
      <c r="A164" s="197" t="s">
        <v>155</v>
      </c>
      <c r="B164" s="271"/>
      <c r="C164" s="197" t="s">
        <v>1832</v>
      </c>
      <c r="D164" s="197" t="s">
        <v>1581</v>
      </c>
      <c r="E164" s="165" t="s">
        <v>1581</v>
      </c>
      <c r="F164" s="197" t="str">
        <f t="shared" si="41"/>
        <v>unused_GPIO_PV3</v>
      </c>
      <c r="G164" s="198" t="s">
        <v>922</v>
      </c>
      <c r="H164" s="360" t="s">
        <v>3077</v>
      </c>
      <c r="I164" s="360" t="s">
        <v>3063</v>
      </c>
      <c r="J164" s="360" t="s">
        <v>3076</v>
      </c>
      <c r="K164" s="360" t="s">
        <v>3090</v>
      </c>
      <c r="L164" s="198" t="s">
        <v>2062</v>
      </c>
      <c r="M164" s="197" t="s">
        <v>270</v>
      </c>
      <c r="N164" s="197" t="s">
        <v>270</v>
      </c>
      <c r="O164" s="197" t="s">
        <v>255</v>
      </c>
      <c r="P164" s="197" t="s">
        <v>253</v>
      </c>
      <c r="Q164" s="198" t="s">
        <v>580</v>
      </c>
      <c r="R164" s="197" t="s">
        <v>257</v>
      </c>
      <c r="S164" s="197">
        <v>100</v>
      </c>
      <c r="T164" s="197" t="s">
        <v>338</v>
      </c>
      <c r="U164" s="198">
        <v>0</v>
      </c>
      <c r="V164" s="199">
        <v>1</v>
      </c>
      <c r="W164" s="199">
        <v>1</v>
      </c>
      <c r="X164" s="199" t="s">
        <v>264</v>
      </c>
      <c r="Y164" s="200" t="s">
        <v>265</v>
      </c>
      <c r="Z164" s="200" t="s">
        <v>265</v>
      </c>
      <c r="AA164" s="233" t="str">
        <f t="shared" si="42"/>
        <v>Unused</v>
      </c>
      <c r="AB164" s="234" t="str">
        <f t="shared" si="43"/>
        <v>Unused</v>
      </c>
      <c r="AC164" s="248"/>
      <c r="AD164" s="234" t="str">
        <f t="shared" si="47"/>
        <v>ENABLE</v>
      </c>
      <c r="AE164" s="234" t="str">
        <f t="shared" si="46"/>
        <v>DISABLE</v>
      </c>
      <c r="AF164" s="234" t="str">
        <f t="shared" si="34"/>
        <v>NORMAL</v>
      </c>
      <c r="AG164" s="248"/>
      <c r="AH164" s="234" t="str">
        <f t="shared" si="44"/>
        <v>TRISTATE</v>
      </c>
      <c r="AI164" s="234" t="str">
        <f t="shared" si="45"/>
        <v>HIGH</v>
      </c>
      <c r="AJ164" s="182" t="s">
        <v>1146</v>
      </c>
      <c r="AK164" s="149" t="s">
        <v>2926</v>
      </c>
      <c r="AL164" s="153"/>
      <c r="AM164" s="256"/>
      <c r="AN164" s="152"/>
      <c r="AO164" s="152"/>
      <c r="AP164" s="153"/>
      <c r="AQ164" s="345"/>
      <c r="AR164" s="6" t="s">
        <v>1146</v>
      </c>
      <c r="AS164" s="416"/>
      <c r="AT164" s="282" t="s">
        <v>1146</v>
      </c>
      <c r="AU164" s="438"/>
      <c r="AV164" s="416"/>
    </row>
    <row r="165" spans="1:48" ht="12.95" customHeight="1" x14ac:dyDescent="0.25">
      <c r="A165" s="197" t="s">
        <v>156</v>
      </c>
      <c r="B165" s="271"/>
      <c r="C165" s="197" t="s">
        <v>1744</v>
      </c>
      <c r="D165" s="197" t="s">
        <v>1563</v>
      </c>
      <c r="E165" s="165" t="s">
        <v>1563</v>
      </c>
      <c r="F165" s="197" t="str">
        <f t="shared" si="41"/>
        <v>unused_SDMMC1_CLK</v>
      </c>
      <c r="G165" s="198" t="s">
        <v>923</v>
      </c>
      <c r="H165" s="197" t="s">
        <v>584</v>
      </c>
      <c r="I165" s="360" t="s">
        <v>3063</v>
      </c>
      <c r="J165" s="360" t="s">
        <v>3076</v>
      </c>
      <c r="K165" s="360" t="s">
        <v>3077</v>
      </c>
      <c r="L165" s="198" t="s">
        <v>2062</v>
      </c>
      <c r="M165" s="197" t="s">
        <v>270</v>
      </c>
      <c r="N165" s="197" t="s">
        <v>2062</v>
      </c>
      <c r="O165" s="197" t="s">
        <v>255</v>
      </c>
      <c r="P165" s="197" t="s">
        <v>253</v>
      </c>
      <c r="Q165" s="198" t="s">
        <v>580</v>
      </c>
      <c r="R165" s="197" t="s">
        <v>585</v>
      </c>
      <c r="S165" s="197">
        <v>15</v>
      </c>
      <c r="T165" s="197" t="s">
        <v>586</v>
      </c>
      <c r="U165" s="198">
        <v>0</v>
      </c>
      <c r="V165" s="199">
        <v>1</v>
      </c>
      <c r="W165" s="199">
        <v>1</v>
      </c>
      <c r="X165" s="199" t="s">
        <v>300</v>
      </c>
      <c r="Y165" s="200" t="s">
        <v>301</v>
      </c>
      <c r="Z165" s="200" t="s">
        <v>301</v>
      </c>
      <c r="AA165" s="233" t="str">
        <f t="shared" si="42"/>
        <v>Unused</v>
      </c>
      <c r="AB165" s="234" t="str">
        <f t="shared" si="43"/>
        <v>Unused</v>
      </c>
      <c r="AC165" s="248"/>
      <c r="AD165" s="234" t="str">
        <f t="shared" si="47"/>
        <v>ENABLE</v>
      </c>
      <c r="AE165" s="234" t="str">
        <f t="shared" si="46"/>
        <v>DISABLE</v>
      </c>
      <c r="AF165" s="234" t="str">
        <f t="shared" si="34"/>
        <v>NORMAL</v>
      </c>
      <c r="AG165" s="248"/>
      <c r="AH165" s="234" t="str">
        <f t="shared" si="44"/>
        <v>TRISTATE</v>
      </c>
      <c r="AI165" s="234" t="str">
        <f t="shared" si="45"/>
        <v>HIGH</v>
      </c>
      <c r="AJ165" s="182" t="s">
        <v>3694</v>
      </c>
      <c r="AK165" s="149" t="s">
        <v>2926</v>
      </c>
      <c r="AL165" s="153"/>
      <c r="AM165" s="256"/>
      <c r="AN165" s="152"/>
      <c r="AO165" s="152"/>
      <c r="AP165" s="153"/>
      <c r="AQ165" s="385" t="s">
        <v>3603</v>
      </c>
      <c r="AR165" s="6" t="s">
        <v>584</v>
      </c>
      <c r="AS165" s="371" t="s">
        <v>2435</v>
      </c>
      <c r="AT165" s="282" t="s">
        <v>584</v>
      </c>
      <c r="AU165" s="371" t="s">
        <v>2435</v>
      </c>
      <c r="AV165" s="371" t="s">
        <v>2435</v>
      </c>
    </row>
    <row r="166" spans="1:48" ht="12.95" customHeight="1" x14ac:dyDescent="0.25">
      <c r="A166" s="197" t="s">
        <v>157</v>
      </c>
      <c r="B166" s="271"/>
      <c r="C166" s="197" t="s">
        <v>1833</v>
      </c>
      <c r="D166" s="197" t="s">
        <v>1834</v>
      </c>
      <c r="E166" s="165" t="s">
        <v>1834</v>
      </c>
      <c r="F166" s="197" t="str">
        <f t="shared" si="41"/>
        <v>unused_SDMMC1_CMD</v>
      </c>
      <c r="G166" s="198" t="s">
        <v>924</v>
      </c>
      <c r="H166" s="197" t="s">
        <v>587</v>
      </c>
      <c r="I166" s="360" t="s">
        <v>3063</v>
      </c>
      <c r="J166" s="360" t="s">
        <v>3076</v>
      </c>
      <c r="K166" s="360" t="s">
        <v>3077</v>
      </c>
      <c r="L166" s="198" t="s">
        <v>2062</v>
      </c>
      <c r="M166" s="197" t="s">
        <v>270</v>
      </c>
      <c r="N166" s="197" t="s">
        <v>2062</v>
      </c>
      <c r="O166" s="197" t="s">
        <v>255</v>
      </c>
      <c r="P166" s="197" t="s">
        <v>253</v>
      </c>
      <c r="Q166" s="198" t="s">
        <v>580</v>
      </c>
      <c r="R166" s="197" t="s">
        <v>585</v>
      </c>
      <c r="S166" s="197">
        <v>15</v>
      </c>
      <c r="T166" s="197" t="s">
        <v>586</v>
      </c>
      <c r="U166" s="198">
        <v>0</v>
      </c>
      <c r="V166" s="199">
        <v>1</v>
      </c>
      <c r="W166" s="199">
        <v>1</v>
      </c>
      <c r="X166" s="199" t="s">
        <v>300</v>
      </c>
      <c r="Y166" s="200" t="s">
        <v>301</v>
      </c>
      <c r="Z166" s="200" t="s">
        <v>301</v>
      </c>
      <c r="AA166" s="233" t="str">
        <f t="shared" si="42"/>
        <v>Unused</v>
      </c>
      <c r="AB166" s="234" t="str">
        <f t="shared" si="43"/>
        <v>Unused</v>
      </c>
      <c r="AC166" s="234" t="str">
        <f>IF(REPLACE(AJ166,FIND(".",CONCATENATE(REPLACE(AJ166,FIND("-",CONCATENATE(AJ166,"-")),LEN(AJ166),""),".")),LEN(AJ166),"")="SDMMC1","Yes","No")</f>
        <v>No</v>
      </c>
      <c r="AD166" s="234" t="str">
        <f t="shared" si="47"/>
        <v>ENABLE</v>
      </c>
      <c r="AE166" s="234" t="str">
        <f t="shared" si="46"/>
        <v>DISABLE</v>
      </c>
      <c r="AF166" s="234" t="str">
        <f t="shared" si="34"/>
        <v>NORMAL</v>
      </c>
      <c r="AG166" s="248"/>
      <c r="AH166" s="234" t="str">
        <f t="shared" si="44"/>
        <v>TRISTATE</v>
      </c>
      <c r="AI166" s="234" t="str">
        <f t="shared" si="45"/>
        <v>HIGH</v>
      </c>
      <c r="AJ166" s="182" t="s">
        <v>3695</v>
      </c>
      <c r="AK166" s="149" t="s">
        <v>2926</v>
      </c>
      <c r="AL166" s="153"/>
      <c r="AM166" s="256"/>
      <c r="AN166" s="152"/>
      <c r="AO166" s="152"/>
      <c r="AP166" s="153"/>
      <c r="AQ166" s="386"/>
      <c r="AR166" s="6" t="s">
        <v>587</v>
      </c>
      <c r="AS166" s="372"/>
      <c r="AT166" s="282" t="s">
        <v>587</v>
      </c>
      <c r="AU166" s="372"/>
      <c r="AV166" s="372"/>
    </row>
    <row r="167" spans="1:48" ht="12.95" customHeight="1" thickBot="1" x14ac:dyDescent="0.3">
      <c r="A167" s="197" t="s">
        <v>158</v>
      </c>
      <c r="B167" s="271"/>
      <c r="C167" s="197" t="s">
        <v>1835</v>
      </c>
      <c r="D167" s="197" t="s">
        <v>1836</v>
      </c>
      <c r="E167" s="165" t="s">
        <v>1836</v>
      </c>
      <c r="F167" s="197" t="str">
        <f t="shared" si="41"/>
        <v>unused_SDMMC1_DAT0</v>
      </c>
      <c r="G167" s="198" t="s">
        <v>925</v>
      </c>
      <c r="H167" s="197" t="s">
        <v>588</v>
      </c>
      <c r="I167" s="360" t="s">
        <v>3063</v>
      </c>
      <c r="J167" s="197" t="s">
        <v>2200</v>
      </c>
      <c r="K167" s="360" t="s">
        <v>3077</v>
      </c>
      <c r="L167" s="198" t="s">
        <v>2062</v>
      </c>
      <c r="M167" s="197" t="s">
        <v>270</v>
      </c>
      <c r="N167" s="197" t="s">
        <v>2062</v>
      </c>
      <c r="O167" s="197" t="s">
        <v>255</v>
      </c>
      <c r="P167" s="197" t="s">
        <v>253</v>
      </c>
      <c r="Q167" s="198" t="s">
        <v>580</v>
      </c>
      <c r="R167" s="197" t="s">
        <v>585</v>
      </c>
      <c r="S167" s="197">
        <v>15</v>
      </c>
      <c r="T167" s="197" t="s">
        <v>586</v>
      </c>
      <c r="U167" s="198">
        <v>0</v>
      </c>
      <c r="V167" s="199">
        <v>1</v>
      </c>
      <c r="W167" s="199">
        <v>1</v>
      </c>
      <c r="X167" s="199" t="s">
        <v>300</v>
      </c>
      <c r="Y167" s="200" t="s">
        <v>301</v>
      </c>
      <c r="Z167" s="200" t="s">
        <v>301</v>
      </c>
      <c r="AA167" s="233" t="str">
        <f t="shared" si="42"/>
        <v>Unused</v>
      </c>
      <c r="AB167" s="234" t="str">
        <f t="shared" si="43"/>
        <v>Unused</v>
      </c>
      <c r="AC167" s="234" t="str">
        <f>IF(REPLACE(AJ167,FIND(".",CONCATENATE(REPLACE(AJ167,FIND("-",CONCATENATE(AJ167,"-")),LEN(AJ167),""),".")),LEN(AJ167),"")="SDMMC1","Yes","No")</f>
        <v>No</v>
      </c>
      <c r="AD167" s="234" t="str">
        <f t="shared" si="47"/>
        <v>ENABLE</v>
      </c>
      <c r="AE167" s="234" t="str">
        <f t="shared" si="46"/>
        <v>DISABLE</v>
      </c>
      <c r="AF167" s="234" t="str">
        <f t="shared" si="34"/>
        <v>NORMAL</v>
      </c>
      <c r="AG167" s="248"/>
      <c r="AH167" s="234" t="str">
        <f t="shared" si="44"/>
        <v>TRISTATE</v>
      </c>
      <c r="AI167" s="234" t="str">
        <f t="shared" si="45"/>
        <v>HIGH</v>
      </c>
      <c r="AJ167" s="182" t="s">
        <v>3696</v>
      </c>
      <c r="AK167" s="149" t="s">
        <v>2926</v>
      </c>
      <c r="AL167" s="153"/>
      <c r="AM167" s="257"/>
      <c r="AN167" s="152"/>
      <c r="AO167" s="152"/>
      <c r="AP167" s="153"/>
      <c r="AQ167" s="386"/>
      <c r="AR167" s="6" t="s">
        <v>588</v>
      </c>
      <c r="AS167" s="372"/>
      <c r="AT167" s="282" t="s">
        <v>588</v>
      </c>
      <c r="AU167" s="372"/>
      <c r="AV167" s="372"/>
    </row>
    <row r="168" spans="1:48" ht="12.95" customHeight="1" thickBot="1" x14ac:dyDescent="0.3">
      <c r="A168" s="197" t="s">
        <v>159</v>
      </c>
      <c r="B168" s="271"/>
      <c r="C168" s="197" t="s">
        <v>1837</v>
      </c>
      <c r="D168" s="197" t="s">
        <v>1838</v>
      </c>
      <c r="E168" s="165" t="s">
        <v>1838</v>
      </c>
      <c r="F168" s="197" t="str">
        <f t="shared" si="41"/>
        <v>unused_SDMMC1_DAT1</v>
      </c>
      <c r="G168" s="198" t="s">
        <v>926</v>
      </c>
      <c r="H168" s="197" t="s">
        <v>589</v>
      </c>
      <c r="I168" s="360" t="s">
        <v>3063</v>
      </c>
      <c r="J168" s="197" t="s">
        <v>2201</v>
      </c>
      <c r="K168" s="360" t="s">
        <v>3077</v>
      </c>
      <c r="L168" s="198" t="s">
        <v>2062</v>
      </c>
      <c r="M168" s="197" t="s">
        <v>254</v>
      </c>
      <c r="N168" s="197" t="s">
        <v>2062</v>
      </c>
      <c r="O168" s="197" t="s">
        <v>255</v>
      </c>
      <c r="P168" s="197">
        <v>13</v>
      </c>
      <c r="Q168" s="198" t="s">
        <v>580</v>
      </c>
      <c r="R168" s="197" t="s">
        <v>585</v>
      </c>
      <c r="S168" s="197">
        <v>15</v>
      </c>
      <c r="T168" s="197" t="s">
        <v>586</v>
      </c>
      <c r="U168" s="198">
        <v>0</v>
      </c>
      <c r="V168" s="199">
        <v>1</v>
      </c>
      <c r="W168" s="199">
        <v>1</v>
      </c>
      <c r="X168" s="199" t="s">
        <v>300</v>
      </c>
      <c r="Y168" s="200" t="s">
        <v>301</v>
      </c>
      <c r="Z168" s="200" t="s">
        <v>301</v>
      </c>
      <c r="AA168" s="233" t="str">
        <f t="shared" si="42"/>
        <v>Unused</v>
      </c>
      <c r="AB168" s="234" t="str">
        <f t="shared" si="43"/>
        <v>Unused</v>
      </c>
      <c r="AC168" s="234" t="str">
        <f>IF(REPLACE(AJ168,FIND(".",CONCATENATE(REPLACE(AJ168,FIND("-",CONCATENATE(AJ168,"-")),LEN(AJ168),""),".")),LEN(AJ168),"")="SDMMC1","Yes","No")</f>
        <v>No</v>
      </c>
      <c r="AD168" s="234" t="str">
        <f t="shared" si="47"/>
        <v>ENABLE</v>
      </c>
      <c r="AE168" s="234" t="str">
        <f t="shared" si="46"/>
        <v>DISABLE</v>
      </c>
      <c r="AF168" s="234" t="str">
        <f t="shared" si="34"/>
        <v>NORMAL</v>
      </c>
      <c r="AG168" s="248"/>
      <c r="AH168" s="234" t="str">
        <f t="shared" si="44"/>
        <v>TRISTATE</v>
      </c>
      <c r="AI168" s="234" t="str">
        <f t="shared" si="45"/>
        <v>HIGH</v>
      </c>
      <c r="AJ168" s="182" t="s">
        <v>3697</v>
      </c>
      <c r="AK168" s="149" t="s">
        <v>2926</v>
      </c>
      <c r="AL168" s="153"/>
      <c r="AM168" s="168"/>
      <c r="AN168" s="152"/>
      <c r="AO168" s="152"/>
      <c r="AP168" s="153"/>
      <c r="AQ168" s="386"/>
      <c r="AR168" s="6" t="s">
        <v>589</v>
      </c>
      <c r="AS168" s="372"/>
      <c r="AT168" s="282" t="s">
        <v>589</v>
      </c>
      <c r="AU168" s="372"/>
      <c r="AV168" s="372"/>
    </row>
    <row r="169" spans="1:48" ht="12.95" customHeight="1" x14ac:dyDescent="0.25">
      <c r="A169" s="197" t="s">
        <v>160</v>
      </c>
      <c r="B169" s="271"/>
      <c r="C169" s="197" t="s">
        <v>1839</v>
      </c>
      <c r="D169" s="197" t="s">
        <v>1840</v>
      </c>
      <c r="E169" s="165" t="s">
        <v>1840</v>
      </c>
      <c r="F169" s="197" t="str">
        <f t="shared" si="41"/>
        <v>unused_SDMMC1_DAT2</v>
      </c>
      <c r="G169" s="198" t="s">
        <v>927</v>
      </c>
      <c r="H169" s="197" t="s">
        <v>590</v>
      </c>
      <c r="I169" s="360" t="s">
        <v>3063</v>
      </c>
      <c r="J169" s="197" t="s">
        <v>591</v>
      </c>
      <c r="K169" s="360" t="s">
        <v>3077</v>
      </c>
      <c r="L169" s="198" t="s">
        <v>2062</v>
      </c>
      <c r="M169" s="197" t="s">
        <v>270</v>
      </c>
      <c r="N169" s="197" t="s">
        <v>2062</v>
      </c>
      <c r="O169" s="197" t="s">
        <v>255</v>
      </c>
      <c r="P169" s="197" t="s">
        <v>253</v>
      </c>
      <c r="Q169" s="198" t="s">
        <v>580</v>
      </c>
      <c r="R169" s="197" t="s">
        <v>585</v>
      </c>
      <c r="S169" s="197">
        <v>15</v>
      </c>
      <c r="T169" s="197" t="s">
        <v>586</v>
      </c>
      <c r="U169" s="198">
        <v>0</v>
      </c>
      <c r="V169" s="199">
        <v>1</v>
      </c>
      <c r="W169" s="199">
        <v>1</v>
      </c>
      <c r="X169" s="199" t="s">
        <v>300</v>
      </c>
      <c r="Y169" s="200" t="s">
        <v>301</v>
      </c>
      <c r="Z169" s="200" t="s">
        <v>301</v>
      </c>
      <c r="AA169" s="233" t="str">
        <f t="shared" si="42"/>
        <v>Unused</v>
      </c>
      <c r="AB169" s="234" t="str">
        <f t="shared" si="43"/>
        <v>Unused</v>
      </c>
      <c r="AC169" s="234" t="str">
        <f>IF(REPLACE(AJ169,FIND(".",CONCATENATE(REPLACE(AJ169,FIND("-",CONCATENATE(AJ169,"-")),LEN(AJ169),""),".")),LEN(AJ169),"")="SDMMC1","Yes","No")</f>
        <v>No</v>
      </c>
      <c r="AD169" s="234" t="str">
        <f t="shared" si="47"/>
        <v>ENABLE</v>
      </c>
      <c r="AE169" s="234" t="str">
        <f t="shared" si="46"/>
        <v>DISABLE</v>
      </c>
      <c r="AF169" s="234" t="str">
        <f t="shared" si="34"/>
        <v>NORMAL</v>
      </c>
      <c r="AG169" s="248"/>
      <c r="AH169" s="234" t="str">
        <f t="shared" si="44"/>
        <v>TRISTATE</v>
      </c>
      <c r="AI169" s="234" t="str">
        <f t="shared" si="45"/>
        <v>HIGH</v>
      </c>
      <c r="AJ169" s="182" t="s">
        <v>3698</v>
      </c>
      <c r="AK169" s="149" t="s">
        <v>2926</v>
      </c>
      <c r="AL169" s="153"/>
      <c r="AM169" s="258"/>
      <c r="AN169" s="152"/>
      <c r="AO169" s="152"/>
      <c r="AP169" s="153"/>
      <c r="AQ169" s="386"/>
      <c r="AR169" s="6" t="s">
        <v>590</v>
      </c>
      <c r="AS169" s="372"/>
      <c r="AT169" s="282" t="s">
        <v>590</v>
      </c>
      <c r="AU169" s="372"/>
      <c r="AV169" s="372"/>
    </row>
    <row r="170" spans="1:48" ht="12.95" customHeight="1" thickBot="1" x14ac:dyDescent="0.3">
      <c r="A170" s="197" t="s">
        <v>161</v>
      </c>
      <c r="B170" s="271"/>
      <c r="C170" s="197" t="s">
        <v>1841</v>
      </c>
      <c r="D170" s="197" t="s">
        <v>1842</v>
      </c>
      <c r="E170" s="165" t="s">
        <v>1842</v>
      </c>
      <c r="F170" s="197" t="str">
        <f t="shared" si="41"/>
        <v>unused_SDMMC1_DAT3</v>
      </c>
      <c r="G170" s="198" t="s">
        <v>928</v>
      </c>
      <c r="H170" s="197" t="s">
        <v>592</v>
      </c>
      <c r="I170" s="360" t="s">
        <v>3063</v>
      </c>
      <c r="J170" s="197" t="s">
        <v>593</v>
      </c>
      <c r="K170" s="360" t="s">
        <v>3077</v>
      </c>
      <c r="L170" s="198" t="s">
        <v>2062</v>
      </c>
      <c r="M170" s="197" t="s">
        <v>270</v>
      </c>
      <c r="N170" s="197" t="s">
        <v>2062</v>
      </c>
      <c r="O170" s="197" t="s">
        <v>255</v>
      </c>
      <c r="P170" s="197" t="s">
        <v>253</v>
      </c>
      <c r="Q170" s="198" t="s">
        <v>580</v>
      </c>
      <c r="R170" s="197" t="s">
        <v>585</v>
      </c>
      <c r="S170" s="197">
        <v>15</v>
      </c>
      <c r="T170" s="197" t="s">
        <v>586</v>
      </c>
      <c r="U170" s="198">
        <v>0</v>
      </c>
      <c r="V170" s="199">
        <v>1</v>
      </c>
      <c r="W170" s="199">
        <v>1</v>
      </c>
      <c r="X170" s="199" t="s">
        <v>300</v>
      </c>
      <c r="Y170" s="200" t="s">
        <v>301</v>
      </c>
      <c r="Z170" s="200" t="s">
        <v>301</v>
      </c>
      <c r="AA170" s="233" t="str">
        <f t="shared" si="42"/>
        <v>Unused</v>
      </c>
      <c r="AB170" s="234" t="str">
        <f t="shared" si="43"/>
        <v>Unused</v>
      </c>
      <c r="AC170" s="234" t="str">
        <f>IF(REPLACE(AJ170,FIND(".",CONCATENATE(REPLACE(AJ170,FIND("-",CONCATENATE(AJ170,"-")),LEN(AJ170),""),".")),LEN(AJ170),"")="SDMMC1","Yes","No")</f>
        <v>No</v>
      </c>
      <c r="AD170" s="234" t="str">
        <f t="shared" si="47"/>
        <v>ENABLE</v>
      </c>
      <c r="AE170" s="234" t="str">
        <f t="shared" si="46"/>
        <v>DISABLE</v>
      </c>
      <c r="AF170" s="234" t="str">
        <f t="shared" si="34"/>
        <v>NORMAL</v>
      </c>
      <c r="AG170" s="248"/>
      <c r="AH170" s="234" t="str">
        <f t="shared" si="44"/>
        <v>TRISTATE</v>
      </c>
      <c r="AI170" s="234" t="str">
        <f t="shared" si="45"/>
        <v>HIGH</v>
      </c>
      <c r="AJ170" s="182" t="s">
        <v>3699</v>
      </c>
      <c r="AK170" s="149" t="s">
        <v>2926</v>
      </c>
      <c r="AL170" s="153"/>
      <c r="AM170" s="256"/>
      <c r="AN170" s="152"/>
      <c r="AO170" s="152"/>
      <c r="AP170" s="153"/>
      <c r="AQ170" s="387"/>
      <c r="AR170" s="6" t="s">
        <v>592</v>
      </c>
      <c r="AS170" s="373"/>
      <c r="AT170" s="282" t="s">
        <v>592</v>
      </c>
      <c r="AU170" s="373"/>
      <c r="AV170" s="373"/>
    </row>
    <row r="171" spans="1:48" ht="12.95" customHeight="1" thickBot="1" x14ac:dyDescent="0.3">
      <c r="A171" s="197" t="s">
        <v>2310</v>
      </c>
      <c r="B171" s="271"/>
      <c r="C171" s="197" t="s">
        <v>1699</v>
      </c>
      <c r="D171" s="197" t="s">
        <v>2312</v>
      </c>
      <c r="E171" s="165" t="s">
        <v>2312</v>
      </c>
      <c r="F171" s="197" t="str">
        <f>CONCATENATE("unused_",A171)</f>
        <v>unused_SDMMC1_COMP_PD</v>
      </c>
      <c r="G171" s="198"/>
      <c r="H171" s="197" t="s">
        <v>2310</v>
      </c>
      <c r="I171" s="197"/>
      <c r="J171" s="197"/>
      <c r="K171" s="197"/>
      <c r="L171" s="198"/>
      <c r="M171" s="197"/>
      <c r="N171" s="197"/>
      <c r="O171" s="197"/>
      <c r="P171" s="197"/>
      <c r="Q171" s="198"/>
      <c r="R171" s="197"/>
      <c r="S171" s="197"/>
      <c r="T171" s="197"/>
      <c r="U171" s="198"/>
      <c r="V171" s="199"/>
      <c r="W171" s="199"/>
      <c r="X171" s="199"/>
      <c r="Y171" s="200"/>
      <c r="Z171" s="200"/>
      <c r="AA171" s="253"/>
      <c r="AB171" s="248"/>
      <c r="AC171" s="248"/>
      <c r="AD171" s="248"/>
      <c r="AE171" s="248"/>
      <c r="AF171" s="248"/>
      <c r="AG171" s="248"/>
      <c r="AH171" s="248"/>
      <c r="AI171" s="245"/>
      <c r="AJ171" s="182" t="s">
        <v>3539</v>
      </c>
      <c r="AK171" s="256"/>
      <c r="AL171" s="256"/>
      <c r="AM171" s="256"/>
      <c r="AN171" s="256"/>
      <c r="AO171" s="256"/>
      <c r="AP171" s="256"/>
      <c r="AQ171" s="345"/>
      <c r="AR171" s="6" t="s">
        <v>2310</v>
      </c>
      <c r="AS171" s="85"/>
      <c r="AT171" s="295" t="s">
        <v>2310</v>
      </c>
      <c r="AU171" s="371" t="s">
        <v>2435</v>
      </c>
      <c r="AV171" s="371" t="s">
        <v>2435</v>
      </c>
    </row>
    <row r="172" spans="1:48" ht="12.95" customHeight="1" thickBot="1" x14ac:dyDescent="0.3">
      <c r="A172" s="197" t="s">
        <v>2311</v>
      </c>
      <c r="B172" s="271"/>
      <c r="C172" s="197" t="s">
        <v>2313</v>
      </c>
      <c r="D172" s="197" t="s">
        <v>1823</v>
      </c>
      <c r="E172" s="165" t="s">
        <v>1823</v>
      </c>
      <c r="F172" s="197" t="str">
        <f>CONCATENATE("unused_",A172)</f>
        <v>unused_SDMMC1_COMP_PU</v>
      </c>
      <c r="G172" s="198"/>
      <c r="H172" s="197" t="s">
        <v>2311</v>
      </c>
      <c r="I172" s="197"/>
      <c r="J172" s="197"/>
      <c r="K172" s="197"/>
      <c r="L172" s="198"/>
      <c r="M172" s="197"/>
      <c r="N172" s="197"/>
      <c r="O172" s="197"/>
      <c r="P172" s="197"/>
      <c r="Q172" s="198"/>
      <c r="R172" s="197"/>
      <c r="S172" s="197"/>
      <c r="T172" s="197"/>
      <c r="U172" s="198"/>
      <c r="V172" s="199"/>
      <c r="W172" s="199"/>
      <c r="X172" s="199"/>
      <c r="Y172" s="200"/>
      <c r="Z172" s="200"/>
      <c r="AA172" s="253"/>
      <c r="AB172" s="248"/>
      <c r="AC172" s="248"/>
      <c r="AD172" s="248"/>
      <c r="AE172" s="248"/>
      <c r="AF172" s="248"/>
      <c r="AG172" s="248"/>
      <c r="AH172" s="248"/>
      <c r="AI172" s="245"/>
      <c r="AJ172" s="193" t="s">
        <v>3540</v>
      </c>
      <c r="AK172" s="256"/>
      <c r="AL172" s="256"/>
      <c r="AM172" s="256"/>
      <c r="AN172" s="256"/>
      <c r="AO172" s="256"/>
      <c r="AP172" s="256"/>
      <c r="AQ172" s="345"/>
      <c r="AR172" s="6" t="s">
        <v>2311</v>
      </c>
      <c r="AS172" s="84"/>
      <c r="AT172" s="295" t="s">
        <v>2311</v>
      </c>
      <c r="AU172" s="373"/>
      <c r="AV172" s="373"/>
    </row>
    <row r="173" spans="1:48" s="24" customFormat="1" ht="18" customHeight="1" thickBot="1" x14ac:dyDescent="0.3">
      <c r="A173" s="160" t="s">
        <v>1237</v>
      </c>
      <c r="B173" s="272"/>
      <c r="C173" s="160"/>
      <c r="D173" s="160"/>
      <c r="E173" s="215"/>
      <c r="F173" s="160"/>
      <c r="G173" s="201"/>
      <c r="H173" s="160"/>
      <c r="I173" s="160"/>
      <c r="J173" s="160"/>
      <c r="K173" s="160"/>
      <c r="L173" s="201"/>
      <c r="M173" s="160"/>
      <c r="N173" s="160"/>
      <c r="O173" s="160"/>
      <c r="P173" s="160"/>
      <c r="Q173" s="201"/>
      <c r="R173" s="160"/>
      <c r="S173" s="160"/>
      <c r="T173" s="160"/>
      <c r="U173" s="201"/>
      <c r="V173" s="160"/>
      <c r="W173" s="160"/>
      <c r="X173" s="160"/>
      <c r="Y173" s="202"/>
      <c r="Z173" s="202"/>
      <c r="AA173" s="235"/>
      <c r="AB173" s="236"/>
      <c r="AC173" s="236"/>
      <c r="AD173" s="236"/>
      <c r="AE173" s="236"/>
      <c r="AF173" s="236"/>
      <c r="AG173" s="236"/>
      <c r="AH173" s="236"/>
      <c r="AI173" s="237"/>
      <c r="AJ173" s="160"/>
      <c r="AK173" s="35"/>
      <c r="AL173" s="154"/>
      <c r="AM173" s="169"/>
      <c r="AN173" s="154"/>
      <c r="AO173" s="154"/>
      <c r="AP173" s="154"/>
      <c r="AQ173" s="45"/>
      <c r="AR173" s="277"/>
      <c r="AS173" s="45"/>
      <c r="AT173" s="284"/>
      <c r="AU173" s="45"/>
      <c r="AV173" s="45"/>
    </row>
    <row r="174" spans="1:48" ht="12.95" customHeight="1" x14ac:dyDescent="0.25">
      <c r="A174" s="197" t="s">
        <v>162</v>
      </c>
      <c r="B174" s="271"/>
      <c r="C174" s="197" t="s">
        <v>1843</v>
      </c>
      <c r="D174" s="197" t="s">
        <v>1844</v>
      </c>
      <c r="E174" s="165" t="s">
        <v>1844</v>
      </c>
      <c r="F174" s="197" t="str">
        <f t="shared" ref="F174:F183" si="48">CONCATENATE("unused_",A174)</f>
        <v>unused_SDMMC3_CLK</v>
      </c>
      <c r="G174" s="198" t="s">
        <v>929</v>
      </c>
      <c r="H174" s="197" t="s">
        <v>594</v>
      </c>
      <c r="I174" s="197" t="s">
        <v>420</v>
      </c>
      <c r="J174" s="197" t="s">
        <v>595</v>
      </c>
      <c r="K174" s="360" t="s">
        <v>3077</v>
      </c>
      <c r="L174" s="198" t="s">
        <v>2062</v>
      </c>
      <c r="M174" s="197" t="s">
        <v>270</v>
      </c>
      <c r="N174" s="197" t="s">
        <v>2062</v>
      </c>
      <c r="O174" s="197" t="s">
        <v>255</v>
      </c>
      <c r="P174" s="197" t="s">
        <v>253</v>
      </c>
      <c r="Q174" s="198" t="s">
        <v>596</v>
      </c>
      <c r="R174" s="197" t="s">
        <v>585</v>
      </c>
      <c r="S174" s="197">
        <v>15</v>
      </c>
      <c r="T174" s="197" t="s">
        <v>597</v>
      </c>
      <c r="U174" s="198">
        <v>2</v>
      </c>
      <c r="V174" s="199">
        <v>1</v>
      </c>
      <c r="W174" s="199">
        <v>1</v>
      </c>
      <c r="X174" s="199" t="s">
        <v>300</v>
      </c>
      <c r="Y174" s="200" t="s">
        <v>301</v>
      </c>
      <c r="Z174" s="200" t="s">
        <v>301</v>
      </c>
      <c r="AA174" s="233" t="str">
        <f t="shared" ref="AA174:AA183" si="49">IF((AJ174=H174),0,IF((AJ174=I174),1,IF((AJ174=J174),2,IF((AJ174=K174),3,IF((AJ174=G174),"GPIO",IF((AJ174=F174),"Unused"))))))</f>
        <v>Unused</v>
      </c>
      <c r="AB174" s="234" t="str">
        <f t="shared" ref="AB174:AB183" si="50">IF((OR($AA174=0,$AA174=1,$AA174=2,$AA174=3)),"SFIO",IF(($AA174="GPIO"),"GPIO","Unused"))</f>
        <v>Unused</v>
      </c>
      <c r="AC174" s="234" t="s">
        <v>2926</v>
      </c>
      <c r="AD174" s="234" t="str">
        <f t="shared" ref="AD174:AD183" si="51">IF(($AB174="Unused"), "ENABLE", IF((OR($AK174="Bidir",$AK174="Out")), "NORMAL", IF((OR($AK174="IN",AL174="Z", AL174="Int PU",AL174="Int PD")),"ENABLE","NORMAL")))</f>
        <v>ENABLE</v>
      </c>
      <c r="AE174" s="234" t="str">
        <f>IF((OR($AB174="Unused",$AK174="OUT")),"DISABLE","ENABLE")</f>
        <v>DISABLE</v>
      </c>
      <c r="AF174" s="234" t="str">
        <f t="shared" ref="AF174:AF183" si="52">IF((OR((AND($AC174="Yes",$AN174="",OR($AK174="In",$AK174="Bidir"))),($AL174="Int PU"))),"PULL_UP",IF(($AL174="Int PD"),"PULL_DOWN",IF((OR($AB174="Unused",$AL174="Drive 1",$AL174="Drive 0",$AL174="Z",$AL174="na",$AL174="",$AN174&lt;&gt;"",$AO174&lt;&gt;"")),"NORMAL")))</f>
        <v>NORMAL</v>
      </c>
      <c r="AG174" s="248"/>
      <c r="AH174" s="234" t="str">
        <f t="shared" ref="AH174:AH183" si="53">IF((AND($AB174="GPIO",$AK174="Out")),"DRIVEN",IF((AND($AB174="GPIO",$AK174="Bidir")),"DRIVEN","TRISTATE"))</f>
        <v>TRISTATE</v>
      </c>
      <c r="AI174" s="234" t="str">
        <f t="shared" ref="AI174:AI183" si="54">IF((OR($AL174="Drive 0")),"LOW","HIGH")</f>
        <v>HIGH</v>
      </c>
      <c r="AJ174" s="182" t="s">
        <v>3700</v>
      </c>
      <c r="AK174" s="149" t="s">
        <v>2926</v>
      </c>
      <c r="AL174" s="153"/>
      <c r="AM174" s="256"/>
      <c r="AN174" s="152"/>
      <c r="AO174" s="152"/>
      <c r="AP174" s="153"/>
      <c r="AQ174" s="385" t="s">
        <v>1191</v>
      </c>
      <c r="AR174" s="6" t="s">
        <v>595</v>
      </c>
      <c r="AS174" s="379" t="s">
        <v>2436</v>
      </c>
      <c r="AT174" s="281" t="s">
        <v>595</v>
      </c>
      <c r="AU174" s="371" t="s">
        <v>2436</v>
      </c>
      <c r="AV174" s="379" t="s">
        <v>2436</v>
      </c>
    </row>
    <row r="175" spans="1:48" ht="12.95" customHeight="1" x14ac:dyDescent="0.25">
      <c r="A175" s="197" t="s">
        <v>163</v>
      </c>
      <c r="B175" s="271"/>
      <c r="C175" s="197" t="s">
        <v>1845</v>
      </c>
      <c r="D175" s="197" t="s">
        <v>1846</v>
      </c>
      <c r="E175" s="165" t="s">
        <v>1846</v>
      </c>
      <c r="F175" s="197" t="str">
        <f t="shared" si="48"/>
        <v>unused_SDMMC3_CMD</v>
      </c>
      <c r="G175" s="198" t="s">
        <v>930</v>
      </c>
      <c r="H175" s="197" t="s">
        <v>598</v>
      </c>
      <c r="I175" s="197" t="s">
        <v>424</v>
      </c>
      <c r="J175" s="197" t="s">
        <v>599</v>
      </c>
      <c r="K175" s="360" t="s">
        <v>3077</v>
      </c>
      <c r="L175" s="198" t="s">
        <v>2062</v>
      </c>
      <c r="M175" s="197" t="s">
        <v>270</v>
      </c>
      <c r="N175" s="197" t="s">
        <v>2062</v>
      </c>
      <c r="O175" s="197" t="s">
        <v>255</v>
      </c>
      <c r="P175" s="197" t="s">
        <v>253</v>
      </c>
      <c r="Q175" s="198" t="s">
        <v>596</v>
      </c>
      <c r="R175" s="197" t="s">
        <v>585</v>
      </c>
      <c r="S175" s="197">
        <v>15</v>
      </c>
      <c r="T175" s="197" t="s">
        <v>597</v>
      </c>
      <c r="U175" s="198">
        <v>2</v>
      </c>
      <c r="V175" s="199">
        <v>1</v>
      </c>
      <c r="W175" s="199">
        <v>1</v>
      </c>
      <c r="X175" s="199" t="s">
        <v>300</v>
      </c>
      <c r="Y175" s="200" t="s">
        <v>301</v>
      </c>
      <c r="Z175" s="200" t="s">
        <v>301</v>
      </c>
      <c r="AA175" s="233" t="str">
        <f t="shared" si="49"/>
        <v>Unused</v>
      </c>
      <c r="AB175" s="234" t="str">
        <f t="shared" si="50"/>
        <v>Unused</v>
      </c>
      <c r="AC175" s="234" t="str">
        <f>IF(REPLACE(AJ175,FIND(".",CONCATENATE(REPLACE(AJ175,FIND("-",CONCATENATE(AJ175,"-")),LEN(AJ175),""),".")),LEN(AJ175),"")="SDMMC3","Yes","No")</f>
        <v>No</v>
      </c>
      <c r="AD175" s="234" t="str">
        <f t="shared" si="51"/>
        <v>ENABLE</v>
      </c>
      <c r="AE175" s="234" t="str">
        <f t="shared" ref="AE175:AE183" si="55">IF((OR($AB175="Unused",$AK175="OUT")),"DISABLE","ENABLE")</f>
        <v>DISABLE</v>
      </c>
      <c r="AF175" s="234" t="str">
        <f t="shared" si="52"/>
        <v>NORMAL</v>
      </c>
      <c r="AG175" s="248"/>
      <c r="AH175" s="234" t="str">
        <f t="shared" si="53"/>
        <v>TRISTATE</v>
      </c>
      <c r="AI175" s="234" t="str">
        <f t="shared" si="54"/>
        <v>HIGH</v>
      </c>
      <c r="AJ175" s="182" t="s">
        <v>3701</v>
      </c>
      <c r="AK175" s="149" t="s">
        <v>2926</v>
      </c>
      <c r="AL175" s="153"/>
      <c r="AM175" s="256"/>
      <c r="AN175" s="152"/>
      <c r="AO175" s="152"/>
      <c r="AP175" s="153"/>
      <c r="AQ175" s="386"/>
      <c r="AR175" s="6" t="s">
        <v>599</v>
      </c>
      <c r="AS175" s="379"/>
      <c r="AT175" s="282" t="s">
        <v>599</v>
      </c>
      <c r="AU175" s="372"/>
      <c r="AV175" s="379"/>
    </row>
    <row r="176" spans="1:48" ht="12.95" customHeight="1" thickBot="1" x14ac:dyDescent="0.3">
      <c r="A176" s="197" t="s">
        <v>164</v>
      </c>
      <c r="B176" s="271"/>
      <c r="C176" s="197" t="s">
        <v>1847</v>
      </c>
      <c r="D176" s="197" t="s">
        <v>1848</v>
      </c>
      <c r="E176" s="165" t="s">
        <v>1848</v>
      </c>
      <c r="F176" s="197" t="str">
        <f t="shared" si="48"/>
        <v>unused_SDMMC3_DAT0</v>
      </c>
      <c r="G176" s="198" t="s">
        <v>931</v>
      </c>
      <c r="H176" s="360" t="s">
        <v>3499</v>
      </c>
      <c r="I176" s="360" t="s">
        <v>3063</v>
      </c>
      <c r="J176" s="197" t="s">
        <v>600</v>
      </c>
      <c r="K176" s="360" t="s">
        <v>3077</v>
      </c>
      <c r="L176" s="198" t="s">
        <v>2062</v>
      </c>
      <c r="M176" s="197" t="s">
        <v>270</v>
      </c>
      <c r="N176" s="197" t="s">
        <v>2062</v>
      </c>
      <c r="O176" s="197" t="s">
        <v>255</v>
      </c>
      <c r="P176" s="197" t="s">
        <v>253</v>
      </c>
      <c r="Q176" s="198" t="s">
        <v>596</v>
      </c>
      <c r="R176" s="197" t="s">
        <v>585</v>
      </c>
      <c r="S176" s="197">
        <v>15</v>
      </c>
      <c r="T176" s="197" t="s">
        <v>597</v>
      </c>
      <c r="U176" s="198">
        <v>2</v>
      </c>
      <c r="V176" s="199">
        <v>1</v>
      </c>
      <c r="W176" s="199">
        <v>1</v>
      </c>
      <c r="X176" s="199" t="s">
        <v>300</v>
      </c>
      <c r="Y176" s="200" t="s">
        <v>301</v>
      </c>
      <c r="Z176" s="200" t="s">
        <v>301</v>
      </c>
      <c r="AA176" s="233" t="str">
        <f t="shared" si="49"/>
        <v>Unused</v>
      </c>
      <c r="AB176" s="234" t="str">
        <f t="shared" si="50"/>
        <v>Unused</v>
      </c>
      <c r="AC176" s="234" t="str">
        <f t="shared" ref="AC176:AC183" si="56">IF(REPLACE(AJ176,FIND(".",CONCATENATE(REPLACE(AJ176,FIND("-",CONCATENATE(AJ176,"-")),LEN(AJ176),""),".")),LEN(AJ176),"")="SDMMC3","Yes","No")</f>
        <v>No</v>
      </c>
      <c r="AD176" s="234" t="str">
        <f t="shared" si="51"/>
        <v>ENABLE</v>
      </c>
      <c r="AE176" s="234" t="str">
        <f t="shared" si="55"/>
        <v>DISABLE</v>
      </c>
      <c r="AF176" s="234" t="str">
        <f t="shared" si="52"/>
        <v>NORMAL</v>
      </c>
      <c r="AG176" s="248"/>
      <c r="AH176" s="234" t="str">
        <f t="shared" si="53"/>
        <v>TRISTATE</v>
      </c>
      <c r="AI176" s="234" t="str">
        <f t="shared" si="54"/>
        <v>HIGH</v>
      </c>
      <c r="AJ176" s="182" t="s">
        <v>3702</v>
      </c>
      <c r="AK176" s="149" t="s">
        <v>2926</v>
      </c>
      <c r="AL176" s="153"/>
      <c r="AM176" s="257"/>
      <c r="AN176" s="152"/>
      <c r="AO176" s="152"/>
      <c r="AP176" s="153"/>
      <c r="AQ176" s="386"/>
      <c r="AR176" s="6" t="s">
        <v>600</v>
      </c>
      <c r="AS176" s="379"/>
      <c r="AT176" s="282" t="s">
        <v>600</v>
      </c>
      <c r="AU176" s="372"/>
      <c r="AV176" s="379"/>
    </row>
    <row r="177" spans="1:48" ht="12.95" customHeight="1" thickBot="1" x14ac:dyDescent="0.3">
      <c r="A177" s="197" t="s">
        <v>165</v>
      </c>
      <c r="B177" s="271"/>
      <c r="C177" s="197" t="s">
        <v>1849</v>
      </c>
      <c r="D177" s="197" t="s">
        <v>1850</v>
      </c>
      <c r="E177" s="165" t="s">
        <v>1850</v>
      </c>
      <c r="F177" s="197" t="str">
        <f t="shared" si="48"/>
        <v>unused_SDMMC3_DAT1</v>
      </c>
      <c r="G177" s="198" t="s">
        <v>932</v>
      </c>
      <c r="H177" s="360" t="s">
        <v>3499</v>
      </c>
      <c r="I177" s="360" t="s">
        <v>3063</v>
      </c>
      <c r="J177" s="197" t="s">
        <v>601</v>
      </c>
      <c r="K177" s="360" t="s">
        <v>3077</v>
      </c>
      <c r="L177" s="198" t="s">
        <v>2062</v>
      </c>
      <c r="M177" s="197" t="s">
        <v>254</v>
      </c>
      <c r="N177" s="197" t="s">
        <v>2062</v>
      </c>
      <c r="O177" s="197" t="s">
        <v>255</v>
      </c>
      <c r="P177" s="197">
        <v>3</v>
      </c>
      <c r="Q177" s="198" t="s">
        <v>596</v>
      </c>
      <c r="R177" s="197" t="s">
        <v>585</v>
      </c>
      <c r="S177" s="197">
        <v>15</v>
      </c>
      <c r="T177" s="197" t="s">
        <v>597</v>
      </c>
      <c r="U177" s="198">
        <v>2</v>
      </c>
      <c r="V177" s="199">
        <v>1</v>
      </c>
      <c r="W177" s="199">
        <v>1</v>
      </c>
      <c r="X177" s="199" t="s">
        <v>300</v>
      </c>
      <c r="Y177" s="200" t="s">
        <v>301</v>
      </c>
      <c r="Z177" s="200" t="s">
        <v>301</v>
      </c>
      <c r="AA177" s="233" t="str">
        <f t="shared" si="49"/>
        <v>Unused</v>
      </c>
      <c r="AB177" s="234" t="str">
        <f t="shared" si="50"/>
        <v>Unused</v>
      </c>
      <c r="AC177" s="234" t="str">
        <f t="shared" si="56"/>
        <v>No</v>
      </c>
      <c r="AD177" s="234" t="str">
        <f t="shared" si="51"/>
        <v>ENABLE</v>
      </c>
      <c r="AE177" s="234" t="str">
        <f t="shared" si="55"/>
        <v>DISABLE</v>
      </c>
      <c r="AF177" s="234" t="str">
        <f t="shared" si="52"/>
        <v>NORMAL</v>
      </c>
      <c r="AG177" s="248"/>
      <c r="AH177" s="234" t="str">
        <f t="shared" si="53"/>
        <v>TRISTATE</v>
      </c>
      <c r="AI177" s="234" t="str">
        <f t="shared" si="54"/>
        <v>HIGH</v>
      </c>
      <c r="AJ177" s="182" t="s">
        <v>3703</v>
      </c>
      <c r="AK177" s="149" t="s">
        <v>2926</v>
      </c>
      <c r="AL177" s="153"/>
      <c r="AM177" s="168"/>
      <c r="AN177" s="152"/>
      <c r="AO177" s="152"/>
      <c r="AP177" s="153"/>
      <c r="AQ177" s="386"/>
      <c r="AR177" s="6" t="s">
        <v>601</v>
      </c>
      <c r="AS177" s="379"/>
      <c r="AT177" s="282" t="s">
        <v>601</v>
      </c>
      <c r="AU177" s="372"/>
      <c r="AV177" s="379"/>
    </row>
    <row r="178" spans="1:48" ht="12.95" customHeight="1" x14ac:dyDescent="0.25">
      <c r="A178" s="197" t="s">
        <v>166</v>
      </c>
      <c r="B178" s="271"/>
      <c r="C178" s="197" t="s">
        <v>1851</v>
      </c>
      <c r="D178" s="197" t="s">
        <v>1852</v>
      </c>
      <c r="E178" s="165" t="s">
        <v>1852</v>
      </c>
      <c r="F178" s="197" t="str">
        <f t="shared" si="48"/>
        <v>unused_SDMMC3_DAT2</v>
      </c>
      <c r="G178" s="198" t="s">
        <v>933</v>
      </c>
      <c r="H178" s="360" t="s">
        <v>3499</v>
      </c>
      <c r="I178" s="197" t="s">
        <v>450</v>
      </c>
      <c r="J178" s="197" t="s">
        <v>602</v>
      </c>
      <c r="K178" s="360" t="s">
        <v>3077</v>
      </c>
      <c r="L178" s="198" t="s">
        <v>2062</v>
      </c>
      <c r="M178" s="197" t="s">
        <v>270</v>
      </c>
      <c r="N178" s="197" t="s">
        <v>2062</v>
      </c>
      <c r="O178" s="197" t="s">
        <v>255</v>
      </c>
      <c r="P178" s="197"/>
      <c r="Q178" s="198" t="s">
        <v>596</v>
      </c>
      <c r="R178" s="197" t="s">
        <v>585</v>
      </c>
      <c r="S178" s="197">
        <v>15</v>
      </c>
      <c r="T178" s="197" t="s">
        <v>597</v>
      </c>
      <c r="U178" s="198">
        <v>2</v>
      </c>
      <c r="V178" s="199">
        <v>1</v>
      </c>
      <c r="W178" s="199">
        <v>1</v>
      </c>
      <c r="X178" s="199" t="s">
        <v>300</v>
      </c>
      <c r="Y178" s="200" t="s">
        <v>301</v>
      </c>
      <c r="Z178" s="200" t="s">
        <v>301</v>
      </c>
      <c r="AA178" s="233" t="str">
        <f t="shared" si="49"/>
        <v>Unused</v>
      </c>
      <c r="AB178" s="234" t="str">
        <f t="shared" si="50"/>
        <v>Unused</v>
      </c>
      <c r="AC178" s="234" t="str">
        <f t="shared" si="56"/>
        <v>No</v>
      </c>
      <c r="AD178" s="234" t="str">
        <f t="shared" si="51"/>
        <v>ENABLE</v>
      </c>
      <c r="AE178" s="234" t="str">
        <f t="shared" si="55"/>
        <v>DISABLE</v>
      </c>
      <c r="AF178" s="234" t="str">
        <f t="shared" si="52"/>
        <v>NORMAL</v>
      </c>
      <c r="AG178" s="248"/>
      <c r="AH178" s="234" t="str">
        <f t="shared" si="53"/>
        <v>TRISTATE</v>
      </c>
      <c r="AI178" s="234" t="str">
        <f t="shared" si="54"/>
        <v>HIGH</v>
      </c>
      <c r="AJ178" s="182" t="s">
        <v>3704</v>
      </c>
      <c r="AK178" s="149" t="s">
        <v>2926</v>
      </c>
      <c r="AL178" s="153"/>
      <c r="AM178" s="258"/>
      <c r="AN178" s="152"/>
      <c r="AO178" s="152"/>
      <c r="AP178" s="153"/>
      <c r="AQ178" s="386"/>
      <c r="AR178" s="6" t="s">
        <v>602</v>
      </c>
      <c r="AS178" s="379"/>
      <c r="AT178" s="282" t="s">
        <v>602</v>
      </c>
      <c r="AU178" s="372"/>
      <c r="AV178" s="379"/>
    </row>
    <row r="179" spans="1:48" ht="12.95" customHeight="1" thickBot="1" x14ac:dyDescent="0.3">
      <c r="A179" s="197" t="s">
        <v>167</v>
      </c>
      <c r="B179" s="271"/>
      <c r="C179" s="197" t="s">
        <v>1853</v>
      </c>
      <c r="D179" s="197" t="s">
        <v>1854</v>
      </c>
      <c r="E179" s="165" t="s">
        <v>1854</v>
      </c>
      <c r="F179" s="197" t="str">
        <f t="shared" si="48"/>
        <v>unused_SDMMC3_DAT3</v>
      </c>
      <c r="G179" s="198" t="s">
        <v>934</v>
      </c>
      <c r="H179" s="360" t="s">
        <v>3499</v>
      </c>
      <c r="I179" s="197" t="s">
        <v>447</v>
      </c>
      <c r="J179" s="197" t="s">
        <v>603</v>
      </c>
      <c r="K179" s="360" t="s">
        <v>3077</v>
      </c>
      <c r="L179" s="198" t="s">
        <v>2062</v>
      </c>
      <c r="M179" s="197" t="s">
        <v>270</v>
      </c>
      <c r="N179" s="197" t="s">
        <v>2062</v>
      </c>
      <c r="O179" s="197" t="s">
        <v>255</v>
      </c>
      <c r="P179" s="197" t="s">
        <v>253</v>
      </c>
      <c r="Q179" s="198" t="s">
        <v>596</v>
      </c>
      <c r="R179" s="197" t="s">
        <v>585</v>
      </c>
      <c r="S179" s="197">
        <v>15</v>
      </c>
      <c r="T179" s="197" t="s">
        <v>597</v>
      </c>
      <c r="U179" s="198">
        <v>2</v>
      </c>
      <c r="V179" s="199">
        <v>1</v>
      </c>
      <c r="W179" s="199">
        <v>1</v>
      </c>
      <c r="X179" s="199" t="s">
        <v>300</v>
      </c>
      <c r="Y179" s="200" t="s">
        <v>301</v>
      </c>
      <c r="Z179" s="200" t="s">
        <v>301</v>
      </c>
      <c r="AA179" s="233" t="str">
        <f t="shared" si="49"/>
        <v>Unused</v>
      </c>
      <c r="AB179" s="234" t="str">
        <f t="shared" si="50"/>
        <v>Unused</v>
      </c>
      <c r="AC179" s="234" t="str">
        <f t="shared" si="56"/>
        <v>No</v>
      </c>
      <c r="AD179" s="234" t="str">
        <f t="shared" si="51"/>
        <v>ENABLE</v>
      </c>
      <c r="AE179" s="234" t="str">
        <f t="shared" si="55"/>
        <v>DISABLE</v>
      </c>
      <c r="AF179" s="234" t="str">
        <f t="shared" si="52"/>
        <v>NORMAL</v>
      </c>
      <c r="AG179" s="248"/>
      <c r="AH179" s="234" t="str">
        <f t="shared" si="53"/>
        <v>TRISTATE</v>
      </c>
      <c r="AI179" s="234" t="str">
        <f t="shared" si="54"/>
        <v>HIGH</v>
      </c>
      <c r="AJ179" s="182" t="s">
        <v>3705</v>
      </c>
      <c r="AK179" s="149" t="s">
        <v>2926</v>
      </c>
      <c r="AL179" s="153"/>
      <c r="AM179" s="256"/>
      <c r="AN179" s="152"/>
      <c r="AO179" s="152"/>
      <c r="AP179" s="153"/>
      <c r="AQ179" s="387"/>
      <c r="AR179" s="6" t="s">
        <v>603</v>
      </c>
      <c r="AS179" s="379"/>
      <c r="AT179" s="282" t="s">
        <v>603</v>
      </c>
      <c r="AU179" s="373"/>
      <c r="AV179" s="379"/>
    </row>
    <row r="180" spans="1:48" ht="12.95" customHeight="1" thickBot="1" x14ac:dyDescent="0.3">
      <c r="A180" s="197" t="s">
        <v>168</v>
      </c>
      <c r="B180" s="271"/>
      <c r="C180" s="197" t="s">
        <v>1855</v>
      </c>
      <c r="D180" s="197" t="s">
        <v>1856</v>
      </c>
      <c r="E180" s="165" t="s">
        <v>1856</v>
      </c>
      <c r="F180" s="197" t="str">
        <f t="shared" si="48"/>
        <v>unused_SDMMC3_DAT4</v>
      </c>
      <c r="G180" s="198" t="s">
        <v>935</v>
      </c>
      <c r="H180" s="197" t="s">
        <v>450</v>
      </c>
      <c r="I180" s="360" t="s">
        <v>3077</v>
      </c>
      <c r="J180" s="197" t="s">
        <v>604</v>
      </c>
      <c r="K180" s="360" t="s">
        <v>3077</v>
      </c>
      <c r="L180" s="198" t="s">
        <v>2062</v>
      </c>
      <c r="M180" s="197" t="s">
        <v>270</v>
      </c>
      <c r="N180" s="197" t="s">
        <v>2062</v>
      </c>
      <c r="O180" s="197" t="s">
        <v>255</v>
      </c>
      <c r="P180" s="197" t="s">
        <v>253</v>
      </c>
      <c r="Q180" s="198" t="s">
        <v>596</v>
      </c>
      <c r="R180" s="197" t="s">
        <v>585</v>
      </c>
      <c r="S180" s="197">
        <v>15</v>
      </c>
      <c r="T180" s="197" t="s">
        <v>605</v>
      </c>
      <c r="U180" s="198">
        <v>2</v>
      </c>
      <c r="V180" s="199">
        <v>1</v>
      </c>
      <c r="W180" s="199">
        <v>1</v>
      </c>
      <c r="X180" s="199" t="s">
        <v>300</v>
      </c>
      <c r="Y180" s="200" t="s">
        <v>301</v>
      </c>
      <c r="Z180" s="200" t="s">
        <v>301</v>
      </c>
      <c r="AA180" s="233" t="str">
        <f t="shared" si="49"/>
        <v>Unused</v>
      </c>
      <c r="AB180" s="234" t="str">
        <f t="shared" si="50"/>
        <v>Unused</v>
      </c>
      <c r="AC180" s="234" t="str">
        <f t="shared" si="56"/>
        <v>No</v>
      </c>
      <c r="AD180" s="234" t="str">
        <f t="shared" si="51"/>
        <v>ENABLE</v>
      </c>
      <c r="AE180" s="234" t="str">
        <f t="shared" si="55"/>
        <v>DISABLE</v>
      </c>
      <c r="AF180" s="234" t="str">
        <f t="shared" si="52"/>
        <v>NORMAL</v>
      </c>
      <c r="AG180" s="248"/>
      <c r="AH180" s="234" t="str">
        <f t="shared" si="53"/>
        <v>TRISTATE</v>
      </c>
      <c r="AI180" s="234" t="str">
        <f t="shared" si="54"/>
        <v>HIGH</v>
      </c>
      <c r="AJ180" s="182" t="s">
        <v>1096</v>
      </c>
      <c r="AK180" s="149" t="s">
        <v>2926</v>
      </c>
      <c r="AL180" s="153"/>
      <c r="AM180" s="256"/>
      <c r="AN180" s="152"/>
      <c r="AO180" s="152"/>
      <c r="AP180" s="153"/>
      <c r="AQ180" s="356" t="s">
        <v>1192</v>
      </c>
      <c r="AR180" s="6" t="s">
        <v>1096</v>
      </c>
      <c r="AS180" s="47" t="s">
        <v>1192</v>
      </c>
      <c r="AT180" s="282" t="s">
        <v>935</v>
      </c>
      <c r="AU180" s="47" t="s">
        <v>1192</v>
      </c>
      <c r="AV180" s="47" t="s">
        <v>2465</v>
      </c>
    </row>
    <row r="181" spans="1:48" ht="12.95" customHeight="1" thickBot="1" x14ac:dyDescent="0.3">
      <c r="A181" s="197" t="s">
        <v>169</v>
      </c>
      <c r="B181" s="271"/>
      <c r="C181" s="197" t="s">
        <v>1857</v>
      </c>
      <c r="D181" s="197" t="s">
        <v>1858</v>
      </c>
      <c r="E181" s="165" t="s">
        <v>1858</v>
      </c>
      <c r="F181" s="197" t="str">
        <f t="shared" si="48"/>
        <v>unused_SDMMC3_DAT5</v>
      </c>
      <c r="G181" s="198" t="s">
        <v>936</v>
      </c>
      <c r="H181" s="197" t="s">
        <v>447</v>
      </c>
      <c r="I181" s="360" t="s">
        <v>3077</v>
      </c>
      <c r="J181" s="197" t="s">
        <v>606</v>
      </c>
      <c r="K181" s="360" t="s">
        <v>3077</v>
      </c>
      <c r="L181" s="198" t="s">
        <v>2062</v>
      </c>
      <c r="M181" s="197" t="s">
        <v>270</v>
      </c>
      <c r="N181" s="197" t="s">
        <v>2062</v>
      </c>
      <c r="O181" s="197" t="s">
        <v>255</v>
      </c>
      <c r="P181" s="197" t="s">
        <v>253</v>
      </c>
      <c r="Q181" s="198" t="s">
        <v>596</v>
      </c>
      <c r="R181" s="197" t="s">
        <v>585</v>
      </c>
      <c r="S181" s="197">
        <v>15</v>
      </c>
      <c r="T181" s="197" t="s">
        <v>605</v>
      </c>
      <c r="U181" s="198">
        <v>2</v>
      </c>
      <c r="V181" s="199">
        <v>1</v>
      </c>
      <c r="W181" s="199">
        <v>1</v>
      </c>
      <c r="X181" s="199" t="s">
        <v>300</v>
      </c>
      <c r="Y181" s="200" t="s">
        <v>301</v>
      </c>
      <c r="Z181" s="200" t="s">
        <v>301</v>
      </c>
      <c r="AA181" s="233" t="str">
        <f t="shared" si="49"/>
        <v>Unused</v>
      </c>
      <c r="AB181" s="234" t="str">
        <f t="shared" si="50"/>
        <v>Unused</v>
      </c>
      <c r="AC181" s="234" t="str">
        <f t="shared" si="56"/>
        <v>No</v>
      </c>
      <c r="AD181" s="234" t="str">
        <f t="shared" si="51"/>
        <v>ENABLE</v>
      </c>
      <c r="AE181" s="234" t="str">
        <f t="shared" si="55"/>
        <v>DISABLE</v>
      </c>
      <c r="AF181" s="234" t="str">
        <f t="shared" si="52"/>
        <v>NORMAL</v>
      </c>
      <c r="AG181" s="248"/>
      <c r="AH181" s="234" t="str">
        <f t="shared" si="53"/>
        <v>TRISTATE</v>
      </c>
      <c r="AI181" s="234" t="str">
        <f t="shared" si="54"/>
        <v>LOW</v>
      </c>
      <c r="AJ181" s="182" t="s">
        <v>1097</v>
      </c>
      <c r="AK181" s="149" t="s">
        <v>2926</v>
      </c>
      <c r="AL181" s="153"/>
      <c r="AM181" s="256"/>
      <c r="AN181" s="152"/>
      <c r="AO181" s="152"/>
      <c r="AP181" s="153"/>
      <c r="AQ181" s="356" t="s">
        <v>1193</v>
      </c>
      <c r="AR181" s="6" t="s">
        <v>1097</v>
      </c>
      <c r="AS181" s="47" t="s">
        <v>1193</v>
      </c>
      <c r="AT181" s="282" t="s">
        <v>936</v>
      </c>
      <c r="AU181" s="104"/>
      <c r="AV181" s="47" t="s">
        <v>1193</v>
      </c>
    </row>
    <row r="182" spans="1:48" ht="12.95" customHeight="1" thickBot="1" x14ac:dyDescent="0.3">
      <c r="A182" s="197" t="s">
        <v>170</v>
      </c>
      <c r="B182" s="271"/>
      <c r="C182" s="197" t="s">
        <v>1859</v>
      </c>
      <c r="D182" s="197" t="s">
        <v>1860</v>
      </c>
      <c r="E182" s="165" t="s">
        <v>1860</v>
      </c>
      <c r="F182" s="197" t="str">
        <f t="shared" si="48"/>
        <v>unused_SDMMC3_DAT6</v>
      </c>
      <c r="G182" s="198" t="s">
        <v>937</v>
      </c>
      <c r="H182" s="197" t="s">
        <v>607</v>
      </c>
      <c r="I182" s="360" t="s">
        <v>3077</v>
      </c>
      <c r="J182" s="197" t="s">
        <v>608</v>
      </c>
      <c r="K182" s="360" t="s">
        <v>3077</v>
      </c>
      <c r="L182" s="198" t="s">
        <v>2062</v>
      </c>
      <c r="M182" s="197" t="s">
        <v>270</v>
      </c>
      <c r="N182" s="197" t="s">
        <v>2062</v>
      </c>
      <c r="O182" s="197" t="s">
        <v>255</v>
      </c>
      <c r="P182" s="197" t="s">
        <v>253</v>
      </c>
      <c r="Q182" s="198" t="s">
        <v>596</v>
      </c>
      <c r="R182" s="197" t="s">
        <v>585</v>
      </c>
      <c r="S182" s="197">
        <v>15</v>
      </c>
      <c r="T182" s="197" t="s">
        <v>605</v>
      </c>
      <c r="U182" s="198">
        <v>2</v>
      </c>
      <c r="V182" s="199">
        <v>1</v>
      </c>
      <c r="W182" s="199">
        <v>1</v>
      </c>
      <c r="X182" s="199" t="s">
        <v>300</v>
      </c>
      <c r="Y182" s="200" t="s">
        <v>301</v>
      </c>
      <c r="Z182" s="200" t="s">
        <v>301</v>
      </c>
      <c r="AA182" s="233" t="str">
        <f t="shared" si="49"/>
        <v>Unused</v>
      </c>
      <c r="AB182" s="234" t="str">
        <f t="shared" si="50"/>
        <v>Unused</v>
      </c>
      <c r="AC182" s="234" t="str">
        <f t="shared" si="56"/>
        <v>No</v>
      </c>
      <c r="AD182" s="234" t="str">
        <f t="shared" si="51"/>
        <v>ENABLE</v>
      </c>
      <c r="AE182" s="234" t="str">
        <f t="shared" si="55"/>
        <v>DISABLE</v>
      </c>
      <c r="AF182" s="234" t="str">
        <f t="shared" si="52"/>
        <v>NORMAL</v>
      </c>
      <c r="AG182" s="248"/>
      <c r="AH182" s="234" t="str">
        <f t="shared" si="53"/>
        <v>TRISTATE</v>
      </c>
      <c r="AI182" s="234" t="str">
        <f t="shared" si="54"/>
        <v>HIGH</v>
      </c>
      <c r="AJ182" s="182" t="s">
        <v>1098</v>
      </c>
      <c r="AK182" s="149" t="s">
        <v>2926</v>
      </c>
      <c r="AL182" s="153"/>
      <c r="AM182" s="256"/>
      <c r="AN182" s="152"/>
      <c r="AO182" s="152"/>
      <c r="AP182" s="153"/>
      <c r="AQ182" s="356" t="s">
        <v>3604</v>
      </c>
      <c r="AR182" s="6" t="s">
        <v>1098</v>
      </c>
      <c r="AS182" s="47" t="s">
        <v>2258</v>
      </c>
      <c r="AT182" s="282" t="s">
        <v>937</v>
      </c>
      <c r="AU182" s="47" t="s">
        <v>2258</v>
      </c>
      <c r="AV182" s="47" t="s">
        <v>2258</v>
      </c>
    </row>
    <row r="183" spans="1:48" ht="12.95" customHeight="1" thickBot="1" x14ac:dyDescent="0.3">
      <c r="A183" s="197" t="s">
        <v>171</v>
      </c>
      <c r="B183" s="271"/>
      <c r="C183" s="197" t="s">
        <v>1861</v>
      </c>
      <c r="D183" s="197" t="s">
        <v>1862</v>
      </c>
      <c r="E183" s="165" t="s">
        <v>1862</v>
      </c>
      <c r="F183" s="197" t="str">
        <f t="shared" si="48"/>
        <v>unused_SDMMC3_DAT7</v>
      </c>
      <c r="G183" s="198" t="s">
        <v>938</v>
      </c>
      <c r="H183" s="197" t="s">
        <v>609</v>
      </c>
      <c r="I183" s="360" t="s">
        <v>3077</v>
      </c>
      <c r="J183" s="197" t="s">
        <v>610</v>
      </c>
      <c r="K183" s="360" t="s">
        <v>3077</v>
      </c>
      <c r="L183" s="198" t="s">
        <v>2062</v>
      </c>
      <c r="M183" s="197" t="s">
        <v>270</v>
      </c>
      <c r="N183" s="197" t="s">
        <v>2062</v>
      </c>
      <c r="O183" s="197" t="s">
        <v>255</v>
      </c>
      <c r="P183" s="197" t="s">
        <v>253</v>
      </c>
      <c r="Q183" s="198" t="s">
        <v>596</v>
      </c>
      <c r="R183" s="197" t="s">
        <v>585</v>
      </c>
      <c r="S183" s="197">
        <v>15</v>
      </c>
      <c r="T183" s="197" t="s">
        <v>605</v>
      </c>
      <c r="U183" s="198">
        <v>2</v>
      </c>
      <c r="V183" s="199">
        <v>1</v>
      </c>
      <c r="W183" s="199">
        <v>1</v>
      </c>
      <c r="X183" s="199" t="s">
        <v>300</v>
      </c>
      <c r="Y183" s="200" t="s">
        <v>301</v>
      </c>
      <c r="Z183" s="200" t="s">
        <v>301</v>
      </c>
      <c r="AA183" s="233" t="str">
        <f t="shared" si="49"/>
        <v>Unused</v>
      </c>
      <c r="AB183" s="234" t="str">
        <f t="shared" si="50"/>
        <v>Unused</v>
      </c>
      <c r="AC183" s="234" t="str">
        <f t="shared" si="56"/>
        <v>No</v>
      </c>
      <c r="AD183" s="234" t="str">
        <f t="shared" si="51"/>
        <v>ENABLE</v>
      </c>
      <c r="AE183" s="234" t="str">
        <f t="shared" si="55"/>
        <v>DISABLE</v>
      </c>
      <c r="AF183" s="234" t="str">
        <f t="shared" si="52"/>
        <v>NORMAL</v>
      </c>
      <c r="AG183" s="248"/>
      <c r="AH183" s="234" t="str">
        <f t="shared" si="53"/>
        <v>TRISTATE</v>
      </c>
      <c r="AI183" s="234" t="str">
        <f t="shared" si="54"/>
        <v>HIGH</v>
      </c>
      <c r="AJ183" s="182" t="s">
        <v>1099</v>
      </c>
      <c r="AK183" s="149" t="s">
        <v>2926</v>
      </c>
      <c r="AL183" s="153"/>
      <c r="AM183" s="256"/>
      <c r="AN183" s="152"/>
      <c r="AO183" s="152"/>
      <c r="AP183" s="153"/>
      <c r="AQ183" s="356" t="s">
        <v>1194</v>
      </c>
      <c r="AR183" s="6" t="s">
        <v>1099</v>
      </c>
      <c r="AS183" s="47" t="s">
        <v>1194</v>
      </c>
      <c r="AT183" s="282" t="s">
        <v>938</v>
      </c>
      <c r="AU183" s="47" t="s">
        <v>1194</v>
      </c>
      <c r="AV183" s="47" t="s">
        <v>1194</v>
      </c>
    </row>
    <row r="184" spans="1:48" ht="12.95" customHeight="1" thickBot="1" x14ac:dyDescent="0.3">
      <c r="A184" s="197" t="s">
        <v>2314</v>
      </c>
      <c r="B184" s="271"/>
      <c r="C184" s="197" t="s">
        <v>2316</v>
      </c>
      <c r="D184" s="197" t="s">
        <v>2317</v>
      </c>
      <c r="E184" s="165" t="s">
        <v>2317</v>
      </c>
      <c r="F184" s="197" t="str">
        <f>CONCATENATE("unused_",A184)</f>
        <v>unused_SDMMC3_COMP_PD</v>
      </c>
      <c r="G184" s="198"/>
      <c r="H184" s="197" t="s">
        <v>2314</v>
      </c>
      <c r="I184" s="197"/>
      <c r="J184" s="197"/>
      <c r="K184" s="197"/>
      <c r="L184" s="198"/>
      <c r="M184" s="197"/>
      <c r="N184" s="197"/>
      <c r="O184" s="197"/>
      <c r="P184" s="197"/>
      <c r="Q184" s="198"/>
      <c r="R184" s="197"/>
      <c r="S184" s="197"/>
      <c r="T184" s="197"/>
      <c r="U184" s="198"/>
      <c r="V184" s="199"/>
      <c r="W184" s="199"/>
      <c r="X184" s="199"/>
      <c r="Y184" s="200"/>
      <c r="Z184" s="200"/>
      <c r="AA184" s="253"/>
      <c r="AB184" s="248"/>
      <c r="AC184" s="248"/>
      <c r="AD184" s="248"/>
      <c r="AE184" s="248"/>
      <c r="AF184" s="248"/>
      <c r="AG184" s="248"/>
      <c r="AH184" s="248"/>
      <c r="AI184" s="245"/>
      <c r="AJ184" s="182" t="s">
        <v>3541</v>
      </c>
      <c r="AK184" s="256"/>
      <c r="AL184" s="256"/>
      <c r="AM184" s="256"/>
      <c r="AN184" s="256"/>
      <c r="AO184" s="256"/>
      <c r="AP184" s="256"/>
      <c r="AQ184" s="345"/>
      <c r="AR184" s="6" t="s">
        <v>2314</v>
      </c>
      <c r="AS184" s="371" t="s">
        <v>1191</v>
      </c>
      <c r="AT184" s="295" t="s">
        <v>2314</v>
      </c>
      <c r="AU184" s="371" t="s">
        <v>2436</v>
      </c>
      <c r="AV184" s="371" t="s">
        <v>2436</v>
      </c>
    </row>
    <row r="185" spans="1:48" ht="12.95" customHeight="1" thickBot="1" x14ac:dyDescent="0.3">
      <c r="A185" s="197" t="s">
        <v>2315</v>
      </c>
      <c r="B185" s="271"/>
      <c r="C185" s="197" t="s">
        <v>2011</v>
      </c>
      <c r="D185" s="197" t="s">
        <v>2318</v>
      </c>
      <c r="E185" s="165" t="s">
        <v>2318</v>
      </c>
      <c r="F185" s="197" t="str">
        <f>CONCATENATE("unused_",A185)</f>
        <v>unused_SDMMC3_COMP_PU</v>
      </c>
      <c r="G185" s="198"/>
      <c r="H185" s="197" t="s">
        <v>2315</v>
      </c>
      <c r="I185" s="197"/>
      <c r="J185" s="197"/>
      <c r="K185" s="197"/>
      <c r="L185" s="198"/>
      <c r="M185" s="197"/>
      <c r="N185" s="197"/>
      <c r="O185" s="197"/>
      <c r="P185" s="197"/>
      <c r="Q185" s="198"/>
      <c r="R185" s="197"/>
      <c r="S185" s="197"/>
      <c r="T185" s="197"/>
      <c r="U185" s="198"/>
      <c r="V185" s="199"/>
      <c r="W185" s="199"/>
      <c r="X185" s="199"/>
      <c r="Y185" s="200"/>
      <c r="Z185" s="200"/>
      <c r="AA185" s="253"/>
      <c r="AB185" s="248"/>
      <c r="AC185" s="248"/>
      <c r="AD185" s="248"/>
      <c r="AE185" s="248"/>
      <c r="AF185" s="248"/>
      <c r="AG185" s="248"/>
      <c r="AH185" s="248"/>
      <c r="AI185" s="245"/>
      <c r="AJ185" s="193" t="s">
        <v>3542</v>
      </c>
      <c r="AK185" s="256"/>
      <c r="AL185" s="256"/>
      <c r="AM185" s="256"/>
      <c r="AN185" s="256"/>
      <c r="AO185" s="256"/>
      <c r="AP185" s="256"/>
      <c r="AQ185" s="345"/>
      <c r="AR185" s="6" t="s">
        <v>2315</v>
      </c>
      <c r="AS185" s="373"/>
      <c r="AT185" s="295" t="s">
        <v>2315</v>
      </c>
      <c r="AU185" s="373"/>
      <c r="AV185" s="373"/>
    </row>
    <row r="186" spans="1:48" s="24" customFormat="1" ht="18" customHeight="1" thickBot="1" x14ac:dyDescent="0.3">
      <c r="A186" s="160" t="s">
        <v>1238</v>
      </c>
      <c r="B186" s="272"/>
      <c r="C186" s="160"/>
      <c r="D186" s="160"/>
      <c r="E186" s="215"/>
      <c r="F186" s="160"/>
      <c r="G186" s="201"/>
      <c r="H186" s="160"/>
      <c r="I186" s="160"/>
      <c r="J186" s="160"/>
      <c r="K186" s="160"/>
      <c r="L186" s="201"/>
      <c r="M186" s="160"/>
      <c r="N186" s="160"/>
      <c r="O186" s="160"/>
      <c r="P186" s="160"/>
      <c r="Q186" s="201"/>
      <c r="R186" s="160"/>
      <c r="S186" s="160"/>
      <c r="T186" s="160"/>
      <c r="U186" s="201"/>
      <c r="V186" s="160"/>
      <c r="W186" s="160"/>
      <c r="X186" s="160"/>
      <c r="Y186" s="202"/>
      <c r="Z186" s="202"/>
      <c r="AA186" s="235"/>
      <c r="AB186" s="236"/>
      <c r="AC186" s="236"/>
      <c r="AD186" s="236"/>
      <c r="AE186" s="236"/>
      <c r="AF186" s="236"/>
      <c r="AG186" s="236"/>
      <c r="AH186" s="236"/>
      <c r="AI186" s="237"/>
      <c r="AJ186" s="160"/>
      <c r="AK186" s="35"/>
      <c r="AL186" s="154"/>
      <c r="AM186" s="169"/>
      <c r="AN186" s="154"/>
      <c r="AO186" s="154"/>
      <c r="AP186" s="154"/>
      <c r="AQ186" s="45"/>
      <c r="AR186" s="277"/>
      <c r="AS186" s="45"/>
      <c r="AT186" s="284"/>
      <c r="AU186" s="45"/>
      <c r="AV186" s="45"/>
    </row>
    <row r="187" spans="1:48" ht="12.95" customHeight="1" x14ac:dyDescent="0.25">
      <c r="A187" s="197" t="s">
        <v>172</v>
      </c>
      <c r="B187" s="271"/>
      <c r="C187" s="197" t="s">
        <v>1863</v>
      </c>
      <c r="D187" s="197" t="s">
        <v>1696</v>
      </c>
      <c r="E187" s="165" t="s">
        <v>1696</v>
      </c>
      <c r="F187" s="197" t="str">
        <f t="shared" ref="F187:F197" si="57">CONCATENATE("unused_",A187)</f>
        <v>unused_SDMMC4_CLK</v>
      </c>
      <c r="G187" s="198" t="s">
        <v>939</v>
      </c>
      <c r="H187" s="360" t="s">
        <v>3077</v>
      </c>
      <c r="I187" s="197" t="s">
        <v>2204</v>
      </c>
      <c r="J187" s="197" t="s">
        <v>2205</v>
      </c>
      <c r="K187" s="197" t="s">
        <v>611</v>
      </c>
      <c r="L187" s="198" t="s">
        <v>2062</v>
      </c>
      <c r="M187" s="197" t="s">
        <v>270</v>
      </c>
      <c r="N187" s="197" t="s">
        <v>270</v>
      </c>
      <c r="O187" s="197" t="s">
        <v>263</v>
      </c>
      <c r="P187" s="197" t="s">
        <v>253</v>
      </c>
      <c r="Q187" s="198" t="s">
        <v>612</v>
      </c>
      <c r="R187" s="197" t="s">
        <v>613</v>
      </c>
      <c r="S187" s="197">
        <v>15</v>
      </c>
      <c r="T187" s="197" t="s">
        <v>614</v>
      </c>
      <c r="U187" s="198">
        <v>0</v>
      </c>
      <c r="V187" s="199">
        <v>0</v>
      </c>
      <c r="W187" s="199">
        <v>1</v>
      </c>
      <c r="X187" s="199" t="s">
        <v>300</v>
      </c>
      <c r="Y187" s="200" t="s">
        <v>301</v>
      </c>
      <c r="Z187" s="200" t="s">
        <v>301</v>
      </c>
      <c r="AA187" s="233" t="str">
        <f t="shared" ref="AA187:AA197" si="58">IF((AJ187=H187),0,IF((AJ187=I187),1,IF((AJ187=J187),2,IF((AJ187=K187),3,IF((AJ187=G187),"GPIO",IF((AJ187=F187),"Unused"))))))</f>
        <v>Unused</v>
      </c>
      <c r="AB187" s="234" t="str">
        <f t="shared" ref="AB187:AB197" si="59">IF((OR($AA187=0,$AA187=1,$AA187=2,$AA187=3)),"SFIO",IF(($AA187="GPIO"),"GPIO","Unused"))</f>
        <v>Unused</v>
      </c>
      <c r="AC187" s="248"/>
      <c r="AD187" s="234" t="str">
        <f t="shared" ref="AD187:AD199" si="60">IF(($AB187="Unused"), "ENABLE", IF((OR($AK187="Bidir",$AK187="Out")), "NORMAL", IF((OR($AK187="IN",AL187="Z", AL187="Int PU",AL187="Int PD")),"ENABLE","NORMAL")))</f>
        <v>ENABLE</v>
      </c>
      <c r="AE187" s="234" t="str">
        <f>IF((OR($AB187="Unused",$AK187="OUT")),"DISABLE","ENABLE")</f>
        <v>DISABLE</v>
      </c>
      <c r="AF187" s="234" t="str">
        <f t="shared" ref="AF187:AF199" si="61">IF((OR((AND($AC187="Yes",$AN187="",OR($AK187="In",$AK187="Bidir"))),($AL187="Int PU"))),"PULL_UP",IF(($AL187="Int PD"),"PULL_DOWN",IF((OR($AB187="Unused",$AL187="Drive 1",$AL187="Drive 0",$AL187="Z",$AL187="na",$AL187="",$AN187&lt;&gt;"",$AO187&lt;&gt;"")),"NORMAL")))</f>
        <v>NORMAL</v>
      </c>
      <c r="AG187" s="248"/>
      <c r="AH187" s="234" t="str">
        <f t="shared" ref="AH187:AH197" si="62">IF((AND($AB187="GPIO",$AK187="Out")),"DRIVEN",IF((AND($AB187="GPIO",$AK187="Bidir")),"DRIVEN","TRISTATE"))</f>
        <v>TRISTATE</v>
      </c>
      <c r="AI187" s="234" t="str">
        <f t="shared" ref="AI187:AI197" si="63">IF((OR($AL187="Drive 0")),"LOW","HIGH")</f>
        <v>HIGH</v>
      </c>
      <c r="AJ187" s="182" t="s">
        <v>3706</v>
      </c>
      <c r="AK187" s="149" t="s">
        <v>2926</v>
      </c>
      <c r="AL187" s="153"/>
      <c r="AM187" s="256"/>
      <c r="AN187" s="152"/>
      <c r="AO187" s="152"/>
      <c r="AP187" s="153"/>
      <c r="AQ187" s="385" t="s">
        <v>1195</v>
      </c>
      <c r="AR187" s="6" t="s">
        <v>611</v>
      </c>
      <c r="AS187" s="379" t="s">
        <v>1195</v>
      </c>
      <c r="AT187" s="281" t="s">
        <v>611</v>
      </c>
      <c r="AU187" s="371" t="s">
        <v>1195</v>
      </c>
      <c r="AV187" s="379" t="s">
        <v>1195</v>
      </c>
    </row>
    <row r="188" spans="1:48" ht="12.95" customHeight="1" x14ac:dyDescent="0.25">
      <c r="A188" s="197" t="s">
        <v>173</v>
      </c>
      <c r="B188" s="271"/>
      <c r="C188" s="197" t="s">
        <v>1864</v>
      </c>
      <c r="D188" s="197" t="s">
        <v>1865</v>
      </c>
      <c r="E188" s="165" t="s">
        <v>1865</v>
      </c>
      <c r="F188" s="197" t="str">
        <f t="shared" si="57"/>
        <v>unused_SDMMC4_CMD</v>
      </c>
      <c r="G188" s="198" t="s">
        <v>940</v>
      </c>
      <c r="H188" s="197" t="s">
        <v>1041</v>
      </c>
      <c r="I188" s="197" t="s">
        <v>455</v>
      </c>
      <c r="J188" s="197" t="s">
        <v>615</v>
      </c>
      <c r="K188" s="197" t="s">
        <v>616</v>
      </c>
      <c r="L188" s="198" t="s">
        <v>2062</v>
      </c>
      <c r="M188" s="197" t="s">
        <v>270</v>
      </c>
      <c r="N188" s="197" t="s">
        <v>270</v>
      </c>
      <c r="O188" s="197" t="s">
        <v>255</v>
      </c>
      <c r="P188" s="197" t="s">
        <v>253</v>
      </c>
      <c r="Q188" s="198" t="s">
        <v>612</v>
      </c>
      <c r="R188" s="197" t="s">
        <v>613</v>
      </c>
      <c r="S188" s="197">
        <v>15</v>
      </c>
      <c r="T188" s="197" t="s">
        <v>617</v>
      </c>
      <c r="U188" s="198">
        <v>0</v>
      </c>
      <c r="V188" s="199">
        <v>1</v>
      </c>
      <c r="W188" s="199">
        <v>1</v>
      </c>
      <c r="X188" s="199" t="s">
        <v>300</v>
      </c>
      <c r="Y188" s="200" t="s">
        <v>301</v>
      </c>
      <c r="Z188" s="200" t="s">
        <v>301</v>
      </c>
      <c r="AA188" s="233" t="str">
        <f t="shared" si="58"/>
        <v>Unused</v>
      </c>
      <c r="AB188" s="234" t="str">
        <f t="shared" si="59"/>
        <v>Unused</v>
      </c>
      <c r="AC188" s="234" t="str">
        <f t="shared" ref="AC188:AC196" si="64">IF(REPLACE(AJ188,FIND(".",CONCATENATE(REPLACE(AJ188,FIND("-",CONCATENATE(AJ188,"-")),LEN(AJ188),""),".")),LEN(AJ188),"")="SDMMC4","Yes","No")</f>
        <v>No</v>
      </c>
      <c r="AD188" s="234" t="str">
        <f t="shared" si="60"/>
        <v>ENABLE</v>
      </c>
      <c r="AE188" s="234" t="str">
        <f t="shared" ref="AE188:AE197" si="65">IF((OR($AB188="Unused",$AK188="OUT")),"DISABLE","ENABLE")</f>
        <v>DISABLE</v>
      </c>
      <c r="AF188" s="234" t="str">
        <f t="shared" si="61"/>
        <v>NORMAL</v>
      </c>
      <c r="AG188" s="248"/>
      <c r="AH188" s="234" t="str">
        <f t="shared" si="62"/>
        <v>TRISTATE</v>
      </c>
      <c r="AI188" s="234" t="str">
        <f t="shared" si="63"/>
        <v>HIGH</v>
      </c>
      <c r="AJ188" s="182" t="s">
        <v>3707</v>
      </c>
      <c r="AK188" s="149" t="s">
        <v>2926</v>
      </c>
      <c r="AL188" s="153"/>
      <c r="AM188" s="256"/>
      <c r="AN188" s="152"/>
      <c r="AO188" s="152"/>
      <c r="AP188" s="153"/>
      <c r="AQ188" s="386"/>
      <c r="AR188" s="6" t="s">
        <v>616</v>
      </c>
      <c r="AS188" s="379"/>
      <c r="AT188" s="282" t="s">
        <v>616</v>
      </c>
      <c r="AU188" s="372"/>
      <c r="AV188" s="379"/>
    </row>
    <row r="189" spans="1:48" ht="12.95" customHeight="1" x14ac:dyDescent="0.25">
      <c r="A189" s="197" t="s">
        <v>174</v>
      </c>
      <c r="B189" s="271"/>
      <c r="C189" s="197" t="s">
        <v>1866</v>
      </c>
      <c r="D189" s="197" t="s">
        <v>1867</v>
      </c>
      <c r="E189" s="165" t="s">
        <v>1867</v>
      </c>
      <c r="F189" s="197" t="str">
        <f t="shared" si="57"/>
        <v>unused_SDMMC4_DAT0</v>
      </c>
      <c r="G189" s="198" t="s">
        <v>941</v>
      </c>
      <c r="H189" s="197" t="s">
        <v>629</v>
      </c>
      <c r="I189" s="197" t="s">
        <v>618</v>
      </c>
      <c r="J189" s="197" t="s">
        <v>619</v>
      </c>
      <c r="K189" s="197" t="s">
        <v>620</v>
      </c>
      <c r="L189" s="198" t="s">
        <v>2062</v>
      </c>
      <c r="M189" s="197" t="s">
        <v>270</v>
      </c>
      <c r="N189" s="197" t="s">
        <v>270</v>
      </c>
      <c r="O189" s="197" t="s">
        <v>263</v>
      </c>
      <c r="P189" s="197" t="s">
        <v>253</v>
      </c>
      <c r="Q189" s="198" t="s">
        <v>612</v>
      </c>
      <c r="R189" s="197" t="s">
        <v>613</v>
      </c>
      <c r="S189" s="197">
        <v>15</v>
      </c>
      <c r="T189" s="197" t="s">
        <v>621</v>
      </c>
      <c r="U189" s="198">
        <v>2</v>
      </c>
      <c r="V189" s="199">
        <v>0</v>
      </c>
      <c r="W189" s="199">
        <v>1</v>
      </c>
      <c r="X189" s="199" t="s">
        <v>264</v>
      </c>
      <c r="Y189" s="200" t="s">
        <v>265</v>
      </c>
      <c r="Z189" s="200" t="s">
        <v>265</v>
      </c>
      <c r="AA189" s="233" t="str">
        <f t="shared" si="58"/>
        <v>Unused</v>
      </c>
      <c r="AB189" s="234" t="str">
        <f t="shared" si="59"/>
        <v>Unused</v>
      </c>
      <c r="AC189" s="234" t="str">
        <f t="shared" si="64"/>
        <v>No</v>
      </c>
      <c r="AD189" s="234" t="str">
        <f t="shared" si="60"/>
        <v>ENABLE</v>
      </c>
      <c r="AE189" s="234" t="str">
        <f t="shared" si="65"/>
        <v>DISABLE</v>
      </c>
      <c r="AF189" s="234" t="str">
        <f t="shared" si="61"/>
        <v>NORMAL</v>
      </c>
      <c r="AG189" s="248"/>
      <c r="AH189" s="234" t="str">
        <f t="shared" si="62"/>
        <v>TRISTATE</v>
      </c>
      <c r="AI189" s="234" t="str">
        <f t="shared" si="63"/>
        <v>HIGH</v>
      </c>
      <c r="AJ189" s="182" t="s">
        <v>3708</v>
      </c>
      <c r="AK189" s="149" t="s">
        <v>2926</v>
      </c>
      <c r="AL189" s="153"/>
      <c r="AM189" s="256"/>
      <c r="AN189" s="152"/>
      <c r="AO189" s="152"/>
      <c r="AP189" s="153"/>
      <c r="AQ189" s="386"/>
      <c r="AR189" s="6" t="s">
        <v>620</v>
      </c>
      <c r="AS189" s="379"/>
      <c r="AT189" s="282" t="s">
        <v>620</v>
      </c>
      <c r="AU189" s="372"/>
      <c r="AV189" s="379"/>
    </row>
    <row r="190" spans="1:48" ht="12.95" customHeight="1" x14ac:dyDescent="0.25">
      <c r="A190" s="197" t="s">
        <v>175</v>
      </c>
      <c r="B190" s="271"/>
      <c r="C190" s="197" t="s">
        <v>1867</v>
      </c>
      <c r="D190" s="197" t="s">
        <v>1391</v>
      </c>
      <c r="E190" s="165" t="s">
        <v>1391</v>
      </c>
      <c r="F190" s="197" t="str">
        <f t="shared" si="57"/>
        <v>unused_SDMMC4_DAT1</v>
      </c>
      <c r="G190" s="198" t="s">
        <v>942</v>
      </c>
      <c r="H190" s="197" t="s">
        <v>625</v>
      </c>
      <c r="I190" s="197" t="s">
        <v>622</v>
      </c>
      <c r="J190" s="197" t="s">
        <v>623</v>
      </c>
      <c r="K190" s="197" t="s">
        <v>624</v>
      </c>
      <c r="L190" s="198" t="s">
        <v>2062</v>
      </c>
      <c r="M190" s="197" t="s">
        <v>254</v>
      </c>
      <c r="N190" s="197" t="s">
        <v>2062</v>
      </c>
      <c r="O190" s="197" t="s">
        <v>263</v>
      </c>
      <c r="P190" s="197" t="s">
        <v>253</v>
      </c>
      <c r="Q190" s="198" t="s">
        <v>612</v>
      </c>
      <c r="R190" s="197" t="s">
        <v>613</v>
      </c>
      <c r="S190" s="197">
        <v>15</v>
      </c>
      <c r="T190" s="197" t="s">
        <v>621</v>
      </c>
      <c r="U190" s="198">
        <v>2</v>
      </c>
      <c r="V190" s="199">
        <v>0</v>
      </c>
      <c r="W190" s="199">
        <v>1</v>
      </c>
      <c r="X190" s="199" t="s">
        <v>264</v>
      </c>
      <c r="Y190" s="200" t="s">
        <v>265</v>
      </c>
      <c r="Z190" s="200" t="s">
        <v>265</v>
      </c>
      <c r="AA190" s="233" t="str">
        <f t="shared" si="58"/>
        <v>Unused</v>
      </c>
      <c r="AB190" s="234" t="str">
        <f t="shared" si="59"/>
        <v>Unused</v>
      </c>
      <c r="AC190" s="234" t="str">
        <f t="shared" si="64"/>
        <v>No</v>
      </c>
      <c r="AD190" s="234" t="str">
        <f t="shared" si="60"/>
        <v>ENABLE</v>
      </c>
      <c r="AE190" s="234" t="str">
        <f t="shared" si="65"/>
        <v>DISABLE</v>
      </c>
      <c r="AF190" s="234" t="str">
        <f t="shared" si="61"/>
        <v>NORMAL</v>
      </c>
      <c r="AG190" s="248"/>
      <c r="AH190" s="234" t="str">
        <f t="shared" si="62"/>
        <v>TRISTATE</v>
      </c>
      <c r="AI190" s="234" t="str">
        <f t="shared" si="63"/>
        <v>HIGH</v>
      </c>
      <c r="AJ190" s="182" t="s">
        <v>3709</v>
      </c>
      <c r="AK190" s="149" t="s">
        <v>2926</v>
      </c>
      <c r="AL190" s="153"/>
      <c r="AM190" s="256"/>
      <c r="AN190" s="152"/>
      <c r="AO190" s="152"/>
      <c r="AP190" s="153"/>
      <c r="AQ190" s="386"/>
      <c r="AR190" s="6" t="s">
        <v>624</v>
      </c>
      <c r="AS190" s="379"/>
      <c r="AT190" s="282" t="s">
        <v>624</v>
      </c>
      <c r="AU190" s="372"/>
      <c r="AV190" s="379"/>
    </row>
    <row r="191" spans="1:48" ht="12.95" customHeight="1" x14ac:dyDescent="0.25">
      <c r="A191" s="197" t="s">
        <v>176</v>
      </c>
      <c r="B191" s="271"/>
      <c r="C191" s="197" t="s">
        <v>1868</v>
      </c>
      <c r="D191" s="197" t="s">
        <v>1869</v>
      </c>
      <c r="E191" s="165" t="s">
        <v>1869</v>
      </c>
      <c r="F191" s="197" t="str">
        <f t="shared" si="57"/>
        <v>unused_SDMMC4_DAT2</v>
      </c>
      <c r="G191" s="198" t="s">
        <v>943</v>
      </c>
      <c r="H191" s="197" t="s">
        <v>2202</v>
      </c>
      <c r="I191" s="197" t="s">
        <v>626</v>
      </c>
      <c r="J191" s="197" t="s">
        <v>627</v>
      </c>
      <c r="K191" s="197" t="s">
        <v>628</v>
      </c>
      <c r="L191" s="198" t="s">
        <v>2062</v>
      </c>
      <c r="M191" s="197" t="s">
        <v>270</v>
      </c>
      <c r="N191" s="197" t="s">
        <v>270</v>
      </c>
      <c r="O191" s="197" t="s">
        <v>263</v>
      </c>
      <c r="P191" s="197" t="s">
        <v>253</v>
      </c>
      <c r="Q191" s="198" t="s">
        <v>612</v>
      </c>
      <c r="R191" s="197" t="s">
        <v>613</v>
      </c>
      <c r="S191" s="197">
        <v>15</v>
      </c>
      <c r="T191" s="197" t="s">
        <v>621</v>
      </c>
      <c r="U191" s="198">
        <v>2</v>
      </c>
      <c r="V191" s="199">
        <v>0</v>
      </c>
      <c r="W191" s="199">
        <v>1</v>
      </c>
      <c r="X191" s="199" t="s">
        <v>264</v>
      </c>
      <c r="Y191" s="200" t="s">
        <v>265</v>
      </c>
      <c r="Z191" s="200" t="s">
        <v>265</v>
      </c>
      <c r="AA191" s="233" t="str">
        <f t="shared" si="58"/>
        <v>Unused</v>
      </c>
      <c r="AB191" s="234" t="str">
        <f t="shared" si="59"/>
        <v>Unused</v>
      </c>
      <c r="AC191" s="234" t="str">
        <f t="shared" si="64"/>
        <v>No</v>
      </c>
      <c r="AD191" s="234" t="str">
        <f t="shared" si="60"/>
        <v>ENABLE</v>
      </c>
      <c r="AE191" s="234" t="str">
        <f t="shared" si="65"/>
        <v>DISABLE</v>
      </c>
      <c r="AF191" s="234" t="str">
        <f t="shared" si="61"/>
        <v>NORMAL</v>
      </c>
      <c r="AG191" s="248"/>
      <c r="AH191" s="234" t="str">
        <f t="shared" si="62"/>
        <v>TRISTATE</v>
      </c>
      <c r="AI191" s="234" t="str">
        <f t="shared" si="63"/>
        <v>HIGH</v>
      </c>
      <c r="AJ191" s="182" t="s">
        <v>3710</v>
      </c>
      <c r="AK191" s="149" t="s">
        <v>2926</v>
      </c>
      <c r="AL191" s="153"/>
      <c r="AM191" s="256"/>
      <c r="AN191" s="152"/>
      <c r="AO191" s="152"/>
      <c r="AP191" s="153"/>
      <c r="AQ191" s="386"/>
      <c r="AR191" s="6" t="s">
        <v>628</v>
      </c>
      <c r="AS191" s="379"/>
      <c r="AT191" s="282" t="s">
        <v>628</v>
      </c>
      <c r="AU191" s="372"/>
      <c r="AV191" s="379"/>
    </row>
    <row r="192" spans="1:48" ht="12.95" customHeight="1" x14ac:dyDescent="0.25">
      <c r="A192" s="197" t="s">
        <v>177</v>
      </c>
      <c r="B192" s="271"/>
      <c r="C192" s="197" t="s">
        <v>1870</v>
      </c>
      <c r="D192" s="197" t="s">
        <v>1739</v>
      </c>
      <c r="E192" s="165" t="s">
        <v>1739</v>
      </c>
      <c r="F192" s="197" t="str">
        <f t="shared" si="57"/>
        <v>unused_SDMMC4_DAT3</v>
      </c>
      <c r="G192" s="198" t="s">
        <v>944</v>
      </c>
      <c r="H192" s="197" t="s">
        <v>2203</v>
      </c>
      <c r="I192" s="197" t="s">
        <v>2206</v>
      </c>
      <c r="J192" s="197" t="s">
        <v>630</v>
      </c>
      <c r="K192" s="197" t="s">
        <v>631</v>
      </c>
      <c r="L192" s="198" t="s">
        <v>2062</v>
      </c>
      <c r="M192" s="197" t="s">
        <v>270</v>
      </c>
      <c r="N192" s="197" t="s">
        <v>270</v>
      </c>
      <c r="O192" s="197" t="s">
        <v>263</v>
      </c>
      <c r="P192" s="197" t="s">
        <v>253</v>
      </c>
      <c r="Q192" s="198" t="s">
        <v>612</v>
      </c>
      <c r="R192" s="197" t="s">
        <v>613</v>
      </c>
      <c r="S192" s="197">
        <v>15</v>
      </c>
      <c r="T192" s="197" t="s">
        <v>621</v>
      </c>
      <c r="U192" s="198">
        <v>2</v>
      </c>
      <c r="V192" s="199">
        <v>0</v>
      </c>
      <c r="W192" s="199">
        <v>1</v>
      </c>
      <c r="X192" s="199" t="s">
        <v>264</v>
      </c>
      <c r="Y192" s="200" t="s">
        <v>265</v>
      </c>
      <c r="Z192" s="200" t="s">
        <v>265</v>
      </c>
      <c r="AA192" s="233" t="str">
        <f t="shared" si="58"/>
        <v>Unused</v>
      </c>
      <c r="AB192" s="234" t="str">
        <f t="shared" si="59"/>
        <v>Unused</v>
      </c>
      <c r="AC192" s="234" t="str">
        <f t="shared" si="64"/>
        <v>No</v>
      </c>
      <c r="AD192" s="234" t="str">
        <f t="shared" si="60"/>
        <v>ENABLE</v>
      </c>
      <c r="AE192" s="234" t="str">
        <f t="shared" si="65"/>
        <v>DISABLE</v>
      </c>
      <c r="AF192" s="234" t="str">
        <f t="shared" si="61"/>
        <v>NORMAL</v>
      </c>
      <c r="AG192" s="248"/>
      <c r="AH192" s="234" t="str">
        <f t="shared" si="62"/>
        <v>TRISTATE</v>
      </c>
      <c r="AI192" s="234" t="str">
        <f t="shared" si="63"/>
        <v>HIGH</v>
      </c>
      <c r="AJ192" s="182" t="s">
        <v>3711</v>
      </c>
      <c r="AK192" s="149" t="s">
        <v>2926</v>
      </c>
      <c r="AL192" s="153"/>
      <c r="AM192" s="256"/>
      <c r="AN192" s="152"/>
      <c r="AO192" s="152"/>
      <c r="AP192" s="153"/>
      <c r="AQ192" s="386"/>
      <c r="AR192" s="6" t="s">
        <v>631</v>
      </c>
      <c r="AS192" s="379"/>
      <c r="AT192" s="282" t="s">
        <v>631</v>
      </c>
      <c r="AU192" s="372"/>
      <c r="AV192" s="379"/>
    </row>
    <row r="193" spans="1:48" ht="12.95" customHeight="1" x14ac:dyDescent="0.25">
      <c r="A193" s="197" t="s">
        <v>178</v>
      </c>
      <c r="B193" s="271"/>
      <c r="C193" s="197" t="s">
        <v>1871</v>
      </c>
      <c r="D193" s="197" t="s">
        <v>1872</v>
      </c>
      <c r="E193" s="165" t="s">
        <v>1872</v>
      </c>
      <c r="F193" s="197" t="str">
        <f t="shared" si="57"/>
        <v>unused_SDMMC4_DAT4</v>
      </c>
      <c r="G193" s="198" t="s">
        <v>945</v>
      </c>
      <c r="H193" s="197" t="s">
        <v>1042</v>
      </c>
      <c r="I193" s="197" t="s">
        <v>632</v>
      </c>
      <c r="J193" s="197" t="s">
        <v>633</v>
      </c>
      <c r="K193" s="197" t="s">
        <v>634</v>
      </c>
      <c r="L193" s="198" t="s">
        <v>2062</v>
      </c>
      <c r="M193" s="197" t="s">
        <v>270</v>
      </c>
      <c r="N193" s="197" t="s">
        <v>270</v>
      </c>
      <c r="O193" s="197" t="s">
        <v>263</v>
      </c>
      <c r="P193" s="197" t="s">
        <v>253</v>
      </c>
      <c r="Q193" s="198" t="s">
        <v>612</v>
      </c>
      <c r="R193" s="197" t="s">
        <v>613</v>
      </c>
      <c r="S193" s="197">
        <v>15</v>
      </c>
      <c r="T193" s="197" t="s">
        <v>635</v>
      </c>
      <c r="U193" s="198">
        <v>2</v>
      </c>
      <c r="V193" s="199">
        <v>0</v>
      </c>
      <c r="W193" s="199">
        <v>1</v>
      </c>
      <c r="X193" s="199" t="s">
        <v>264</v>
      </c>
      <c r="Y193" s="200" t="s">
        <v>265</v>
      </c>
      <c r="Z193" s="200" t="s">
        <v>265</v>
      </c>
      <c r="AA193" s="233" t="str">
        <f t="shared" si="58"/>
        <v>Unused</v>
      </c>
      <c r="AB193" s="234" t="str">
        <f t="shared" si="59"/>
        <v>Unused</v>
      </c>
      <c r="AC193" s="234" t="str">
        <f t="shared" si="64"/>
        <v>No</v>
      </c>
      <c r="AD193" s="234" t="str">
        <f t="shared" si="60"/>
        <v>ENABLE</v>
      </c>
      <c r="AE193" s="234" t="str">
        <f t="shared" si="65"/>
        <v>DISABLE</v>
      </c>
      <c r="AF193" s="234" t="str">
        <f t="shared" si="61"/>
        <v>NORMAL</v>
      </c>
      <c r="AG193" s="248"/>
      <c r="AH193" s="234" t="str">
        <f t="shared" si="62"/>
        <v>TRISTATE</v>
      </c>
      <c r="AI193" s="234" t="str">
        <f t="shared" si="63"/>
        <v>HIGH</v>
      </c>
      <c r="AJ193" s="182" t="s">
        <v>3712</v>
      </c>
      <c r="AK193" s="149" t="s">
        <v>2926</v>
      </c>
      <c r="AL193" s="153"/>
      <c r="AM193" s="256"/>
      <c r="AN193" s="152"/>
      <c r="AO193" s="152"/>
      <c r="AP193" s="153"/>
      <c r="AQ193" s="386"/>
      <c r="AR193" s="6" t="s">
        <v>634</v>
      </c>
      <c r="AS193" s="379"/>
      <c r="AT193" s="282" t="s">
        <v>634</v>
      </c>
      <c r="AU193" s="372"/>
      <c r="AV193" s="379"/>
    </row>
    <row r="194" spans="1:48" ht="12.95" customHeight="1" x14ac:dyDescent="0.25">
      <c r="A194" s="197" t="s">
        <v>179</v>
      </c>
      <c r="B194" s="271"/>
      <c r="C194" s="197" t="s">
        <v>1873</v>
      </c>
      <c r="D194" s="197" t="s">
        <v>1731</v>
      </c>
      <c r="E194" s="165" t="s">
        <v>1731</v>
      </c>
      <c r="F194" s="197" t="str">
        <f t="shared" si="57"/>
        <v>unused_SDMMC4_DAT5</v>
      </c>
      <c r="G194" s="198" t="s">
        <v>946</v>
      </c>
      <c r="H194" s="197" t="s">
        <v>636</v>
      </c>
      <c r="I194" s="197" t="s">
        <v>637</v>
      </c>
      <c r="J194" s="197" t="s">
        <v>638</v>
      </c>
      <c r="K194" s="197" t="s">
        <v>639</v>
      </c>
      <c r="L194" s="198" t="s">
        <v>2062</v>
      </c>
      <c r="M194" s="197" t="s">
        <v>270</v>
      </c>
      <c r="N194" s="197" t="s">
        <v>270</v>
      </c>
      <c r="O194" s="197" t="s">
        <v>263</v>
      </c>
      <c r="P194" s="197" t="s">
        <v>253</v>
      </c>
      <c r="Q194" s="198" t="s">
        <v>612</v>
      </c>
      <c r="R194" s="197" t="s">
        <v>613</v>
      </c>
      <c r="S194" s="197">
        <v>15</v>
      </c>
      <c r="T194" s="197" t="s">
        <v>635</v>
      </c>
      <c r="U194" s="198">
        <v>2</v>
      </c>
      <c r="V194" s="199">
        <v>0</v>
      </c>
      <c r="W194" s="199">
        <v>1</v>
      </c>
      <c r="X194" s="199" t="s">
        <v>264</v>
      </c>
      <c r="Y194" s="200" t="s">
        <v>265</v>
      </c>
      <c r="Z194" s="200" t="s">
        <v>265</v>
      </c>
      <c r="AA194" s="233" t="str">
        <f t="shared" si="58"/>
        <v>Unused</v>
      </c>
      <c r="AB194" s="234" t="str">
        <f t="shared" si="59"/>
        <v>Unused</v>
      </c>
      <c r="AC194" s="234" t="str">
        <f t="shared" si="64"/>
        <v>No</v>
      </c>
      <c r="AD194" s="234" t="str">
        <f t="shared" si="60"/>
        <v>ENABLE</v>
      </c>
      <c r="AE194" s="234" t="str">
        <f t="shared" si="65"/>
        <v>DISABLE</v>
      </c>
      <c r="AF194" s="234" t="str">
        <f t="shared" si="61"/>
        <v>NORMAL</v>
      </c>
      <c r="AG194" s="248"/>
      <c r="AH194" s="234" t="str">
        <f t="shared" si="62"/>
        <v>TRISTATE</v>
      </c>
      <c r="AI194" s="234" t="str">
        <f t="shared" si="63"/>
        <v>HIGH</v>
      </c>
      <c r="AJ194" s="182" t="s">
        <v>3713</v>
      </c>
      <c r="AK194" s="149" t="s">
        <v>2926</v>
      </c>
      <c r="AL194" s="153"/>
      <c r="AM194" s="256"/>
      <c r="AN194" s="152"/>
      <c r="AO194" s="152"/>
      <c r="AP194" s="153"/>
      <c r="AQ194" s="386"/>
      <c r="AR194" s="6" t="s">
        <v>639</v>
      </c>
      <c r="AS194" s="379"/>
      <c r="AT194" s="282" t="s">
        <v>639</v>
      </c>
      <c r="AU194" s="372"/>
      <c r="AV194" s="379"/>
    </row>
    <row r="195" spans="1:48" ht="12.95" customHeight="1" x14ac:dyDescent="0.25">
      <c r="A195" s="197" t="s">
        <v>180</v>
      </c>
      <c r="B195" s="271"/>
      <c r="C195" s="197" t="s">
        <v>1874</v>
      </c>
      <c r="D195" s="197" t="s">
        <v>1864</v>
      </c>
      <c r="E195" s="165" t="s">
        <v>1864</v>
      </c>
      <c r="F195" s="197" t="str">
        <f t="shared" si="57"/>
        <v>unused_SDMMC4_DAT6</v>
      </c>
      <c r="G195" s="198" t="s">
        <v>947</v>
      </c>
      <c r="H195" s="197" t="s">
        <v>640</v>
      </c>
      <c r="I195" s="197" t="s">
        <v>641</v>
      </c>
      <c r="J195" s="197" t="s">
        <v>642</v>
      </c>
      <c r="K195" s="197" t="s">
        <v>643</v>
      </c>
      <c r="L195" s="198" t="s">
        <v>2062</v>
      </c>
      <c r="M195" s="197" t="s">
        <v>270</v>
      </c>
      <c r="N195" s="197" t="s">
        <v>270</v>
      </c>
      <c r="O195" s="197" t="s">
        <v>263</v>
      </c>
      <c r="P195" s="197" t="s">
        <v>253</v>
      </c>
      <c r="Q195" s="198" t="s">
        <v>612</v>
      </c>
      <c r="R195" s="197" t="s">
        <v>613</v>
      </c>
      <c r="S195" s="197">
        <v>15</v>
      </c>
      <c r="T195" s="197" t="s">
        <v>635</v>
      </c>
      <c r="U195" s="198">
        <v>2</v>
      </c>
      <c r="V195" s="199">
        <v>0</v>
      </c>
      <c r="W195" s="199">
        <v>1</v>
      </c>
      <c r="X195" s="199" t="s">
        <v>264</v>
      </c>
      <c r="Y195" s="200" t="s">
        <v>265</v>
      </c>
      <c r="Z195" s="200" t="s">
        <v>265</v>
      </c>
      <c r="AA195" s="233" t="str">
        <f t="shared" si="58"/>
        <v>Unused</v>
      </c>
      <c r="AB195" s="234" t="str">
        <f t="shared" si="59"/>
        <v>Unused</v>
      </c>
      <c r="AC195" s="234" t="str">
        <f t="shared" si="64"/>
        <v>No</v>
      </c>
      <c r="AD195" s="234" t="str">
        <f t="shared" si="60"/>
        <v>ENABLE</v>
      </c>
      <c r="AE195" s="234" t="str">
        <f t="shared" si="65"/>
        <v>DISABLE</v>
      </c>
      <c r="AF195" s="234" t="str">
        <f t="shared" si="61"/>
        <v>NORMAL</v>
      </c>
      <c r="AG195" s="248"/>
      <c r="AH195" s="234" t="str">
        <f t="shared" si="62"/>
        <v>TRISTATE</v>
      </c>
      <c r="AI195" s="234" t="str">
        <f t="shared" si="63"/>
        <v>HIGH</v>
      </c>
      <c r="AJ195" s="182" t="s">
        <v>3714</v>
      </c>
      <c r="AK195" s="149" t="s">
        <v>2926</v>
      </c>
      <c r="AL195" s="153"/>
      <c r="AM195" s="256"/>
      <c r="AN195" s="152"/>
      <c r="AO195" s="152"/>
      <c r="AP195" s="153"/>
      <c r="AQ195" s="386"/>
      <c r="AR195" s="6" t="s">
        <v>643</v>
      </c>
      <c r="AS195" s="379"/>
      <c r="AT195" s="282" t="s">
        <v>643</v>
      </c>
      <c r="AU195" s="372"/>
      <c r="AV195" s="379"/>
    </row>
    <row r="196" spans="1:48" ht="12.95" customHeight="1" x14ac:dyDescent="0.25">
      <c r="A196" s="197" t="s">
        <v>181</v>
      </c>
      <c r="B196" s="271"/>
      <c r="C196" s="197" t="s">
        <v>1875</v>
      </c>
      <c r="D196" s="197" t="s">
        <v>1876</v>
      </c>
      <c r="E196" s="165" t="s">
        <v>1876</v>
      </c>
      <c r="F196" s="197" t="str">
        <f t="shared" si="57"/>
        <v>unused_SDMMC4_DAT7</v>
      </c>
      <c r="G196" s="198" t="s">
        <v>948</v>
      </c>
      <c r="H196" s="197" t="s">
        <v>644</v>
      </c>
      <c r="I196" s="197" t="s">
        <v>645</v>
      </c>
      <c r="J196" s="197" t="s">
        <v>646</v>
      </c>
      <c r="K196" s="197" t="s">
        <v>647</v>
      </c>
      <c r="L196" s="198" t="s">
        <v>2062</v>
      </c>
      <c r="M196" s="197" t="s">
        <v>270</v>
      </c>
      <c r="N196" s="197" t="s">
        <v>270</v>
      </c>
      <c r="O196" s="197" t="s">
        <v>263</v>
      </c>
      <c r="P196" s="197" t="s">
        <v>253</v>
      </c>
      <c r="Q196" s="198" t="s">
        <v>612</v>
      </c>
      <c r="R196" s="197" t="s">
        <v>613</v>
      </c>
      <c r="S196" s="197">
        <v>15</v>
      </c>
      <c r="T196" s="197" t="s">
        <v>635</v>
      </c>
      <c r="U196" s="198">
        <v>2</v>
      </c>
      <c r="V196" s="199">
        <v>0</v>
      </c>
      <c r="W196" s="199">
        <v>1</v>
      </c>
      <c r="X196" s="199" t="s">
        <v>264</v>
      </c>
      <c r="Y196" s="200" t="s">
        <v>265</v>
      </c>
      <c r="Z196" s="200" t="s">
        <v>265</v>
      </c>
      <c r="AA196" s="233" t="str">
        <f t="shared" si="58"/>
        <v>Unused</v>
      </c>
      <c r="AB196" s="234" t="str">
        <f t="shared" si="59"/>
        <v>Unused</v>
      </c>
      <c r="AC196" s="234" t="str">
        <f t="shared" si="64"/>
        <v>No</v>
      </c>
      <c r="AD196" s="234" t="str">
        <f t="shared" si="60"/>
        <v>ENABLE</v>
      </c>
      <c r="AE196" s="234" t="str">
        <f t="shared" si="65"/>
        <v>DISABLE</v>
      </c>
      <c r="AF196" s="234" t="str">
        <f t="shared" si="61"/>
        <v>NORMAL</v>
      </c>
      <c r="AG196" s="248"/>
      <c r="AH196" s="234" t="str">
        <f t="shared" si="62"/>
        <v>TRISTATE</v>
      </c>
      <c r="AI196" s="234" t="str">
        <f t="shared" si="63"/>
        <v>HIGH</v>
      </c>
      <c r="AJ196" s="182" t="s">
        <v>3715</v>
      </c>
      <c r="AK196" s="149" t="s">
        <v>2926</v>
      </c>
      <c r="AL196" s="153"/>
      <c r="AM196" s="256"/>
      <c r="AN196" s="152"/>
      <c r="AO196" s="152"/>
      <c r="AP196" s="153"/>
      <c r="AQ196" s="386"/>
      <c r="AR196" s="6" t="s">
        <v>647</v>
      </c>
      <c r="AS196" s="379"/>
      <c r="AT196" s="282" t="s">
        <v>647</v>
      </c>
      <c r="AU196" s="372"/>
      <c r="AV196" s="379"/>
    </row>
    <row r="197" spans="1:48" ht="12.95" customHeight="1" thickBot="1" x14ac:dyDescent="0.3">
      <c r="A197" s="197" t="s">
        <v>182</v>
      </c>
      <c r="B197" s="271"/>
      <c r="C197" s="197" t="s">
        <v>1877</v>
      </c>
      <c r="D197" s="197" t="s">
        <v>1878</v>
      </c>
      <c r="E197" s="165" t="s">
        <v>1878</v>
      </c>
      <c r="F197" s="197" t="str">
        <f t="shared" si="57"/>
        <v>unused_SDMMC4_RST_N</v>
      </c>
      <c r="G197" s="198" t="s">
        <v>949</v>
      </c>
      <c r="H197" s="197" t="s">
        <v>648</v>
      </c>
      <c r="I197" s="360" t="s">
        <v>3063</v>
      </c>
      <c r="J197" s="360" t="s">
        <v>3076</v>
      </c>
      <c r="K197" s="197" t="s">
        <v>649</v>
      </c>
      <c r="L197" s="198" t="s">
        <v>2062</v>
      </c>
      <c r="M197" s="197" t="s">
        <v>270</v>
      </c>
      <c r="N197" s="197" t="s">
        <v>270</v>
      </c>
      <c r="O197" s="197" t="s">
        <v>263</v>
      </c>
      <c r="P197" s="197" t="s">
        <v>253</v>
      </c>
      <c r="Q197" s="198" t="s">
        <v>612</v>
      </c>
      <c r="R197" s="197" t="s">
        <v>613</v>
      </c>
      <c r="S197" s="197">
        <v>15</v>
      </c>
      <c r="T197" s="197" t="s">
        <v>621</v>
      </c>
      <c r="U197" s="198">
        <v>3</v>
      </c>
      <c r="V197" s="199">
        <v>0</v>
      </c>
      <c r="W197" s="199">
        <v>1</v>
      </c>
      <c r="X197" s="199" t="s">
        <v>264</v>
      </c>
      <c r="Y197" s="200" t="s">
        <v>265</v>
      </c>
      <c r="Z197" s="200" t="s">
        <v>265</v>
      </c>
      <c r="AA197" s="233" t="str">
        <f t="shared" si="58"/>
        <v>Unused</v>
      </c>
      <c r="AB197" s="234" t="str">
        <f t="shared" si="59"/>
        <v>Unused</v>
      </c>
      <c r="AC197" s="248"/>
      <c r="AD197" s="234" t="str">
        <f t="shared" si="60"/>
        <v>ENABLE</v>
      </c>
      <c r="AE197" s="234" t="str">
        <f t="shared" si="65"/>
        <v>DISABLE</v>
      </c>
      <c r="AF197" s="234" t="str">
        <f t="shared" si="61"/>
        <v>NORMAL</v>
      </c>
      <c r="AG197" s="248"/>
      <c r="AH197" s="234" t="str">
        <f t="shared" si="62"/>
        <v>TRISTATE</v>
      </c>
      <c r="AI197" s="234" t="str">
        <f t="shared" si="63"/>
        <v>HIGH</v>
      </c>
      <c r="AJ197" s="182" t="s">
        <v>3642</v>
      </c>
      <c r="AK197" s="149" t="s">
        <v>2926</v>
      </c>
      <c r="AL197" s="153"/>
      <c r="AM197" s="256"/>
      <c r="AN197" s="152"/>
      <c r="AO197" s="152"/>
      <c r="AP197" s="153"/>
      <c r="AQ197" s="387"/>
      <c r="AR197" s="6" t="s">
        <v>649</v>
      </c>
      <c r="AS197" s="379"/>
      <c r="AT197" s="283" t="s">
        <v>649</v>
      </c>
      <c r="AU197" s="373"/>
      <c r="AV197" s="379"/>
    </row>
    <row r="198" spans="1:48" s="24" customFormat="1" ht="18" customHeight="1" thickBot="1" x14ac:dyDescent="0.3">
      <c r="A198" s="160" t="s">
        <v>1239</v>
      </c>
      <c r="B198" s="272"/>
      <c r="C198" s="160"/>
      <c r="D198" s="160"/>
      <c r="E198" s="215"/>
      <c r="F198" s="160"/>
      <c r="G198" s="201"/>
      <c r="H198" s="160"/>
      <c r="I198" s="160"/>
      <c r="J198" s="160"/>
      <c r="K198" s="160"/>
      <c r="L198" s="201"/>
      <c r="M198" s="160"/>
      <c r="N198" s="160"/>
      <c r="O198" s="160"/>
      <c r="P198" s="160"/>
      <c r="Q198" s="201"/>
      <c r="R198" s="160"/>
      <c r="S198" s="160"/>
      <c r="T198" s="160"/>
      <c r="U198" s="201"/>
      <c r="V198" s="160"/>
      <c r="W198" s="160"/>
      <c r="X198" s="160"/>
      <c r="Y198" s="202"/>
      <c r="Z198" s="202"/>
      <c r="AA198" s="235"/>
      <c r="AB198" s="236"/>
      <c r="AC198" s="236"/>
      <c r="AD198" s="236"/>
      <c r="AE198" s="236"/>
      <c r="AF198" s="236"/>
      <c r="AG198" s="236"/>
      <c r="AH198" s="236"/>
      <c r="AI198" s="237"/>
      <c r="AJ198" s="160"/>
      <c r="AK198" s="35"/>
      <c r="AL198" s="154"/>
      <c r="AM198" s="169"/>
      <c r="AN198" s="154"/>
      <c r="AO198" s="154"/>
      <c r="AP198" s="154"/>
      <c r="AQ198" s="45"/>
      <c r="AR198" s="277"/>
      <c r="AS198" s="45"/>
      <c r="AT198" s="284"/>
      <c r="AU198" s="45"/>
      <c r="AV198" s="45"/>
    </row>
    <row r="199" spans="1:48" ht="12.95" customHeight="1" thickBot="1" x14ac:dyDescent="0.3">
      <c r="A199" s="197" t="s">
        <v>183</v>
      </c>
      <c r="B199" s="271"/>
      <c r="C199" s="197" t="s">
        <v>1879</v>
      </c>
      <c r="D199" s="197" t="s">
        <v>1880</v>
      </c>
      <c r="E199" s="165" t="s">
        <v>1880</v>
      </c>
      <c r="F199" s="197" t="str">
        <f t="shared" ref="F199:F238" si="66">CONCATENATE("unused_",A199)</f>
        <v>unused_CLK_32K_OUT</v>
      </c>
      <c r="G199" s="198" t="s">
        <v>950</v>
      </c>
      <c r="H199" s="197" t="s">
        <v>652</v>
      </c>
      <c r="I199" s="360" t="s">
        <v>3650</v>
      </c>
      <c r="J199" s="360" t="s">
        <v>3076</v>
      </c>
      <c r="K199" s="360" t="s">
        <v>3090</v>
      </c>
      <c r="L199" s="198" t="s">
        <v>254</v>
      </c>
      <c r="M199" s="197" t="s">
        <v>254</v>
      </c>
      <c r="N199" s="197" t="s">
        <v>2062</v>
      </c>
      <c r="O199" s="197" t="s">
        <v>263</v>
      </c>
      <c r="P199" s="197" t="s">
        <v>253</v>
      </c>
      <c r="Q199" s="198" t="s">
        <v>650</v>
      </c>
      <c r="R199" s="197" t="s">
        <v>257</v>
      </c>
      <c r="S199" s="197">
        <v>100</v>
      </c>
      <c r="T199" s="197" t="s">
        <v>651</v>
      </c>
      <c r="U199" s="198">
        <v>0</v>
      </c>
      <c r="V199" s="199">
        <v>0</v>
      </c>
      <c r="W199" s="199">
        <v>1</v>
      </c>
      <c r="X199" s="199" t="s">
        <v>264</v>
      </c>
      <c r="Y199" s="200">
        <v>0</v>
      </c>
      <c r="Z199" s="200">
        <v>0</v>
      </c>
      <c r="AA199" s="233" t="str">
        <f>IF((AJ199=H199),0,IF((AJ199=I199),1,IF((AJ199=J199),2,IF((AJ199=K199),3,IF((AJ199=G199),"GPIO",IF((AJ199=F199),"Unused"))))))</f>
        <v>Unused</v>
      </c>
      <c r="AB199" s="234" t="str">
        <f>IF((OR($AA199=0,$AA199=1,$AA199=2,$AA199=3)),"SFIO",IF(($AA199="GPIO"),"GPIO","Unused"))</f>
        <v>Unused</v>
      </c>
      <c r="AC199" s="248"/>
      <c r="AD199" s="234" t="str">
        <f t="shared" si="60"/>
        <v>ENABLE</v>
      </c>
      <c r="AE199" s="234" t="str">
        <f>IF((OR($AB199="Unused",$AK199="OUT")),"DISABLE","ENABLE")</f>
        <v>DISABLE</v>
      </c>
      <c r="AF199" s="234" t="str">
        <f t="shared" si="61"/>
        <v>NORMAL</v>
      </c>
      <c r="AG199" s="248"/>
      <c r="AH199" s="234" t="str">
        <f>IF((AND($AB199="GPIO",$AK199="Out")),"DRIVEN",IF((AND($AB199="GPIO",$AK199="Bidir")),"DRIVEN","TRISTATE"))</f>
        <v>TRISTATE</v>
      </c>
      <c r="AI199" s="234" t="str">
        <f>IF((OR($AL199="Drive 0")),"LOW","HIGH")</f>
        <v>HIGH</v>
      </c>
      <c r="AJ199" s="182" t="s">
        <v>3716</v>
      </c>
      <c r="AK199" s="149" t="s">
        <v>2926</v>
      </c>
      <c r="AL199" s="153"/>
      <c r="AM199" s="256"/>
      <c r="AN199" s="152"/>
      <c r="AO199" s="152"/>
      <c r="AP199" s="349"/>
      <c r="AQ199" s="343" t="s">
        <v>183</v>
      </c>
      <c r="AR199" s="6" t="s">
        <v>652</v>
      </c>
      <c r="AS199" s="42" t="s">
        <v>183</v>
      </c>
      <c r="AT199" s="286" t="s">
        <v>652</v>
      </c>
      <c r="AU199" s="42" t="s">
        <v>183</v>
      </c>
      <c r="AV199" s="42" t="s">
        <v>183</v>
      </c>
    </row>
    <row r="200" spans="1:48" ht="12.95" customHeight="1" x14ac:dyDescent="0.25">
      <c r="A200" s="197" t="s">
        <v>2370</v>
      </c>
      <c r="B200" s="271"/>
      <c r="C200" s="197" t="s">
        <v>2382</v>
      </c>
      <c r="D200" s="197" t="s">
        <v>1242</v>
      </c>
      <c r="E200" s="221" t="s">
        <v>1911</v>
      </c>
      <c r="F200" s="197" t="str">
        <f>CONCATENATE("unused_",A200)</f>
        <v>unused_CLK_32K_IN</v>
      </c>
      <c r="G200" s="198"/>
      <c r="H200" s="360" t="s">
        <v>3037</v>
      </c>
      <c r="I200" s="360" t="s">
        <v>3037</v>
      </c>
      <c r="J200" s="360" t="s">
        <v>3037</v>
      </c>
      <c r="K200" s="360" t="s">
        <v>3037</v>
      </c>
      <c r="L200" s="198"/>
      <c r="M200" s="197"/>
      <c r="N200" s="197"/>
      <c r="O200" s="197"/>
      <c r="P200" s="197"/>
      <c r="Q200" s="198" t="s">
        <v>650</v>
      </c>
      <c r="R200" s="197"/>
      <c r="S200" s="197"/>
      <c r="T200" s="197" t="s">
        <v>651</v>
      </c>
      <c r="U200" s="198"/>
      <c r="V200" s="199"/>
      <c r="W200" s="199"/>
      <c r="X200" s="199"/>
      <c r="Y200" s="200" t="s">
        <v>265</v>
      </c>
      <c r="Z200" s="200" t="s">
        <v>265</v>
      </c>
      <c r="AA200" s="253"/>
      <c r="AB200" s="248"/>
      <c r="AC200" s="248"/>
      <c r="AD200" s="248"/>
      <c r="AE200" s="234"/>
      <c r="AF200" s="248"/>
      <c r="AG200" s="248"/>
      <c r="AH200" s="248"/>
      <c r="AI200" s="245"/>
      <c r="AJ200" s="193" t="s">
        <v>3543</v>
      </c>
      <c r="AK200" s="256"/>
      <c r="AL200" s="256"/>
      <c r="AM200" s="258"/>
      <c r="AN200" s="256"/>
      <c r="AO200" s="256"/>
      <c r="AP200" s="260"/>
      <c r="AQ200" s="357" t="s">
        <v>2376</v>
      </c>
      <c r="AR200" s="6" t="s">
        <v>2370</v>
      </c>
      <c r="AS200" s="42" t="s">
        <v>2376</v>
      </c>
      <c r="AT200" s="6" t="s">
        <v>2370</v>
      </c>
      <c r="AU200" s="42" t="s">
        <v>2376</v>
      </c>
      <c r="AV200" s="42" t="s">
        <v>2376</v>
      </c>
    </row>
    <row r="201" spans="1:48" ht="12.95" customHeight="1" x14ac:dyDescent="0.25">
      <c r="A201" s="197" t="s">
        <v>2367</v>
      </c>
      <c r="B201" s="271"/>
      <c r="C201" s="197" t="s">
        <v>2379</v>
      </c>
      <c r="D201" s="197" t="s">
        <v>2384</v>
      </c>
      <c r="E201" s="221" t="s">
        <v>1911</v>
      </c>
      <c r="F201" s="197" t="str">
        <f>CONCATENATE("unused_",A201)</f>
        <v>unused_CORE_PWR_REQ</v>
      </c>
      <c r="G201" s="198"/>
      <c r="H201" s="360" t="s">
        <v>3037</v>
      </c>
      <c r="I201" s="360" t="s">
        <v>3037</v>
      </c>
      <c r="J201" s="360" t="s">
        <v>3037</v>
      </c>
      <c r="K201" s="360" t="s">
        <v>3037</v>
      </c>
      <c r="L201" s="198"/>
      <c r="M201" s="197"/>
      <c r="N201" s="197"/>
      <c r="O201" s="197"/>
      <c r="P201" s="197"/>
      <c r="Q201" s="198" t="s">
        <v>650</v>
      </c>
      <c r="R201" s="197"/>
      <c r="S201" s="197"/>
      <c r="T201" s="197" t="s">
        <v>651</v>
      </c>
      <c r="U201" s="198"/>
      <c r="V201" s="199"/>
      <c r="W201" s="199"/>
      <c r="X201" s="199"/>
      <c r="Y201" s="200" t="s">
        <v>265</v>
      </c>
      <c r="Z201" s="200" t="s">
        <v>265</v>
      </c>
      <c r="AA201" s="253"/>
      <c r="AB201" s="248"/>
      <c r="AC201" s="248"/>
      <c r="AD201" s="248"/>
      <c r="AE201" s="234"/>
      <c r="AF201" s="248"/>
      <c r="AG201" s="248"/>
      <c r="AH201" s="248"/>
      <c r="AI201" s="245"/>
      <c r="AJ201" s="182" t="s">
        <v>3544</v>
      </c>
      <c r="AK201" s="256"/>
      <c r="AL201" s="256"/>
      <c r="AM201" s="256"/>
      <c r="AN201" s="256"/>
      <c r="AO201" s="256"/>
      <c r="AP201" s="260"/>
      <c r="AQ201" s="357" t="s">
        <v>2373</v>
      </c>
      <c r="AR201" s="6" t="s">
        <v>2367</v>
      </c>
      <c r="AS201" s="42" t="s">
        <v>2373</v>
      </c>
      <c r="AT201" s="6" t="s">
        <v>2367</v>
      </c>
      <c r="AU201" s="42" t="s">
        <v>2373</v>
      </c>
      <c r="AV201" s="42" t="s">
        <v>2373</v>
      </c>
    </row>
    <row r="202" spans="1:48" ht="12.95" customHeight="1" thickBot="1" x14ac:dyDescent="0.3">
      <c r="A202" s="197" t="s">
        <v>2368</v>
      </c>
      <c r="B202" s="271"/>
      <c r="C202" s="197" t="s">
        <v>2380</v>
      </c>
      <c r="D202" s="197" t="s">
        <v>2385</v>
      </c>
      <c r="E202" s="221" t="s">
        <v>1911</v>
      </c>
      <c r="F202" s="197" t="str">
        <f>CONCATENATE("unused_",A202)</f>
        <v>unused_CPU_PWR_REQ</v>
      </c>
      <c r="G202" s="198"/>
      <c r="H202" s="360" t="s">
        <v>3037</v>
      </c>
      <c r="I202" s="360" t="s">
        <v>3037</v>
      </c>
      <c r="J202" s="360" t="s">
        <v>3037</v>
      </c>
      <c r="K202" s="360" t="s">
        <v>3037</v>
      </c>
      <c r="L202" s="198"/>
      <c r="M202" s="197"/>
      <c r="N202" s="197"/>
      <c r="O202" s="197"/>
      <c r="P202" s="197"/>
      <c r="Q202" s="198" t="s">
        <v>650</v>
      </c>
      <c r="R202" s="197"/>
      <c r="S202" s="197"/>
      <c r="T202" s="197" t="s">
        <v>651</v>
      </c>
      <c r="U202" s="198"/>
      <c r="V202" s="199"/>
      <c r="W202" s="199"/>
      <c r="X202" s="199"/>
      <c r="Y202" s="200" t="s">
        <v>265</v>
      </c>
      <c r="Z202" s="200" t="s">
        <v>265</v>
      </c>
      <c r="AA202" s="253"/>
      <c r="AB202" s="248"/>
      <c r="AC202" s="248"/>
      <c r="AD202" s="248"/>
      <c r="AE202" s="234"/>
      <c r="AF202" s="248"/>
      <c r="AG202" s="248"/>
      <c r="AH202" s="248"/>
      <c r="AI202" s="245"/>
      <c r="AJ202" s="182" t="s">
        <v>3545</v>
      </c>
      <c r="AK202" s="256"/>
      <c r="AL202" s="256"/>
      <c r="AM202" s="257"/>
      <c r="AN202" s="256"/>
      <c r="AO202" s="256"/>
      <c r="AP202" s="260"/>
      <c r="AQ202" s="357" t="s">
        <v>2374</v>
      </c>
      <c r="AR202" s="6" t="s">
        <v>2368</v>
      </c>
      <c r="AS202" s="42" t="s">
        <v>2374</v>
      </c>
      <c r="AT202" s="6" t="s">
        <v>2368</v>
      </c>
      <c r="AU202" s="42" t="s">
        <v>2374</v>
      </c>
      <c r="AV202" s="42" t="s">
        <v>2374</v>
      </c>
    </row>
    <row r="203" spans="1:48" ht="12.95" customHeight="1" thickBot="1" x14ac:dyDescent="0.3">
      <c r="A203" s="197" t="s">
        <v>184</v>
      </c>
      <c r="B203" s="271">
        <v>2</v>
      </c>
      <c r="C203" s="212" t="s">
        <v>3000</v>
      </c>
      <c r="D203" s="212" t="s">
        <v>3001</v>
      </c>
      <c r="E203" s="217" t="s">
        <v>3001</v>
      </c>
      <c r="F203" s="197" t="str">
        <f t="shared" si="66"/>
        <v>unused_HDMI_CEC</v>
      </c>
      <c r="G203" s="198" t="s">
        <v>951</v>
      </c>
      <c r="H203" s="360" t="s">
        <v>3077</v>
      </c>
      <c r="I203" s="360" t="s">
        <v>3037</v>
      </c>
      <c r="J203" s="360" t="s">
        <v>3037</v>
      </c>
      <c r="K203" s="360" t="s">
        <v>3037</v>
      </c>
      <c r="L203" s="198" t="s">
        <v>2062</v>
      </c>
      <c r="M203" s="197" t="s">
        <v>254</v>
      </c>
      <c r="N203" s="197" t="s">
        <v>2062</v>
      </c>
      <c r="O203" s="197" t="s">
        <v>263</v>
      </c>
      <c r="P203" s="197" t="s">
        <v>253</v>
      </c>
      <c r="Q203" s="198" t="s">
        <v>650</v>
      </c>
      <c r="R203" s="197" t="s">
        <v>368</v>
      </c>
      <c r="S203" s="197">
        <v>50</v>
      </c>
      <c r="T203" s="197" t="s">
        <v>653</v>
      </c>
      <c r="U203" s="198">
        <v>0</v>
      </c>
      <c r="V203" s="199">
        <v>0</v>
      </c>
      <c r="W203" s="199">
        <v>1</v>
      </c>
      <c r="X203" s="199" t="s">
        <v>264</v>
      </c>
      <c r="Y203" s="200" t="s">
        <v>265</v>
      </c>
      <c r="Z203" s="200" t="s">
        <v>265</v>
      </c>
      <c r="AA203" s="233" t="str">
        <f>IF((AJ203=H203),0,IF((AJ203=I203),1,IF((AJ203=J203),2,IF((AJ203=K203),3,IF((AJ203=G203),"GPIO",IF((AJ203=F203),"Unused"))))))</f>
        <v>Unused</v>
      </c>
      <c r="AB203" s="234" t="str">
        <f>IF((OR($AA203=0,$AA203=1,$AA203=2,$AA203=3)),"SFIO",IF(($AA203="GPIO"),"GPIO","Unused"))</f>
        <v>Unused</v>
      </c>
      <c r="AC203" s="248"/>
      <c r="AD203" s="234" t="str">
        <f t="shared" ref="AD203:AD204" si="67">IF(($AB203="Unused"), "ENABLE", IF((OR($AK203="Bidir",$AK203="Out")), "NORMAL", IF((OR($AK203="IN",AL203="Z", AL203="Int PU",AL203="Int PD")),"ENABLE","NORMAL")))</f>
        <v>ENABLE</v>
      </c>
      <c r="AE203" s="234" t="str">
        <f t="shared" ref="AE203:AE238" si="68">IF((OR($AB203="Unused",$AK203="OUT")),"DISABLE","ENABLE")</f>
        <v>DISABLE</v>
      </c>
      <c r="AF203" s="234" t="str">
        <f t="shared" ref="AF203:AF204" si="69">IF((OR((AND($AC203="Yes",$AN203="",OR($AK203="In",$AK203="Bidir"))),($AL203="Int PU"))),"PULL_UP",IF(($AL203="Int PD"),"PULL_DOWN",IF((OR($AB203="Unused",$AL203="Drive 1",$AL203="Drive 0",$AL203="Z",$AL203="na",$AL203="",$AN203&lt;&gt;"",$AO203&lt;&gt;"")),"NORMAL")))</f>
        <v>NORMAL</v>
      </c>
      <c r="AG203" s="234" t="str">
        <f>IF((AJ203=H203),"ENABLE","DISABLE")</f>
        <v>DISABLE</v>
      </c>
      <c r="AH203" s="234" t="str">
        <f>IF((AND($AB203="GPIO",$AK203="Out")),"DRIVEN",IF((AND($AB203="GPIO",$AK203="Bidir")),"DRIVEN","TRISTATE"))</f>
        <v>TRISTATE</v>
      </c>
      <c r="AI203" s="234" t="str">
        <f>IF((OR($AL203="Drive 0")),"LOW","HIGH")</f>
        <v>HIGH</v>
      </c>
      <c r="AJ203" s="182" t="s">
        <v>3635</v>
      </c>
      <c r="AK203" s="149" t="s">
        <v>2926</v>
      </c>
      <c r="AL203" s="153"/>
      <c r="AM203" s="256"/>
      <c r="AN203" s="152"/>
      <c r="AO203" s="152"/>
      <c r="AP203" s="349"/>
      <c r="AQ203" s="345"/>
      <c r="AR203" s="6" t="s">
        <v>2965</v>
      </c>
      <c r="AS203" s="42" t="s">
        <v>184</v>
      </c>
      <c r="AT203" s="285" t="s">
        <v>2965</v>
      </c>
      <c r="AU203" s="42" t="s">
        <v>184</v>
      </c>
      <c r="AV203" s="42" t="s">
        <v>184</v>
      </c>
    </row>
    <row r="204" spans="1:48" s="31" customFormat="1" ht="12.95" customHeight="1" x14ac:dyDescent="0.25">
      <c r="A204" s="206" t="s">
        <v>2334</v>
      </c>
      <c r="B204" s="274"/>
      <c r="C204" s="206" t="s">
        <v>2346</v>
      </c>
      <c r="D204" s="206" t="s">
        <v>2340</v>
      </c>
      <c r="E204" s="221" t="s">
        <v>1911</v>
      </c>
      <c r="F204" s="206" t="str">
        <f t="shared" ref="F204:F209" si="70">CONCATENATE("unused_",A204)</f>
        <v>unused_JTAG_RTCK</v>
      </c>
      <c r="G204" s="198" t="s">
        <v>2387</v>
      </c>
      <c r="H204" s="206" t="s">
        <v>2334</v>
      </c>
      <c r="I204" s="361" t="s">
        <v>3063</v>
      </c>
      <c r="J204" s="361" t="s">
        <v>3076</v>
      </c>
      <c r="K204" s="361" t="s">
        <v>3090</v>
      </c>
      <c r="L204" s="207"/>
      <c r="M204" s="206"/>
      <c r="N204" s="206"/>
      <c r="O204" s="206"/>
      <c r="P204" s="206"/>
      <c r="Q204" s="207" t="s">
        <v>650</v>
      </c>
      <c r="R204" s="206"/>
      <c r="S204" s="206"/>
      <c r="T204" s="197" t="s">
        <v>654</v>
      </c>
      <c r="U204" s="207"/>
      <c r="V204" s="208"/>
      <c r="W204" s="208"/>
      <c r="X204" s="208"/>
      <c r="Y204" s="209" t="s">
        <v>2388</v>
      </c>
      <c r="Z204" s="209" t="s">
        <v>2388</v>
      </c>
      <c r="AA204" s="233" t="str">
        <f>IF((AJ204=H204),0,IF((AJ204=I204),1,IF((AJ204=J204),2,IF((AJ204=K204),3,IF((AJ204=G204),"GPIO",IF((AJ204=F204),"Unused"))))))</f>
        <v>Unused</v>
      </c>
      <c r="AB204" s="234" t="str">
        <f>IF((OR($AA204=0,$AA204=1,$AA204=2,$AA204=3)),"SFIO",IF(($AA204="GPIO"),"GPIO","Unused"))</f>
        <v>Unused</v>
      </c>
      <c r="AC204" s="248"/>
      <c r="AD204" s="234" t="str">
        <f t="shared" si="67"/>
        <v>ENABLE</v>
      </c>
      <c r="AE204" s="234" t="str">
        <f t="shared" si="68"/>
        <v>DISABLE</v>
      </c>
      <c r="AF204" s="234" t="str">
        <f t="shared" si="69"/>
        <v>NORMAL</v>
      </c>
      <c r="AG204" s="248"/>
      <c r="AH204" s="234" t="str">
        <f>IF((AND($AB204="GPIO",$AK204="Out")),"DRIVEN",IF((AND($AB204="GPIO",$AK204="Bidir")),"DRIVEN","TRISTATE"))</f>
        <v>TRISTATE</v>
      </c>
      <c r="AI204" s="234" t="str">
        <f>IF((OR($AL204="Drive 0")),"LOW","HIGH")</f>
        <v>HIGH</v>
      </c>
      <c r="AJ204" s="189" t="s">
        <v>3546</v>
      </c>
      <c r="AK204" s="149" t="s">
        <v>2926</v>
      </c>
      <c r="AL204" s="153"/>
      <c r="AM204" s="256"/>
      <c r="AN204" s="152"/>
      <c r="AO204" s="152"/>
      <c r="AP204" s="349"/>
      <c r="AQ204" s="431" t="s">
        <v>2333</v>
      </c>
      <c r="AR204" s="31" t="s">
        <v>2334</v>
      </c>
      <c r="AS204" s="371" t="s">
        <v>2333</v>
      </c>
      <c r="AT204" s="31" t="s">
        <v>2334</v>
      </c>
      <c r="AU204" s="371" t="s">
        <v>2333</v>
      </c>
      <c r="AV204" s="371" t="s">
        <v>2333</v>
      </c>
    </row>
    <row r="205" spans="1:48" s="31" customFormat="1" ht="12.95" customHeight="1" x14ac:dyDescent="0.2">
      <c r="A205" s="206" t="s">
        <v>2335</v>
      </c>
      <c r="B205" s="274"/>
      <c r="C205" s="206" t="s">
        <v>2347</v>
      </c>
      <c r="D205" s="206" t="s">
        <v>2341</v>
      </c>
      <c r="E205" s="221" t="s">
        <v>1911</v>
      </c>
      <c r="F205" s="206" t="str">
        <f t="shared" si="70"/>
        <v>unused_JTAG_TRST_N</v>
      </c>
      <c r="G205" s="207"/>
      <c r="H205" s="206" t="s">
        <v>2335</v>
      </c>
      <c r="I205" s="206"/>
      <c r="J205" s="206"/>
      <c r="K205" s="206"/>
      <c r="L205" s="207"/>
      <c r="M205" s="206"/>
      <c r="N205" s="206"/>
      <c r="O205" s="206"/>
      <c r="P205" s="206"/>
      <c r="Q205" s="207" t="s">
        <v>650</v>
      </c>
      <c r="R205" s="206"/>
      <c r="S205" s="206"/>
      <c r="T205" s="197" t="s">
        <v>654</v>
      </c>
      <c r="U205" s="207"/>
      <c r="V205" s="208"/>
      <c r="W205" s="208"/>
      <c r="X205" s="208"/>
      <c r="Y205" s="209" t="s">
        <v>260</v>
      </c>
      <c r="Z205" s="209" t="s">
        <v>260</v>
      </c>
      <c r="AA205" s="255"/>
      <c r="AB205" s="251"/>
      <c r="AC205" s="248"/>
      <c r="AD205" s="248"/>
      <c r="AE205" s="234"/>
      <c r="AF205" s="251"/>
      <c r="AG205" s="251"/>
      <c r="AH205" s="251"/>
      <c r="AI205" s="246"/>
      <c r="AJ205" s="187" t="s">
        <v>3547</v>
      </c>
      <c r="AK205" s="256"/>
      <c r="AL205" s="256"/>
      <c r="AM205" s="256"/>
      <c r="AN205" s="256"/>
      <c r="AO205" s="256"/>
      <c r="AP205" s="260"/>
      <c r="AQ205" s="432"/>
      <c r="AR205" s="31" t="s">
        <v>2335</v>
      </c>
      <c r="AS205" s="372"/>
      <c r="AT205" s="31" t="s">
        <v>2335</v>
      </c>
      <c r="AU205" s="372"/>
      <c r="AV205" s="372"/>
    </row>
    <row r="206" spans="1:48" s="31" customFormat="1" ht="12.95" customHeight="1" x14ac:dyDescent="0.2">
      <c r="A206" s="206" t="s">
        <v>2336</v>
      </c>
      <c r="B206" s="274"/>
      <c r="C206" s="206" t="s">
        <v>2348</v>
      </c>
      <c r="D206" s="206" t="s">
        <v>2342</v>
      </c>
      <c r="E206" s="221" t="s">
        <v>1911</v>
      </c>
      <c r="F206" s="206" t="str">
        <f t="shared" si="70"/>
        <v>unused_JTAG_TDO</v>
      </c>
      <c r="G206" s="207"/>
      <c r="H206" s="206" t="s">
        <v>2336</v>
      </c>
      <c r="I206" s="206"/>
      <c r="J206" s="206"/>
      <c r="K206" s="206"/>
      <c r="L206" s="207"/>
      <c r="M206" s="206"/>
      <c r="N206" s="206"/>
      <c r="O206" s="206"/>
      <c r="P206" s="206"/>
      <c r="Q206" s="207" t="s">
        <v>650</v>
      </c>
      <c r="R206" s="206"/>
      <c r="S206" s="206"/>
      <c r="T206" s="197" t="s">
        <v>654</v>
      </c>
      <c r="U206" s="207"/>
      <c r="V206" s="208"/>
      <c r="W206" s="208"/>
      <c r="X206" s="208"/>
      <c r="Y206" s="209" t="s">
        <v>265</v>
      </c>
      <c r="Z206" s="209" t="s">
        <v>265</v>
      </c>
      <c r="AA206" s="255"/>
      <c r="AB206" s="251"/>
      <c r="AC206" s="248"/>
      <c r="AD206" s="248"/>
      <c r="AE206" s="234"/>
      <c r="AF206" s="251"/>
      <c r="AG206" s="251"/>
      <c r="AH206" s="251"/>
      <c r="AI206" s="246"/>
      <c r="AJ206" s="187" t="s">
        <v>3548</v>
      </c>
      <c r="AK206" s="256"/>
      <c r="AL206" s="256"/>
      <c r="AM206" s="256"/>
      <c r="AN206" s="256"/>
      <c r="AO206" s="256"/>
      <c r="AP206" s="260"/>
      <c r="AQ206" s="432"/>
      <c r="AR206" s="31" t="s">
        <v>2336</v>
      </c>
      <c r="AS206" s="372"/>
      <c r="AT206" s="31" t="s">
        <v>2336</v>
      </c>
      <c r="AU206" s="372"/>
      <c r="AV206" s="372"/>
    </row>
    <row r="207" spans="1:48" s="31" customFormat="1" ht="12.95" customHeight="1" x14ac:dyDescent="0.2">
      <c r="A207" s="206" t="s">
        <v>2337</v>
      </c>
      <c r="B207" s="274"/>
      <c r="C207" s="206" t="s">
        <v>2349</v>
      </c>
      <c r="D207" s="206" t="s">
        <v>2343</v>
      </c>
      <c r="E207" s="221" t="s">
        <v>1911</v>
      </c>
      <c r="F207" s="206" t="str">
        <f t="shared" si="70"/>
        <v>unused_JTAG_TMS</v>
      </c>
      <c r="G207" s="207"/>
      <c r="H207" s="206" t="s">
        <v>2337</v>
      </c>
      <c r="I207" s="206"/>
      <c r="J207" s="206"/>
      <c r="K207" s="206"/>
      <c r="L207" s="207"/>
      <c r="M207" s="206"/>
      <c r="N207" s="206"/>
      <c r="O207" s="206"/>
      <c r="P207" s="206"/>
      <c r="Q207" s="207" t="s">
        <v>650</v>
      </c>
      <c r="R207" s="206"/>
      <c r="S207" s="206"/>
      <c r="T207" s="197" t="s">
        <v>654</v>
      </c>
      <c r="U207" s="207"/>
      <c r="V207" s="208"/>
      <c r="W207" s="208"/>
      <c r="X207" s="208"/>
      <c r="Y207" s="209" t="s">
        <v>301</v>
      </c>
      <c r="Z207" s="209" t="s">
        <v>301</v>
      </c>
      <c r="AA207" s="255"/>
      <c r="AB207" s="251"/>
      <c r="AC207" s="248"/>
      <c r="AD207" s="248"/>
      <c r="AE207" s="234"/>
      <c r="AF207" s="251"/>
      <c r="AG207" s="251"/>
      <c r="AH207" s="251"/>
      <c r="AI207" s="246"/>
      <c r="AJ207" s="187" t="s">
        <v>3549</v>
      </c>
      <c r="AK207" s="256"/>
      <c r="AL207" s="256"/>
      <c r="AM207" s="256"/>
      <c r="AN207" s="256"/>
      <c r="AO207" s="256"/>
      <c r="AP207" s="260"/>
      <c r="AQ207" s="432"/>
      <c r="AR207" s="31" t="s">
        <v>2337</v>
      </c>
      <c r="AS207" s="372"/>
      <c r="AT207" s="31" t="s">
        <v>2337</v>
      </c>
      <c r="AU207" s="372"/>
      <c r="AV207" s="372"/>
    </row>
    <row r="208" spans="1:48" s="31" customFormat="1" ht="12.95" customHeight="1" x14ac:dyDescent="0.2">
      <c r="A208" s="206" t="s">
        <v>2338</v>
      </c>
      <c r="B208" s="274"/>
      <c r="C208" s="206" t="s">
        <v>2350</v>
      </c>
      <c r="D208" s="206" t="s">
        <v>2344</v>
      </c>
      <c r="E208" s="221" t="s">
        <v>1911</v>
      </c>
      <c r="F208" s="206" t="str">
        <f t="shared" si="70"/>
        <v>unused_JTAG_TCK</v>
      </c>
      <c r="G208" s="207"/>
      <c r="H208" s="206" t="s">
        <v>2338</v>
      </c>
      <c r="I208" s="206"/>
      <c r="J208" s="206"/>
      <c r="K208" s="206"/>
      <c r="L208" s="207"/>
      <c r="M208" s="206"/>
      <c r="N208" s="206"/>
      <c r="O208" s="206"/>
      <c r="P208" s="206"/>
      <c r="Q208" s="207" t="s">
        <v>650</v>
      </c>
      <c r="R208" s="206"/>
      <c r="S208" s="206"/>
      <c r="T208" s="197" t="s">
        <v>654</v>
      </c>
      <c r="U208" s="207"/>
      <c r="V208" s="208"/>
      <c r="W208" s="208"/>
      <c r="X208" s="208"/>
      <c r="Y208" s="209"/>
      <c r="Z208" s="209"/>
      <c r="AA208" s="255"/>
      <c r="AB208" s="251"/>
      <c r="AC208" s="248"/>
      <c r="AD208" s="248"/>
      <c r="AE208" s="234"/>
      <c r="AF208" s="251"/>
      <c r="AG208" s="251"/>
      <c r="AH208" s="251"/>
      <c r="AI208" s="246"/>
      <c r="AJ208" s="187" t="s">
        <v>3550</v>
      </c>
      <c r="AK208" s="256"/>
      <c r="AL208" s="256"/>
      <c r="AM208" s="256"/>
      <c r="AN208" s="256"/>
      <c r="AO208" s="256"/>
      <c r="AP208" s="260"/>
      <c r="AQ208" s="432"/>
      <c r="AR208" s="31" t="s">
        <v>2338</v>
      </c>
      <c r="AS208" s="372"/>
      <c r="AT208" s="31" t="s">
        <v>2338</v>
      </c>
      <c r="AU208" s="372"/>
      <c r="AV208" s="372"/>
    </row>
    <row r="209" spans="1:48" s="31" customFormat="1" ht="12.95" customHeight="1" thickBot="1" x14ac:dyDescent="0.25">
      <c r="A209" s="206" t="s">
        <v>2339</v>
      </c>
      <c r="B209" s="274"/>
      <c r="C209" s="206" t="s">
        <v>1928</v>
      </c>
      <c r="D209" s="206" t="s">
        <v>2345</v>
      </c>
      <c r="E209" s="221" t="s">
        <v>1911</v>
      </c>
      <c r="F209" s="206" t="str">
        <f t="shared" si="70"/>
        <v>unused_JTAG_TDI</v>
      </c>
      <c r="G209" s="207"/>
      <c r="H209" s="206" t="s">
        <v>2339</v>
      </c>
      <c r="I209" s="206"/>
      <c r="J209" s="206"/>
      <c r="K209" s="206"/>
      <c r="L209" s="207"/>
      <c r="M209" s="206"/>
      <c r="N209" s="206"/>
      <c r="O209" s="206"/>
      <c r="P209" s="206"/>
      <c r="Q209" s="207" t="s">
        <v>650</v>
      </c>
      <c r="R209" s="206"/>
      <c r="S209" s="206"/>
      <c r="T209" s="197" t="s">
        <v>654</v>
      </c>
      <c r="U209" s="207"/>
      <c r="V209" s="208"/>
      <c r="W209" s="208"/>
      <c r="X209" s="208"/>
      <c r="Y209" s="209" t="s">
        <v>301</v>
      </c>
      <c r="Z209" s="209" t="s">
        <v>301</v>
      </c>
      <c r="AA209" s="255"/>
      <c r="AB209" s="251"/>
      <c r="AC209" s="248"/>
      <c r="AD209" s="248"/>
      <c r="AE209" s="234"/>
      <c r="AF209" s="251"/>
      <c r="AG209" s="251"/>
      <c r="AH209" s="251"/>
      <c r="AI209" s="246"/>
      <c r="AJ209" s="188" t="s">
        <v>3551</v>
      </c>
      <c r="AK209" s="256"/>
      <c r="AL209" s="256"/>
      <c r="AM209" s="256"/>
      <c r="AN209" s="256"/>
      <c r="AO209" s="256"/>
      <c r="AP209" s="260"/>
      <c r="AQ209" s="433"/>
      <c r="AR209" s="31" t="s">
        <v>2339</v>
      </c>
      <c r="AS209" s="373"/>
      <c r="AT209" s="31" t="s">
        <v>2339</v>
      </c>
      <c r="AU209" s="373"/>
      <c r="AV209" s="373"/>
    </row>
    <row r="210" spans="1:48" ht="12.95" customHeight="1" thickBot="1" x14ac:dyDescent="0.3">
      <c r="A210" s="197" t="s">
        <v>185</v>
      </c>
      <c r="B210" s="271"/>
      <c r="C210" s="197" t="s">
        <v>1881</v>
      </c>
      <c r="D210" s="197" t="s">
        <v>1882</v>
      </c>
      <c r="E210" s="165" t="s">
        <v>1882</v>
      </c>
      <c r="F210" s="197" t="str">
        <f t="shared" si="66"/>
        <v>unused_KB_COL0</v>
      </c>
      <c r="G210" s="198" t="s">
        <v>952</v>
      </c>
      <c r="H210" s="197" t="s">
        <v>655</v>
      </c>
      <c r="I210" s="360" t="s">
        <v>3077</v>
      </c>
      <c r="J210" s="197" t="s">
        <v>656</v>
      </c>
      <c r="K210" s="360" t="s">
        <v>3077</v>
      </c>
      <c r="L210" s="198" t="s">
        <v>254</v>
      </c>
      <c r="M210" s="197" t="s">
        <v>254</v>
      </c>
      <c r="N210" s="197" t="s">
        <v>2062</v>
      </c>
      <c r="O210" s="197" t="s">
        <v>263</v>
      </c>
      <c r="P210" s="197" t="s">
        <v>253</v>
      </c>
      <c r="Q210" s="198" t="s">
        <v>650</v>
      </c>
      <c r="R210" s="197" t="s">
        <v>257</v>
      </c>
      <c r="S210" s="197">
        <v>100</v>
      </c>
      <c r="T210" s="197" t="s">
        <v>651</v>
      </c>
      <c r="U210" s="198">
        <v>0</v>
      </c>
      <c r="V210" s="199">
        <v>0</v>
      </c>
      <c r="W210" s="199">
        <v>1</v>
      </c>
      <c r="X210" s="199" t="s">
        <v>300</v>
      </c>
      <c r="Y210" s="200" t="s">
        <v>301</v>
      </c>
      <c r="Z210" s="200" t="s">
        <v>301</v>
      </c>
      <c r="AA210" s="233" t="str">
        <f t="shared" ref="AA210:AA238" si="71">IF((AJ210=H210),0,IF((AJ210=I210),1,IF((AJ210=J210),2,IF((AJ210=K210),3,IF((AJ210=G210),"GPIO",IF((AJ210=F210),"Unused"))))))</f>
        <v>Unused</v>
      </c>
      <c r="AB210" s="234" t="str">
        <f t="shared" ref="AB210:AB238" si="72">IF((OR($AA210=0,$AA210=1,$AA210=2,$AA210=3)),"SFIO",IF(($AA210="GPIO"),"GPIO","Unused"))</f>
        <v>Unused</v>
      </c>
      <c r="AC210" s="248"/>
      <c r="AD210" s="234" t="str">
        <f t="shared" ref="AD210:AD238" si="73">IF(($AB210="Unused"), "ENABLE", IF((OR($AK210="Bidir",$AK210="Out")), "NORMAL", IF((OR($AK210="IN",AL210="Z", AL210="Int PU",AL210="Int PD")),"ENABLE","NORMAL")))</f>
        <v>ENABLE</v>
      </c>
      <c r="AE210" s="234" t="str">
        <f t="shared" si="68"/>
        <v>DISABLE</v>
      </c>
      <c r="AF210" s="234" t="str">
        <f t="shared" ref="AF210:AF238" si="74">IF((OR((AND($AC210="Yes",$AN210="",OR($AK210="In",$AK210="Bidir"))),($AL210="Int PU"))),"PULL_UP",IF(($AL210="Int PD"),"PULL_DOWN",IF((OR($AB210="Unused",$AL210="Drive 1",$AL210="Drive 0",$AL210="Z",$AL210="na",$AL210="",$AN210&lt;&gt;"",$AO210&lt;&gt;"")),"NORMAL")))</f>
        <v>NORMAL</v>
      </c>
      <c r="AG210" s="248"/>
      <c r="AH210" s="234" t="str">
        <f t="shared" ref="AH210:AH233" si="75">IF((AND($AB210="GPIO",$AK210="Out")),"DRIVEN",IF((AND($AB210="GPIO",$AK210="Bidir")),"DRIVEN","TRISTATE"))</f>
        <v>TRISTATE</v>
      </c>
      <c r="AI210" s="234" t="str">
        <f t="shared" ref="AI210:AI233" si="76">IF((OR($AL210="Drive 0")),"LOW","HIGH")</f>
        <v>HIGH</v>
      </c>
      <c r="AJ210" s="182" t="s">
        <v>3717</v>
      </c>
      <c r="AK210" s="149" t="s">
        <v>2926</v>
      </c>
      <c r="AL210" s="153"/>
      <c r="AM210" s="256"/>
      <c r="AN210" s="152"/>
      <c r="AO210" s="152"/>
      <c r="AP210" s="349"/>
      <c r="AQ210" s="343" t="s">
        <v>3605</v>
      </c>
      <c r="AR210" s="6" t="s">
        <v>655</v>
      </c>
      <c r="AS210" s="394" t="s">
        <v>2158</v>
      </c>
      <c r="AT210" s="285" t="s">
        <v>655</v>
      </c>
      <c r="AU210" s="371" t="s">
        <v>2158</v>
      </c>
      <c r="AV210" s="439" t="s">
        <v>2466</v>
      </c>
    </row>
    <row r="211" spans="1:48" ht="12.95" customHeight="1" thickBot="1" x14ac:dyDescent="0.3">
      <c r="A211" s="197" t="s">
        <v>186</v>
      </c>
      <c r="B211" s="271"/>
      <c r="C211" s="197" t="s">
        <v>1883</v>
      </c>
      <c r="D211" s="197" t="s">
        <v>1884</v>
      </c>
      <c r="E211" s="165" t="s">
        <v>1884</v>
      </c>
      <c r="F211" s="197" t="str">
        <f t="shared" si="66"/>
        <v>unused_KB_COL1</v>
      </c>
      <c r="G211" s="198" t="s">
        <v>953</v>
      </c>
      <c r="H211" s="197" t="s">
        <v>657</v>
      </c>
      <c r="I211" s="360" t="s">
        <v>3077</v>
      </c>
      <c r="J211" s="197" t="s">
        <v>658</v>
      </c>
      <c r="K211" s="360" t="s">
        <v>3077</v>
      </c>
      <c r="L211" s="198" t="s">
        <v>254</v>
      </c>
      <c r="M211" s="197" t="s">
        <v>254</v>
      </c>
      <c r="N211" s="197" t="s">
        <v>2062</v>
      </c>
      <c r="O211" s="197" t="s">
        <v>263</v>
      </c>
      <c r="P211" s="197" t="s">
        <v>253</v>
      </c>
      <c r="Q211" s="198" t="s">
        <v>650</v>
      </c>
      <c r="R211" s="197" t="s">
        <v>257</v>
      </c>
      <c r="S211" s="197">
        <v>100</v>
      </c>
      <c r="T211" s="197" t="s">
        <v>651</v>
      </c>
      <c r="U211" s="198">
        <v>0</v>
      </c>
      <c r="V211" s="199">
        <v>0</v>
      </c>
      <c r="W211" s="199">
        <v>1</v>
      </c>
      <c r="X211" s="199" t="s">
        <v>300</v>
      </c>
      <c r="Y211" s="200" t="s">
        <v>301</v>
      </c>
      <c r="Z211" s="200" t="s">
        <v>301</v>
      </c>
      <c r="AA211" s="233" t="str">
        <f t="shared" si="71"/>
        <v>Unused</v>
      </c>
      <c r="AB211" s="234" t="str">
        <f t="shared" si="72"/>
        <v>Unused</v>
      </c>
      <c r="AC211" s="248"/>
      <c r="AD211" s="234" t="str">
        <f t="shared" si="73"/>
        <v>ENABLE</v>
      </c>
      <c r="AE211" s="234" t="str">
        <f t="shared" si="68"/>
        <v>DISABLE</v>
      </c>
      <c r="AF211" s="234" t="str">
        <f t="shared" si="74"/>
        <v>NORMAL</v>
      </c>
      <c r="AG211" s="248"/>
      <c r="AH211" s="234" t="str">
        <f t="shared" si="75"/>
        <v>TRISTATE</v>
      </c>
      <c r="AI211" s="234" t="str">
        <f t="shared" si="76"/>
        <v>HIGH</v>
      </c>
      <c r="AJ211" s="182" t="s">
        <v>3718</v>
      </c>
      <c r="AK211" s="149" t="s">
        <v>2926</v>
      </c>
      <c r="AL211" s="153"/>
      <c r="AM211" s="256"/>
      <c r="AN211" s="152"/>
      <c r="AO211" s="152"/>
      <c r="AP211" s="349"/>
      <c r="AQ211" s="343" t="s">
        <v>3606</v>
      </c>
      <c r="AR211" s="6" t="s">
        <v>657</v>
      </c>
      <c r="AS211" s="395"/>
      <c r="AT211" s="285" t="s">
        <v>657</v>
      </c>
      <c r="AU211" s="372"/>
      <c r="AV211" s="372"/>
    </row>
    <row r="212" spans="1:48" ht="12.95" customHeight="1" thickBot="1" x14ac:dyDescent="0.3">
      <c r="A212" s="197" t="s">
        <v>187</v>
      </c>
      <c r="B212" s="271"/>
      <c r="C212" s="197" t="s">
        <v>1885</v>
      </c>
      <c r="D212" s="197" t="s">
        <v>1886</v>
      </c>
      <c r="E212" s="165" t="s">
        <v>1886</v>
      </c>
      <c r="F212" s="197" t="str">
        <f t="shared" si="66"/>
        <v>unused_KB_COL2</v>
      </c>
      <c r="G212" s="198" t="s">
        <v>954</v>
      </c>
      <c r="H212" s="197" t="s">
        <v>659</v>
      </c>
      <c r="I212" s="360" t="s">
        <v>3077</v>
      </c>
      <c r="J212" s="197" t="s">
        <v>660</v>
      </c>
      <c r="K212" s="360" t="s">
        <v>3037</v>
      </c>
      <c r="L212" s="198" t="s">
        <v>254</v>
      </c>
      <c r="M212" s="197" t="s">
        <v>254</v>
      </c>
      <c r="N212" s="197" t="s">
        <v>2062</v>
      </c>
      <c r="O212" s="197" t="s">
        <v>263</v>
      </c>
      <c r="P212" s="197" t="s">
        <v>253</v>
      </c>
      <c r="Q212" s="198" t="s">
        <v>650</v>
      </c>
      <c r="R212" s="197" t="s">
        <v>257</v>
      </c>
      <c r="S212" s="197">
        <v>100</v>
      </c>
      <c r="T212" s="197" t="s">
        <v>651</v>
      </c>
      <c r="U212" s="198">
        <v>0</v>
      </c>
      <c r="V212" s="199">
        <v>0</v>
      </c>
      <c r="W212" s="199">
        <v>1</v>
      </c>
      <c r="X212" s="199" t="s">
        <v>300</v>
      </c>
      <c r="Y212" s="200" t="s">
        <v>301</v>
      </c>
      <c r="Z212" s="200" t="s">
        <v>301</v>
      </c>
      <c r="AA212" s="233" t="str">
        <f t="shared" si="71"/>
        <v>Unused</v>
      </c>
      <c r="AB212" s="234" t="str">
        <f t="shared" si="72"/>
        <v>Unused</v>
      </c>
      <c r="AC212" s="248"/>
      <c r="AD212" s="234" t="str">
        <f t="shared" si="73"/>
        <v>ENABLE</v>
      </c>
      <c r="AE212" s="234" t="str">
        <f t="shared" si="68"/>
        <v>DISABLE</v>
      </c>
      <c r="AF212" s="234" t="str">
        <f t="shared" si="74"/>
        <v>NORMAL</v>
      </c>
      <c r="AG212" s="248"/>
      <c r="AH212" s="234" t="str">
        <f t="shared" si="75"/>
        <v>TRISTATE</v>
      </c>
      <c r="AI212" s="234" t="str">
        <f t="shared" si="76"/>
        <v>HIGH</v>
      </c>
      <c r="AJ212" s="182" t="s">
        <v>3719</v>
      </c>
      <c r="AK212" s="149" t="s">
        <v>2926</v>
      </c>
      <c r="AL212" s="153"/>
      <c r="AM212" s="256"/>
      <c r="AN212" s="152"/>
      <c r="AO212" s="152"/>
      <c r="AP212" s="349"/>
      <c r="AQ212" s="343" t="s">
        <v>187</v>
      </c>
      <c r="AR212" s="6" t="s">
        <v>659</v>
      </c>
      <c r="AS212" s="395"/>
      <c r="AT212" s="285" t="s">
        <v>659</v>
      </c>
      <c r="AU212" s="372"/>
      <c r="AV212" s="372"/>
    </row>
    <row r="213" spans="1:48" ht="12.95" customHeight="1" thickBot="1" x14ac:dyDescent="0.3">
      <c r="A213" s="197" t="s">
        <v>188</v>
      </c>
      <c r="B213" s="271"/>
      <c r="C213" s="197" t="s">
        <v>1887</v>
      </c>
      <c r="D213" s="197" t="s">
        <v>1888</v>
      </c>
      <c r="E213" s="165" t="s">
        <v>1888</v>
      </c>
      <c r="F213" s="197" t="str">
        <f t="shared" si="66"/>
        <v>unused_KB_COL3</v>
      </c>
      <c r="G213" s="198" t="s">
        <v>955</v>
      </c>
      <c r="H213" s="197" t="s">
        <v>661</v>
      </c>
      <c r="I213" s="360" t="s">
        <v>3077</v>
      </c>
      <c r="J213" s="197" t="s">
        <v>662</v>
      </c>
      <c r="K213" s="360" t="s">
        <v>3037</v>
      </c>
      <c r="L213" s="198" t="s">
        <v>254</v>
      </c>
      <c r="M213" s="197" t="s">
        <v>254</v>
      </c>
      <c r="N213" s="197" t="s">
        <v>2062</v>
      </c>
      <c r="O213" s="197" t="s">
        <v>263</v>
      </c>
      <c r="P213" s="197" t="s">
        <v>253</v>
      </c>
      <c r="Q213" s="198" t="s">
        <v>650</v>
      </c>
      <c r="R213" s="197" t="s">
        <v>257</v>
      </c>
      <c r="S213" s="197">
        <v>100</v>
      </c>
      <c r="T213" s="197" t="s">
        <v>651</v>
      </c>
      <c r="U213" s="198">
        <v>0</v>
      </c>
      <c r="V213" s="199">
        <v>0</v>
      </c>
      <c r="W213" s="199">
        <v>1</v>
      </c>
      <c r="X213" s="199" t="s">
        <v>300</v>
      </c>
      <c r="Y213" s="200" t="s">
        <v>301</v>
      </c>
      <c r="Z213" s="200" t="s">
        <v>301</v>
      </c>
      <c r="AA213" s="233" t="str">
        <f t="shared" si="71"/>
        <v>Unused</v>
      </c>
      <c r="AB213" s="234" t="str">
        <f t="shared" si="72"/>
        <v>Unused</v>
      </c>
      <c r="AC213" s="248"/>
      <c r="AD213" s="234" t="str">
        <f t="shared" si="73"/>
        <v>ENABLE</v>
      </c>
      <c r="AE213" s="234" t="str">
        <f t="shared" si="68"/>
        <v>DISABLE</v>
      </c>
      <c r="AF213" s="234" t="str">
        <f t="shared" si="74"/>
        <v>NORMAL</v>
      </c>
      <c r="AG213" s="248"/>
      <c r="AH213" s="234" t="str">
        <f t="shared" si="75"/>
        <v>TRISTATE</v>
      </c>
      <c r="AI213" s="234" t="str">
        <f t="shared" si="76"/>
        <v>HIGH</v>
      </c>
      <c r="AJ213" s="182" t="s">
        <v>3720</v>
      </c>
      <c r="AK213" s="149" t="s">
        <v>2926</v>
      </c>
      <c r="AL213" s="153"/>
      <c r="AM213" s="256"/>
      <c r="AN213" s="152"/>
      <c r="AO213" s="152"/>
      <c r="AP213" s="349"/>
      <c r="AQ213" s="343" t="s">
        <v>188</v>
      </c>
      <c r="AR213" s="6" t="s">
        <v>661</v>
      </c>
      <c r="AS213" s="396"/>
      <c r="AT213" s="285" t="s">
        <v>661</v>
      </c>
      <c r="AU213" s="373"/>
      <c r="AV213" s="372"/>
    </row>
    <row r="214" spans="1:48" ht="12.95" customHeight="1" thickBot="1" x14ac:dyDescent="0.3">
      <c r="A214" s="197" t="s">
        <v>189</v>
      </c>
      <c r="B214" s="271"/>
      <c r="C214" s="197" t="s">
        <v>1889</v>
      </c>
      <c r="D214" s="197" t="s">
        <v>1890</v>
      </c>
      <c r="E214" s="165" t="s">
        <v>1890</v>
      </c>
      <c r="F214" s="197" t="str">
        <f t="shared" si="66"/>
        <v>unused_KB_COL4</v>
      </c>
      <c r="G214" s="198" t="s">
        <v>956</v>
      </c>
      <c r="H214" s="197" t="s">
        <v>663</v>
      </c>
      <c r="I214" s="360" t="s">
        <v>3077</v>
      </c>
      <c r="J214" s="197" t="s">
        <v>664</v>
      </c>
      <c r="K214" s="360" t="s">
        <v>3037</v>
      </c>
      <c r="L214" s="198" t="s">
        <v>254</v>
      </c>
      <c r="M214" s="197" t="s">
        <v>254</v>
      </c>
      <c r="N214" s="197" t="s">
        <v>2062</v>
      </c>
      <c r="O214" s="197" t="s">
        <v>263</v>
      </c>
      <c r="P214" s="197" t="s">
        <v>253</v>
      </c>
      <c r="Q214" s="198" t="s">
        <v>650</v>
      </c>
      <c r="R214" s="197" t="s">
        <v>257</v>
      </c>
      <c r="S214" s="197">
        <v>100</v>
      </c>
      <c r="T214" s="197" t="s">
        <v>651</v>
      </c>
      <c r="U214" s="198">
        <v>0</v>
      </c>
      <c r="V214" s="199">
        <v>0</v>
      </c>
      <c r="W214" s="199">
        <v>1</v>
      </c>
      <c r="X214" s="199" t="s">
        <v>300</v>
      </c>
      <c r="Y214" s="200" t="s">
        <v>301</v>
      </c>
      <c r="Z214" s="200" t="s">
        <v>301</v>
      </c>
      <c r="AA214" s="233" t="str">
        <f t="shared" si="71"/>
        <v>Unused</v>
      </c>
      <c r="AB214" s="234" t="str">
        <f t="shared" si="72"/>
        <v>Unused</v>
      </c>
      <c r="AC214" s="248"/>
      <c r="AD214" s="234" t="str">
        <f t="shared" si="73"/>
        <v>ENABLE</v>
      </c>
      <c r="AE214" s="234" t="str">
        <f t="shared" si="68"/>
        <v>DISABLE</v>
      </c>
      <c r="AF214" s="234" t="str">
        <f t="shared" si="74"/>
        <v>NORMAL</v>
      </c>
      <c r="AG214" s="248"/>
      <c r="AH214" s="234" t="str">
        <f t="shared" si="75"/>
        <v>TRISTATE</v>
      </c>
      <c r="AI214" s="234" t="str">
        <f t="shared" si="76"/>
        <v>HIGH</v>
      </c>
      <c r="AJ214" s="182" t="s">
        <v>1147</v>
      </c>
      <c r="AK214" s="149" t="s">
        <v>2926</v>
      </c>
      <c r="AL214" s="153"/>
      <c r="AM214" s="256"/>
      <c r="AN214" s="152"/>
      <c r="AO214" s="152"/>
      <c r="AP214" s="349"/>
      <c r="AQ214" s="345"/>
      <c r="AR214" s="5" t="s">
        <v>1147</v>
      </c>
      <c r="AS214" s="416"/>
      <c r="AT214" s="285" t="s">
        <v>1147</v>
      </c>
      <c r="AU214" s="437"/>
      <c r="AV214" s="372"/>
    </row>
    <row r="215" spans="1:48" ht="12.95" customHeight="1" thickBot="1" x14ac:dyDescent="0.3">
      <c r="A215" s="197" t="s">
        <v>190</v>
      </c>
      <c r="B215" s="271"/>
      <c r="C215" s="197" t="s">
        <v>1891</v>
      </c>
      <c r="D215" s="197" t="s">
        <v>1892</v>
      </c>
      <c r="E215" s="165" t="s">
        <v>1892</v>
      </c>
      <c r="F215" s="197" t="str">
        <f t="shared" si="66"/>
        <v>unused_KB_COL5</v>
      </c>
      <c r="G215" s="198" t="s">
        <v>957</v>
      </c>
      <c r="H215" s="197" t="s">
        <v>665</v>
      </c>
      <c r="I215" s="360" t="s">
        <v>3077</v>
      </c>
      <c r="J215" s="197" t="s">
        <v>666</v>
      </c>
      <c r="K215" s="360" t="s">
        <v>3037</v>
      </c>
      <c r="L215" s="198" t="s">
        <v>254</v>
      </c>
      <c r="M215" s="197" t="s">
        <v>254</v>
      </c>
      <c r="N215" s="197" t="s">
        <v>2062</v>
      </c>
      <c r="O215" s="197" t="s">
        <v>263</v>
      </c>
      <c r="P215" s="197" t="s">
        <v>253</v>
      </c>
      <c r="Q215" s="198" t="s">
        <v>650</v>
      </c>
      <c r="R215" s="197" t="s">
        <v>257</v>
      </c>
      <c r="S215" s="197">
        <v>100</v>
      </c>
      <c r="T215" s="197" t="s">
        <v>651</v>
      </c>
      <c r="U215" s="198">
        <v>0</v>
      </c>
      <c r="V215" s="199">
        <v>0</v>
      </c>
      <c r="W215" s="199">
        <v>1</v>
      </c>
      <c r="X215" s="199" t="s">
        <v>300</v>
      </c>
      <c r="Y215" s="200" t="s">
        <v>301</v>
      </c>
      <c r="Z215" s="200" t="s">
        <v>301</v>
      </c>
      <c r="AA215" s="233" t="str">
        <f t="shared" si="71"/>
        <v>Unused</v>
      </c>
      <c r="AB215" s="234" t="str">
        <f t="shared" si="72"/>
        <v>Unused</v>
      </c>
      <c r="AC215" s="248"/>
      <c r="AD215" s="234" t="str">
        <f t="shared" si="73"/>
        <v>ENABLE</v>
      </c>
      <c r="AE215" s="234" t="str">
        <f t="shared" si="68"/>
        <v>DISABLE</v>
      </c>
      <c r="AF215" s="234" t="str">
        <f t="shared" si="74"/>
        <v>NORMAL</v>
      </c>
      <c r="AG215" s="248"/>
      <c r="AH215" s="234" t="str">
        <f t="shared" si="75"/>
        <v>TRISTATE</v>
      </c>
      <c r="AI215" s="234" t="str">
        <f t="shared" si="76"/>
        <v>HIGH</v>
      </c>
      <c r="AJ215" s="182" t="s">
        <v>1148</v>
      </c>
      <c r="AK215" s="149" t="s">
        <v>2926</v>
      </c>
      <c r="AL215" s="153"/>
      <c r="AM215" s="256"/>
      <c r="AN215" s="152"/>
      <c r="AO215" s="152"/>
      <c r="AP215" s="349"/>
      <c r="AQ215" s="345"/>
      <c r="AR215" s="5" t="s">
        <v>1148</v>
      </c>
      <c r="AS215" s="416"/>
      <c r="AT215" s="285" t="s">
        <v>1148</v>
      </c>
      <c r="AU215" s="445"/>
      <c r="AV215" s="372"/>
    </row>
    <row r="216" spans="1:48" ht="12.95" customHeight="1" thickBot="1" x14ac:dyDescent="0.3">
      <c r="A216" s="197" t="s">
        <v>191</v>
      </c>
      <c r="B216" s="271" t="s">
        <v>2991</v>
      </c>
      <c r="C216" s="197" t="s">
        <v>1893</v>
      </c>
      <c r="D216" s="197" t="s">
        <v>1894</v>
      </c>
      <c r="E216" s="220" t="s">
        <v>1894</v>
      </c>
      <c r="F216" s="197" t="str">
        <f t="shared" si="66"/>
        <v>unused_KB_COL6</v>
      </c>
      <c r="G216" s="198" t="s">
        <v>958</v>
      </c>
      <c r="H216" s="197" t="s">
        <v>667</v>
      </c>
      <c r="I216" s="360" t="s">
        <v>3077</v>
      </c>
      <c r="J216" s="197" t="s">
        <v>668</v>
      </c>
      <c r="K216" s="360" t="s">
        <v>3077</v>
      </c>
      <c r="L216" s="198" t="s">
        <v>254</v>
      </c>
      <c r="M216" s="197" t="s">
        <v>254</v>
      </c>
      <c r="N216" s="197" t="s">
        <v>2062</v>
      </c>
      <c r="O216" s="197" t="s">
        <v>263</v>
      </c>
      <c r="P216" s="197" t="s">
        <v>253</v>
      </c>
      <c r="Q216" s="198" t="s">
        <v>650</v>
      </c>
      <c r="R216" s="197" t="s">
        <v>257</v>
      </c>
      <c r="S216" s="197">
        <v>100</v>
      </c>
      <c r="T216" s="197" t="s">
        <v>651</v>
      </c>
      <c r="U216" s="198">
        <v>0</v>
      </c>
      <c r="V216" s="199">
        <v>0</v>
      </c>
      <c r="W216" s="199">
        <v>1</v>
      </c>
      <c r="X216" s="199" t="s">
        <v>300</v>
      </c>
      <c r="Y216" s="200" t="s">
        <v>301</v>
      </c>
      <c r="Z216" s="200" t="s">
        <v>301</v>
      </c>
      <c r="AA216" s="233" t="str">
        <f t="shared" si="71"/>
        <v>Unused</v>
      </c>
      <c r="AB216" s="234" t="str">
        <f t="shared" si="72"/>
        <v>Unused</v>
      </c>
      <c r="AC216" s="248"/>
      <c r="AD216" s="234" t="str">
        <f t="shared" si="73"/>
        <v>ENABLE</v>
      </c>
      <c r="AE216" s="234" t="str">
        <f t="shared" si="68"/>
        <v>DISABLE</v>
      </c>
      <c r="AF216" s="234" t="str">
        <f t="shared" si="74"/>
        <v>NORMAL</v>
      </c>
      <c r="AG216" s="248"/>
      <c r="AH216" s="234" t="str">
        <f t="shared" si="75"/>
        <v>TRISTATE</v>
      </c>
      <c r="AI216" s="234" t="str">
        <f t="shared" si="76"/>
        <v>HIGH</v>
      </c>
      <c r="AJ216" s="182" t="s">
        <v>1149</v>
      </c>
      <c r="AK216" s="149" t="s">
        <v>2926</v>
      </c>
      <c r="AL216" s="153"/>
      <c r="AM216" s="256"/>
      <c r="AN216" s="152"/>
      <c r="AO216" s="152"/>
      <c r="AP216" s="349"/>
      <c r="AQ216" s="345"/>
      <c r="AR216" s="5" t="s">
        <v>1149</v>
      </c>
      <c r="AS216" s="416"/>
      <c r="AT216" s="285" t="s">
        <v>1149</v>
      </c>
      <c r="AU216" s="445"/>
      <c r="AV216" s="372"/>
    </row>
    <row r="217" spans="1:48" ht="12.95" customHeight="1" thickBot="1" x14ac:dyDescent="0.3">
      <c r="A217" s="197" t="s">
        <v>192</v>
      </c>
      <c r="B217" s="271" t="s">
        <v>2991</v>
      </c>
      <c r="C217" s="197" t="s">
        <v>1858</v>
      </c>
      <c r="D217" s="197" t="s">
        <v>1895</v>
      </c>
      <c r="E217" s="220" t="s">
        <v>1895</v>
      </c>
      <c r="F217" s="197" t="str">
        <f t="shared" si="66"/>
        <v>unused_KB_COL7</v>
      </c>
      <c r="G217" s="198" t="s">
        <v>959</v>
      </c>
      <c r="H217" s="197" t="s">
        <v>669</v>
      </c>
      <c r="I217" s="360" t="s">
        <v>3077</v>
      </c>
      <c r="J217" s="197" t="s">
        <v>670</v>
      </c>
      <c r="K217" s="360" t="s">
        <v>3077</v>
      </c>
      <c r="L217" s="198" t="s">
        <v>254</v>
      </c>
      <c r="M217" s="197" t="s">
        <v>254</v>
      </c>
      <c r="N217" s="197" t="s">
        <v>2062</v>
      </c>
      <c r="O217" s="197" t="s">
        <v>263</v>
      </c>
      <c r="P217" s="197" t="s">
        <v>253</v>
      </c>
      <c r="Q217" s="198" t="s">
        <v>650</v>
      </c>
      <c r="R217" s="197" t="s">
        <v>257</v>
      </c>
      <c r="S217" s="197">
        <v>100</v>
      </c>
      <c r="T217" s="197" t="s">
        <v>651</v>
      </c>
      <c r="U217" s="198">
        <v>0</v>
      </c>
      <c r="V217" s="199">
        <v>0</v>
      </c>
      <c r="W217" s="199">
        <v>1</v>
      </c>
      <c r="X217" s="199" t="s">
        <v>300</v>
      </c>
      <c r="Y217" s="200" t="s">
        <v>301</v>
      </c>
      <c r="Z217" s="200" t="s">
        <v>301</v>
      </c>
      <c r="AA217" s="233" t="str">
        <f t="shared" si="71"/>
        <v>Unused</v>
      </c>
      <c r="AB217" s="234" t="str">
        <f t="shared" si="72"/>
        <v>Unused</v>
      </c>
      <c r="AC217" s="248"/>
      <c r="AD217" s="234" t="str">
        <f t="shared" si="73"/>
        <v>ENABLE</v>
      </c>
      <c r="AE217" s="234" t="str">
        <f t="shared" si="68"/>
        <v>DISABLE</v>
      </c>
      <c r="AF217" s="234" t="str">
        <f t="shared" si="74"/>
        <v>NORMAL</v>
      </c>
      <c r="AG217" s="248"/>
      <c r="AH217" s="234" t="str">
        <f t="shared" si="75"/>
        <v>TRISTATE</v>
      </c>
      <c r="AI217" s="234" t="str">
        <f t="shared" si="76"/>
        <v>HIGH</v>
      </c>
      <c r="AJ217" s="182" t="s">
        <v>1100</v>
      </c>
      <c r="AK217" s="149" t="s">
        <v>2926</v>
      </c>
      <c r="AL217" s="153"/>
      <c r="AM217" s="256"/>
      <c r="AN217" s="152"/>
      <c r="AO217" s="152"/>
      <c r="AP217" s="349"/>
      <c r="AQ217" s="345"/>
      <c r="AR217" s="5" t="s">
        <v>1100</v>
      </c>
      <c r="AS217" s="416"/>
      <c r="AT217" s="285" t="s">
        <v>1100</v>
      </c>
      <c r="AU217" s="438"/>
      <c r="AV217" s="372"/>
    </row>
    <row r="218" spans="1:48" ht="12.95" customHeight="1" thickBot="1" x14ac:dyDescent="0.3">
      <c r="A218" s="197" t="s">
        <v>193</v>
      </c>
      <c r="B218" s="271"/>
      <c r="C218" s="197" t="s">
        <v>1896</v>
      </c>
      <c r="D218" s="197" t="s">
        <v>1897</v>
      </c>
      <c r="E218" s="165" t="s">
        <v>1897</v>
      </c>
      <c r="F218" s="197" t="str">
        <f t="shared" si="66"/>
        <v>unused_KB_ROW0</v>
      </c>
      <c r="G218" s="198" t="s">
        <v>960</v>
      </c>
      <c r="H218" s="197" t="s">
        <v>671</v>
      </c>
      <c r="I218" s="360" t="s">
        <v>3077</v>
      </c>
      <c r="J218" s="360" t="s">
        <v>3076</v>
      </c>
      <c r="K218" s="360" t="s">
        <v>3090</v>
      </c>
      <c r="L218" s="198" t="s">
        <v>254</v>
      </c>
      <c r="M218" s="197" t="s">
        <v>254</v>
      </c>
      <c r="N218" s="197" t="s">
        <v>2062</v>
      </c>
      <c r="O218" s="197" t="s">
        <v>263</v>
      </c>
      <c r="P218" s="197" t="s">
        <v>253</v>
      </c>
      <c r="Q218" s="198" t="s">
        <v>650</v>
      </c>
      <c r="R218" s="197" t="s">
        <v>257</v>
      </c>
      <c r="S218" s="197">
        <v>100</v>
      </c>
      <c r="T218" s="197" t="s">
        <v>672</v>
      </c>
      <c r="U218" s="198">
        <v>0</v>
      </c>
      <c r="V218" s="199">
        <v>0</v>
      </c>
      <c r="W218" s="199">
        <v>1</v>
      </c>
      <c r="X218" s="199" t="s">
        <v>259</v>
      </c>
      <c r="Y218" s="200" t="s">
        <v>260</v>
      </c>
      <c r="Z218" s="200" t="s">
        <v>260</v>
      </c>
      <c r="AA218" s="233" t="str">
        <f t="shared" si="71"/>
        <v>Unused</v>
      </c>
      <c r="AB218" s="234" t="str">
        <f t="shared" si="72"/>
        <v>Unused</v>
      </c>
      <c r="AC218" s="248"/>
      <c r="AD218" s="234" t="str">
        <f t="shared" si="73"/>
        <v>ENABLE</v>
      </c>
      <c r="AE218" s="234" t="str">
        <f t="shared" si="68"/>
        <v>DISABLE</v>
      </c>
      <c r="AF218" s="234" t="str">
        <f t="shared" si="74"/>
        <v>NORMAL</v>
      </c>
      <c r="AG218" s="248"/>
      <c r="AH218" s="234" t="str">
        <f t="shared" si="75"/>
        <v>TRISTATE</v>
      </c>
      <c r="AI218" s="234" t="str">
        <f t="shared" si="76"/>
        <v>HIGH</v>
      </c>
      <c r="AJ218" s="182" t="s">
        <v>3721</v>
      </c>
      <c r="AK218" s="149" t="s">
        <v>2926</v>
      </c>
      <c r="AL218" s="153"/>
      <c r="AM218" s="256"/>
      <c r="AN218" s="152"/>
      <c r="AO218" s="152"/>
      <c r="AP218" s="349"/>
      <c r="AQ218" s="343" t="s">
        <v>193</v>
      </c>
      <c r="AR218" s="6" t="s">
        <v>671</v>
      </c>
      <c r="AS218" s="394" t="s">
        <v>2158</v>
      </c>
      <c r="AT218" s="285" t="s">
        <v>193</v>
      </c>
      <c r="AU218" s="371" t="s">
        <v>2158</v>
      </c>
      <c r="AV218" s="372"/>
    </row>
    <row r="219" spans="1:48" ht="12.95" customHeight="1" thickBot="1" x14ac:dyDescent="0.3">
      <c r="A219" s="197" t="s">
        <v>194</v>
      </c>
      <c r="B219" s="271"/>
      <c r="C219" s="197" t="s">
        <v>1898</v>
      </c>
      <c r="D219" s="197" t="s">
        <v>1899</v>
      </c>
      <c r="E219" s="165" t="s">
        <v>1899</v>
      </c>
      <c r="F219" s="197" t="str">
        <f t="shared" si="66"/>
        <v>unused_KB_ROW1</v>
      </c>
      <c r="G219" s="198" t="s">
        <v>961</v>
      </c>
      <c r="H219" s="197" t="s">
        <v>673</v>
      </c>
      <c r="I219" s="360" t="s">
        <v>3077</v>
      </c>
      <c r="J219" s="360" t="s">
        <v>3076</v>
      </c>
      <c r="K219" s="360" t="s">
        <v>3090</v>
      </c>
      <c r="L219" s="198" t="s">
        <v>254</v>
      </c>
      <c r="M219" s="197" t="s">
        <v>254</v>
      </c>
      <c r="N219" s="197" t="s">
        <v>2062</v>
      </c>
      <c r="O219" s="197" t="s">
        <v>263</v>
      </c>
      <c r="P219" s="197" t="s">
        <v>253</v>
      </c>
      <c r="Q219" s="198" t="s">
        <v>650</v>
      </c>
      <c r="R219" s="197" t="s">
        <v>257</v>
      </c>
      <c r="S219" s="197">
        <v>100</v>
      </c>
      <c r="T219" s="197" t="s">
        <v>672</v>
      </c>
      <c r="U219" s="198">
        <v>0</v>
      </c>
      <c r="V219" s="199">
        <v>0</v>
      </c>
      <c r="W219" s="199">
        <v>1</v>
      </c>
      <c r="X219" s="199" t="s">
        <v>259</v>
      </c>
      <c r="Y219" s="200" t="s">
        <v>260</v>
      </c>
      <c r="Z219" s="200" t="s">
        <v>260</v>
      </c>
      <c r="AA219" s="233" t="str">
        <f t="shared" si="71"/>
        <v>Unused</v>
      </c>
      <c r="AB219" s="234" t="str">
        <f t="shared" si="72"/>
        <v>Unused</v>
      </c>
      <c r="AC219" s="248"/>
      <c r="AD219" s="234" t="str">
        <f t="shared" si="73"/>
        <v>ENABLE</v>
      </c>
      <c r="AE219" s="234" t="str">
        <f t="shared" si="68"/>
        <v>DISABLE</v>
      </c>
      <c r="AF219" s="234" t="str">
        <f t="shared" si="74"/>
        <v>NORMAL</v>
      </c>
      <c r="AG219" s="248"/>
      <c r="AH219" s="234" t="str">
        <f t="shared" si="75"/>
        <v>TRISTATE</v>
      </c>
      <c r="AI219" s="234" t="str">
        <f t="shared" si="76"/>
        <v>HIGH</v>
      </c>
      <c r="AJ219" s="182" t="s">
        <v>3722</v>
      </c>
      <c r="AK219" s="149" t="s">
        <v>2926</v>
      </c>
      <c r="AL219" s="153"/>
      <c r="AM219" s="257"/>
      <c r="AN219" s="152"/>
      <c r="AO219" s="152"/>
      <c r="AP219" s="349"/>
      <c r="AQ219" s="343" t="s">
        <v>194</v>
      </c>
      <c r="AR219" s="6" t="s">
        <v>673</v>
      </c>
      <c r="AS219" s="396"/>
      <c r="AT219" s="285" t="s">
        <v>194</v>
      </c>
      <c r="AU219" s="373"/>
      <c r="AV219" s="372"/>
    </row>
    <row r="220" spans="1:48" ht="12.95" customHeight="1" thickBot="1" x14ac:dyDescent="0.3">
      <c r="A220" s="197" t="s">
        <v>195</v>
      </c>
      <c r="B220" s="271"/>
      <c r="C220" s="197" t="s">
        <v>1900</v>
      </c>
      <c r="D220" s="197" t="s">
        <v>1901</v>
      </c>
      <c r="E220" s="165" t="s">
        <v>1901</v>
      </c>
      <c r="F220" s="197" t="str">
        <f t="shared" si="66"/>
        <v>unused_KB_ROW10</v>
      </c>
      <c r="G220" s="198" t="s">
        <v>962</v>
      </c>
      <c r="H220" s="197" t="s">
        <v>674</v>
      </c>
      <c r="I220" s="360" t="s">
        <v>3077</v>
      </c>
      <c r="J220" s="197" t="s">
        <v>675</v>
      </c>
      <c r="K220" s="360" t="s">
        <v>3077</v>
      </c>
      <c r="L220" s="198" t="s">
        <v>254</v>
      </c>
      <c r="M220" s="197" t="s">
        <v>254</v>
      </c>
      <c r="N220" s="197" t="s">
        <v>2062</v>
      </c>
      <c r="O220" s="197" t="s">
        <v>263</v>
      </c>
      <c r="P220" s="197">
        <v>9</v>
      </c>
      <c r="Q220" s="198" t="s">
        <v>650</v>
      </c>
      <c r="R220" s="197" t="s">
        <v>257</v>
      </c>
      <c r="S220" s="197">
        <v>50</v>
      </c>
      <c r="T220" s="197" t="s">
        <v>651</v>
      </c>
      <c r="U220" s="198">
        <v>0</v>
      </c>
      <c r="V220" s="199">
        <v>0</v>
      </c>
      <c r="W220" s="199">
        <v>1</v>
      </c>
      <c r="X220" s="199" t="s">
        <v>259</v>
      </c>
      <c r="Y220" s="200" t="s">
        <v>260</v>
      </c>
      <c r="Z220" s="200" t="s">
        <v>260</v>
      </c>
      <c r="AA220" s="233" t="str">
        <f t="shared" si="71"/>
        <v>Unused</v>
      </c>
      <c r="AB220" s="234" t="str">
        <f t="shared" si="72"/>
        <v>Unused</v>
      </c>
      <c r="AC220" s="248"/>
      <c r="AD220" s="234" t="str">
        <f t="shared" si="73"/>
        <v>ENABLE</v>
      </c>
      <c r="AE220" s="234" t="str">
        <f t="shared" si="68"/>
        <v>DISABLE</v>
      </c>
      <c r="AF220" s="234" t="str">
        <f t="shared" si="74"/>
        <v>NORMAL</v>
      </c>
      <c r="AG220" s="248"/>
      <c r="AH220" s="234" t="str">
        <f t="shared" si="75"/>
        <v>TRISTATE</v>
      </c>
      <c r="AI220" s="234" t="str">
        <f t="shared" si="76"/>
        <v>HIGH</v>
      </c>
      <c r="AJ220" s="182" t="s">
        <v>1150</v>
      </c>
      <c r="AK220" s="149" t="s">
        <v>2926</v>
      </c>
      <c r="AL220" s="153"/>
      <c r="AM220" s="168"/>
      <c r="AN220" s="152"/>
      <c r="AO220" s="152"/>
      <c r="AP220" s="349"/>
      <c r="AQ220" s="343" t="s">
        <v>3607</v>
      </c>
      <c r="AR220" s="6" t="s">
        <v>962</v>
      </c>
      <c r="AS220" s="43"/>
      <c r="AT220" s="285" t="s">
        <v>1150</v>
      </c>
      <c r="AU220" s="105"/>
      <c r="AV220" s="372"/>
    </row>
    <row r="221" spans="1:48" ht="12.95" customHeight="1" thickBot="1" x14ac:dyDescent="0.3">
      <c r="A221" s="197" t="s">
        <v>196</v>
      </c>
      <c r="B221" s="271" t="s">
        <v>2991</v>
      </c>
      <c r="C221" s="197" t="s">
        <v>1902</v>
      </c>
      <c r="D221" s="197" t="s">
        <v>1903</v>
      </c>
      <c r="E221" s="220" t="s">
        <v>1903</v>
      </c>
      <c r="F221" s="197" t="str">
        <f t="shared" si="66"/>
        <v>unused_KB_ROW11</v>
      </c>
      <c r="G221" s="198" t="s">
        <v>963</v>
      </c>
      <c r="H221" s="197" t="s">
        <v>676</v>
      </c>
      <c r="I221" s="360" t="s">
        <v>3077</v>
      </c>
      <c r="J221" s="197" t="s">
        <v>677</v>
      </c>
      <c r="K221" s="360" t="s">
        <v>3077</v>
      </c>
      <c r="L221" s="198" t="s">
        <v>254</v>
      </c>
      <c r="M221" s="197" t="s">
        <v>254</v>
      </c>
      <c r="N221" s="197" t="s">
        <v>2062</v>
      </c>
      <c r="O221" s="197" t="s">
        <v>263</v>
      </c>
      <c r="P221" s="197" t="s">
        <v>253</v>
      </c>
      <c r="Q221" s="198" t="s">
        <v>650</v>
      </c>
      <c r="R221" s="197" t="s">
        <v>257</v>
      </c>
      <c r="S221" s="197">
        <v>50</v>
      </c>
      <c r="T221" s="197" t="s">
        <v>651</v>
      </c>
      <c r="U221" s="198">
        <v>0</v>
      </c>
      <c r="V221" s="199">
        <v>0</v>
      </c>
      <c r="W221" s="199">
        <v>1</v>
      </c>
      <c r="X221" s="199" t="s">
        <v>259</v>
      </c>
      <c r="Y221" s="200" t="s">
        <v>260</v>
      </c>
      <c r="Z221" s="200" t="s">
        <v>260</v>
      </c>
      <c r="AA221" s="233" t="str">
        <f t="shared" si="71"/>
        <v>Unused</v>
      </c>
      <c r="AB221" s="234" t="str">
        <f t="shared" si="72"/>
        <v>Unused</v>
      </c>
      <c r="AC221" s="234" t="str">
        <f>IF(REPLACE(AJ221,FIND(".",CONCATENATE(REPLACE(AJ221,FIND("-",CONCATENATE(AJ221,"-")),LEN(AJ221),""),".")),LEN(AJ221),"")="SDMMC2","Yes","No")</f>
        <v>No</v>
      </c>
      <c r="AD221" s="234" t="str">
        <f t="shared" si="73"/>
        <v>ENABLE</v>
      </c>
      <c r="AE221" s="234" t="str">
        <f t="shared" si="68"/>
        <v>DISABLE</v>
      </c>
      <c r="AF221" s="234" t="str">
        <f t="shared" si="74"/>
        <v>NORMAL</v>
      </c>
      <c r="AG221" s="248"/>
      <c r="AH221" s="234" t="str">
        <f t="shared" si="75"/>
        <v>TRISTATE</v>
      </c>
      <c r="AI221" s="234" t="str">
        <f t="shared" si="76"/>
        <v>HIGH</v>
      </c>
      <c r="AJ221" s="182" t="s">
        <v>2123</v>
      </c>
      <c r="AK221" s="149" t="s">
        <v>2926</v>
      </c>
      <c r="AL221" s="153"/>
      <c r="AM221" s="259"/>
      <c r="AN221" s="152"/>
      <c r="AO221" s="152"/>
      <c r="AP221" s="349"/>
      <c r="AQ221" s="346" t="s">
        <v>3608</v>
      </c>
      <c r="AR221" s="6" t="s">
        <v>2123</v>
      </c>
      <c r="AS221" s="44" t="s">
        <v>1196</v>
      </c>
      <c r="AT221" s="285" t="s">
        <v>963</v>
      </c>
      <c r="AU221" s="44" t="s">
        <v>2421</v>
      </c>
      <c r="AV221" s="372"/>
    </row>
    <row r="222" spans="1:48" ht="12.95" customHeight="1" thickBot="1" x14ac:dyDescent="0.3">
      <c r="A222" s="197" t="s">
        <v>197</v>
      </c>
      <c r="B222" s="271" t="s">
        <v>2991</v>
      </c>
      <c r="C222" s="197" t="s">
        <v>1904</v>
      </c>
      <c r="D222" s="197" t="s">
        <v>1905</v>
      </c>
      <c r="E222" s="220" t="s">
        <v>1905</v>
      </c>
      <c r="F222" s="197" t="str">
        <f t="shared" si="66"/>
        <v>unused_KB_ROW12</v>
      </c>
      <c r="G222" s="198" t="s">
        <v>964</v>
      </c>
      <c r="H222" s="197" t="s">
        <v>678</v>
      </c>
      <c r="I222" s="360" t="s">
        <v>3077</v>
      </c>
      <c r="J222" s="197" t="s">
        <v>679</v>
      </c>
      <c r="K222" s="360" t="s">
        <v>3077</v>
      </c>
      <c r="L222" s="198" t="s">
        <v>254</v>
      </c>
      <c r="M222" s="197" t="s">
        <v>254</v>
      </c>
      <c r="N222" s="197" t="s">
        <v>2062</v>
      </c>
      <c r="O222" s="197" t="s">
        <v>263</v>
      </c>
      <c r="P222" s="197">
        <v>25</v>
      </c>
      <c r="Q222" s="198" t="s">
        <v>650</v>
      </c>
      <c r="R222" s="197" t="s">
        <v>257</v>
      </c>
      <c r="S222" s="197">
        <v>50</v>
      </c>
      <c r="T222" s="197" t="s">
        <v>651</v>
      </c>
      <c r="U222" s="198">
        <v>0</v>
      </c>
      <c r="V222" s="199">
        <v>0</v>
      </c>
      <c r="W222" s="199">
        <v>1</v>
      </c>
      <c r="X222" s="199" t="s">
        <v>259</v>
      </c>
      <c r="Y222" s="200" t="s">
        <v>260</v>
      </c>
      <c r="Z222" s="200" t="s">
        <v>260</v>
      </c>
      <c r="AA222" s="233" t="str">
        <f t="shared" si="71"/>
        <v>Unused</v>
      </c>
      <c r="AB222" s="234" t="str">
        <f t="shared" si="72"/>
        <v>Unused</v>
      </c>
      <c r="AC222" s="234" t="str">
        <f>IF(REPLACE(AJ222,FIND(".",CONCATENATE(REPLACE(AJ222,FIND("-",CONCATENATE(AJ222,"-")),LEN(AJ222),""),".")),LEN(AJ222),"")="SDMMC2","Yes","No")</f>
        <v>No</v>
      </c>
      <c r="AD222" s="234" t="str">
        <f t="shared" si="73"/>
        <v>ENABLE</v>
      </c>
      <c r="AE222" s="234" t="str">
        <f t="shared" si="68"/>
        <v>DISABLE</v>
      </c>
      <c r="AF222" s="234" t="str">
        <f t="shared" si="74"/>
        <v>NORMAL</v>
      </c>
      <c r="AG222" s="248"/>
      <c r="AH222" s="234" t="str">
        <f t="shared" si="75"/>
        <v>TRISTATE</v>
      </c>
      <c r="AI222" s="234" t="str">
        <f t="shared" si="76"/>
        <v>HIGH</v>
      </c>
      <c r="AJ222" s="182" t="s">
        <v>1151</v>
      </c>
      <c r="AK222" s="149" t="s">
        <v>2926</v>
      </c>
      <c r="AL222" s="153"/>
      <c r="AM222" s="168"/>
      <c r="AN222" s="152"/>
      <c r="AO222" s="152"/>
      <c r="AP222" s="349"/>
      <c r="AQ222" s="346" t="s">
        <v>1174</v>
      </c>
      <c r="AR222" s="6" t="s">
        <v>964</v>
      </c>
      <c r="AS222" s="416"/>
      <c r="AT222" s="285" t="s">
        <v>1151</v>
      </c>
      <c r="AU222" s="437"/>
      <c r="AV222" s="372"/>
    </row>
    <row r="223" spans="1:48" ht="12.95" customHeight="1" thickBot="1" x14ac:dyDescent="0.3">
      <c r="A223" s="197" t="s">
        <v>198</v>
      </c>
      <c r="B223" s="271" t="s">
        <v>2991</v>
      </c>
      <c r="C223" s="197" t="s">
        <v>1906</v>
      </c>
      <c r="D223" s="197" t="s">
        <v>1907</v>
      </c>
      <c r="E223" s="220" t="s">
        <v>1907</v>
      </c>
      <c r="F223" s="197" t="str">
        <f t="shared" si="66"/>
        <v>unused_KB_ROW13</v>
      </c>
      <c r="G223" s="198" t="s">
        <v>965</v>
      </c>
      <c r="H223" s="197" t="s">
        <v>680</v>
      </c>
      <c r="I223" s="360" t="s">
        <v>3077</v>
      </c>
      <c r="J223" s="197" t="s">
        <v>681</v>
      </c>
      <c r="K223" s="360" t="s">
        <v>3077</v>
      </c>
      <c r="L223" s="198" t="s">
        <v>254</v>
      </c>
      <c r="M223" s="197" t="s">
        <v>254</v>
      </c>
      <c r="N223" s="197" t="s">
        <v>2062</v>
      </c>
      <c r="O223" s="197" t="s">
        <v>263</v>
      </c>
      <c r="P223" s="197">
        <v>26</v>
      </c>
      <c r="Q223" s="198" t="s">
        <v>650</v>
      </c>
      <c r="R223" s="197" t="s">
        <v>257</v>
      </c>
      <c r="S223" s="197">
        <v>50</v>
      </c>
      <c r="T223" s="197" t="s">
        <v>651</v>
      </c>
      <c r="U223" s="198">
        <v>0</v>
      </c>
      <c r="V223" s="199">
        <v>0</v>
      </c>
      <c r="W223" s="199">
        <v>1</v>
      </c>
      <c r="X223" s="199" t="s">
        <v>259</v>
      </c>
      <c r="Y223" s="200" t="s">
        <v>260</v>
      </c>
      <c r="Z223" s="200" t="s">
        <v>260</v>
      </c>
      <c r="AA223" s="233" t="str">
        <f t="shared" si="71"/>
        <v>Unused</v>
      </c>
      <c r="AB223" s="234" t="str">
        <f t="shared" si="72"/>
        <v>Unused</v>
      </c>
      <c r="AC223" s="234" t="str">
        <f>IF(REPLACE(AJ223,FIND(".",CONCATENATE(REPLACE(AJ223,FIND("-",CONCATENATE(AJ223,"-")),LEN(AJ223),""),".")),LEN(AJ223),"")="SDMMC2","Yes","No")</f>
        <v>No</v>
      </c>
      <c r="AD223" s="234" t="str">
        <f t="shared" si="73"/>
        <v>ENABLE</v>
      </c>
      <c r="AE223" s="234" t="str">
        <f t="shared" si="68"/>
        <v>DISABLE</v>
      </c>
      <c r="AF223" s="234" t="str">
        <f t="shared" si="74"/>
        <v>NORMAL</v>
      </c>
      <c r="AG223" s="248"/>
      <c r="AH223" s="234" t="str">
        <f t="shared" si="75"/>
        <v>TRISTATE</v>
      </c>
      <c r="AI223" s="234" t="str">
        <f t="shared" si="76"/>
        <v>HIGH</v>
      </c>
      <c r="AJ223" s="182" t="s">
        <v>1152</v>
      </c>
      <c r="AK223" s="149" t="s">
        <v>2926</v>
      </c>
      <c r="AL223" s="153"/>
      <c r="AM223" s="168"/>
      <c r="AN223" s="152"/>
      <c r="AO223" s="152"/>
      <c r="AP223" s="349"/>
      <c r="AQ223" s="346" t="s">
        <v>1175</v>
      </c>
      <c r="AR223" s="6" t="s">
        <v>1152</v>
      </c>
      <c r="AS223" s="416"/>
      <c r="AT223" s="285" t="s">
        <v>1152</v>
      </c>
      <c r="AU223" s="445"/>
      <c r="AV223" s="372"/>
    </row>
    <row r="224" spans="1:48" ht="12.95" customHeight="1" thickBot="1" x14ac:dyDescent="0.3">
      <c r="A224" s="197" t="s">
        <v>199</v>
      </c>
      <c r="B224" s="271" t="s">
        <v>2991</v>
      </c>
      <c r="C224" s="197" t="s">
        <v>1908</v>
      </c>
      <c r="D224" s="197" t="s">
        <v>1909</v>
      </c>
      <c r="E224" s="220" t="s">
        <v>1909</v>
      </c>
      <c r="F224" s="197" t="str">
        <f t="shared" si="66"/>
        <v>unused_KB_ROW14</v>
      </c>
      <c r="G224" s="198" t="s">
        <v>966</v>
      </c>
      <c r="H224" s="197" t="s">
        <v>682</v>
      </c>
      <c r="I224" s="360" t="s">
        <v>3077</v>
      </c>
      <c r="J224" s="197" t="s">
        <v>683</v>
      </c>
      <c r="K224" s="360" t="s">
        <v>3077</v>
      </c>
      <c r="L224" s="198" t="s">
        <v>254</v>
      </c>
      <c r="M224" s="197" t="s">
        <v>254</v>
      </c>
      <c r="N224" s="197" t="s">
        <v>2062</v>
      </c>
      <c r="O224" s="197" t="s">
        <v>263</v>
      </c>
      <c r="P224" s="197">
        <v>28</v>
      </c>
      <c r="Q224" s="198" t="s">
        <v>650</v>
      </c>
      <c r="R224" s="197" t="s">
        <v>257</v>
      </c>
      <c r="S224" s="197">
        <v>50</v>
      </c>
      <c r="T224" s="197" t="s">
        <v>651</v>
      </c>
      <c r="U224" s="198">
        <v>0</v>
      </c>
      <c r="V224" s="199">
        <v>0</v>
      </c>
      <c r="W224" s="199">
        <v>1</v>
      </c>
      <c r="X224" s="199" t="s">
        <v>259</v>
      </c>
      <c r="Y224" s="200" t="s">
        <v>260</v>
      </c>
      <c r="Z224" s="200" t="s">
        <v>260</v>
      </c>
      <c r="AA224" s="233" t="str">
        <f t="shared" si="71"/>
        <v>Unused</v>
      </c>
      <c r="AB224" s="234" t="str">
        <f t="shared" si="72"/>
        <v>Unused</v>
      </c>
      <c r="AC224" s="234" t="str">
        <f>IF(REPLACE(AJ224,FIND(".",CONCATENATE(REPLACE(AJ224,FIND("-",CONCATENATE(AJ224,"-")),LEN(AJ224),""),".")),LEN(AJ224),"")="SDMMC2","Yes","No")</f>
        <v>No</v>
      </c>
      <c r="AD224" s="234" t="str">
        <f t="shared" si="73"/>
        <v>ENABLE</v>
      </c>
      <c r="AE224" s="234" t="str">
        <f t="shared" si="68"/>
        <v>DISABLE</v>
      </c>
      <c r="AF224" s="234" t="str">
        <f t="shared" si="74"/>
        <v>NORMAL</v>
      </c>
      <c r="AG224" s="248"/>
      <c r="AH224" s="234" t="str">
        <f t="shared" si="75"/>
        <v>TRISTATE</v>
      </c>
      <c r="AI224" s="234" t="str">
        <f t="shared" si="76"/>
        <v>HIGH</v>
      </c>
      <c r="AJ224" s="182" t="s">
        <v>1153</v>
      </c>
      <c r="AK224" s="149" t="s">
        <v>2926</v>
      </c>
      <c r="AL224" s="153"/>
      <c r="AM224" s="168"/>
      <c r="AN224" s="152"/>
      <c r="AO224" s="152"/>
      <c r="AP224" s="349"/>
      <c r="AQ224" s="346" t="s">
        <v>3609</v>
      </c>
      <c r="AR224" s="6" t="s">
        <v>1153</v>
      </c>
      <c r="AS224" s="416"/>
      <c r="AT224" s="285" t="s">
        <v>1153</v>
      </c>
      <c r="AU224" s="445"/>
      <c r="AV224" s="372"/>
    </row>
    <row r="225" spans="1:48" ht="12.95" customHeight="1" thickBot="1" x14ac:dyDescent="0.3">
      <c r="A225" s="197" t="s">
        <v>200</v>
      </c>
      <c r="B225" s="271" t="s">
        <v>2991</v>
      </c>
      <c r="C225" s="197" t="s">
        <v>1910</v>
      </c>
      <c r="D225" s="197" t="s">
        <v>1911</v>
      </c>
      <c r="E225" s="220" t="s">
        <v>1911</v>
      </c>
      <c r="F225" s="197" t="str">
        <f t="shared" si="66"/>
        <v>unused_KB_ROW15</v>
      </c>
      <c r="G225" s="198" t="s">
        <v>967</v>
      </c>
      <c r="H225" s="197" t="s">
        <v>684</v>
      </c>
      <c r="I225" s="360" t="s">
        <v>3077</v>
      </c>
      <c r="J225" s="197" t="s">
        <v>685</v>
      </c>
      <c r="K225" s="360" t="s">
        <v>3077</v>
      </c>
      <c r="L225" s="198" t="s">
        <v>254</v>
      </c>
      <c r="M225" s="197" t="s">
        <v>254</v>
      </c>
      <c r="N225" s="197" t="s">
        <v>2062</v>
      </c>
      <c r="O225" s="197" t="s">
        <v>263</v>
      </c>
      <c r="P225" s="197">
        <v>29</v>
      </c>
      <c r="Q225" s="198" t="s">
        <v>650</v>
      </c>
      <c r="R225" s="197" t="s">
        <v>257</v>
      </c>
      <c r="S225" s="197">
        <v>50</v>
      </c>
      <c r="T225" s="197" t="s">
        <v>651</v>
      </c>
      <c r="U225" s="198">
        <v>0</v>
      </c>
      <c r="V225" s="199">
        <v>0</v>
      </c>
      <c r="W225" s="199">
        <v>1</v>
      </c>
      <c r="X225" s="199" t="s">
        <v>259</v>
      </c>
      <c r="Y225" s="200" t="s">
        <v>260</v>
      </c>
      <c r="Z225" s="200" t="s">
        <v>260</v>
      </c>
      <c r="AA225" s="233" t="str">
        <f t="shared" si="71"/>
        <v>Unused</v>
      </c>
      <c r="AB225" s="234" t="str">
        <f t="shared" si="72"/>
        <v>Unused</v>
      </c>
      <c r="AC225" s="234" t="str">
        <f>IF(REPLACE(AJ225,FIND(".",CONCATENATE(REPLACE(AJ225,FIND("-",CONCATENATE(AJ225,"-")),LEN(AJ225),""),".")),LEN(AJ225),"")="SDMMC2","Yes","No")</f>
        <v>No</v>
      </c>
      <c r="AD225" s="234" t="str">
        <f t="shared" si="73"/>
        <v>ENABLE</v>
      </c>
      <c r="AE225" s="234" t="str">
        <f t="shared" si="68"/>
        <v>DISABLE</v>
      </c>
      <c r="AF225" s="234" t="str">
        <f t="shared" si="74"/>
        <v>NORMAL</v>
      </c>
      <c r="AG225" s="248"/>
      <c r="AH225" s="234" t="str">
        <f t="shared" si="75"/>
        <v>TRISTATE</v>
      </c>
      <c r="AI225" s="234" t="str">
        <f t="shared" si="76"/>
        <v>HIGH</v>
      </c>
      <c r="AJ225" s="182" t="s">
        <v>1154</v>
      </c>
      <c r="AK225" s="149" t="s">
        <v>2926</v>
      </c>
      <c r="AL225" s="153"/>
      <c r="AM225" s="168"/>
      <c r="AN225" s="152"/>
      <c r="AO225" s="152"/>
      <c r="AP225" s="349"/>
      <c r="AQ225" s="346" t="s">
        <v>3610</v>
      </c>
      <c r="AR225" s="6" t="s">
        <v>1154</v>
      </c>
      <c r="AS225" s="416"/>
      <c r="AT225" s="285" t="s">
        <v>1154</v>
      </c>
      <c r="AU225" s="438"/>
      <c r="AV225" s="372"/>
    </row>
    <row r="226" spans="1:48" ht="12.95" customHeight="1" thickBot="1" x14ac:dyDescent="0.3">
      <c r="A226" s="197" t="s">
        <v>201</v>
      </c>
      <c r="B226" s="271"/>
      <c r="C226" s="197" t="s">
        <v>1912</v>
      </c>
      <c r="D226" s="197" t="s">
        <v>1913</v>
      </c>
      <c r="E226" s="221" t="s">
        <v>1911</v>
      </c>
      <c r="F226" s="197" t="str">
        <f t="shared" si="66"/>
        <v>unused_KB_ROW2</v>
      </c>
      <c r="G226" s="198" t="s">
        <v>968</v>
      </c>
      <c r="H226" s="197" t="s">
        <v>686</v>
      </c>
      <c r="I226" s="360" t="s">
        <v>3077</v>
      </c>
      <c r="J226" s="360" t="s">
        <v>3076</v>
      </c>
      <c r="K226" s="360" t="s">
        <v>3090</v>
      </c>
      <c r="L226" s="198" t="s">
        <v>254</v>
      </c>
      <c r="M226" s="197" t="s">
        <v>254</v>
      </c>
      <c r="N226" s="197" t="s">
        <v>2062</v>
      </c>
      <c r="O226" s="197" t="s">
        <v>263</v>
      </c>
      <c r="P226" s="197" t="s">
        <v>253</v>
      </c>
      <c r="Q226" s="198" t="s">
        <v>650</v>
      </c>
      <c r="R226" s="197" t="s">
        <v>257</v>
      </c>
      <c r="S226" s="197">
        <v>100</v>
      </c>
      <c r="T226" s="197" t="s">
        <v>672</v>
      </c>
      <c r="U226" s="198">
        <v>0</v>
      </c>
      <c r="V226" s="199">
        <v>0</v>
      </c>
      <c r="W226" s="199">
        <v>1</v>
      </c>
      <c r="X226" s="199" t="s">
        <v>259</v>
      </c>
      <c r="Y226" s="200" t="s">
        <v>260</v>
      </c>
      <c r="Z226" s="200" t="s">
        <v>260</v>
      </c>
      <c r="AA226" s="233" t="str">
        <f t="shared" si="71"/>
        <v>Unused</v>
      </c>
      <c r="AB226" s="234" t="str">
        <f t="shared" si="72"/>
        <v>Unused</v>
      </c>
      <c r="AC226" s="248"/>
      <c r="AD226" s="234" t="str">
        <f t="shared" si="73"/>
        <v>ENABLE</v>
      </c>
      <c r="AE226" s="234" t="str">
        <f t="shared" si="68"/>
        <v>DISABLE</v>
      </c>
      <c r="AF226" s="234" t="str">
        <f t="shared" si="74"/>
        <v>NORMAL</v>
      </c>
      <c r="AG226" s="248"/>
      <c r="AH226" s="234" t="str">
        <f t="shared" si="75"/>
        <v>TRISTATE</v>
      </c>
      <c r="AI226" s="234" t="str">
        <f t="shared" si="76"/>
        <v>HIGH</v>
      </c>
      <c r="AJ226" s="182" t="s">
        <v>3723</v>
      </c>
      <c r="AK226" s="149" t="s">
        <v>2926</v>
      </c>
      <c r="AL226" s="153"/>
      <c r="AM226" s="258"/>
      <c r="AN226" s="152"/>
      <c r="AO226" s="152"/>
      <c r="AP226" s="349"/>
      <c r="AQ226" s="343" t="s">
        <v>201</v>
      </c>
      <c r="AR226" s="6" t="s">
        <v>686</v>
      </c>
      <c r="AS226" s="42" t="s">
        <v>2158</v>
      </c>
      <c r="AT226" s="285" t="s">
        <v>686</v>
      </c>
      <c r="AU226" s="42" t="s">
        <v>201</v>
      </c>
      <c r="AV226" s="372"/>
    </row>
    <row r="227" spans="1:48" ht="12.95" customHeight="1" thickBot="1" x14ac:dyDescent="0.3">
      <c r="A227" s="197" t="s">
        <v>202</v>
      </c>
      <c r="B227" s="271"/>
      <c r="C227" s="197" t="s">
        <v>1862</v>
      </c>
      <c r="D227" s="197" t="s">
        <v>1914</v>
      </c>
      <c r="E227" s="221" t="s">
        <v>1911</v>
      </c>
      <c r="F227" s="197" t="str">
        <f t="shared" si="66"/>
        <v>unused_KB_ROW3</v>
      </c>
      <c r="G227" s="198" t="s">
        <v>969</v>
      </c>
      <c r="H227" s="197" t="s">
        <v>687</v>
      </c>
      <c r="I227" s="360" t="s">
        <v>3077</v>
      </c>
      <c r="J227" s="360" t="s">
        <v>3076</v>
      </c>
      <c r="K227" s="360" t="s">
        <v>3077</v>
      </c>
      <c r="L227" s="198" t="s">
        <v>254</v>
      </c>
      <c r="M227" s="197" t="s">
        <v>254</v>
      </c>
      <c r="N227" s="197" t="s">
        <v>2062</v>
      </c>
      <c r="O227" s="197" t="s">
        <v>263</v>
      </c>
      <c r="P227" s="197" t="s">
        <v>253</v>
      </c>
      <c r="Q227" s="198" t="s">
        <v>650</v>
      </c>
      <c r="R227" s="197" t="s">
        <v>257</v>
      </c>
      <c r="S227" s="197">
        <v>100</v>
      </c>
      <c r="T227" s="197" t="s">
        <v>672</v>
      </c>
      <c r="U227" s="198">
        <v>0</v>
      </c>
      <c r="V227" s="199">
        <v>0</v>
      </c>
      <c r="W227" s="199">
        <v>1</v>
      </c>
      <c r="X227" s="199" t="s">
        <v>259</v>
      </c>
      <c r="Y227" s="200" t="s">
        <v>260</v>
      </c>
      <c r="Z227" s="200" t="s">
        <v>260</v>
      </c>
      <c r="AA227" s="233" t="str">
        <f t="shared" si="71"/>
        <v>Unused</v>
      </c>
      <c r="AB227" s="234" t="str">
        <f t="shared" si="72"/>
        <v>Unused</v>
      </c>
      <c r="AC227" s="248"/>
      <c r="AD227" s="234" t="str">
        <f t="shared" si="73"/>
        <v>ENABLE</v>
      </c>
      <c r="AE227" s="234" t="str">
        <f t="shared" si="68"/>
        <v>DISABLE</v>
      </c>
      <c r="AF227" s="234" t="str">
        <f t="shared" si="74"/>
        <v>NORMAL</v>
      </c>
      <c r="AG227" s="248"/>
      <c r="AH227" s="234" t="str">
        <f t="shared" si="75"/>
        <v>TRISTATE</v>
      </c>
      <c r="AI227" s="234" t="str">
        <f t="shared" si="76"/>
        <v>HIGH</v>
      </c>
      <c r="AJ227" s="182" t="s">
        <v>1155</v>
      </c>
      <c r="AK227" s="149" t="s">
        <v>2926</v>
      </c>
      <c r="AL227" s="153"/>
      <c r="AM227" s="256"/>
      <c r="AN227" s="152"/>
      <c r="AO227" s="152"/>
      <c r="AP227" s="349"/>
      <c r="AQ227" s="346" t="s">
        <v>3611</v>
      </c>
      <c r="AR227" s="6" t="s">
        <v>1155</v>
      </c>
      <c r="AS227" s="43"/>
      <c r="AT227" s="282" t="s">
        <v>1155</v>
      </c>
      <c r="AU227" s="437"/>
      <c r="AV227" s="372"/>
    </row>
    <row r="228" spans="1:48" ht="12.95" customHeight="1" thickBot="1" x14ac:dyDescent="0.3">
      <c r="A228" s="197" t="s">
        <v>203</v>
      </c>
      <c r="B228" s="271"/>
      <c r="C228" s="197" t="s">
        <v>1915</v>
      </c>
      <c r="D228" s="197" t="s">
        <v>1916</v>
      </c>
      <c r="E228" s="221" t="s">
        <v>1911</v>
      </c>
      <c r="F228" s="197" t="str">
        <f t="shared" si="66"/>
        <v>unused_KB_ROW4</v>
      </c>
      <c r="G228" s="198" t="s">
        <v>970</v>
      </c>
      <c r="H228" s="197" t="s">
        <v>688</v>
      </c>
      <c r="I228" s="360" t="s">
        <v>3077</v>
      </c>
      <c r="J228" s="197" t="s">
        <v>689</v>
      </c>
      <c r="K228" s="360" t="s">
        <v>3090</v>
      </c>
      <c r="L228" s="198" t="s">
        <v>254</v>
      </c>
      <c r="M228" s="197" t="s">
        <v>254</v>
      </c>
      <c r="N228" s="197" t="s">
        <v>2062</v>
      </c>
      <c r="O228" s="197" t="s">
        <v>263</v>
      </c>
      <c r="P228" s="197" t="s">
        <v>253</v>
      </c>
      <c r="Q228" s="198" t="s">
        <v>650</v>
      </c>
      <c r="R228" s="197" t="s">
        <v>257</v>
      </c>
      <c r="S228" s="197">
        <v>100</v>
      </c>
      <c r="T228" s="197" t="s">
        <v>672</v>
      </c>
      <c r="U228" s="198">
        <v>0</v>
      </c>
      <c r="V228" s="199">
        <v>0</v>
      </c>
      <c r="W228" s="199">
        <v>1</v>
      </c>
      <c r="X228" s="199" t="s">
        <v>259</v>
      </c>
      <c r="Y228" s="200" t="s">
        <v>260</v>
      </c>
      <c r="Z228" s="200" t="s">
        <v>260</v>
      </c>
      <c r="AA228" s="233" t="str">
        <f t="shared" si="71"/>
        <v>Unused</v>
      </c>
      <c r="AB228" s="234" t="str">
        <f t="shared" si="72"/>
        <v>Unused</v>
      </c>
      <c r="AC228" s="248"/>
      <c r="AD228" s="234" t="str">
        <f t="shared" si="73"/>
        <v>ENABLE</v>
      </c>
      <c r="AE228" s="234" t="str">
        <f t="shared" si="68"/>
        <v>DISABLE</v>
      </c>
      <c r="AF228" s="234" t="str">
        <f t="shared" si="74"/>
        <v>NORMAL</v>
      </c>
      <c r="AG228" s="248"/>
      <c r="AH228" s="234" t="str">
        <f t="shared" si="75"/>
        <v>TRISTATE</v>
      </c>
      <c r="AI228" s="234" t="str">
        <f t="shared" si="76"/>
        <v>HIGH</v>
      </c>
      <c r="AJ228" s="182" t="s">
        <v>2124</v>
      </c>
      <c r="AK228" s="149" t="s">
        <v>2926</v>
      </c>
      <c r="AL228" s="153"/>
      <c r="AM228" s="256"/>
      <c r="AN228" s="152"/>
      <c r="AO228" s="152"/>
      <c r="AP228" s="349"/>
      <c r="AQ228" s="346" t="s">
        <v>3612</v>
      </c>
      <c r="AR228" s="6" t="s">
        <v>2124</v>
      </c>
      <c r="AS228" s="44" t="s">
        <v>1197</v>
      </c>
      <c r="AT228" s="282" t="s">
        <v>970</v>
      </c>
      <c r="AU228" s="445"/>
      <c r="AV228" s="372"/>
    </row>
    <row r="229" spans="1:48" ht="12.95" customHeight="1" thickBot="1" x14ac:dyDescent="0.3">
      <c r="A229" s="197" t="s">
        <v>204</v>
      </c>
      <c r="B229" s="271"/>
      <c r="C229" s="197" t="s">
        <v>1917</v>
      </c>
      <c r="D229" s="197" t="s">
        <v>1918</v>
      </c>
      <c r="E229" s="221" t="s">
        <v>1911</v>
      </c>
      <c r="F229" s="197" t="str">
        <f t="shared" si="66"/>
        <v>unused_KB_ROW5</v>
      </c>
      <c r="G229" s="198" t="s">
        <v>971</v>
      </c>
      <c r="H229" s="197" t="s">
        <v>690</v>
      </c>
      <c r="I229" s="360" t="s">
        <v>3077</v>
      </c>
      <c r="J229" s="197" t="s">
        <v>691</v>
      </c>
      <c r="K229" s="197" t="s">
        <v>583</v>
      </c>
      <c r="L229" s="198" t="s">
        <v>254</v>
      </c>
      <c r="M229" s="197" t="s">
        <v>254</v>
      </c>
      <c r="N229" s="197" t="s">
        <v>2062</v>
      </c>
      <c r="O229" s="197" t="s">
        <v>263</v>
      </c>
      <c r="P229" s="197" t="s">
        <v>253</v>
      </c>
      <c r="Q229" s="198" t="s">
        <v>650</v>
      </c>
      <c r="R229" s="197" t="s">
        <v>257</v>
      </c>
      <c r="S229" s="197">
        <v>100</v>
      </c>
      <c r="T229" s="197" t="s">
        <v>672</v>
      </c>
      <c r="U229" s="198">
        <v>0</v>
      </c>
      <c r="V229" s="199">
        <v>0</v>
      </c>
      <c r="W229" s="199">
        <v>1</v>
      </c>
      <c r="X229" s="199" t="s">
        <v>259</v>
      </c>
      <c r="Y229" s="200" t="s">
        <v>260</v>
      </c>
      <c r="Z229" s="200" t="s">
        <v>260</v>
      </c>
      <c r="AA229" s="233" t="str">
        <f t="shared" si="71"/>
        <v>Unused</v>
      </c>
      <c r="AB229" s="234" t="str">
        <f t="shared" si="72"/>
        <v>Unused</v>
      </c>
      <c r="AC229" s="248"/>
      <c r="AD229" s="234" t="str">
        <f t="shared" si="73"/>
        <v>ENABLE</v>
      </c>
      <c r="AE229" s="234" t="str">
        <f t="shared" si="68"/>
        <v>DISABLE</v>
      </c>
      <c r="AF229" s="234" t="str">
        <f t="shared" si="74"/>
        <v>NORMAL</v>
      </c>
      <c r="AG229" s="248"/>
      <c r="AH229" s="234" t="str">
        <f t="shared" si="75"/>
        <v>TRISTATE</v>
      </c>
      <c r="AI229" s="234" t="str">
        <f t="shared" si="76"/>
        <v>HIGH</v>
      </c>
      <c r="AJ229" s="182" t="s">
        <v>2230</v>
      </c>
      <c r="AK229" s="149" t="s">
        <v>2926</v>
      </c>
      <c r="AL229" s="153"/>
      <c r="AM229" s="256"/>
      <c r="AN229" s="152"/>
      <c r="AO229" s="152"/>
      <c r="AP229" s="349"/>
      <c r="AQ229" s="346" t="s">
        <v>3613</v>
      </c>
      <c r="AR229" s="6" t="s">
        <v>2230</v>
      </c>
      <c r="AS229" s="44" t="s">
        <v>1198</v>
      </c>
      <c r="AT229" s="282" t="s">
        <v>971</v>
      </c>
      <c r="AU229" s="438"/>
      <c r="AV229" s="372"/>
    </row>
    <row r="230" spans="1:48" ht="12.95" customHeight="1" thickBot="1" x14ac:dyDescent="0.3">
      <c r="A230" s="197" t="s">
        <v>205</v>
      </c>
      <c r="B230" s="271"/>
      <c r="C230" s="197" t="s">
        <v>1919</v>
      </c>
      <c r="D230" s="197" t="s">
        <v>1920</v>
      </c>
      <c r="E230" s="221" t="s">
        <v>1911</v>
      </c>
      <c r="F230" s="197" t="str">
        <f t="shared" si="66"/>
        <v>unused_KB_ROW6</v>
      </c>
      <c r="G230" s="198" t="s">
        <v>972</v>
      </c>
      <c r="H230" s="197" t="s">
        <v>692</v>
      </c>
      <c r="I230" s="360" t="s">
        <v>3077</v>
      </c>
      <c r="J230" s="197" t="s">
        <v>693</v>
      </c>
      <c r="K230" s="360" t="s">
        <v>3077</v>
      </c>
      <c r="L230" s="198" t="s">
        <v>254</v>
      </c>
      <c r="M230" s="197" t="s">
        <v>254</v>
      </c>
      <c r="N230" s="197" t="s">
        <v>2062</v>
      </c>
      <c r="O230" s="197" t="s">
        <v>263</v>
      </c>
      <c r="P230" s="197" t="s">
        <v>253</v>
      </c>
      <c r="Q230" s="198" t="s">
        <v>650</v>
      </c>
      <c r="R230" s="197" t="s">
        <v>257</v>
      </c>
      <c r="S230" s="197">
        <v>50</v>
      </c>
      <c r="T230" s="197" t="s">
        <v>672</v>
      </c>
      <c r="U230" s="198">
        <v>0</v>
      </c>
      <c r="V230" s="199">
        <v>0</v>
      </c>
      <c r="W230" s="199">
        <v>1</v>
      </c>
      <c r="X230" s="199" t="s">
        <v>259</v>
      </c>
      <c r="Y230" s="200" t="s">
        <v>260</v>
      </c>
      <c r="Z230" s="200" t="s">
        <v>260</v>
      </c>
      <c r="AA230" s="233" t="str">
        <f t="shared" si="71"/>
        <v>Unused</v>
      </c>
      <c r="AB230" s="234" t="str">
        <f t="shared" si="72"/>
        <v>Unused</v>
      </c>
      <c r="AC230" s="234" t="str">
        <f>IF(REPLACE(AJ230,FIND(".",CONCATENATE(REPLACE(AJ230,FIND("-",CONCATENATE(AJ230,"-")),LEN(AJ230),""),".")),LEN(AJ230),"")="SDMMC2","Yes","No")</f>
        <v>No</v>
      </c>
      <c r="AD230" s="234" t="str">
        <f t="shared" si="73"/>
        <v>ENABLE</v>
      </c>
      <c r="AE230" s="234" t="str">
        <f t="shared" si="68"/>
        <v>DISABLE</v>
      </c>
      <c r="AF230" s="234" t="str">
        <f t="shared" si="74"/>
        <v>NORMAL</v>
      </c>
      <c r="AG230" s="248"/>
      <c r="AH230" s="234" t="str">
        <f t="shared" si="75"/>
        <v>TRISTATE</v>
      </c>
      <c r="AI230" s="234" t="str">
        <f t="shared" si="76"/>
        <v>HIGH</v>
      </c>
      <c r="AJ230" s="182" t="s">
        <v>2125</v>
      </c>
      <c r="AK230" s="149" t="s">
        <v>2926</v>
      </c>
      <c r="AL230" s="153"/>
      <c r="AM230" s="256"/>
      <c r="AN230" s="152"/>
      <c r="AO230" s="152"/>
      <c r="AP230" s="349"/>
      <c r="AQ230" s="343" t="s">
        <v>1199</v>
      </c>
      <c r="AR230" s="6" t="s">
        <v>2125</v>
      </c>
      <c r="AS230" s="44" t="s">
        <v>1199</v>
      </c>
      <c r="AT230" s="282" t="s">
        <v>972</v>
      </c>
      <c r="AU230" s="44" t="s">
        <v>2431</v>
      </c>
      <c r="AV230" s="372"/>
    </row>
    <row r="231" spans="1:48" ht="12.95" customHeight="1" thickBot="1" x14ac:dyDescent="0.3">
      <c r="A231" s="197" t="s">
        <v>206</v>
      </c>
      <c r="B231" s="271"/>
      <c r="C231" s="197" t="s">
        <v>1921</v>
      </c>
      <c r="D231" s="197" t="s">
        <v>1922</v>
      </c>
      <c r="E231" s="221" t="s">
        <v>1911</v>
      </c>
      <c r="F231" s="197" t="str">
        <f t="shared" si="66"/>
        <v>unused_KB_ROW7</v>
      </c>
      <c r="G231" s="198" t="s">
        <v>973</v>
      </c>
      <c r="H231" s="197" t="s">
        <v>694</v>
      </c>
      <c r="I231" s="360" t="s">
        <v>3077</v>
      </c>
      <c r="J231" s="197" t="s">
        <v>695</v>
      </c>
      <c r="K231" s="360" t="s">
        <v>3077</v>
      </c>
      <c r="L231" s="198" t="s">
        <v>254</v>
      </c>
      <c r="M231" s="197" t="s">
        <v>254</v>
      </c>
      <c r="N231" s="197" t="s">
        <v>2062</v>
      </c>
      <c r="O231" s="197" t="s">
        <v>263</v>
      </c>
      <c r="P231" s="197" t="s">
        <v>253</v>
      </c>
      <c r="Q231" s="198" t="s">
        <v>650</v>
      </c>
      <c r="R231" s="197" t="s">
        <v>257</v>
      </c>
      <c r="S231" s="197">
        <v>50</v>
      </c>
      <c r="T231" s="197" t="s">
        <v>672</v>
      </c>
      <c r="U231" s="198">
        <v>0</v>
      </c>
      <c r="V231" s="199">
        <v>0</v>
      </c>
      <c r="W231" s="199">
        <v>1</v>
      </c>
      <c r="X231" s="199" t="s">
        <v>259</v>
      </c>
      <c r="Y231" s="200" t="s">
        <v>260</v>
      </c>
      <c r="Z231" s="200" t="s">
        <v>260</v>
      </c>
      <c r="AA231" s="233" t="str">
        <f t="shared" si="71"/>
        <v>Unused</v>
      </c>
      <c r="AB231" s="234" t="str">
        <f t="shared" si="72"/>
        <v>Unused</v>
      </c>
      <c r="AC231" s="234" t="str">
        <f>IF(REPLACE(AJ231,FIND(".",CONCATENATE(REPLACE(AJ231,FIND("-",CONCATENATE(AJ231,"-")),LEN(AJ231),""),".")),LEN(AJ231),"")="SDMMC2","Yes","No")</f>
        <v>No</v>
      </c>
      <c r="AD231" s="234" t="str">
        <f t="shared" si="73"/>
        <v>ENABLE</v>
      </c>
      <c r="AE231" s="234" t="str">
        <f t="shared" si="68"/>
        <v>DISABLE</v>
      </c>
      <c r="AF231" s="234" t="str">
        <f t="shared" si="74"/>
        <v>NORMAL</v>
      </c>
      <c r="AG231" s="248"/>
      <c r="AH231" s="234" t="str">
        <f t="shared" si="75"/>
        <v>TRISTATE</v>
      </c>
      <c r="AI231" s="234" t="str">
        <f t="shared" si="76"/>
        <v>HIGH</v>
      </c>
      <c r="AJ231" s="182" t="s">
        <v>2126</v>
      </c>
      <c r="AK231" s="149" t="s">
        <v>2926</v>
      </c>
      <c r="AL231" s="153"/>
      <c r="AM231" s="257"/>
      <c r="AN231" s="152"/>
      <c r="AO231" s="152"/>
      <c r="AP231" s="349"/>
      <c r="AQ231" s="343" t="s">
        <v>1200</v>
      </c>
      <c r="AR231" s="6" t="s">
        <v>2126</v>
      </c>
      <c r="AS231" s="44" t="s">
        <v>1200</v>
      </c>
      <c r="AT231" s="282" t="s">
        <v>973</v>
      </c>
      <c r="AU231" s="112"/>
      <c r="AV231" s="372"/>
    </row>
    <row r="232" spans="1:48" ht="12.95" customHeight="1" thickBot="1" x14ac:dyDescent="0.3">
      <c r="A232" s="197" t="s">
        <v>207</v>
      </c>
      <c r="B232" s="271"/>
      <c r="C232" s="197" t="s">
        <v>1923</v>
      </c>
      <c r="D232" s="197" t="s">
        <v>1924</v>
      </c>
      <c r="E232" s="221" t="s">
        <v>1911</v>
      </c>
      <c r="F232" s="197" t="str">
        <f t="shared" si="66"/>
        <v>unused_KB_ROW8</v>
      </c>
      <c r="G232" s="198" t="s">
        <v>974</v>
      </c>
      <c r="H232" s="197" t="s">
        <v>696</v>
      </c>
      <c r="I232" s="360" t="s">
        <v>3077</v>
      </c>
      <c r="J232" s="197" t="s">
        <v>697</v>
      </c>
      <c r="K232" s="360" t="s">
        <v>3077</v>
      </c>
      <c r="L232" s="198" t="s">
        <v>254</v>
      </c>
      <c r="M232" s="197" t="s">
        <v>254</v>
      </c>
      <c r="N232" s="197" t="s">
        <v>2062</v>
      </c>
      <c r="O232" s="197" t="s">
        <v>263</v>
      </c>
      <c r="P232" s="197">
        <v>27</v>
      </c>
      <c r="Q232" s="198" t="s">
        <v>650</v>
      </c>
      <c r="R232" s="197" t="s">
        <v>257</v>
      </c>
      <c r="S232" s="197">
        <v>50</v>
      </c>
      <c r="T232" s="197" t="s">
        <v>651</v>
      </c>
      <c r="U232" s="198">
        <v>0</v>
      </c>
      <c r="V232" s="199">
        <v>0</v>
      </c>
      <c r="W232" s="199">
        <v>1</v>
      </c>
      <c r="X232" s="199" t="s">
        <v>259</v>
      </c>
      <c r="Y232" s="200" t="s">
        <v>260</v>
      </c>
      <c r="Z232" s="200" t="s">
        <v>260</v>
      </c>
      <c r="AA232" s="233" t="str">
        <f t="shared" si="71"/>
        <v>Unused</v>
      </c>
      <c r="AB232" s="234" t="str">
        <f t="shared" si="72"/>
        <v>Unused</v>
      </c>
      <c r="AC232" s="234" t="str">
        <f>IF(REPLACE(AJ232,FIND(".",CONCATENATE(REPLACE(AJ232,FIND("-",CONCATENATE(AJ232,"-")),LEN(AJ232),""),".")),LEN(AJ232),"")="SDMMC2","Yes","No")</f>
        <v>No</v>
      </c>
      <c r="AD232" s="234" t="str">
        <f t="shared" si="73"/>
        <v>ENABLE</v>
      </c>
      <c r="AE232" s="234" t="str">
        <f t="shared" si="68"/>
        <v>DISABLE</v>
      </c>
      <c r="AF232" s="234" t="str">
        <f t="shared" si="74"/>
        <v>NORMAL</v>
      </c>
      <c r="AG232" s="248"/>
      <c r="AH232" s="234" t="str">
        <f t="shared" si="75"/>
        <v>TRISTATE</v>
      </c>
      <c r="AI232" s="234" t="str">
        <f t="shared" si="76"/>
        <v>HIGH</v>
      </c>
      <c r="AJ232" s="182" t="s">
        <v>3724</v>
      </c>
      <c r="AK232" s="149" t="s">
        <v>2926</v>
      </c>
      <c r="AL232" s="153"/>
      <c r="AM232" s="168"/>
      <c r="AN232" s="152"/>
      <c r="AO232" s="152"/>
      <c r="AP232" s="349"/>
      <c r="AQ232" s="346" t="s">
        <v>1178</v>
      </c>
      <c r="AR232" s="6" t="s">
        <v>974</v>
      </c>
      <c r="AS232" s="44" t="s">
        <v>1201</v>
      </c>
      <c r="AT232" s="282" t="s">
        <v>974</v>
      </c>
      <c r="AU232" s="44" t="s">
        <v>2432</v>
      </c>
      <c r="AV232" s="372"/>
    </row>
    <row r="233" spans="1:48" ht="12.95" customHeight="1" thickBot="1" x14ac:dyDescent="0.3">
      <c r="A233" s="197" t="s">
        <v>208</v>
      </c>
      <c r="B233" s="271"/>
      <c r="C233" s="197" t="s">
        <v>1925</v>
      </c>
      <c r="D233" s="197" t="s">
        <v>1926</v>
      </c>
      <c r="E233" s="221" t="s">
        <v>1911</v>
      </c>
      <c r="F233" s="197" t="str">
        <f t="shared" si="66"/>
        <v>unused_KB_ROW9</v>
      </c>
      <c r="G233" s="198" t="s">
        <v>975</v>
      </c>
      <c r="H233" s="197" t="s">
        <v>698</v>
      </c>
      <c r="I233" s="360" t="s">
        <v>3077</v>
      </c>
      <c r="J233" s="197" t="s">
        <v>699</v>
      </c>
      <c r="K233" s="360" t="s">
        <v>3077</v>
      </c>
      <c r="L233" s="198" t="s">
        <v>254</v>
      </c>
      <c r="M233" s="197" t="s">
        <v>254</v>
      </c>
      <c r="N233" s="197" t="s">
        <v>2062</v>
      </c>
      <c r="O233" s="197" t="s">
        <v>263</v>
      </c>
      <c r="P233" s="197" t="s">
        <v>253</v>
      </c>
      <c r="Q233" s="198" t="s">
        <v>650</v>
      </c>
      <c r="R233" s="197" t="s">
        <v>257</v>
      </c>
      <c r="S233" s="197">
        <v>50</v>
      </c>
      <c r="T233" s="197" t="s">
        <v>651</v>
      </c>
      <c r="U233" s="198">
        <v>0</v>
      </c>
      <c r="V233" s="199">
        <v>0</v>
      </c>
      <c r="W233" s="199">
        <v>1</v>
      </c>
      <c r="X233" s="199" t="s">
        <v>259</v>
      </c>
      <c r="Y233" s="200" t="s">
        <v>260</v>
      </c>
      <c r="Z233" s="200" t="s">
        <v>260</v>
      </c>
      <c r="AA233" s="233" t="str">
        <f t="shared" si="71"/>
        <v>Unused</v>
      </c>
      <c r="AB233" s="234" t="str">
        <f t="shared" si="72"/>
        <v>Unused</v>
      </c>
      <c r="AC233" s="234" t="str">
        <f>IF(REPLACE(AJ233,FIND(".",CONCATENATE(REPLACE(AJ233,FIND("-",CONCATENATE(AJ233,"-")),LEN(AJ233),""),".")),LEN(AJ233),"")="SDMMC2","Yes","No")</f>
        <v>No</v>
      </c>
      <c r="AD233" s="234" t="str">
        <f t="shared" si="73"/>
        <v>ENABLE</v>
      </c>
      <c r="AE233" s="234" t="str">
        <f t="shared" si="68"/>
        <v>DISABLE</v>
      </c>
      <c r="AF233" s="234" t="str">
        <f t="shared" si="74"/>
        <v>NORMAL</v>
      </c>
      <c r="AG233" s="248"/>
      <c r="AH233" s="234" t="str">
        <f t="shared" si="75"/>
        <v>TRISTATE</v>
      </c>
      <c r="AI233" s="234" t="str">
        <f t="shared" si="76"/>
        <v>HIGH</v>
      </c>
      <c r="AJ233" s="182" t="s">
        <v>1156</v>
      </c>
      <c r="AK233" s="149" t="s">
        <v>2926</v>
      </c>
      <c r="AL233" s="153"/>
      <c r="AM233" s="258"/>
      <c r="AN233" s="152"/>
      <c r="AO233" s="152"/>
      <c r="AP233" s="349"/>
      <c r="AQ233" s="343" t="s">
        <v>3614</v>
      </c>
      <c r="AR233" s="6" t="s">
        <v>1156</v>
      </c>
      <c r="AS233" s="388"/>
      <c r="AT233" s="282" t="s">
        <v>1156</v>
      </c>
      <c r="AU233" s="437"/>
      <c r="AV233" s="372"/>
    </row>
    <row r="234" spans="1:48" ht="12.95" customHeight="1" thickBot="1" x14ac:dyDescent="0.3">
      <c r="A234" s="197" t="s">
        <v>209</v>
      </c>
      <c r="B234" s="271"/>
      <c r="C234" s="197" t="s">
        <v>1927</v>
      </c>
      <c r="D234" s="197" t="s">
        <v>1928</v>
      </c>
      <c r="E234" s="221" t="s">
        <v>1911</v>
      </c>
      <c r="F234" s="197" t="str">
        <f t="shared" si="66"/>
        <v>unused_OWR</v>
      </c>
      <c r="G234" s="198"/>
      <c r="H234" s="197" t="s">
        <v>700</v>
      </c>
      <c r="I234" s="360" t="s">
        <v>3037</v>
      </c>
      <c r="J234" s="360" t="s">
        <v>3037</v>
      </c>
      <c r="K234" s="360" t="s">
        <v>3037</v>
      </c>
      <c r="L234" s="198" t="s">
        <v>270</v>
      </c>
      <c r="M234" s="197" t="s">
        <v>254</v>
      </c>
      <c r="N234" s="197" t="s">
        <v>270</v>
      </c>
      <c r="O234" s="197" t="s">
        <v>263</v>
      </c>
      <c r="P234" s="197" t="s">
        <v>253</v>
      </c>
      <c r="Q234" s="198" t="s">
        <v>650</v>
      </c>
      <c r="R234" s="197" t="s">
        <v>477</v>
      </c>
      <c r="S234" s="197" t="s">
        <v>478</v>
      </c>
      <c r="T234" s="197" t="s">
        <v>701</v>
      </c>
      <c r="U234" s="198">
        <v>0</v>
      </c>
      <c r="V234" s="199">
        <v>0</v>
      </c>
      <c r="W234" s="199">
        <v>1</v>
      </c>
      <c r="X234" s="199" t="s">
        <v>300</v>
      </c>
      <c r="Y234" s="200" t="s">
        <v>265</v>
      </c>
      <c r="Z234" s="200" t="s">
        <v>265</v>
      </c>
      <c r="AA234" s="233" t="str">
        <f t="shared" si="71"/>
        <v>Unused</v>
      </c>
      <c r="AB234" s="234" t="str">
        <f t="shared" si="72"/>
        <v>Unused</v>
      </c>
      <c r="AC234" s="248"/>
      <c r="AD234" s="234" t="str">
        <f t="shared" si="73"/>
        <v>ENABLE</v>
      </c>
      <c r="AE234" s="234" t="str">
        <f t="shared" si="68"/>
        <v>DISABLE</v>
      </c>
      <c r="AF234" s="234" t="str">
        <f t="shared" si="74"/>
        <v>NORMAL</v>
      </c>
      <c r="AG234" s="248"/>
      <c r="AH234" s="248"/>
      <c r="AI234" s="245"/>
      <c r="AJ234" s="182" t="s">
        <v>1157</v>
      </c>
      <c r="AK234" s="149" t="s">
        <v>2926</v>
      </c>
      <c r="AL234" s="256"/>
      <c r="AM234" s="256"/>
      <c r="AN234" s="261"/>
      <c r="AO234" s="256"/>
      <c r="AP234" s="260"/>
      <c r="AQ234" s="345"/>
      <c r="AR234" s="6" t="s">
        <v>700</v>
      </c>
      <c r="AS234" s="390"/>
      <c r="AT234" s="282" t="s">
        <v>1157</v>
      </c>
      <c r="AU234" s="438"/>
      <c r="AV234" s="125"/>
    </row>
    <row r="235" spans="1:48" ht="12.95" customHeight="1" thickBot="1" x14ac:dyDescent="0.3">
      <c r="A235" s="197" t="s">
        <v>2369</v>
      </c>
      <c r="B235" s="271"/>
      <c r="C235" s="197" t="s">
        <v>2381</v>
      </c>
      <c r="D235" s="197" t="s">
        <v>2386</v>
      </c>
      <c r="E235" s="221" t="s">
        <v>1911</v>
      </c>
      <c r="F235" s="197" t="str">
        <f>CONCATENATE("unused_",A235)</f>
        <v>unused_PWR_INT_N</v>
      </c>
      <c r="G235" s="198"/>
      <c r="H235" s="360" t="s">
        <v>3037</v>
      </c>
      <c r="I235" s="360" t="s">
        <v>3037</v>
      </c>
      <c r="J235" s="360" t="s">
        <v>3037</v>
      </c>
      <c r="K235" s="360" t="s">
        <v>3037</v>
      </c>
      <c r="L235" s="198"/>
      <c r="M235" s="197"/>
      <c r="N235" s="197"/>
      <c r="O235" s="197"/>
      <c r="P235" s="197">
        <v>18</v>
      </c>
      <c r="Q235" s="198" t="s">
        <v>650</v>
      </c>
      <c r="R235" s="197"/>
      <c r="S235" s="197"/>
      <c r="T235" s="197" t="s">
        <v>651</v>
      </c>
      <c r="U235" s="198"/>
      <c r="V235" s="199"/>
      <c r="W235" s="199"/>
      <c r="X235" s="199"/>
      <c r="Y235" s="200" t="s">
        <v>265</v>
      </c>
      <c r="Z235" s="200" t="s">
        <v>265</v>
      </c>
      <c r="AA235" s="233" t="str">
        <f t="shared" si="71"/>
        <v>Unused</v>
      </c>
      <c r="AB235" s="234" t="str">
        <f t="shared" si="72"/>
        <v>Unused</v>
      </c>
      <c r="AC235" s="248"/>
      <c r="AD235" s="234" t="str">
        <f t="shared" si="73"/>
        <v>ENABLE</v>
      </c>
      <c r="AE235" s="234" t="str">
        <f t="shared" si="68"/>
        <v>DISABLE</v>
      </c>
      <c r="AF235" s="234" t="str">
        <f t="shared" si="74"/>
        <v>NORMAL</v>
      </c>
      <c r="AG235" s="248"/>
      <c r="AH235" s="248"/>
      <c r="AI235" s="245"/>
      <c r="AJ235" s="182" t="s">
        <v>3552</v>
      </c>
      <c r="AK235" s="149" t="s">
        <v>2926</v>
      </c>
      <c r="AL235" s="256"/>
      <c r="AM235" s="168"/>
      <c r="AN235" s="261"/>
      <c r="AO235" s="256"/>
      <c r="AP235" s="260"/>
      <c r="AQ235" s="345"/>
      <c r="AR235" s="6" t="s">
        <v>2369</v>
      </c>
      <c r="AS235" s="42" t="s">
        <v>2375</v>
      </c>
      <c r="AT235" s="295" t="s">
        <v>2369</v>
      </c>
      <c r="AU235" s="42" t="s">
        <v>2375</v>
      </c>
      <c r="AV235" s="42" t="s">
        <v>2375</v>
      </c>
    </row>
    <row r="236" spans="1:48" ht="12.95" customHeight="1" x14ac:dyDescent="0.25">
      <c r="A236" s="197" t="s">
        <v>210</v>
      </c>
      <c r="B236" s="271"/>
      <c r="C236" s="197" t="s">
        <v>1929</v>
      </c>
      <c r="D236" s="197" t="s">
        <v>1930</v>
      </c>
      <c r="E236" s="221" t="s">
        <v>1911</v>
      </c>
      <c r="F236" s="197" t="str">
        <f t="shared" si="66"/>
        <v>unused_PWR_I2C_SCL</v>
      </c>
      <c r="G236" s="198" t="s">
        <v>976</v>
      </c>
      <c r="H236" s="197" t="s">
        <v>1043</v>
      </c>
      <c r="I236" s="360" t="s">
        <v>3063</v>
      </c>
      <c r="J236" s="360" t="s">
        <v>3076</v>
      </c>
      <c r="K236" s="360" t="s">
        <v>3090</v>
      </c>
      <c r="L236" s="198" t="s">
        <v>2062</v>
      </c>
      <c r="M236" s="197" t="s">
        <v>254</v>
      </c>
      <c r="N236" s="197" t="s">
        <v>2062</v>
      </c>
      <c r="O236" s="197" t="s">
        <v>263</v>
      </c>
      <c r="P236" s="197" t="s">
        <v>253</v>
      </c>
      <c r="Q236" s="198" t="s">
        <v>650</v>
      </c>
      <c r="R236" s="197" t="s">
        <v>368</v>
      </c>
      <c r="S236" s="197">
        <v>50</v>
      </c>
      <c r="T236" s="197" t="s">
        <v>672</v>
      </c>
      <c r="U236" s="198">
        <v>0</v>
      </c>
      <c r="V236" s="199">
        <v>0</v>
      </c>
      <c r="W236" s="199">
        <v>1</v>
      </c>
      <c r="X236" s="199" t="s">
        <v>264</v>
      </c>
      <c r="Y236" s="200" t="s">
        <v>265</v>
      </c>
      <c r="Z236" s="200" t="s">
        <v>265</v>
      </c>
      <c r="AA236" s="233" t="str">
        <f t="shared" si="71"/>
        <v>Unused</v>
      </c>
      <c r="AB236" s="234" t="str">
        <f t="shared" si="72"/>
        <v>Unused</v>
      </c>
      <c r="AC236" s="248"/>
      <c r="AD236" s="234" t="str">
        <f t="shared" si="73"/>
        <v>ENABLE</v>
      </c>
      <c r="AE236" s="234" t="str">
        <f t="shared" si="68"/>
        <v>DISABLE</v>
      </c>
      <c r="AF236" s="234" t="str">
        <f t="shared" si="74"/>
        <v>NORMAL</v>
      </c>
      <c r="AG236" s="234" t="str">
        <f>IF((AJ236=H236),"ENABLE","DISABLE")</f>
        <v>DISABLE</v>
      </c>
      <c r="AH236" s="234" t="str">
        <f>IF((AND($AB236="GPIO",$AK236="Out")),"DRIVEN",IF((AND($AB236="GPIO",$AK236="Bidir")),"DRIVEN","TRISTATE"))</f>
        <v>TRISTATE</v>
      </c>
      <c r="AI236" s="234" t="str">
        <f>IF((OR($AL236="Drive 0")),"LOW","HIGH")</f>
        <v>HIGH</v>
      </c>
      <c r="AJ236" s="182" t="s">
        <v>3725</v>
      </c>
      <c r="AK236" s="149" t="s">
        <v>2926</v>
      </c>
      <c r="AL236" s="153"/>
      <c r="AM236" s="256"/>
      <c r="AN236" s="152"/>
      <c r="AO236" s="152"/>
      <c r="AP236" s="349"/>
      <c r="AQ236" s="385" t="s">
        <v>1202</v>
      </c>
      <c r="AR236" s="6" t="s">
        <v>1043</v>
      </c>
      <c r="AS236" s="379" t="s">
        <v>1202</v>
      </c>
      <c r="AT236" s="282" t="s">
        <v>1043</v>
      </c>
      <c r="AU236" s="371" t="s">
        <v>1202</v>
      </c>
      <c r="AV236" s="379" t="s">
        <v>1202</v>
      </c>
    </row>
    <row r="237" spans="1:48" ht="12.95" customHeight="1" thickBot="1" x14ac:dyDescent="0.3">
      <c r="A237" s="197" t="s">
        <v>211</v>
      </c>
      <c r="B237" s="271"/>
      <c r="C237" s="197" t="s">
        <v>1931</v>
      </c>
      <c r="D237" s="197" t="s">
        <v>1932</v>
      </c>
      <c r="E237" s="221" t="s">
        <v>1911</v>
      </c>
      <c r="F237" s="197" t="str">
        <f t="shared" si="66"/>
        <v>unused_PWR_I2C_SDA</v>
      </c>
      <c r="G237" s="198" t="s">
        <v>977</v>
      </c>
      <c r="H237" s="197" t="s">
        <v>1044</v>
      </c>
      <c r="I237" s="360" t="s">
        <v>3063</v>
      </c>
      <c r="J237" s="360" t="s">
        <v>3076</v>
      </c>
      <c r="K237" s="360" t="s">
        <v>3090</v>
      </c>
      <c r="L237" s="198" t="s">
        <v>2062</v>
      </c>
      <c r="M237" s="197" t="s">
        <v>254</v>
      </c>
      <c r="N237" s="197" t="s">
        <v>2062</v>
      </c>
      <c r="O237" s="197" t="s">
        <v>263</v>
      </c>
      <c r="P237" s="197" t="s">
        <v>253</v>
      </c>
      <c r="Q237" s="198" t="s">
        <v>650</v>
      </c>
      <c r="R237" s="197" t="s">
        <v>368</v>
      </c>
      <c r="S237" s="197">
        <v>50</v>
      </c>
      <c r="T237" s="197" t="s">
        <v>672</v>
      </c>
      <c r="U237" s="198">
        <v>0</v>
      </c>
      <c r="V237" s="199">
        <v>0</v>
      </c>
      <c r="W237" s="199">
        <v>1</v>
      </c>
      <c r="X237" s="199" t="s">
        <v>264</v>
      </c>
      <c r="Y237" s="200" t="s">
        <v>265</v>
      </c>
      <c r="Z237" s="200" t="s">
        <v>265</v>
      </c>
      <c r="AA237" s="233" t="str">
        <f t="shared" si="71"/>
        <v>Unused</v>
      </c>
      <c r="AB237" s="234" t="str">
        <f t="shared" si="72"/>
        <v>Unused</v>
      </c>
      <c r="AC237" s="248"/>
      <c r="AD237" s="234" t="str">
        <f t="shared" si="73"/>
        <v>ENABLE</v>
      </c>
      <c r="AE237" s="234" t="str">
        <f t="shared" si="68"/>
        <v>DISABLE</v>
      </c>
      <c r="AF237" s="234" t="str">
        <f t="shared" si="74"/>
        <v>NORMAL</v>
      </c>
      <c r="AG237" s="234" t="str">
        <f>IF((AJ237=H237),"ENABLE","DISABLE")</f>
        <v>DISABLE</v>
      </c>
      <c r="AH237" s="234" t="str">
        <f>IF((AND($AB237="GPIO",$AK237="Out")),"DRIVEN",IF((AND($AB237="GPIO",$AK237="Bidir")),"DRIVEN","TRISTATE"))</f>
        <v>TRISTATE</v>
      </c>
      <c r="AI237" s="234" t="str">
        <f>IF((OR($AL237="Drive 0")),"LOW","HIGH")</f>
        <v>HIGH</v>
      </c>
      <c r="AJ237" s="182" t="s">
        <v>3726</v>
      </c>
      <c r="AK237" s="149" t="s">
        <v>2926</v>
      </c>
      <c r="AL237" s="153"/>
      <c r="AM237" s="256"/>
      <c r="AN237" s="152"/>
      <c r="AO237" s="152"/>
      <c r="AP237" s="349"/>
      <c r="AQ237" s="387"/>
      <c r="AR237" s="6" t="s">
        <v>1044</v>
      </c>
      <c r="AS237" s="379"/>
      <c r="AT237" s="282" t="s">
        <v>1044</v>
      </c>
      <c r="AU237" s="373"/>
      <c r="AV237" s="379"/>
    </row>
    <row r="238" spans="1:48" ht="12.95" customHeight="1" thickBot="1" x14ac:dyDescent="0.3">
      <c r="A238" s="197" t="s">
        <v>212</v>
      </c>
      <c r="B238" s="271"/>
      <c r="C238" s="197" t="s">
        <v>1933</v>
      </c>
      <c r="D238" s="197" t="s">
        <v>1934</v>
      </c>
      <c r="E238" s="221" t="s">
        <v>1911</v>
      </c>
      <c r="F238" s="197" t="str">
        <f t="shared" si="66"/>
        <v>unused_SYS_CLK_REQ</v>
      </c>
      <c r="G238" s="198" t="s">
        <v>978</v>
      </c>
      <c r="H238" s="197" t="s">
        <v>702</v>
      </c>
      <c r="I238" s="360" t="s">
        <v>3651</v>
      </c>
      <c r="J238" s="360" t="s">
        <v>3076</v>
      </c>
      <c r="K238" s="360" t="s">
        <v>3090</v>
      </c>
      <c r="L238" s="198" t="s">
        <v>254</v>
      </c>
      <c r="M238" s="197" t="s">
        <v>254</v>
      </c>
      <c r="N238" s="197" t="s">
        <v>2062</v>
      </c>
      <c r="O238" s="197" t="s">
        <v>263</v>
      </c>
      <c r="P238" s="197" t="s">
        <v>253</v>
      </c>
      <c r="Q238" s="198" t="s">
        <v>650</v>
      </c>
      <c r="R238" s="197" t="s">
        <v>257</v>
      </c>
      <c r="S238" s="197">
        <v>100</v>
      </c>
      <c r="T238" s="197" t="s">
        <v>651</v>
      </c>
      <c r="U238" s="198">
        <v>0</v>
      </c>
      <c r="V238" s="199">
        <v>0</v>
      </c>
      <c r="W238" s="199">
        <v>1</v>
      </c>
      <c r="X238" s="199" t="s">
        <v>264</v>
      </c>
      <c r="Y238" s="200" t="s">
        <v>265</v>
      </c>
      <c r="Z238" s="200" t="s">
        <v>265</v>
      </c>
      <c r="AA238" s="233" t="str">
        <f t="shared" si="71"/>
        <v>Unused</v>
      </c>
      <c r="AB238" s="234" t="str">
        <f t="shared" si="72"/>
        <v>Unused</v>
      </c>
      <c r="AC238" s="248"/>
      <c r="AD238" s="234" t="str">
        <f t="shared" si="73"/>
        <v>ENABLE</v>
      </c>
      <c r="AE238" s="234" t="str">
        <f t="shared" si="68"/>
        <v>DISABLE</v>
      </c>
      <c r="AF238" s="234" t="str">
        <f t="shared" si="74"/>
        <v>NORMAL</v>
      </c>
      <c r="AG238" s="248"/>
      <c r="AH238" s="234" t="str">
        <f>IF((AND($AB238="GPIO",$AK238="Out")),"DRIVEN",IF((AND($AB238="GPIO",$AK238="Bidir")),"DRIVEN","TRISTATE"))</f>
        <v>TRISTATE</v>
      </c>
      <c r="AI238" s="234" t="str">
        <f>IF((OR($AL238="Drive 0")),"LOW","HIGH")</f>
        <v>HIGH</v>
      </c>
      <c r="AJ238" s="182" t="s">
        <v>1158</v>
      </c>
      <c r="AK238" s="149" t="s">
        <v>2926</v>
      </c>
      <c r="AL238" s="153"/>
      <c r="AM238" s="256"/>
      <c r="AN238" s="152"/>
      <c r="AO238" s="152"/>
      <c r="AP238" s="349"/>
      <c r="AQ238" s="345"/>
      <c r="AR238" s="6" t="s">
        <v>702</v>
      </c>
      <c r="AS238" s="43"/>
      <c r="AT238" s="282" t="s">
        <v>1158</v>
      </c>
      <c r="AU238" s="112"/>
      <c r="AV238" s="126"/>
    </row>
    <row r="239" spans="1:48" ht="12.95" customHeight="1" thickBot="1" x14ac:dyDescent="0.3">
      <c r="A239" s="197" t="s">
        <v>2366</v>
      </c>
      <c r="B239" s="271"/>
      <c r="C239" s="197" t="s">
        <v>2378</v>
      </c>
      <c r="D239" s="197" t="s">
        <v>2383</v>
      </c>
      <c r="E239" s="221" t="s">
        <v>1911</v>
      </c>
      <c r="F239" s="197" t="str">
        <f>CONCATENATE("unused_",A239)</f>
        <v>unused_SYS_RESET_N</v>
      </c>
      <c r="G239" s="198"/>
      <c r="H239" s="197" t="s">
        <v>2366</v>
      </c>
      <c r="I239" s="197"/>
      <c r="J239" s="197"/>
      <c r="K239" s="197"/>
      <c r="L239" s="198"/>
      <c r="M239" s="197"/>
      <c r="N239" s="197"/>
      <c r="O239" s="197"/>
      <c r="P239" s="197"/>
      <c r="Q239" s="198" t="s">
        <v>650</v>
      </c>
      <c r="R239" s="197"/>
      <c r="S239" s="197"/>
      <c r="T239" s="197" t="s">
        <v>672</v>
      </c>
      <c r="U239" s="198"/>
      <c r="V239" s="199"/>
      <c r="W239" s="199"/>
      <c r="X239" s="199"/>
      <c r="Y239" s="200" t="s">
        <v>265</v>
      </c>
      <c r="Z239" s="200" t="s">
        <v>265</v>
      </c>
      <c r="AA239" s="253"/>
      <c r="AB239" s="248"/>
      <c r="AC239" s="248"/>
      <c r="AD239" s="248"/>
      <c r="AE239" s="234"/>
      <c r="AF239" s="248"/>
      <c r="AG239" s="248"/>
      <c r="AH239" s="248"/>
      <c r="AI239" s="245"/>
      <c r="AJ239" s="182" t="s">
        <v>3553</v>
      </c>
      <c r="AK239" s="256"/>
      <c r="AL239" s="256"/>
      <c r="AM239" s="256"/>
      <c r="AN239" s="256"/>
      <c r="AO239" s="256"/>
      <c r="AP239" s="260"/>
      <c r="AQ239" s="345"/>
      <c r="AR239" s="6" t="s">
        <v>2366</v>
      </c>
      <c r="AS239" s="42" t="s">
        <v>2372</v>
      </c>
      <c r="AT239" s="295" t="s">
        <v>2366</v>
      </c>
      <c r="AU239" s="42" t="s">
        <v>2372</v>
      </c>
      <c r="AV239" s="42" t="s">
        <v>2372</v>
      </c>
    </row>
    <row r="240" spans="1:48" ht="12.95" customHeight="1" thickBot="1" x14ac:dyDescent="0.3">
      <c r="A240" s="197" t="s">
        <v>2365</v>
      </c>
      <c r="B240" s="271"/>
      <c r="C240" s="197" t="s">
        <v>2377</v>
      </c>
      <c r="D240" s="197" t="s">
        <v>1906</v>
      </c>
      <c r="E240" s="221" t="s">
        <v>1911</v>
      </c>
      <c r="F240" s="197" t="str">
        <f>CONCATENATE("unused_",A240)</f>
        <v>unused_TEST_MODE_EN</v>
      </c>
      <c r="G240" s="198"/>
      <c r="H240" s="197" t="s">
        <v>2365</v>
      </c>
      <c r="I240" s="197"/>
      <c r="J240" s="197"/>
      <c r="K240" s="197"/>
      <c r="L240" s="198"/>
      <c r="M240" s="197"/>
      <c r="N240" s="197"/>
      <c r="O240" s="197"/>
      <c r="P240" s="197"/>
      <c r="Q240" s="198" t="s">
        <v>650</v>
      </c>
      <c r="R240" s="197"/>
      <c r="S240" s="197"/>
      <c r="T240" s="197" t="s">
        <v>654</v>
      </c>
      <c r="U240" s="198"/>
      <c r="V240" s="199"/>
      <c r="W240" s="199"/>
      <c r="X240" s="199"/>
      <c r="Y240" s="200"/>
      <c r="Z240" s="200"/>
      <c r="AA240" s="253"/>
      <c r="AB240" s="248"/>
      <c r="AC240" s="248"/>
      <c r="AD240" s="248"/>
      <c r="AE240" s="234"/>
      <c r="AF240" s="248"/>
      <c r="AG240" s="248"/>
      <c r="AH240" s="248"/>
      <c r="AI240" s="245"/>
      <c r="AJ240" s="182" t="s">
        <v>3554</v>
      </c>
      <c r="AK240" s="256"/>
      <c r="AL240" s="256"/>
      <c r="AM240" s="256"/>
      <c r="AN240" s="256"/>
      <c r="AO240" s="256"/>
      <c r="AP240" s="260"/>
      <c r="AQ240" s="345"/>
      <c r="AR240" s="6" t="s">
        <v>2365</v>
      </c>
      <c r="AS240" s="42" t="s">
        <v>2371</v>
      </c>
      <c r="AT240" s="295" t="s">
        <v>2365</v>
      </c>
      <c r="AU240" s="42" t="s">
        <v>2371</v>
      </c>
      <c r="AV240" s="42" t="s">
        <v>2371</v>
      </c>
    </row>
    <row r="241" spans="1:48" s="24" customFormat="1" ht="18" customHeight="1" thickBot="1" x14ac:dyDescent="0.3">
      <c r="A241" s="160" t="s">
        <v>1240</v>
      </c>
      <c r="B241" s="272"/>
      <c r="C241" s="160"/>
      <c r="D241" s="160"/>
      <c r="E241" s="215"/>
      <c r="F241" s="160"/>
      <c r="G241" s="201"/>
      <c r="H241" s="160"/>
      <c r="I241" s="160"/>
      <c r="J241" s="160"/>
      <c r="K241" s="160"/>
      <c r="L241" s="201"/>
      <c r="M241" s="160"/>
      <c r="N241" s="160"/>
      <c r="O241" s="160"/>
      <c r="P241" s="160"/>
      <c r="Q241" s="201"/>
      <c r="R241" s="160"/>
      <c r="S241" s="160"/>
      <c r="T241" s="160"/>
      <c r="U241" s="201"/>
      <c r="V241" s="160"/>
      <c r="W241" s="160"/>
      <c r="X241" s="160"/>
      <c r="Y241" s="202"/>
      <c r="Z241" s="202"/>
      <c r="AA241" s="235"/>
      <c r="AB241" s="236"/>
      <c r="AC241" s="236"/>
      <c r="AD241" s="236"/>
      <c r="AE241" s="236"/>
      <c r="AF241" s="236"/>
      <c r="AG241" s="236"/>
      <c r="AH241" s="236"/>
      <c r="AI241" s="237"/>
      <c r="AJ241" s="160"/>
      <c r="AK241" s="35"/>
      <c r="AL241" s="154"/>
      <c r="AM241" s="169"/>
      <c r="AN241" s="154"/>
      <c r="AO241" s="154"/>
      <c r="AP241" s="154"/>
      <c r="AQ241" s="45"/>
      <c r="AR241" s="277"/>
      <c r="AS241" s="45"/>
      <c r="AT241" s="284"/>
      <c r="AU241" s="45"/>
      <c r="AV241" s="45"/>
    </row>
    <row r="242" spans="1:48" ht="12.95" customHeight="1" thickBot="1" x14ac:dyDescent="0.3">
      <c r="A242" s="268" t="s">
        <v>213</v>
      </c>
      <c r="B242" s="273">
        <v>5</v>
      </c>
      <c r="C242" s="197" t="s">
        <v>1935</v>
      </c>
      <c r="D242" s="197" t="s">
        <v>1936</v>
      </c>
      <c r="E242" s="165" t="s">
        <v>1936</v>
      </c>
      <c r="F242" s="197" t="str">
        <f t="shared" ref="F242:F264" si="77">CONCATENATE("unused_",A242)</f>
        <v>unused_CLK3_OUT</v>
      </c>
      <c r="G242" s="198" t="s">
        <v>979</v>
      </c>
      <c r="H242" s="197" t="s">
        <v>703</v>
      </c>
      <c r="I242" s="360" t="s">
        <v>3063</v>
      </c>
      <c r="J242" s="360" t="s">
        <v>3076</v>
      </c>
      <c r="K242" s="360" t="s">
        <v>3090</v>
      </c>
      <c r="L242" s="198" t="s">
        <v>254</v>
      </c>
      <c r="M242" s="197" t="s">
        <v>254</v>
      </c>
      <c r="N242" s="197" t="s">
        <v>2062</v>
      </c>
      <c r="O242" s="197" t="s">
        <v>263</v>
      </c>
      <c r="P242" s="197" t="s">
        <v>253</v>
      </c>
      <c r="Q242" s="198" t="s">
        <v>704</v>
      </c>
      <c r="R242" s="197" t="s">
        <v>257</v>
      </c>
      <c r="S242" s="197">
        <v>100</v>
      </c>
      <c r="T242" s="197" t="s">
        <v>705</v>
      </c>
      <c r="U242" s="198">
        <v>0</v>
      </c>
      <c r="V242" s="199">
        <v>0</v>
      </c>
      <c r="W242" s="199">
        <v>1</v>
      </c>
      <c r="X242" s="199" t="s">
        <v>264</v>
      </c>
      <c r="Y242" s="263" t="s">
        <v>2961</v>
      </c>
      <c r="Z242" s="263" t="s">
        <v>2961</v>
      </c>
      <c r="AA242" s="233" t="str">
        <f t="shared" ref="AA242:AA264" si="78">IF((AJ242=H242),0,IF((AJ242=I242),1,IF((AJ242=J242),2,IF((AJ242=K242),3,IF((AJ242=G242),"GPIO",IF((AJ242=F242),"Unused"))))))</f>
        <v>Unused</v>
      </c>
      <c r="AB242" s="234" t="str">
        <f t="shared" ref="AB242:AB264" si="79">IF((OR($AA242=0,$AA242=1,$AA242=2,$AA242=3)),"SFIO",IF(($AA242="GPIO"),"GPIO","Unused"))</f>
        <v>Unused</v>
      </c>
      <c r="AC242" s="248"/>
      <c r="AD242" s="234" t="str">
        <f t="shared" ref="AD242:AD281" si="80">IF(($AB242="Unused"), "ENABLE", IF((OR($AK242="Bidir",$AK242="Out")), "NORMAL", IF((OR($AK242="IN",AL242="Z", AL242="Int PU",AL242="Int PD")),"ENABLE","NORMAL")))</f>
        <v>ENABLE</v>
      </c>
      <c r="AE242" s="234" t="str">
        <f>IF((OR($AB242="Unused",$AK242="OUT")),"DISABLE","ENABLE")</f>
        <v>DISABLE</v>
      </c>
      <c r="AF242" s="234" t="str">
        <f t="shared" ref="AF242:AF281" si="81">IF((OR((AND($AC242="Yes",$AN242="",OR($AK242="In",$AK242="Bidir"))),($AL242="Int PU"))),"PULL_UP",IF(($AL242="Int PD"),"PULL_DOWN",IF((OR($AB242="Unused",$AL242="Drive 1",$AL242="Drive 0",$AL242="Z",$AL242="na",$AL242="",$AN242&lt;&gt;"",$AO242&lt;&gt;"")),"NORMAL")))</f>
        <v>NORMAL</v>
      </c>
      <c r="AG242" s="248"/>
      <c r="AH242" s="234" t="str">
        <f t="shared" ref="AH242:AH264" si="82">IF((AND($AB242="GPIO",$AK242="Out")),"DRIVEN",IF((AND($AB242="GPIO",$AK242="Bidir")),"DRIVEN","TRISTATE"))</f>
        <v>TRISTATE</v>
      </c>
      <c r="AI242" s="234" t="str">
        <f t="shared" ref="AI242:AI264" si="83">IF((OR($AL242="Drive 0")),"LOW","HIGH")</f>
        <v>HIGH</v>
      </c>
      <c r="AJ242" s="182" t="s">
        <v>3008</v>
      </c>
      <c r="AK242" s="149" t="s">
        <v>2926</v>
      </c>
      <c r="AL242" s="153"/>
      <c r="AM242" s="256"/>
      <c r="AN242" s="152"/>
      <c r="AO242" s="152"/>
      <c r="AP242" s="153"/>
      <c r="AQ242" s="345"/>
      <c r="AR242" s="6" t="s">
        <v>3008</v>
      </c>
      <c r="AS242" s="388"/>
      <c r="AT242" s="281" t="s">
        <v>3008</v>
      </c>
      <c r="AU242" s="437"/>
      <c r="AV242" s="388"/>
    </row>
    <row r="243" spans="1:48" ht="12.95" customHeight="1" thickBot="1" x14ac:dyDescent="0.3">
      <c r="A243" s="197" t="s">
        <v>214</v>
      </c>
      <c r="B243" s="271"/>
      <c r="C243" s="197" t="s">
        <v>1937</v>
      </c>
      <c r="D243" s="197" t="s">
        <v>1938</v>
      </c>
      <c r="E243" s="165" t="s">
        <v>1938</v>
      </c>
      <c r="F243" s="197" t="str">
        <f t="shared" si="77"/>
        <v>unused_CLK3_REQ</v>
      </c>
      <c r="G243" s="198" t="s">
        <v>980</v>
      </c>
      <c r="H243" s="197" t="s">
        <v>706</v>
      </c>
      <c r="I243" s="360" t="s">
        <v>3063</v>
      </c>
      <c r="J243" s="360" t="s">
        <v>3076</v>
      </c>
      <c r="K243" s="360" t="s">
        <v>3090</v>
      </c>
      <c r="L243" s="198" t="s">
        <v>2062</v>
      </c>
      <c r="M243" s="197" t="s">
        <v>254</v>
      </c>
      <c r="N243" s="197" t="s">
        <v>2062</v>
      </c>
      <c r="O243" s="197" t="s">
        <v>263</v>
      </c>
      <c r="P243" s="197" t="s">
        <v>253</v>
      </c>
      <c r="Q243" s="198" t="s">
        <v>704</v>
      </c>
      <c r="R243" s="197" t="s">
        <v>257</v>
      </c>
      <c r="S243" s="197">
        <v>100</v>
      </c>
      <c r="T243" s="197" t="s">
        <v>705</v>
      </c>
      <c r="U243" s="198">
        <v>0</v>
      </c>
      <c r="V243" s="199">
        <v>0</v>
      </c>
      <c r="W243" s="199">
        <v>1</v>
      </c>
      <c r="X243" s="199" t="s">
        <v>264</v>
      </c>
      <c r="Y243" s="200" t="s">
        <v>265</v>
      </c>
      <c r="Z243" s="200" t="s">
        <v>265</v>
      </c>
      <c r="AA243" s="233" t="str">
        <f t="shared" si="78"/>
        <v>Unused</v>
      </c>
      <c r="AB243" s="234" t="str">
        <f t="shared" si="79"/>
        <v>Unused</v>
      </c>
      <c r="AC243" s="248"/>
      <c r="AD243" s="234" t="str">
        <f t="shared" si="80"/>
        <v>ENABLE</v>
      </c>
      <c r="AE243" s="234" t="str">
        <f t="shared" ref="AE243:AE281" si="84">IF((OR($AB243="Unused",$AK243="OUT")),"DISABLE","ENABLE")</f>
        <v>DISABLE</v>
      </c>
      <c r="AF243" s="234" t="str">
        <f t="shared" si="81"/>
        <v>NORMAL</v>
      </c>
      <c r="AG243" s="248"/>
      <c r="AH243" s="234" t="str">
        <f t="shared" si="82"/>
        <v>TRISTATE</v>
      </c>
      <c r="AI243" s="234" t="str">
        <f t="shared" si="83"/>
        <v>HIGH</v>
      </c>
      <c r="AJ243" s="182" t="s">
        <v>1101</v>
      </c>
      <c r="AK243" s="149" t="s">
        <v>2926</v>
      </c>
      <c r="AL243" s="153"/>
      <c r="AM243" s="256"/>
      <c r="AN243" s="152"/>
      <c r="AO243" s="152"/>
      <c r="AP243" s="153"/>
      <c r="AQ243" s="345"/>
      <c r="AR243" s="6" t="s">
        <v>1101</v>
      </c>
      <c r="AS243" s="390"/>
      <c r="AT243" s="282" t="s">
        <v>1101</v>
      </c>
      <c r="AU243" s="438"/>
      <c r="AV243" s="390"/>
    </row>
    <row r="244" spans="1:48" ht="12.95" customHeight="1" x14ac:dyDescent="0.25">
      <c r="A244" s="197" t="s">
        <v>215</v>
      </c>
      <c r="B244" s="271"/>
      <c r="C244" s="197" t="s">
        <v>1901</v>
      </c>
      <c r="D244" s="197" t="s">
        <v>1939</v>
      </c>
      <c r="E244" s="165" t="s">
        <v>1939</v>
      </c>
      <c r="F244" s="197" t="str">
        <f t="shared" si="77"/>
        <v>unused_DAP4_DIN</v>
      </c>
      <c r="G244" s="198" t="s">
        <v>981</v>
      </c>
      <c r="H244" s="197" t="s">
        <v>707</v>
      </c>
      <c r="I244" s="360" t="s">
        <v>3063</v>
      </c>
      <c r="J244" s="197" t="s">
        <v>708</v>
      </c>
      <c r="K244" s="360" t="s">
        <v>3076</v>
      </c>
      <c r="L244" s="198" t="s">
        <v>2062</v>
      </c>
      <c r="M244" s="197" t="s">
        <v>270</v>
      </c>
      <c r="N244" s="197" t="s">
        <v>270</v>
      </c>
      <c r="O244" s="197" t="s">
        <v>255</v>
      </c>
      <c r="P244" s="197" t="s">
        <v>253</v>
      </c>
      <c r="Q244" s="198" t="s">
        <v>704</v>
      </c>
      <c r="R244" s="197" t="s">
        <v>257</v>
      </c>
      <c r="S244" s="197">
        <v>100</v>
      </c>
      <c r="T244" s="197" t="s">
        <v>709</v>
      </c>
      <c r="U244" s="198">
        <v>0</v>
      </c>
      <c r="V244" s="199">
        <v>1</v>
      </c>
      <c r="W244" s="199">
        <v>1</v>
      </c>
      <c r="X244" s="199" t="s">
        <v>259</v>
      </c>
      <c r="Y244" s="200" t="s">
        <v>260</v>
      </c>
      <c r="Z244" s="200" t="s">
        <v>260</v>
      </c>
      <c r="AA244" s="233" t="str">
        <f t="shared" si="78"/>
        <v>Unused</v>
      </c>
      <c r="AB244" s="234" t="str">
        <f t="shared" si="79"/>
        <v>Unused</v>
      </c>
      <c r="AC244" s="248"/>
      <c r="AD244" s="234" t="str">
        <f t="shared" si="80"/>
        <v>ENABLE</v>
      </c>
      <c r="AE244" s="234" t="str">
        <f t="shared" si="84"/>
        <v>DISABLE</v>
      </c>
      <c r="AF244" s="234" t="str">
        <f t="shared" si="81"/>
        <v>NORMAL</v>
      </c>
      <c r="AG244" s="248"/>
      <c r="AH244" s="234" t="str">
        <f t="shared" si="82"/>
        <v>TRISTATE</v>
      </c>
      <c r="AI244" s="234" t="str">
        <f t="shared" si="83"/>
        <v>HIGH</v>
      </c>
      <c r="AJ244" s="182" t="s">
        <v>3727</v>
      </c>
      <c r="AK244" s="149" t="s">
        <v>2926</v>
      </c>
      <c r="AL244" s="153"/>
      <c r="AM244" s="256"/>
      <c r="AN244" s="152"/>
      <c r="AO244" s="152"/>
      <c r="AP244" s="153"/>
      <c r="AQ244" s="385" t="s">
        <v>1203</v>
      </c>
      <c r="AR244" s="6" t="s">
        <v>707</v>
      </c>
      <c r="AS244" s="379" t="s">
        <v>1203</v>
      </c>
      <c r="AT244" s="282" t="s">
        <v>707</v>
      </c>
      <c r="AU244" s="371" t="s">
        <v>1203</v>
      </c>
      <c r="AV244" s="379" t="s">
        <v>1203</v>
      </c>
    </row>
    <row r="245" spans="1:48" ht="12.95" customHeight="1" x14ac:dyDescent="0.25">
      <c r="A245" s="197" t="s">
        <v>216</v>
      </c>
      <c r="B245" s="271"/>
      <c r="C245" s="197" t="s">
        <v>1940</v>
      </c>
      <c r="D245" s="197" t="s">
        <v>1941</v>
      </c>
      <c r="E245" s="165" t="s">
        <v>1941</v>
      </c>
      <c r="F245" s="197" t="str">
        <f t="shared" si="77"/>
        <v>unused_DAP4_DOUT</v>
      </c>
      <c r="G245" s="198" t="s">
        <v>982</v>
      </c>
      <c r="H245" s="197" t="s">
        <v>710</v>
      </c>
      <c r="I245" s="360" t="s">
        <v>3063</v>
      </c>
      <c r="J245" s="197" t="s">
        <v>711</v>
      </c>
      <c r="K245" s="360" t="s">
        <v>3076</v>
      </c>
      <c r="L245" s="198" t="s">
        <v>2062</v>
      </c>
      <c r="M245" s="197" t="s">
        <v>270</v>
      </c>
      <c r="N245" s="197" t="s">
        <v>270</v>
      </c>
      <c r="O245" s="197" t="s">
        <v>255</v>
      </c>
      <c r="P245" s="197" t="s">
        <v>253</v>
      </c>
      <c r="Q245" s="198" t="s">
        <v>704</v>
      </c>
      <c r="R245" s="197" t="s">
        <v>257</v>
      </c>
      <c r="S245" s="197">
        <v>100</v>
      </c>
      <c r="T245" s="197" t="s">
        <v>709</v>
      </c>
      <c r="U245" s="198">
        <v>0</v>
      </c>
      <c r="V245" s="199">
        <v>1</v>
      </c>
      <c r="W245" s="199">
        <v>1</v>
      </c>
      <c r="X245" s="199" t="s">
        <v>259</v>
      </c>
      <c r="Y245" s="200" t="s">
        <v>260</v>
      </c>
      <c r="Z245" s="200" t="s">
        <v>260</v>
      </c>
      <c r="AA245" s="233" t="str">
        <f t="shared" si="78"/>
        <v>Unused</v>
      </c>
      <c r="AB245" s="234" t="str">
        <f t="shared" si="79"/>
        <v>Unused</v>
      </c>
      <c r="AC245" s="248"/>
      <c r="AD245" s="234" t="str">
        <f t="shared" si="80"/>
        <v>ENABLE</v>
      </c>
      <c r="AE245" s="234" t="str">
        <f t="shared" si="84"/>
        <v>DISABLE</v>
      </c>
      <c r="AF245" s="234" t="str">
        <f t="shared" si="81"/>
        <v>NORMAL</v>
      </c>
      <c r="AG245" s="248"/>
      <c r="AH245" s="234" t="str">
        <f t="shared" si="82"/>
        <v>TRISTATE</v>
      </c>
      <c r="AI245" s="234" t="str">
        <f t="shared" si="83"/>
        <v>HIGH</v>
      </c>
      <c r="AJ245" s="182" t="s">
        <v>3728</v>
      </c>
      <c r="AK245" s="149" t="s">
        <v>2926</v>
      </c>
      <c r="AL245" s="153"/>
      <c r="AM245" s="256"/>
      <c r="AN245" s="152"/>
      <c r="AO245" s="152"/>
      <c r="AP245" s="153"/>
      <c r="AQ245" s="386"/>
      <c r="AR245" s="6" t="s">
        <v>710</v>
      </c>
      <c r="AS245" s="379"/>
      <c r="AT245" s="282" t="s">
        <v>710</v>
      </c>
      <c r="AU245" s="372"/>
      <c r="AV245" s="379"/>
    </row>
    <row r="246" spans="1:48" ht="12.95" customHeight="1" x14ac:dyDescent="0.25">
      <c r="A246" s="197" t="s">
        <v>217</v>
      </c>
      <c r="B246" s="271"/>
      <c r="C246" s="197" t="s">
        <v>1942</v>
      </c>
      <c r="D246" s="197" t="s">
        <v>1943</v>
      </c>
      <c r="E246" s="165" t="s">
        <v>1943</v>
      </c>
      <c r="F246" s="197" t="str">
        <f t="shared" si="77"/>
        <v>unused_DAP4_FS</v>
      </c>
      <c r="G246" s="198" t="s">
        <v>983</v>
      </c>
      <c r="H246" s="197" t="s">
        <v>712</v>
      </c>
      <c r="I246" s="360" t="s">
        <v>3063</v>
      </c>
      <c r="J246" s="197" t="s">
        <v>713</v>
      </c>
      <c r="K246" s="360" t="s">
        <v>3076</v>
      </c>
      <c r="L246" s="198" t="s">
        <v>2062</v>
      </c>
      <c r="M246" s="197" t="s">
        <v>270</v>
      </c>
      <c r="N246" s="197" t="s">
        <v>270</v>
      </c>
      <c r="O246" s="197" t="s">
        <v>255</v>
      </c>
      <c r="P246" s="197" t="s">
        <v>253</v>
      </c>
      <c r="Q246" s="198" t="s">
        <v>704</v>
      </c>
      <c r="R246" s="197" t="s">
        <v>257</v>
      </c>
      <c r="S246" s="197">
        <v>100</v>
      </c>
      <c r="T246" s="197" t="s">
        <v>709</v>
      </c>
      <c r="U246" s="198">
        <v>0</v>
      </c>
      <c r="V246" s="199">
        <v>1</v>
      </c>
      <c r="W246" s="199">
        <v>1</v>
      </c>
      <c r="X246" s="199" t="s">
        <v>259</v>
      </c>
      <c r="Y246" s="200" t="s">
        <v>260</v>
      </c>
      <c r="Z246" s="200" t="s">
        <v>260</v>
      </c>
      <c r="AA246" s="233" t="str">
        <f t="shared" si="78"/>
        <v>Unused</v>
      </c>
      <c r="AB246" s="234" t="str">
        <f t="shared" si="79"/>
        <v>Unused</v>
      </c>
      <c r="AC246" s="248"/>
      <c r="AD246" s="234" t="str">
        <f t="shared" si="80"/>
        <v>ENABLE</v>
      </c>
      <c r="AE246" s="234" t="str">
        <f t="shared" si="84"/>
        <v>DISABLE</v>
      </c>
      <c r="AF246" s="234" t="str">
        <f t="shared" si="81"/>
        <v>NORMAL</v>
      </c>
      <c r="AG246" s="248"/>
      <c r="AH246" s="234" t="str">
        <f t="shared" si="82"/>
        <v>TRISTATE</v>
      </c>
      <c r="AI246" s="234" t="str">
        <f t="shared" si="83"/>
        <v>HIGH</v>
      </c>
      <c r="AJ246" s="182" t="s">
        <v>3729</v>
      </c>
      <c r="AK246" s="149" t="s">
        <v>2926</v>
      </c>
      <c r="AL246" s="153"/>
      <c r="AM246" s="256"/>
      <c r="AN246" s="152"/>
      <c r="AO246" s="152"/>
      <c r="AP246" s="153"/>
      <c r="AQ246" s="386"/>
      <c r="AR246" s="6" t="s">
        <v>712</v>
      </c>
      <c r="AS246" s="379"/>
      <c r="AT246" s="282" t="s">
        <v>712</v>
      </c>
      <c r="AU246" s="372"/>
      <c r="AV246" s="379"/>
    </row>
    <row r="247" spans="1:48" ht="12.95" customHeight="1" thickBot="1" x14ac:dyDescent="0.3">
      <c r="A247" s="197" t="s">
        <v>218</v>
      </c>
      <c r="B247" s="271"/>
      <c r="C247" s="197" t="s">
        <v>1944</v>
      </c>
      <c r="D247" s="197" t="s">
        <v>1945</v>
      </c>
      <c r="E247" s="165" t="s">
        <v>1945</v>
      </c>
      <c r="F247" s="197" t="str">
        <f t="shared" si="77"/>
        <v>unused_DAP4_SCLK</v>
      </c>
      <c r="G247" s="198" t="s">
        <v>984</v>
      </c>
      <c r="H247" s="197" t="s">
        <v>714</v>
      </c>
      <c r="I247" s="360" t="s">
        <v>3063</v>
      </c>
      <c r="J247" s="197" t="s">
        <v>715</v>
      </c>
      <c r="K247" s="360" t="s">
        <v>3076</v>
      </c>
      <c r="L247" s="198" t="s">
        <v>2062</v>
      </c>
      <c r="M247" s="197" t="s">
        <v>270</v>
      </c>
      <c r="N247" s="197" t="s">
        <v>270</v>
      </c>
      <c r="O247" s="197" t="s">
        <v>255</v>
      </c>
      <c r="P247" s="197" t="s">
        <v>253</v>
      </c>
      <c r="Q247" s="198" t="s">
        <v>704</v>
      </c>
      <c r="R247" s="197" t="s">
        <v>257</v>
      </c>
      <c r="S247" s="197">
        <v>100</v>
      </c>
      <c r="T247" s="197" t="s">
        <v>709</v>
      </c>
      <c r="U247" s="198">
        <v>0</v>
      </c>
      <c r="V247" s="199">
        <v>1</v>
      </c>
      <c r="W247" s="199">
        <v>1</v>
      </c>
      <c r="X247" s="199" t="s">
        <v>259</v>
      </c>
      <c r="Y247" s="200" t="s">
        <v>260</v>
      </c>
      <c r="Z247" s="200" t="s">
        <v>260</v>
      </c>
      <c r="AA247" s="233" t="str">
        <f t="shared" si="78"/>
        <v>Unused</v>
      </c>
      <c r="AB247" s="234" t="str">
        <f t="shared" si="79"/>
        <v>Unused</v>
      </c>
      <c r="AC247" s="248"/>
      <c r="AD247" s="234" t="str">
        <f t="shared" si="80"/>
        <v>ENABLE</v>
      </c>
      <c r="AE247" s="234" t="str">
        <f t="shared" si="84"/>
        <v>DISABLE</v>
      </c>
      <c r="AF247" s="234" t="str">
        <f t="shared" si="81"/>
        <v>NORMAL</v>
      </c>
      <c r="AG247" s="248"/>
      <c r="AH247" s="234" t="str">
        <f t="shared" si="82"/>
        <v>TRISTATE</v>
      </c>
      <c r="AI247" s="234" t="str">
        <f t="shared" si="83"/>
        <v>HIGH</v>
      </c>
      <c r="AJ247" s="182" t="s">
        <v>3730</v>
      </c>
      <c r="AK247" s="149" t="s">
        <v>2926</v>
      </c>
      <c r="AL247" s="153"/>
      <c r="AM247" s="256"/>
      <c r="AN247" s="152"/>
      <c r="AO247" s="152"/>
      <c r="AP247" s="153"/>
      <c r="AQ247" s="387"/>
      <c r="AR247" s="6" t="s">
        <v>714</v>
      </c>
      <c r="AS247" s="379"/>
      <c r="AT247" s="282" t="s">
        <v>714</v>
      </c>
      <c r="AU247" s="373"/>
      <c r="AV247" s="379"/>
    </row>
    <row r="248" spans="1:48" ht="12.95" customHeight="1" x14ac:dyDescent="0.25">
      <c r="A248" s="197" t="s">
        <v>219</v>
      </c>
      <c r="B248" s="271"/>
      <c r="C248" s="197" t="s">
        <v>1946</v>
      </c>
      <c r="D248" s="197" t="s">
        <v>1947</v>
      </c>
      <c r="E248" s="165" t="s">
        <v>1947</v>
      </c>
      <c r="F248" s="197" t="str">
        <f t="shared" si="77"/>
        <v>unused_GEN1_I2C_SCL</v>
      </c>
      <c r="G248" s="198" t="s">
        <v>985</v>
      </c>
      <c r="H248" s="197" t="s">
        <v>716</v>
      </c>
      <c r="I248" s="360" t="s">
        <v>3063</v>
      </c>
      <c r="J248" s="360" t="s">
        <v>3076</v>
      </c>
      <c r="K248" s="360" t="s">
        <v>3090</v>
      </c>
      <c r="L248" s="198" t="s">
        <v>2062</v>
      </c>
      <c r="M248" s="197" t="s">
        <v>254</v>
      </c>
      <c r="N248" s="197" t="s">
        <v>2062</v>
      </c>
      <c r="O248" s="197" t="s">
        <v>263</v>
      </c>
      <c r="P248" s="197" t="s">
        <v>253</v>
      </c>
      <c r="Q248" s="198" t="s">
        <v>704</v>
      </c>
      <c r="R248" s="197" t="s">
        <v>368</v>
      </c>
      <c r="S248" s="197">
        <v>50</v>
      </c>
      <c r="T248" s="197" t="s">
        <v>654</v>
      </c>
      <c r="U248" s="198">
        <v>0</v>
      </c>
      <c r="V248" s="199">
        <v>0</v>
      </c>
      <c r="W248" s="199">
        <v>1</v>
      </c>
      <c r="X248" s="199" t="s">
        <v>264</v>
      </c>
      <c r="Y248" s="200" t="s">
        <v>265</v>
      </c>
      <c r="Z248" s="200" t="s">
        <v>265</v>
      </c>
      <c r="AA248" s="233" t="str">
        <f t="shared" si="78"/>
        <v>Unused</v>
      </c>
      <c r="AB248" s="234" t="str">
        <f t="shared" si="79"/>
        <v>Unused</v>
      </c>
      <c r="AC248" s="248"/>
      <c r="AD248" s="234" t="str">
        <f t="shared" si="80"/>
        <v>ENABLE</v>
      </c>
      <c r="AE248" s="234" t="str">
        <f t="shared" si="84"/>
        <v>DISABLE</v>
      </c>
      <c r="AF248" s="234" t="str">
        <f t="shared" si="81"/>
        <v>NORMAL</v>
      </c>
      <c r="AG248" s="234" t="str">
        <f>IF((AJ248=H248),"ENABLE","DISABLE")</f>
        <v>DISABLE</v>
      </c>
      <c r="AH248" s="234" t="str">
        <f t="shared" si="82"/>
        <v>TRISTATE</v>
      </c>
      <c r="AI248" s="234" t="str">
        <f t="shared" si="83"/>
        <v>HIGH</v>
      </c>
      <c r="AJ248" s="182" t="s">
        <v>3731</v>
      </c>
      <c r="AK248" s="149" t="s">
        <v>2926</v>
      </c>
      <c r="AL248" s="153"/>
      <c r="AM248" s="256"/>
      <c r="AN248" s="152"/>
      <c r="AO248" s="152"/>
      <c r="AP248" s="153"/>
      <c r="AQ248" s="385" t="s">
        <v>1204</v>
      </c>
      <c r="AR248" s="6" t="s">
        <v>716</v>
      </c>
      <c r="AS248" s="379" t="s">
        <v>1204</v>
      </c>
      <c r="AT248" s="282" t="s">
        <v>716</v>
      </c>
      <c r="AU248" s="371" t="s">
        <v>1204</v>
      </c>
      <c r="AV248" s="379" t="s">
        <v>1204</v>
      </c>
    </row>
    <row r="249" spans="1:48" ht="12.95" customHeight="1" thickBot="1" x14ac:dyDescent="0.3">
      <c r="A249" s="197" t="s">
        <v>220</v>
      </c>
      <c r="B249" s="271"/>
      <c r="C249" s="197" t="s">
        <v>1948</v>
      </c>
      <c r="D249" s="197" t="s">
        <v>1949</v>
      </c>
      <c r="E249" s="165" t="s">
        <v>1949</v>
      </c>
      <c r="F249" s="197" t="str">
        <f t="shared" si="77"/>
        <v>unused_GEN1_I2C_SDA</v>
      </c>
      <c r="G249" s="198" t="s">
        <v>986</v>
      </c>
      <c r="H249" s="197" t="s">
        <v>717</v>
      </c>
      <c r="I249" s="360" t="s">
        <v>3063</v>
      </c>
      <c r="J249" s="360" t="s">
        <v>3076</v>
      </c>
      <c r="K249" s="360" t="s">
        <v>3090</v>
      </c>
      <c r="L249" s="198" t="s">
        <v>2062</v>
      </c>
      <c r="M249" s="197" t="s">
        <v>254</v>
      </c>
      <c r="N249" s="197" t="s">
        <v>2062</v>
      </c>
      <c r="O249" s="197" t="s">
        <v>263</v>
      </c>
      <c r="P249" s="197" t="s">
        <v>253</v>
      </c>
      <c r="Q249" s="198" t="s">
        <v>704</v>
      </c>
      <c r="R249" s="197" t="s">
        <v>368</v>
      </c>
      <c r="S249" s="197">
        <v>50</v>
      </c>
      <c r="T249" s="197" t="s">
        <v>654</v>
      </c>
      <c r="U249" s="198">
        <v>0</v>
      </c>
      <c r="V249" s="199">
        <v>0</v>
      </c>
      <c r="W249" s="199">
        <v>1</v>
      </c>
      <c r="X249" s="199" t="s">
        <v>264</v>
      </c>
      <c r="Y249" s="200" t="s">
        <v>265</v>
      </c>
      <c r="Z249" s="200" t="s">
        <v>265</v>
      </c>
      <c r="AA249" s="233" t="str">
        <f t="shared" si="78"/>
        <v>Unused</v>
      </c>
      <c r="AB249" s="234" t="str">
        <f t="shared" si="79"/>
        <v>Unused</v>
      </c>
      <c r="AC249" s="248"/>
      <c r="AD249" s="234" t="str">
        <f t="shared" si="80"/>
        <v>ENABLE</v>
      </c>
      <c r="AE249" s="234" t="str">
        <f t="shared" si="84"/>
        <v>DISABLE</v>
      </c>
      <c r="AF249" s="234" t="str">
        <f t="shared" si="81"/>
        <v>NORMAL</v>
      </c>
      <c r="AG249" s="234" t="str">
        <f>IF((AJ249=H249),"ENABLE","DISABLE")</f>
        <v>DISABLE</v>
      </c>
      <c r="AH249" s="234" t="str">
        <f t="shared" si="82"/>
        <v>TRISTATE</v>
      </c>
      <c r="AI249" s="234" t="str">
        <f t="shared" si="83"/>
        <v>HIGH</v>
      </c>
      <c r="AJ249" s="182" t="s">
        <v>3732</v>
      </c>
      <c r="AK249" s="149" t="s">
        <v>2926</v>
      </c>
      <c r="AL249" s="153"/>
      <c r="AM249" s="256"/>
      <c r="AN249" s="152"/>
      <c r="AO249" s="152"/>
      <c r="AP249" s="153"/>
      <c r="AQ249" s="387"/>
      <c r="AR249" s="6" t="s">
        <v>717</v>
      </c>
      <c r="AS249" s="379"/>
      <c r="AT249" s="282" t="s">
        <v>717</v>
      </c>
      <c r="AU249" s="373"/>
      <c r="AV249" s="379"/>
    </row>
    <row r="250" spans="1:48" ht="12.95" customHeight="1" thickBot="1" x14ac:dyDescent="0.3">
      <c r="A250" s="197" t="s">
        <v>221</v>
      </c>
      <c r="B250" s="271"/>
      <c r="C250" s="197" t="s">
        <v>1950</v>
      </c>
      <c r="D250" s="197" t="s">
        <v>1951</v>
      </c>
      <c r="E250" s="165" t="s">
        <v>1951</v>
      </c>
      <c r="F250" s="197" t="str">
        <f t="shared" si="77"/>
        <v>unused_GPIO_PU0</v>
      </c>
      <c r="G250" s="198" t="s">
        <v>987</v>
      </c>
      <c r="H250" s="197" t="s">
        <v>583</v>
      </c>
      <c r="I250" s="197" t="s">
        <v>718</v>
      </c>
      <c r="J250" s="197" t="s">
        <v>719</v>
      </c>
      <c r="K250" s="360" t="s">
        <v>3063</v>
      </c>
      <c r="L250" s="198" t="s">
        <v>2062</v>
      </c>
      <c r="M250" s="197" t="s">
        <v>270</v>
      </c>
      <c r="N250" s="197" t="s">
        <v>270</v>
      </c>
      <c r="O250" s="197" t="s">
        <v>255</v>
      </c>
      <c r="P250" s="197" t="s">
        <v>253</v>
      </c>
      <c r="Q250" s="198" t="s">
        <v>704</v>
      </c>
      <c r="R250" s="197" t="s">
        <v>257</v>
      </c>
      <c r="S250" s="197">
        <v>100</v>
      </c>
      <c r="T250" s="197" t="s">
        <v>654</v>
      </c>
      <c r="U250" s="198">
        <v>0</v>
      </c>
      <c r="V250" s="199">
        <v>1</v>
      </c>
      <c r="W250" s="199">
        <v>1</v>
      </c>
      <c r="X250" s="199" t="s">
        <v>264</v>
      </c>
      <c r="Y250" s="200" t="s">
        <v>265</v>
      </c>
      <c r="Z250" s="200" t="s">
        <v>265</v>
      </c>
      <c r="AA250" s="233" t="str">
        <f t="shared" si="78"/>
        <v>Unused</v>
      </c>
      <c r="AB250" s="234" t="str">
        <f t="shared" si="79"/>
        <v>Unused</v>
      </c>
      <c r="AC250" s="248"/>
      <c r="AD250" s="234" t="str">
        <f t="shared" si="80"/>
        <v>ENABLE</v>
      </c>
      <c r="AE250" s="234" t="str">
        <f t="shared" si="84"/>
        <v>DISABLE</v>
      </c>
      <c r="AF250" s="234" t="str">
        <f t="shared" si="81"/>
        <v>NORMAL</v>
      </c>
      <c r="AG250" s="248"/>
      <c r="AH250" s="234" t="str">
        <f t="shared" si="82"/>
        <v>TRISTATE</v>
      </c>
      <c r="AI250" s="234" t="str">
        <f t="shared" si="83"/>
        <v>HIGH</v>
      </c>
      <c r="AJ250" s="182" t="s">
        <v>3643</v>
      </c>
      <c r="AK250" s="149" t="s">
        <v>2926</v>
      </c>
      <c r="AL250" s="153"/>
      <c r="AM250" s="256"/>
      <c r="AN250" s="152"/>
      <c r="AO250" s="152"/>
      <c r="AP250" s="153"/>
      <c r="AQ250" s="343" t="s">
        <v>3615</v>
      </c>
      <c r="AR250" s="6" t="s">
        <v>718</v>
      </c>
      <c r="AS250" s="44" t="s">
        <v>1228</v>
      </c>
      <c r="AT250" s="282" t="s">
        <v>987</v>
      </c>
      <c r="AU250" s="44" t="s">
        <v>1228</v>
      </c>
      <c r="AV250" s="44" t="s">
        <v>1228</v>
      </c>
    </row>
    <row r="251" spans="1:48" ht="12.95" customHeight="1" thickBot="1" x14ac:dyDescent="0.3">
      <c r="A251" s="197" t="s">
        <v>222</v>
      </c>
      <c r="B251" s="271"/>
      <c r="C251" s="197" t="s">
        <v>1932</v>
      </c>
      <c r="D251" s="197" t="s">
        <v>1952</v>
      </c>
      <c r="E251" s="165" t="s">
        <v>1952</v>
      </c>
      <c r="F251" s="197" t="str">
        <f t="shared" si="77"/>
        <v>unused_GPIO_PU1</v>
      </c>
      <c r="G251" s="198" t="s">
        <v>988</v>
      </c>
      <c r="H251" s="360" t="s">
        <v>3063</v>
      </c>
      <c r="I251" s="197" t="s">
        <v>720</v>
      </c>
      <c r="J251" s="197" t="s">
        <v>721</v>
      </c>
      <c r="K251" s="360" t="s">
        <v>3076</v>
      </c>
      <c r="L251" s="198" t="s">
        <v>2062</v>
      </c>
      <c r="M251" s="197" t="s">
        <v>270</v>
      </c>
      <c r="N251" s="197" t="s">
        <v>270</v>
      </c>
      <c r="O251" s="197" t="s">
        <v>255</v>
      </c>
      <c r="P251" s="197" t="s">
        <v>253</v>
      </c>
      <c r="Q251" s="198" t="s">
        <v>704</v>
      </c>
      <c r="R251" s="197" t="s">
        <v>257</v>
      </c>
      <c r="S251" s="197">
        <v>100</v>
      </c>
      <c r="T251" s="197" t="s">
        <v>654</v>
      </c>
      <c r="U251" s="198">
        <v>0</v>
      </c>
      <c r="V251" s="199">
        <v>1</v>
      </c>
      <c r="W251" s="199">
        <v>1</v>
      </c>
      <c r="X251" s="199" t="s">
        <v>264</v>
      </c>
      <c r="Y251" s="200" t="s">
        <v>265</v>
      </c>
      <c r="Z251" s="200" t="s">
        <v>265</v>
      </c>
      <c r="AA251" s="233" t="str">
        <f t="shared" si="78"/>
        <v>Unused</v>
      </c>
      <c r="AB251" s="234" t="str">
        <f t="shared" si="79"/>
        <v>Unused</v>
      </c>
      <c r="AC251" s="248"/>
      <c r="AD251" s="234" t="str">
        <f t="shared" si="80"/>
        <v>ENABLE</v>
      </c>
      <c r="AE251" s="234" t="str">
        <f t="shared" si="84"/>
        <v>DISABLE</v>
      </c>
      <c r="AF251" s="234" t="str">
        <f t="shared" si="81"/>
        <v>NORMAL</v>
      </c>
      <c r="AG251" s="248"/>
      <c r="AH251" s="234" t="str">
        <f t="shared" si="82"/>
        <v>TRISTATE</v>
      </c>
      <c r="AI251" s="234" t="str">
        <f t="shared" si="83"/>
        <v>HIGH</v>
      </c>
      <c r="AJ251" s="182" t="s">
        <v>3644</v>
      </c>
      <c r="AK251" s="149" t="s">
        <v>2926</v>
      </c>
      <c r="AL251" s="153"/>
      <c r="AM251" s="256"/>
      <c r="AN251" s="152"/>
      <c r="AO251" s="152"/>
      <c r="AP251" s="153"/>
      <c r="AQ251" s="343" t="s">
        <v>1205</v>
      </c>
      <c r="AR251" s="6" t="s">
        <v>720</v>
      </c>
      <c r="AS251" s="44" t="s">
        <v>1205</v>
      </c>
      <c r="AT251" s="282" t="s">
        <v>988</v>
      </c>
      <c r="AU251" s="44" t="s">
        <v>1205</v>
      </c>
      <c r="AV251" s="44" t="s">
        <v>1205</v>
      </c>
    </row>
    <row r="252" spans="1:48" ht="12.95" customHeight="1" thickBot="1" x14ac:dyDescent="0.3">
      <c r="A252" s="197" t="s">
        <v>223</v>
      </c>
      <c r="B252" s="271"/>
      <c r="C252" s="197" t="s">
        <v>1911</v>
      </c>
      <c r="D252" s="197" t="s">
        <v>1953</v>
      </c>
      <c r="E252" s="165" t="s">
        <v>1953</v>
      </c>
      <c r="F252" s="197" t="str">
        <f t="shared" si="77"/>
        <v>unused_GPIO_PU2</v>
      </c>
      <c r="G252" s="198" t="s">
        <v>989</v>
      </c>
      <c r="H252" s="360" t="s">
        <v>3063</v>
      </c>
      <c r="I252" s="197" t="s">
        <v>2216</v>
      </c>
      <c r="J252" s="197" t="s">
        <v>722</v>
      </c>
      <c r="K252" s="360" t="s">
        <v>3076</v>
      </c>
      <c r="L252" s="198" t="s">
        <v>2062</v>
      </c>
      <c r="M252" s="197" t="s">
        <v>270</v>
      </c>
      <c r="N252" s="197" t="s">
        <v>270</v>
      </c>
      <c r="O252" s="197" t="s">
        <v>255</v>
      </c>
      <c r="P252" s="197" t="s">
        <v>253</v>
      </c>
      <c r="Q252" s="198" t="s">
        <v>704</v>
      </c>
      <c r="R252" s="197" t="s">
        <v>257</v>
      </c>
      <c r="S252" s="197">
        <v>100</v>
      </c>
      <c r="T252" s="197" t="s">
        <v>654</v>
      </c>
      <c r="U252" s="198">
        <v>0</v>
      </c>
      <c r="V252" s="199">
        <v>1</v>
      </c>
      <c r="W252" s="199">
        <v>1</v>
      </c>
      <c r="X252" s="199" t="s">
        <v>264</v>
      </c>
      <c r="Y252" s="200" t="s">
        <v>265</v>
      </c>
      <c r="Z252" s="200" t="s">
        <v>265</v>
      </c>
      <c r="AA252" s="233" t="str">
        <f t="shared" si="78"/>
        <v>Unused</v>
      </c>
      <c r="AB252" s="234" t="str">
        <f t="shared" si="79"/>
        <v>Unused</v>
      </c>
      <c r="AC252" s="248"/>
      <c r="AD252" s="234" t="str">
        <f t="shared" si="80"/>
        <v>ENABLE</v>
      </c>
      <c r="AE252" s="234" t="str">
        <f t="shared" si="84"/>
        <v>DISABLE</v>
      </c>
      <c r="AF252" s="234" t="str">
        <f t="shared" si="81"/>
        <v>NORMAL</v>
      </c>
      <c r="AG252" s="248"/>
      <c r="AH252" s="234" t="str">
        <f t="shared" si="82"/>
        <v>TRISTATE</v>
      </c>
      <c r="AI252" s="234" t="str">
        <f t="shared" si="83"/>
        <v>HIGH</v>
      </c>
      <c r="AJ252" s="182" t="s">
        <v>3645</v>
      </c>
      <c r="AK252" s="149" t="s">
        <v>2926</v>
      </c>
      <c r="AL252" s="153"/>
      <c r="AM252" s="256"/>
      <c r="AN252" s="152"/>
      <c r="AO252" s="152"/>
      <c r="AP252" s="153"/>
      <c r="AQ252" s="343" t="s">
        <v>1206</v>
      </c>
      <c r="AR252" s="6" t="s">
        <v>3009</v>
      </c>
      <c r="AS252" s="44" t="s">
        <v>1206</v>
      </c>
      <c r="AT252" s="282" t="s">
        <v>989</v>
      </c>
      <c r="AU252" s="44" t="s">
        <v>1206</v>
      </c>
      <c r="AV252" s="44" t="s">
        <v>1206</v>
      </c>
    </row>
    <row r="253" spans="1:48" ht="12.95" customHeight="1" thickBot="1" x14ac:dyDescent="0.3">
      <c r="A253" s="197" t="s">
        <v>224</v>
      </c>
      <c r="B253" s="271"/>
      <c r="C253" s="197" t="s">
        <v>1954</v>
      </c>
      <c r="D253" s="197" t="s">
        <v>1955</v>
      </c>
      <c r="E253" s="165" t="s">
        <v>1955</v>
      </c>
      <c r="F253" s="197" t="str">
        <f t="shared" si="77"/>
        <v>unused_GPIO_PU3</v>
      </c>
      <c r="G253" s="198" t="s">
        <v>990</v>
      </c>
      <c r="H253" s="197" t="s">
        <v>447</v>
      </c>
      <c r="I253" s="197" t="s">
        <v>2217</v>
      </c>
      <c r="J253" s="197" t="s">
        <v>723</v>
      </c>
      <c r="K253" s="360" t="s">
        <v>3063</v>
      </c>
      <c r="L253" s="198" t="s">
        <v>2062</v>
      </c>
      <c r="M253" s="197" t="s">
        <v>270</v>
      </c>
      <c r="N253" s="197" t="s">
        <v>270</v>
      </c>
      <c r="O253" s="197" t="s">
        <v>255</v>
      </c>
      <c r="P253" s="197" t="s">
        <v>253</v>
      </c>
      <c r="Q253" s="198" t="s">
        <v>704</v>
      </c>
      <c r="R253" s="197" t="s">
        <v>257</v>
      </c>
      <c r="S253" s="197">
        <v>100</v>
      </c>
      <c r="T253" s="197" t="s">
        <v>654</v>
      </c>
      <c r="U253" s="198">
        <v>0</v>
      </c>
      <c r="V253" s="199">
        <v>1</v>
      </c>
      <c r="W253" s="199">
        <v>1</v>
      </c>
      <c r="X253" s="199" t="s">
        <v>264</v>
      </c>
      <c r="Y253" s="200" t="s">
        <v>265</v>
      </c>
      <c r="Z253" s="200" t="s">
        <v>265</v>
      </c>
      <c r="AA253" s="233" t="str">
        <f t="shared" si="78"/>
        <v>Unused</v>
      </c>
      <c r="AB253" s="234" t="str">
        <f t="shared" si="79"/>
        <v>Unused</v>
      </c>
      <c r="AC253" s="248"/>
      <c r="AD253" s="234" t="str">
        <f t="shared" si="80"/>
        <v>ENABLE</v>
      </c>
      <c r="AE253" s="234" t="str">
        <f t="shared" si="84"/>
        <v>DISABLE</v>
      </c>
      <c r="AF253" s="234" t="str">
        <f t="shared" si="81"/>
        <v>NORMAL</v>
      </c>
      <c r="AG253" s="248"/>
      <c r="AH253" s="234" t="str">
        <f t="shared" si="82"/>
        <v>TRISTATE</v>
      </c>
      <c r="AI253" s="234" t="str">
        <f t="shared" si="83"/>
        <v>HIGH</v>
      </c>
      <c r="AJ253" s="182" t="s">
        <v>3646</v>
      </c>
      <c r="AK253" s="149" t="s">
        <v>2926</v>
      </c>
      <c r="AL253" s="153"/>
      <c r="AM253" s="256"/>
      <c r="AN253" s="152"/>
      <c r="AO253" s="152"/>
      <c r="AP253" s="153"/>
      <c r="AQ253" s="343" t="s">
        <v>3616</v>
      </c>
      <c r="AR253" s="6" t="s">
        <v>3010</v>
      </c>
      <c r="AS253" s="44" t="s">
        <v>1217</v>
      </c>
      <c r="AT253" s="282" t="s">
        <v>990</v>
      </c>
      <c r="AU253" s="44" t="s">
        <v>1217</v>
      </c>
      <c r="AV253" s="44" t="s">
        <v>1217</v>
      </c>
    </row>
    <row r="254" spans="1:48" ht="12.95" customHeight="1" thickBot="1" x14ac:dyDescent="0.3">
      <c r="A254" s="197" t="s">
        <v>225</v>
      </c>
      <c r="B254" s="271"/>
      <c r="C254" s="197" t="s">
        <v>1956</v>
      </c>
      <c r="D254" s="197" t="s">
        <v>1957</v>
      </c>
      <c r="E254" s="165" t="s">
        <v>1957</v>
      </c>
      <c r="F254" s="197" t="str">
        <f t="shared" si="77"/>
        <v>unused_GPIO_PU4</v>
      </c>
      <c r="G254" s="198" t="s">
        <v>991</v>
      </c>
      <c r="H254" s="197" t="s">
        <v>450</v>
      </c>
      <c r="I254" s="197" t="s">
        <v>2218</v>
      </c>
      <c r="J254" s="197" t="s">
        <v>724</v>
      </c>
      <c r="K254" s="360" t="s">
        <v>3063</v>
      </c>
      <c r="L254" s="198" t="s">
        <v>2062</v>
      </c>
      <c r="M254" s="197" t="s">
        <v>270</v>
      </c>
      <c r="N254" s="197" t="s">
        <v>270</v>
      </c>
      <c r="O254" s="197" t="s">
        <v>255</v>
      </c>
      <c r="P254" s="197" t="s">
        <v>253</v>
      </c>
      <c r="Q254" s="198" t="s">
        <v>704</v>
      </c>
      <c r="R254" s="197" t="s">
        <v>257</v>
      </c>
      <c r="S254" s="197">
        <v>100</v>
      </c>
      <c r="T254" s="197" t="s">
        <v>654</v>
      </c>
      <c r="U254" s="198">
        <v>0</v>
      </c>
      <c r="V254" s="199">
        <v>1</v>
      </c>
      <c r="W254" s="199">
        <v>1</v>
      </c>
      <c r="X254" s="199" t="s">
        <v>264</v>
      </c>
      <c r="Y254" s="200" t="s">
        <v>265</v>
      </c>
      <c r="Z254" s="200" t="s">
        <v>265</v>
      </c>
      <c r="AA254" s="233" t="str">
        <f t="shared" si="78"/>
        <v>Unused</v>
      </c>
      <c r="AB254" s="234" t="str">
        <f t="shared" si="79"/>
        <v>Unused</v>
      </c>
      <c r="AC254" s="248"/>
      <c r="AD254" s="234" t="str">
        <f t="shared" si="80"/>
        <v>ENABLE</v>
      </c>
      <c r="AE254" s="234" t="str">
        <f t="shared" si="84"/>
        <v>DISABLE</v>
      </c>
      <c r="AF254" s="234" t="str">
        <f t="shared" si="81"/>
        <v>NORMAL</v>
      </c>
      <c r="AG254" s="248"/>
      <c r="AH254" s="234" t="str">
        <f t="shared" si="82"/>
        <v>TRISTATE</v>
      </c>
      <c r="AI254" s="234" t="str">
        <f t="shared" si="83"/>
        <v>HIGH</v>
      </c>
      <c r="AJ254" s="182" t="s">
        <v>2231</v>
      </c>
      <c r="AK254" s="149" t="s">
        <v>2926</v>
      </c>
      <c r="AL254" s="153"/>
      <c r="AM254" s="257"/>
      <c r="AN254" s="152"/>
      <c r="AO254" s="152"/>
      <c r="AP254" s="153"/>
      <c r="AQ254" s="343" t="s">
        <v>3617</v>
      </c>
      <c r="AR254" s="6" t="s">
        <v>2231</v>
      </c>
      <c r="AS254" s="44" t="s">
        <v>2259</v>
      </c>
      <c r="AT254" s="282" t="s">
        <v>991</v>
      </c>
      <c r="AU254" s="44" t="s">
        <v>2259</v>
      </c>
      <c r="AV254" s="44" t="s">
        <v>2467</v>
      </c>
    </row>
    <row r="255" spans="1:48" ht="12.95" customHeight="1" thickBot="1" x14ac:dyDescent="0.3">
      <c r="A255" s="197" t="s">
        <v>226</v>
      </c>
      <c r="B255" s="271"/>
      <c r="C255" s="197" t="s">
        <v>1958</v>
      </c>
      <c r="D255" s="197" t="s">
        <v>1959</v>
      </c>
      <c r="E255" s="165" t="s">
        <v>1959</v>
      </c>
      <c r="F255" s="197" t="str">
        <f t="shared" si="77"/>
        <v>unused_GPIO_PU5</v>
      </c>
      <c r="G255" s="198" t="s">
        <v>992</v>
      </c>
      <c r="H255" s="197" t="s">
        <v>420</v>
      </c>
      <c r="I255" s="197" t="s">
        <v>2219</v>
      </c>
      <c r="J255" s="197" t="s">
        <v>725</v>
      </c>
      <c r="K255" s="360" t="s">
        <v>3063</v>
      </c>
      <c r="L255" s="198" t="s">
        <v>2062</v>
      </c>
      <c r="M255" s="197" t="s">
        <v>254</v>
      </c>
      <c r="N255" s="197" t="s">
        <v>2062</v>
      </c>
      <c r="O255" s="197" t="s">
        <v>255</v>
      </c>
      <c r="P255" s="197">
        <v>6</v>
      </c>
      <c r="Q255" s="198" t="s">
        <v>704</v>
      </c>
      <c r="R255" s="197" t="s">
        <v>257</v>
      </c>
      <c r="S255" s="197">
        <v>100</v>
      </c>
      <c r="T255" s="197" t="s">
        <v>654</v>
      </c>
      <c r="U255" s="198">
        <v>0</v>
      </c>
      <c r="V255" s="199">
        <v>1</v>
      </c>
      <c r="W255" s="199">
        <v>1</v>
      </c>
      <c r="X255" s="199" t="s">
        <v>264</v>
      </c>
      <c r="Y255" s="200" t="s">
        <v>265</v>
      </c>
      <c r="Z255" s="200" t="s">
        <v>265</v>
      </c>
      <c r="AA255" s="233" t="str">
        <f t="shared" si="78"/>
        <v>Unused</v>
      </c>
      <c r="AB255" s="234" t="str">
        <f t="shared" si="79"/>
        <v>Unused</v>
      </c>
      <c r="AC255" s="248"/>
      <c r="AD255" s="234" t="str">
        <f t="shared" si="80"/>
        <v>ENABLE</v>
      </c>
      <c r="AE255" s="234" t="str">
        <f t="shared" si="84"/>
        <v>DISABLE</v>
      </c>
      <c r="AF255" s="234" t="str">
        <f t="shared" si="81"/>
        <v>NORMAL</v>
      </c>
      <c r="AG255" s="248"/>
      <c r="AH255" s="234" t="str">
        <f t="shared" si="82"/>
        <v>TRISTATE</v>
      </c>
      <c r="AI255" s="234" t="str">
        <f t="shared" si="83"/>
        <v>HIGH</v>
      </c>
      <c r="AJ255" s="182" t="s">
        <v>3733</v>
      </c>
      <c r="AK255" s="149" t="s">
        <v>2926</v>
      </c>
      <c r="AL255" s="153"/>
      <c r="AM255" s="168"/>
      <c r="AN255" s="152"/>
      <c r="AO255" s="152"/>
      <c r="AP255" s="153"/>
      <c r="AQ255" s="343" t="s">
        <v>3618</v>
      </c>
      <c r="AR255" s="6" t="s">
        <v>992</v>
      </c>
      <c r="AS255" s="44" t="s">
        <v>1218</v>
      </c>
      <c r="AT255" s="282" t="s">
        <v>992</v>
      </c>
      <c r="AU255" s="44" t="s">
        <v>1218</v>
      </c>
      <c r="AV255" s="44" t="s">
        <v>1218</v>
      </c>
    </row>
    <row r="256" spans="1:48" ht="12.95" customHeight="1" thickBot="1" x14ac:dyDescent="0.3">
      <c r="A256" s="197" t="s">
        <v>227</v>
      </c>
      <c r="B256" s="271"/>
      <c r="C256" s="197" t="s">
        <v>1960</v>
      </c>
      <c r="D256" s="197" t="s">
        <v>1961</v>
      </c>
      <c r="E256" s="165" t="s">
        <v>1961</v>
      </c>
      <c r="F256" s="197" t="str">
        <f t="shared" si="77"/>
        <v>unused_GPIO_PU6</v>
      </c>
      <c r="G256" s="198" t="s">
        <v>993</v>
      </c>
      <c r="H256" s="197" t="s">
        <v>424</v>
      </c>
      <c r="I256" s="197" t="s">
        <v>2220</v>
      </c>
      <c r="J256" s="197" t="s">
        <v>726</v>
      </c>
      <c r="K256" s="360" t="s">
        <v>3063</v>
      </c>
      <c r="L256" s="198" t="s">
        <v>2062</v>
      </c>
      <c r="M256" s="197" t="s">
        <v>254</v>
      </c>
      <c r="N256" s="197" t="s">
        <v>2062</v>
      </c>
      <c r="O256" s="197" t="s">
        <v>255</v>
      </c>
      <c r="P256" s="197">
        <v>7</v>
      </c>
      <c r="Q256" s="198" t="s">
        <v>704</v>
      </c>
      <c r="R256" s="197" t="s">
        <v>257</v>
      </c>
      <c r="S256" s="197">
        <v>100</v>
      </c>
      <c r="T256" s="197" t="s">
        <v>654</v>
      </c>
      <c r="U256" s="198">
        <v>0</v>
      </c>
      <c r="V256" s="199">
        <v>1</v>
      </c>
      <c r="W256" s="199">
        <v>1</v>
      </c>
      <c r="X256" s="199" t="s">
        <v>264</v>
      </c>
      <c r="Y256" s="200" t="s">
        <v>265</v>
      </c>
      <c r="Z256" s="200" t="s">
        <v>265</v>
      </c>
      <c r="AA256" s="233" t="str">
        <f t="shared" si="78"/>
        <v>Unused</v>
      </c>
      <c r="AB256" s="234" t="str">
        <f t="shared" si="79"/>
        <v>Unused</v>
      </c>
      <c r="AC256" s="248"/>
      <c r="AD256" s="234" t="str">
        <f t="shared" si="80"/>
        <v>ENABLE</v>
      </c>
      <c r="AE256" s="234" t="str">
        <f t="shared" si="84"/>
        <v>DISABLE</v>
      </c>
      <c r="AF256" s="234" t="str">
        <f t="shared" si="81"/>
        <v>NORMAL</v>
      </c>
      <c r="AG256" s="248"/>
      <c r="AH256" s="234" t="str">
        <f t="shared" si="82"/>
        <v>TRISTATE</v>
      </c>
      <c r="AI256" s="234" t="str">
        <f t="shared" si="83"/>
        <v>HIGH</v>
      </c>
      <c r="AJ256" s="182" t="s">
        <v>3647</v>
      </c>
      <c r="AK256" s="149" t="s">
        <v>2926</v>
      </c>
      <c r="AL256" s="153"/>
      <c r="AM256" s="168"/>
      <c r="AN256" s="152"/>
      <c r="AO256" s="152"/>
      <c r="AP256" s="153"/>
      <c r="AQ256" s="343" t="s">
        <v>3619</v>
      </c>
      <c r="AR256" s="6" t="s">
        <v>993</v>
      </c>
      <c r="AS256" s="44" t="s">
        <v>2260</v>
      </c>
      <c r="AT256" s="282" t="s">
        <v>993</v>
      </c>
      <c r="AU256" s="44" t="s">
        <v>2260</v>
      </c>
      <c r="AV256" s="44" t="s">
        <v>2260</v>
      </c>
    </row>
    <row r="257" spans="1:48" ht="12.95" customHeight="1" x14ac:dyDescent="0.25">
      <c r="A257" s="197" t="s">
        <v>228</v>
      </c>
      <c r="B257" s="271"/>
      <c r="C257" s="197" t="s">
        <v>1962</v>
      </c>
      <c r="D257" s="197" t="s">
        <v>1963</v>
      </c>
      <c r="E257" s="165" t="s">
        <v>1963</v>
      </c>
      <c r="F257" s="197" t="str">
        <f t="shared" si="77"/>
        <v>unused_UART2_CTS_N</v>
      </c>
      <c r="G257" s="198" t="s">
        <v>994</v>
      </c>
      <c r="H257" s="197" t="s">
        <v>727</v>
      </c>
      <c r="I257" s="197" t="s">
        <v>2221</v>
      </c>
      <c r="J257" s="197" t="s">
        <v>728</v>
      </c>
      <c r="K257" s="197" t="s">
        <v>2227</v>
      </c>
      <c r="L257" s="198" t="s">
        <v>2062</v>
      </c>
      <c r="M257" s="197" t="s">
        <v>270</v>
      </c>
      <c r="N257" s="197" t="s">
        <v>270</v>
      </c>
      <c r="O257" s="197" t="s">
        <v>255</v>
      </c>
      <c r="P257" s="197" t="s">
        <v>253</v>
      </c>
      <c r="Q257" s="198" t="s">
        <v>704</v>
      </c>
      <c r="R257" s="197" t="s">
        <v>257</v>
      </c>
      <c r="S257" s="197">
        <v>100</v>
      </c>
      <c r="T257" s="197" t="s">
        <v>729</v>
      </c>
      <c r="U257" s="198">
        <v>0</v>
      </c>
      <c r="V257" s="199">
        <v>1</v>
      </c>
      <c r="W257" s="199">
        <v>1</v>
      </c>
      <c r="X257" s="199" t="s">
        <v>300</v>
      </c>
      <c r="Y257" s="200" t="s">
        <v>301</v>
      </c>
      <c r="Z257" s="200" t="s">
        <v>301</v>
      </c>
      <c r="AA257" s="233" t="str">
        <f t="shared" si="78"/>
        <v>Unused</v>
      </c>
      <c r="AB257" s="234" t="str">
        <f t="shared" si="79"/>
        <v>Unused</v>
      </c>
      <c r="AC257" s="248"/>
      <c r="AD257" s="234" t="str">
        <f t="shared" si="80"/>
        <v>ENABLE</v>
      </c>
      <c r="AE257" s="234" t="str">
        <f t="shared" si="84"/>
        <v>DISABLE</v>
      </c>
      <c r="AF257" s="234" t="str">
        <f t="shared" si="81"/>
        <v>NORMAL</v>
      </c>
      <c r="AG257" s="248"/>
      <c r="AH257" s="234" t="str">
        <f t="shared" si="82"/>
        <v>TRISTATE</v>
      </c>
      <c r="AI257" s="234" t="str">
        <f t="shared" si="83"/>
        <v>HIGH</v>
      </c>
      <c r="AJ257" s="182" t="s">
        <v>3734</v>
      </c>
      <c r="AK257" s="149" t="s">
        <v>2926</v>
      </c>
      <c r="AL257" s="153"/>
      <c r="AM257" s="258"/>
      <c r="AN257" s="152"/>
      <c r="AO257" s="152"/>
      <c r="AP257" s="153"/>
      <c r="AQ257" s="385" t="s">
        <v>1207</v>
      </c>
      <c r="AR257" s="6" t="s">
        <v>3011</v>
      </c>
      <c r="AS257" s="379" t="s">
        <v>1207</v>
      </c>
      <c r="AT257" s="282" t="s">
        <v>3011</v>
      </c>
      <c r="AU257" s="371" t="s">
        <v>1207</v>
      </c>
      <c r="AV257" s="379" t="s">
        <v>1207</v>
      </c>
    </row>
    <row r="258" spans="1:48" ht="12.95" customHeight="1" x14ac:dyDescent="0.25">
      <c r="A258" s="197" t="s">
        <v>229</v>
      </c>
      <c r="B258" s="271"/>
      <c r="C258" s="197" t="s">
        <v>1964</v>
      </c>
      <c r="D258" s="197" t="s">
        <v>1965</v>
      </c>
      <c r="E258" s="165" t="s">
        <v>1965</v>
      </c>
      <c r="F258" s="197" t="str">
        <f t="shared" si="77"/>
        <v>unused_UART2_RTS_N</v>
      </c>
      <c r="G258" s="198" t="s">
        <v>995</v>
      </c>
      <c r="H258" s="197" t="s">
        <v>730</v>
      </c>
      <c r="I258" s="197" t="s">
        <v>2222</v>
      </c>
      <c r="J258" s="197" t="s">
        <v>731</v>
      </c>
      <c r="K258" s="197" t="s">
        <v>732</v>
      </c>
      <c r="L258" s="198" t="s">
        <v>2062</v>
      </c>
      <c r="M258" s="197" t="s">
        <v>270</v>
      </c>
      <c r="N258" s="197" t="s">
        <v>270</v>
      </c>
      <c r="O258" s="197" t="s">
        <v>255</v>
      </c>
      <c r="P258" s="197" t="s">
        <v>253</v>
      </c>
      <c r="Q258" s="198" t="s">
        <v>704</v>
      </c>
      <c r="R258" s="197" t="s">
        <v>257</v>
      </c>
      <c r="S258" s="197">
        <v>100</v>
      </c>
      <c r="T258" s="197" t="s">
        <v>729</v>
      </c>
      <c r="U258" s="198">
        <v>0</v>
      </c>
      <c r="V258" s="199">
        <v>1</v>
      </c>
      <c r="W258" s="199">
        <v>1</v>
      </c>
      <c r="X258" s="199" t="s">
        <v>300</v>
      </c>
      <c r="Y258" s="200" t="s">
        <v>301</v>
      </c>
      <c r="Z258" s="200" t="s">
        <v>301</v>
      </c>
      <c r="AA258" s="233" t="str">
        <f t="shared" si="78"/>
        <v>Unused</v>
      </c>
      <c r="AB258" s="234" t="str">
        <f t="shared" si="79"/>
        <v>Unused</v>
      </c>
      <c r="AC258" s="248"/>
      <c r="AD258" s="234" t="str">
        <f t="shared" si="80"/>
        <v>ENABLE</v>
      </c>
      <c r="AE258" s="234" t="str">
        <f t="shared" si="84"/>
        <v>DISABLE</v>
      </c>
      <c r="AF258" s="234" t="str">
        <f t="shared" si="81"/>
        <v>NORMAL</v>
      </c>
      <c r="AG258" s="248"/>
      <c r="AH258" s="234" t="str">
        <f t="shared" si="82"/>
        <v>TRISTATE</v>
      </c>
      <c r="AI258" s="234" t="str">
        <f t="shared" si="83"/>
        <v>HIGH</v>
      </c>
      <c r="AJ258" s="182" t="s">
        <v>3735</v>
      </c>
      <c r="AK258" s="149" t="s">
        <v>2926</v>
      </c>
      <c r="AL258" s="153"/>
      <c r="AM258" s="256"/>
      <c r="AN258" s="152"/>
      <c r="AO258" s="152"/>
      <c r="AP258" s="153"/>
      <c r="AQ258" s="386"/>
      <c r="AR258" s="6" t="s">
        <v>3012</v>
      </c>
      <c r="AS258" s="379"/>
      <c r="AT258" s="282" t="s">
        <v>3012</v>
      </c>
      <c r="AU258" s="372"/>
      <c r="AV258" s="379"/>
    </row>
    <row r="259" spans="1:48" ht="12.95" customHeight="1" x14ac:dyDescent="0.25">
      <c r="A259" s="197" t="s">
        <v>230</v>
      </c>
      <c r="B259" s="271"/>
      <c r="C259" s="197" t="s">
        <v>1966</v>
      </c>
      <c r="D259" s="197" t="s">
        <v>1967</v>
      </c>
      <c r="E259" s="165" t="s">
        <v>1967</v>
      </c>
      <c r="F259" s="197" t="str">
        <f t="shared" si="77"/>
        <v>unused_UART2_RXD</v>
      </c>
      <c r="G259" s="198" t="s">
        <v>996</v>
      </c>
      <c r="H259" s="197" t="s">
        <v>733</v>
      </c>
      <c r="I259" s="197" t="s">
        <v>734</v>
      </c>
      <c r="J259" s="197" t="s">
        <v>2226</v>
      </c>
      <c r="K259" s="197" t="s">
        <v>735</v>
      </c>
      <c r="L259" s="198" t="s">
        <v>2062</v>
      </c>
      <c r="M259" s="197" t="s">
        <v>270</v>
      </c>
      <c r="N259" s="197" t="s">
        <v>270</v>
      </c>
      <c r="O259" s="197" t="s">
        <v>255</v>
      </c>
      <c r="P259" s="197" t="s">
        <v>253</v>
      </c>
      <c r="Q259" s="198" t="s">
        <v>704</v>
      </c>
      <c r="R259" s="197" t="s">
        <v>257</v>
      </c>
      <c r="S259" s="197">
        <v>100</v>
      </c>
      <c r="T259" s="197" t="s">
        <v>729</v>
      </c>
      <c r="U259" s="198">
        <v>0</v>
      </c>
      <c r="V259" s="199">
        <v>1</v>
      </c>
      <c r="W259" s="199">
        <v>1</v>
      </c>
      <c r="X259" s="199" t="s">
        <v>300</v>
      </c>
      <c r="Y259" s="200" t="s">
        <v>301</v>
      </c>
      <c r="Z259" s="200" t="s">
        <v>301</v>
      </c>
      <c r="AA259" s="233" t="str">
        <f t="shared" si="78"/>
        <v>Unused</v>
      </c>
      <c r="AB259" s="234" t="str">
        <f t="shared" si="79"/>
        <v>Unused</v>
      </c>
      <c r="AC259" s="248"/>
      <c r="AD259" s="234" t="str">
        <f t="shared" si="80"/>
        <v>ENABLE</v>
      </c>
      <c r="AE259" s="234" t="str">
        <f t="shared" si="84"/>
        <v>DISABLE</v>
      </c>
      <c r="AF259" s="234" t="str">
        <f t="shared" si="81"/>
        <v>NORMAL</v>
      </c>
      <c r="AG259" s="248"/>
      <c r="AH259" s="234" t="str">
        <f t="shared" si="82"/>
        <v>TRISTATE</v>
      </c>
      <c r="AI259" s="234" t="str">
        <f t="shared" si="83"/>
        <v>HIGH</v>
      </c>
      <c r="AJ259" s="182" t="s">
        <v>3736</v>
      </c>
      <c r="AK259" s="149" t="s">
        <v>2926</v>
      </c>
      <c r="AL259" s="153"/>
      <c r="AM259" s="256"/>
      <c r="AN259" s="152"/>
      <c r="AO259" s="152"/>
      <c r="AP259" s="153"/>
      <c r="AQ259" s="386"/>
      <c r="AR259" s="6" t="s">
        <v>733</v>
      </c>
      <c r="AS259" s="379"/>
      <c r="AT259" s="282" t="s">
        <v>733</v>
      </c>
      <c r="AU259" s="372"/>
      <c r="AV259" s="379"/>
    </row>
    <row r="260" spans="1:48" ht="12.95" customHeight="1" thickBot="1" x14ac:dyDescent="0.3">
      <c r="A260" s="197" t="s">
        <v>231</v>
      </c>
      <c r="B260" s="271"/>
      <c r="C260" s="197" t="s">
        <v>1968</v>
      </c>
      <c r="D260" s="197" t="s">
        <v>1969</v>
      </c>
      <c r="E260" s="165" t="s">
        <v>1969</v>
      </c>
      <c r="F260" s="197" t="str">
        <f t="shared" si="77"/>
        <v>unused_UART2_TXD</v>
      </c>
      <c r="G260" s="198" t="s">
        <v>997</v>
      </c>
      <c r="H260" s="197" t="s">
        <v>736</v>
      </c>
      <c r="I260" s="197" t="s">
        <v>737</v>
      </c>
      <c r="J260" s="197" t="s">
        <v>2225</v>
      </c>
      <c r="K260" s="197" t="s">
        <v>738</v>
      </c>
      <c r="L260" s="198" t="s">
        <v>2062</v>
      </c>
      <c r="M260" s="197" t="s">
        <v>270</v>
      </c>
      <c r="N260" s="197" t="s">
        <v>270</v>
      </c>
      <c r="O260" s="197" t="s">
        <v>255</v>
      </c>
      <c r="P260" s="197" t="s">
        <v>253</v>
      </c>
      <c r="Q260" s="198" t="s">
        <v>704</v>
      </c>
      <c r="R260" s="197" t="s">
        <v>257</v>
      </c>
      <c r="S260" s="197">
        <v>100</v>
      </c>
      <c r="T260" s="197" t="s">
        <v>729</v>
      </c>
      <c r="U260" s="198">
        <v>0</v>
      </c>
      <c r="V260" s="199">
        <v>1</v>
      </c>
      <c r="W260" s="199">
        <v>1</v>
      </c>
      <c r="X260" s="199" t="s">
        <v>300</v>
      </c>
      <c r="Y260" s="200" t="s">
        <v>301</v>
      </c>
      <c r="Z260" s="200" t="s">
        <v>301</v>
      </c>
      <c r="AA260" s="233" t="str">
        <f t="shared" si="78"/>
        <v>Unused</v>
      </c>
      <c r="AB260" s="234" t="str">
        <f t="shared" si="79"/>
        <v>Unused</v>
      </c>
      <c r="AC260" s="248"/>
      <c r="AD260" s="234" t="str">
        <f t="shared" si="80"/>
        <v>ENABLE</v>
      </c>
      <c r="AE260" s="234" t="str">
        <f t="shared" si="84"/>
        <v>DISABLE</v>
      </c>
      <c r="AF260" s="234" t="str">
        <f t="shared" si="81"/>
        <v>NORMAL</v>
      </c>
      <c r="AG260" s="248"/>
      <c r="AH260" s="234" t="str">
        <f t="shared" si="82"/>
        <v>TRISTATE</v>
      </c>
      <c r="AI260" s="234" t="str">
        <f t="shared" si="83"/>
        <v>HIGH</v>
      </c>
      <c r="AJ260" s="182" t="s">
        <v>3737</v>
      </c>
      <c r="AK260" s="149" t="s">
        <v>2926</v>
      </c>
      <c r="AL260" s="153"/>
      <c r="AM260" s="256"/>
      <c r="AN260" s="152"/>
      <c r="AO260" s="152"/>
      <c r="AP260" s="153"/>
      <c r="AQ260" s="387"/>
      <c r="AR260" s="6" t="s">
        <v>736</v>
      </c>
      <c r="AS260" s="379"/>
      <c r="AT260" s="282" t="s">
        <v>736</v>
      </c>
      <c r="AU260" s="373"/>
      <c r="AV260" s="379"/>
    </row>
    <row r="261" spans="1:48" ht="12.95" customHeight="1" x14ac:dyDescent="0.25">
      <c r="A261" s="197" t="s">
        <v>232</v>
      </c>
      <c r="B261" s="271"/>
      <c r="C261" s="197" t="s">
        <v>1913</v>
      </c>
      <c r="D261" s="197" t="s">
        <v>1970</v>
      </c>
      <c r="E261" s="165" t="s">
        <v>1970</v>
      </c>
      <c r="F261" s="197" t="str">
        <f t="shared" si="77"/>
        <v>unused_UART3_CTS_N</v>
      </c>
      <c r="G261" s="198" t="s">
        <v>998</v>
      </c>
      <c r="H261" s="197" t="s">
        <v>2223</v>
      </c>
      <c r="I261" s="360" t="s">
        <v>3063</v>
      </c>
      <c r="J261" s="197" t="s">
        <v>739</v>
      </c>
      <c r="K261" s="360" t="s">
        <v>3076</v>
      </c>
      <c r="L261" s="198" t="s">
        <v>2062</v>
      </c>
      <c r="M261" s="197" t="s">
        <v>270</v>
      </c>
      <c r="N261" s="197" t="s">
        <v>270</v>
      </c>
      <c r="O261" s="197" t="s">
        <v>255</v>
      </c>
      <c r="P261" s="197" t="s">
        <v>253</v>
      </c>
      <c r="Q261" s="198" t="s">
        <v>704</v>
      </c>
      <c r="R261" s="197" t="s">
        <v>257</v>
      </c>
      <c r="S261" s="197">
        <v>100</v>
      </c>
      <c r="T261" s="197" t="s">
        <v>740</v>
      </c>
      <c r="U261" s="198">
        <v>0</v>
      </c>
      <c r="V261" s="199">
        <v>1</v>
      </c>
      <c r="W261" s="199">
        <v>1</v>
      </c>
      <c r="X261" s="199" t="s">
        <v>300</v>
      </c>
      <c r="Y261" s="200" t="s">
        <v>301</v>
      </c>
      <c r="Z261" s="200" t="s">
        <v>301</v>
      </c>
      <c r="AA261" s="233" t="str">
        <f t="shared" si="78"/>
        <v>Unused</v>
      </c>
      <c r="AB261" s="234" t="str">
        <f t="shared" si="79"/>
        <v>Unused</v>
      </c>
      <c r="AC261" s="248"/>
      <c r="AD261" s="234" t="str">
        <f t="shared" si="80"/>
        <v>ENABLE</v>
      </c>
      <c r="AE261" s="234" t="str">
        <f t="shared" si="84"/>
        <v>DISABLE</v>
      </c>
      <c r="AF261" s="234" t="str">
        <f t="shared" si="81"/>
        <v>NORMAL</v>
      </c>
      <c r="AG261" s="248"/>
      <c r="AH261" s="234" t="str">
        <f t="shared" si="82"/>
        <v>TRISTATE</v>
      </c>
      <c r="AI261" s="234" t="str">
        <f t="shared" si="83"/>
        <v>HIGH</v>
      </c>
      <c r="AJ261" s="182" t="s">
        <v>3738</v>
      </c>
      <c r="AK261" s="149" t="s">
        <v>2926</v>
      </c>
      <c r="AL261" s="153"/>
      <c r="AM261" s="256"/>
      <c r="AN261" s="152"/>
      <c r="AO261" s="152"/>
      <c r="AP261" s="153"/>
      <c r="AQ261" s="385" t="s">
        <v>1208</v>
      </c>
      <c r="AR261" s="6" t="s">
        <v>3013</v>
      </c>
      <c r="AS261" s="379" t="s">
        <v>1208</v>
      </c>
      <c r="AT261" s="282" t="s">
        <v>3013</v>
      </c>
      <c r="AU261" s="371" t="s">
        <v>1208</v>
      </c>
      <c r="AV261" s="379" t="s">
        <v>1208</v>
      </c>
    </row>
    <row r="262" spans="1:48" ht="12.95" customHeight="1" x14ac:dyDescent="0.25">
      <c r="A262" s="197" t="s">
        <v>233</v>
      </c>
      <c r="B262" s="271"/>
      <c r="C262" s="197" t="s">
        <v>1971</v>
      </c>
      <c r="D262" s="197" t="s">
        <v>1972</v>
      </c>
      <c r="E262" s="165" t="s">
        <v>1972</v>
      </c>
      <c r="F262" s="197" t="str">
        <f t="shared" si="77"/>
        <v>unused_UART3_RTS_N</v>
      </c>
      <c r="G262" s="198" t="s">
        <v>999</v>
      </c>
      <c r="H262" s="197" t="s">
        <v>2224</v>
      </c>
      <c r="I262" s="197" t="s">
        <v>447</v>
      </c>
      <c r="J262" s="197" t="s">
        <v>741</v>
      </c>
      <c r="K262" s="360" t="s">
        <v>3076</v>
      </c>
      <c r="L262" s="198" t="s">
        <v>2062</v>
      </c>
      <c r="M262" s="197" t="s">
        <v>270</v>
      </c>
      <c r="N262" s="197" t="s">
        <v>270</v>
      </c>
      <c r="O262" s="197" t="s">
        <v>255</v>
      </c>
      <c r="P262" s="197" t="s">
        <v>253</v>
      </c>
      <c r="Q262" s="198" t="s">
        <v>704</v>
      </c>
      <c r="R262" s="197" t="s">
        <v>257</v>
      </c>
      <c r="S262" s="197">
        <v>100</v>
      </c>
      <c r="T262" s="197" t="s">
        <v>740</v>
      </c>
      <c r="U262" s="198">
        <v>0</v>
      </c>
      <c r="V262" s="199">
        <v>1</v>
      </c>
      <c r="W262" s="199">
        <v>1</v>
      </c>
      <c r="X262" s="199" t="s">
        <v>300</v>
      </c>
      <c r="Y262" s="200" t="s">
        <v>301</v>
      </c>
      <c r="Z262" s="200" t="s">
        <v>301</v>
      </c>
      <c r="AA262" s="233" t="str">
        <f t="shared" si="78"/>
        <v>Unused</v>
      </c>
      <c r="AB262" s="234" t="str">
        <f t="shared" si="79"/>
        <v>Unused</v>
      </c>
      <c r="AC262" s="248"/>
      <c r="AD262" s="234" t="str">
        <f t="shared" si="80"/>
        <v>ENABLE</v>
      </c>
      <c r="AE262" s="234" t="str">
        <f t="shared" si="84"/>
        <v>DISABLE</v>
      </c>
      <c r="AF262" s="234" t="str">
        <f t="shared" si="81"/>
        <v>NORMAL</v>
      </c>
      <c r="AG262" s="248"/>
      <c r="AH262" s="234" t="str">
        <f t="shared" si="82"/>
        <v>TRISTATE</v>
      </c>
      <c r="AI262" s="234" t="str">
        <f t="shared" si="83"/>
        <v>HIGH</v>
      </c>
      <c r="AJ262" s="182" t="s">
        <v>3739</v>
      </c>
      <c r="AK262" s="149" t="s">
        <v>2926</v>
      </c>
      <c r="AL262" s="153"/>
      <c r="AM262" s="256"/>
      <c r="AN262" s="152"/>
      <c r="AO262" s="152"/>
      <c r="AP262" s="153"/>
      <c r="AQ262" s="386"/>
      <c r="AR262" s="6" t="s">
        <v>3014</v>
      </c>
      <c r="AS262" s="379"/>
      <c r="AT262" s="282" t="s">
        <v>3014</v>
      </c>
      <c r="AU262" s="372"/>
      <c r="AV262" s="379"/>
    </row>
    <row r="263" spans="1:48" ht="12.95" customHeight="1" x14ac:dyDescent="0.25">
      <c r="A263" s="197" t="s">
        <v>234</v>
      </c>
      <c r="B263" s="271"/>
      <c r="C263" s="197" t="s">
        <v>1934</v>
      </c>
      <c r="D263" s="197" t="s">
        <v>1973</v>
      </c>
      <c r="E263" s="165" t="s">
        <v>1973</v>
      </c>
      <c r="F263" s="197" t="str">
        <f t="shared" si="77"/>
        <v>unused_UART3_RXD</v>
      </c>
      <c r="G263" s="198" t="s">
        <v>1000</v>
      </c>
      <c r="H263" s="197" t="s">
        <v>742</v>
      </c>
      <c r="I263" s="360" t="s">
        <v>3063</v>
      </c>
      <c r="J263" s="197" t="s">
        <v>743</v>
      </c>
      <c r="K263" s="360" t="s">
        <v>3076</v>
      </c>
      <c r="L263" s="198" t="s">
        <v>2062</v>
      </c>
      <c r="M263" s="197" t="s">
        <v>270</v>
      </c>
      <c r="N263" s="197" t="s">
        <v>270</v>
      </c>
      <c r="O263" s="197" t="s">
        <v>255</v>
      </c>
      <c r="P263" s="197" t="s">
        <v>253</v>
      </c>
      <c r="Q263" s="198" t="s">
        <v>704</v>
      </c>
      <c r="R263" s="197" t="s">
        <v>257</v>
      </c>
      <c r="S263" s="197">
        <v>100</v>
      </c>
      <c r="T263" s="197" t="s">
        <v>740</v>
      </c>
      <c r="U263" s="198">
        <v>0</v>
      </c>
      <c r="V263" s="199">
        <v>1</v>
      </c>
      <c r="W263" s="199">
        <v>1</v>
      </c>
      <c r="X263" s="199" t="s">
        <v>300</v>
      </c>
      <c r="Y263" s="200" t="s">
        <v>301</v>
      </c>
      <c r="Z263" s="200" t="s">
        <v>301</v>
      </c>
      <c r="AA263" s="233" t="str">
        <f t="shared" si="78"/>
        <v>Unused</v>
      </c>
      <c r="AB263" s="234" t="str">
        <f t="shared" si="79"/>
        <v>Unused</v>
      </c>
      <c r="AC263" s="248"/>
      <c r="AD263" s="234" t="str">
        <f t="shared" si="80"/>
        <v>ENABLE</v>
      </c>
      <c r="AE263" s="234" t="str">
        <f t="shared" si="84"/>
        <v>DISABLE</v>
      </c>
      <c r="AF263" s="234" t="str">
        <f t="shared" si="81"/>
        <v>NORMAL</v>
      </c>
      <c r="AG263" s="248"/>
      <c r="AH263" s="234" t="str">
        <f t="shared" si="82"/>
        <v>TRISTATE</v>
      </c>
      <c r="AI263" s="234" t="str">
        <f t="shared" si="83"/>
        <v>HIGH</v>
      </c>
      <c r="AJ263" s="182" t="s">
        <v>3740</v>
      </c>
      <c r="AK263" s="149" t="s">
        <v>2926</v>
      </c>
      <c r="AL263" s="153"/>
      <c r="AM263" s="256"/>
      <c r="AN263" s="152"/>
      <c r="AO263" s="152"/>
      <c r="AP263" s="153"/>
      <c r="AQ263" s="386"/>
      <c r="AR263" s="6" t="s">
        <v>742</v>
      </c>
      <c r="AS263" s="379"/>
      <c r="AT263" s="282" t="s">
        <v>742</v>
      </c>
      <c r="AU263" s="372"/>
      <c r="AV263" s="379"/>
    </row>
    <row r="264" spans="1:48" ht="12.95" customHeight="1" thickBot="1" x14ac:dyDescent="0.3">
      <c r="A264" s="197" t="s">
        <v>235</v>
      </c>
      <c r="B264" s="271"/>
      <c r="C264" s="197" t="s">
        <v>1974</v>
      </c>
      <c r="D264" s="197" t="s">
        <v>1975</v>
      </c>
      <c r="E264" s="165" t="s">
        <v>1975</v>
      </c>
      <c r="F264" s="197" t="str">
        <f t="shared" si="77"/>
        <v>unused_UART3_TXD</v>
      </c>
      <c r="G264" s="198" t="s">
        <v>1001</v>
      </c>
      <c r="H264" s="197" t="s">
        <v>744</v>
      </c>
      <c r="I264" s="360" t="s">
        <v>3063</v>
      </c>
      <c r="J264" s="197" t="s">
        <v>745</v>
      </c>
      <c r="K264" s="360" t="s">
        <v>3076</v>
      </c>
      <c r="L264" s="198" t="s">
        <v>2062</v>
      </c>
      <c r="M264" s="197" t="s">
        <v>270</v>
      </c>
      <c r="N264" s="197" t="s">
        <v>270</v>
      </c>
      <c r="O264" s="197" t="s">
        <v>255</v>
      </c>
      <c r="P264" s="197" t="s">
        <v>253</v>
      </c>
      <c r="Q264" s="198" t="s">
        <v>704</v>
      </c>
      <c r="R264" s="197" t="s">
        <v>257</v>
      </c>
      <c r="S264" s="197">
        <v>100</v>
      </c>
      <c r="T264" s="197" t="s">
        <v>740</v>
      </c>
      <c r="U264" s="198">
        <v>0</v>
      </c>
      <c r="V264" s="199">
        <v>1</v>
      </c>
      <c r="W264" s="199">
        <v>1</v>
      </c>
      <c r="X264" s="199" t="s">
        <v>300</v>
      </c>
      <c r="Y264" s="200" t="s">
        <v>301</v>
      </c>
      <c r="Z264" s="200" t="s">
        <v>301</v>
      </c>
      <c r="AA264" s="233" t="str">
        <f t="shared" si="78"/>
        <v>Unused</v>
      </c>
      <c r="AB264" s="234" t="str">
        <f t="shared" si="79"/>
        <v>Unused</v>
      </c>
      <c r="AC264" s="248"/>
      <c r="AD264" s="234" t="str">
        <f t="shared" si="80"/>
        <v>ENABLE</v>
      </c>
      <c r="AE264" s="234" t="str">
        <f t="shared" si="84"/>
        <v>DISABLE</v>
      </c>
      <c r="AF264" s="234" t="str">
        <f t="shared" si="81"/>
        <v>NORMAL</v>
      </c>
      <c r="AG264" s="248"/>
      <c r="AH264" s="234" t="str">
        <f t="shared" si="82"/>
        <v>TRISTATE</v>
      </c>
      <c r="AI264" s="234" t="str">
        <f t="shared" si="83"/>
        <v>HIGH</v>
      </c>
      <c r="AJ264" s="182" t="s">
        <v>3741</v>
      </c>
      <c r="AK264" s="149" t="s">
        <v>2926</v>
      </c>
      <c r="AL264" s="153"/>
      <c r="AM264" s="256"/>
      <c r="AN264" s="152"/>
      <c r="AO264" s="152"/>
      <c r="AP264" s="153"/>
      <c r="AQ264" s="387"/>
      <c r="AR264" s="6" t="s">
        <v>744</v>
      </c>
      <c r="AS264" s="379"/>
      <c r="AT264" s="283" t="s">
        <v>744</v>
      </c>
      <c r="AU264" s="373"/>
      <c r="AV264" s="379"/>
    </row>
    <row r="265" spans="1:48" s="24" customFormat="1" ht="18" customHeight="1" thickBot="1" x14ac:dyDescent="0.3">
      <c r="A265" s="160" t="s">
        <v>1241</v>
      </c>
      <c r="B265" s="272"/>
      <c r="C265" s="160"/>
      <c r="D265" s="160"/>
      <c r="E265" s="215"/>
      <c r="F265" s="160"/>
      <c r="G265" s="201"/>
      <c r="H265" s="160"/>
      <c r="I265" s="160"/>
      <c r="J265" s="160"/>
      <c r="K265" s="160"/>
      <c r="L265" s="201"/>
      <c r="M265" s="160"/>
      <c r="N265" s="160"/>
      <c r="O265" s="160"/>
      <c r="P265" s="160"/>
      <c r="Q265" s="201"/>
      <c r="R265" s="160"/>
      <c r="S265" s="160"/>
      <c r="T265" s="160"/>
      <c r="U265" s="201"/>
      <c r="V265" s="160"/>
      <c r="W265" s="160"/>
      <c r="X265" s="160"/>
      <c r="Y265" s="202"/>
      <c r="Z265" s="202"/>
      <c r="AA265" s="235"/>
      <c r="AB265" s="236"/>
      <c r="AC265" s="236"/>
      <c r="AD265" s="236"/>
      <c r="AE265" s="236"/>
      <c r="AF265" s="236"/>
      <c r="AG265" s="236"/>
      <c r="AH265" s="236"/>
      <c r="AI265" s="237"/>
      <c r="AJ265" s="160"/>
      <c r="AK265" s="35"/>
      <c r="AL265" s="154"/>
      <c r="AM265" s="169"/>
      <c r="AN265" s="154"/>
      <c r="AO265" s="154"/>
      <c r="AP265" s="154"/>
      <c r="AQ265" s="347"/>
      <c r="AR265" s="277"/>
      <c r="AS265" s="45"/>
      <c r="AT265" s="284"/>
      <c r="AU265" s="45"/>
      <c r="AV265" s="45"/>
    </row>
    <row r="266" spans="1:48" ht="12.95" customHeight="1" x14ac:dyDescent="0.25">
      <c r="A266" s="197" t="s">
        <v>236</v>
      </c>
      <c r="B266" s="271"/>
      <c r="C266" s="197" t="s">
        <v>1976</v>
      </c>
      <c r="D266" s="409"/>
      <c r="E266" s="412"/>
      <c r="F266" s="197" t="str">
        <f t="shared" ref="F266:F281" si="85">CONCATENATE("unused_",A266)</f>
        <v>unused_VI_D0</v>
      </c>
      <c r="G266" s="198" t="s">
        <v>1002</v>
      </c>
      <c r="H266" s="360" t="s">
        <v>3077</v>
      </c>
      <c r="I266" s="360" t="s">
        <v>3063</v>
      </c>
      <c r="J266" s="197" t="s">
        <v>746</v>
      </c>
      <c r="K266" s="360" t="s">
        <v>3076</v>
      </c>
      <c r="L266" s="198" t="s">
        <v>2062</v>
      </c>
      <c r="M266" s="197" t="s">
        <v>270</v>
      </c>
      <c r="N266" s="197" t="s">
        <v>270</v>
      </c>
      <c r="O266" s="197" t="s">
        <v>255</v>
      </c>
      <c r="P266" s="197" t="s">
        <v>253</v>
      </c>
      <c r="Q266" s="198" t="s">
        <v>747</v>
      </c>
      <c r="R266" s="197" t="s">
        <v>613</v>
      </c>
      <c r="S266" s="197">
        <v>15</v>
      </c>
      <c r="T266" s="197" t="s">
        <v>748</v>
      </c>
      <c r="U266" s="198">
        <v>0</v>
      </c>
      <c r="V266" s="199">
        <v>1</v>
      </c>
      <c r="W266" s="199">
        <v>1</v>
      </c>
      <c r="X266" s="199" t="s">
        <v>259</v>
      </c>
      <c r="Y266" s="200" t="s">
        <v>260</v>
      </c>
      <c r="Z266" s="200" t="s">
        <v>260</v>
      </c>
      <c r="AA266" s="233" t="str">
        <f t="shared" ref="AA266:AA281" si="86">IF((AJ266=H266),0,IF((AJ266=I266),1,IF((AJ266=J266),2,IF((AJ266=K266),3,IF((AJ266=G266),"GPIO",IF((AJ266=F266),"Unused"))))))</f>
        <v>Unused</v>
      </c>
      <c r="AB266" s="234" t="str">
        <f t="shared" ref="AB266:AB281" si="87">IF((OR($AA266=0,$AA266=1,$AA266=2,$AA266=3)),"SFIO",IF(($AA266="GPIO"),"GPIO","Unused"))</f>
        <v>Unused</v>
      </c>
      <c r="AC266" s="248"/>
      <c r="AD266" s="234" t="str">
        <f t="shared" si="80"/>
        <v>ENABLE</v>
      </c>
      <c r="AE266" s="234" t="str">
        <f t="shared" si="84"/>
        <v>DISABLE</v>
      </c>
      <c r="AF266" s="234" t="str">
        <f t="shared" si="81"/>
        <v>NORMAL</v>
      </c>
      <c r="AG266" s="248"/>
      <c r="AH266" s="234" t="str">
        <f t="shared" ref="AH266:AH281" si="88">IF((AND($AB266="GPIO",$AK266="Out")),"DRIVEN",IF((AND($AB266="GPIO",$AK266="Bidir")),"DRIVEN","TRISTATE"))</f>
        <v>TRISTATE</v>
      </c>
      <c r="AI266" s="234" t="str">
        <f t="shared" ref="AI266:AI281" si="89">IF((OR($AL266="Drive 0")),"LOW","HIGH")</f>
        <v>HIGH</v>
      </c>
      <c r="AJ266" s="182" t="s">
        <v>1102</v>
      </c>
      <c r="AK266" s="149" t="s">
        <v>2926</v>
      </c>
      <c r="AL266" s="153"/>
      <c r="AM266" s="256"/>
      <c r="AN266" s="152"/>
      <c r="AO266" s="152"/>
      <c r="AP266" s="349"/>
      <c r="AQ266" s="449" t="s">
        <v>1229</v>
      </c>
      <c r="AR266" s="6" t="s">
        <v>1102</v>
      </c>
      <c r="AS266" s="44" t="s">
        <v>2261</v>
      </c>
      <c r="AT266" s="281" t="s">
        <v>1002</v>
      </c>
      <c r="AU266" s="446" t="s">
        <v>2280</v>
      </c>
      <c r="AV266" s="126"/>
    </row>
    <row r="267" spans="1:48" ht="12.95" customHeight="1" x14ac:dyDescent="0.25">
      <c r="A267" s="197" t="s">
        <v>237</v>
      </c>
      <c r="B267" s="271"/>
      <c r="C267" s="197" t="s">
        <v>1894</v>
      </c>
      <c r="D267" s="410"/>
      <c r="E267" s="413"/>
      <c r="F267" s="197" t="str">
        <f t="shared" si="85"/>
        <v>unused_VI_D1</v>
      </c>
      <c r="G267" s="198" t="s">
        <v>1003</v>
      </c>
      <c r="H267" s="360" t="s">
        <v>3077</v>
      </c>
      <c r="I267" s="197" t="s">
        <v>749</v>
      </c>
      <c r="J267" s="197" t="s">
        <v>750</v>
      </c>
      <c r="K267" s="360" t="s">
        <v>3063</v>
      </c>
      <c r="L267" s="198" t="s">
        <v>2062</v>
      </c>
      <c r="M267" s="197" t="s">
        <v>270</v>
      </c>
      <c r="N267" s="197" t="s">
        <v>270</v>
      </c>
      <c r="O267" s="197" t="s">
        <v>255</v>
      </c>
      <c r="P267" s="197" t="s">
        <v>253</v>
      </c>
      <c r="Q267" s="198" t="s">
        <v>747</v>
      </c>
      <c r="R267" s="197" t="s">
        <v>613</v>
      </c>
      <c r="S267" s="197">
        <v>15</v>
      </c>
      <c r="T267" s="197" t="s">
        <v>748</v>
      </c>
      <c r="U267" s="198">
        <v>0</v>
      </c>
      <c r="V267" s="199">
        <v>1</v>
      </c>
      <c r="W267" s="199">
        <v>1</v>
      </c>
      <c r="X267" s="199" t="s">
        <v>259</v>
      </c>
      <c r="Y267" s="200" t="s">
        <v>260</v>
      </c>
      <c r="Z267" s="200" t="s">
        <v>260</v>
      </c>
      <c r="AA267" s="233" t="str">
        <f t="shared" si="86"/>
        <v>Unused</v>
      </c>
      <c r="AB267" s="234" t="str">
        <f t="shared" si="87"/>
        <v>Unused</v>
      </c>
      <c r="AC267" s="234" t="str">
        <f>IF(REPLACE(AJ267,FIND(".",CONCATENATE(REPLACE(AJ267,FIND("-",CONCATENATE(AJ267,"-")),LEN(AJ267),""),".")),LEN(AJ267),"")="SDMMC2","Yes","No")</f>
        <v>No</v>
      </c>
      <c r="AD267" s="234" t="str">
        <f t="shared" si="80"/>
        <v>ENABLE</v>
      </c>
      <c r="AE267" s="234" t="str">
        <f t="shared" si="84"/>
        <v>DISABLE</v>
      </c>
      <c r="AF267" s="234" t="str">
        <f t="shared" si="81"/>
        <v>NORMAL</v>
      </c>
      <c r="AG267" s="248"/>
      <c r="AH267" s="234" t="str">
        <f t="shared" si="88"/>
        <v>TRISTATE</v>
      </c>
      <c r="AI267" s="234" t="str">
        <f t="shared" si="89"/>
        <v>HIGH</v>
      </c>
      <c r="AJ267" s="182" t="s">
        <v>1103</v>
      </c>
      <c r="AK267" s="149" t="s">
        <v>2926</v>
      </c>
      <c r="AL267" s="153"/>
      <c r="AM267" s="256"/>
      <c r="AN267" s="152"/>
      <c r="AO267" s="152"/>
      <c r="AP267" s="349"/>
      <c r="AQ267" s="450"/>
      <c r="AR267" s="6" t="s">
        <v>1103</v>
      </c>
      <c r="AS267" s="44" t="s">
        <v>1209</v>
      </c>
      <c r="AT267" s="282" t="s">
        <v>1003</v>
      </c>
      <c r="AU267" s="447"/>
      <c r="AV267" s="44" t="s">
        <v>1209</v>
      </c>
    </row>
    <row r="268" spans="1:48" ht="12.95" customHeight="1" x14ac:dyDescent="0.25">
      <c r="A268" s="197" t="s">
        <v>238</v>
      </c>
      <c r="B268" s="271"/>
      <c r="C268" s="197" t="s">
        <v>1977</v>
      </c>
      <c r="D268" s="410"/>
      <c r="E268" s="413"/>
      <c r="F268" s="197" t="str">
        <f t="shared" si="85"/>
        <v>unused_VI_D10</v>
      </c>
      <c r="G268" s="198" t="s">
        <v>1004</v>
      </c>
      <c r="H268" s="360" t="s">
        <v>3077</v>
      </c>
      <c r="I268" s="360" t="s">
        <v>3063</v>
      </c>
      <c r="J268" s="197" t="s">
        <v>751</v>
      </c>
      <c r="K268" s="360" t="s">
        <v>3076</v>
      </c>
      <c r="L268" s="198" t="s">
        <v>2062</v>
      </c>
      <c r="M268" s="197" t="s">
        <v>270</v>
      </c>
      <c r="N268" s="197" t="s">
        <v>270</v>
      </c>
      <c r="O268" s="197" t="s">
        <v>255</v>
      </c>
      <c r="P268" s="197" t="s">
        <v>253</v>
      </c>
      <c r="Q268" s="198" t="s">
        <v>747</v>
      </c>
      <c r="R268" s="197" t="s">
        <v>613</v>
      </c>
      <c r="S268" s="197">
        <v>15</v>
      </c>
      <c r="T268" s="197" t="s">
        <v>748</v>
      </c>
      <c r="U268" s="198">
        <v>0</v>
      </c>
      <c r="V268" s="199">
        <v>1</v>
      </c>
      <c r="W268" s="199">
        <v>1</v>
      </c>
      <c r="X268" s="199" t="s">
        <v>259</v>
      </c>
      <c r="Y268" s="200" t="s">
        <v>260</v>
      </c>
      <c r="Z268" s="200" t="s">
        <v>260</v>
      </c>
      <c r="AA268" s="233" t="str">
        <f t="shared" si="86"/>
        <v>Unused</v>
      </c>
      <c r="AB268" s="234" t="str">
        <f t="shared" si="87"/>
        <v>Unused</v>
      </c>
      <c r="AC268" s="248"/>
      <c r="AD268" s="234" t="str">
        <f t="shared" si="80"/>
        <v>ENABLE</v>
      </c>
      <c r="AE268" s="234" t="str">
        <f t="shared" si="84"/>
        <v>DISABLE</v>
      </c>
      <c r="AF268" s="234" t="str">
        <f t="shared" si="81"/>
        <v>NORMAL</v>
      </c>
      <c r="AG268" s="248"/>
      <c r="AH268" s="234" t="str">
        <f t="shared" si="88"/>
        <v>TRISTATE</v>
      </c>
      <c r="AI268" s="234" t="str">
        <f t="shared" si="89"/>
        <v>HIGH</v>
      </c>
      <c r="AJ268" s="182" t="s">
        <v>1104</v>
      </c>
      <c r="AK268" s="149" t="s">
        <v>2926</v>
      </c>
      <c r="AL268" s="153"/>
      <c r="AM268" s="256"/>
      <c r="AN268" s="152"/>
      <c r="AO268" s="152"/>
      <c r="AP268" s="349"/>
      <c r="AQ268" s="450"/>
      <c r="AR268" s="6" t="s">
        <v>1104</v>
      </c>
      <c r="AS268" s="43"/>
      <c r="AT268" s="282" t="s">
        <v>1104</v>
      </c>
      <c r="AU268" s="447"/>
      <c r="AV268" s="126"/>
    </row>
    <row r="269" spans="1:48" ht="12.95" customHeight="1" x14ac:dyDescent="0.25">
      <c r="A269" s="197" t="s">
        <v>239</v>
      </c>
      <c r="B269" s="271"/>
      <c r="C269" s="197" t="s">
        <v>1978</v>
      </c>
      <c r="D269" s="410"/>
      <c r="E269" s="413"/>
      <c r="F269" s="197" t="str">
        <f t="shared" si="85"/>
        <v>unused_VI_D11</v>
      </c>
      <c r="G269" s="198" t="s">
        <v>1005</v>
      </c>
      <c r="H269" s="360" t="s">
        <v>3077</v>
      </c>
      <c r="I269" s="360" t="s">
        <v>3063</v>
      </c>
      <c r="J269" s="197" t="s">
        <v>752</v>
      </c>
      <c r="K269" s="360" t="s">
        <v>3076</v>
      </c>
      <c r="L269" s="198" t="s">
        <v>2062</v>
      </c>
      <c r="M269" s="197" t="s">
        <v>270</v>
      </c>
      <c r="N269" s="197" t="s">
        <v>270</v>
      </c>
      <c r="O269" s="197" t="s">
        <v>255</v>
      </c>
      <c r="P269" s="197" t="s">
        <v>253</v>
      </c>
      <c r="Q269" s="198" t="s">
        <v>747</v>
      </c>
      <c r="R269" s="197" t="s">
        <v>613</v>
      </c>
      <c r="S269" s="197">
        <v>15</v>
      </c>
      <c r="T269" s="197" t="s">
        <v>748</v>
      </c>
      <c r="U269" s="198">
        <v>0</v>
      </c>
      <c r="V269" s="199">
        <v>1</v>
      </c>
      <c r="W269" s="199">
        <v>1</v>
      </c>
      <c r="X269" s="199" t="s">
        <v>259</v>
      </c>
      <c r="Y269" s="200" t="s">
        <v>260</v>
      </c>
      <c r="Z269" s="200" t="s">
        <v>260</v>
      </c>
      <c r="AA269" s="233" t="str">
        <f t="shared" si="86"/>
        <v>Unused</v>
      </c>
      <c r="AB269" s="234" t="str">
        <f t="shared" si="87"/>
        <v>Unused</v>
      </c>
      <c r="AC269" s="248"/>
      <c r="AD269" s="234" t="str">
        <f t="shared" si="80"/>
        <v>ENABLE</v>
      </c>
      <c r="AE269" s="234" t="str">
        <f t="shared" si="84"/>
        <v>DISABLE</v>
      </c>
      <c r="AF269" s="234" t="str">
        <f t="shared" si="81"/>
        <v>NORMAL</v>
      </c>
      <c r="AG269" s="248"/>
      <c r="AH269" s="234" t="str">
        <f t="shared" si="88"/>
        <v>TRISTATE</v>
      </c>
      <c r="AI269" s="234" t="str">
        <f t="shared" si="89"/>
        <v>HIGH</v>
      </c>
      <c r="AJ269" s="182" t="s">
        <v>1105</v>
      </c>
      <c r="AK269" s="149" t="s">
        <v>2926</v>
      </c>
      <c r="AL269" s="153"/>
      <c r="AM269" s="256"/>
      <c r="AN269" s="152"/>
      <c r="AO269" s="152"/>
      <c r="AP269" s="349"/>
      <c r="AQ269" s="450"/>
      <c r="AR269" s="6" t="s">
        <v>1105</v>
      </c>
      <c r="AS269" s="44" t="s">
        <v>2262</v>
      </c>
      <c r="AT269" s="282" t="s">
        <v>1005</v>
      </c>
      <c r="AU269" s="447"/>
      <c r="AV269" s="44" t="s">
        <v>2262</v>
      </c>
    </row>
    <row r="270" spans="1:48" ht="12.95" customHeight="1" thickBot="1" x14ac:dyDescent="0.3">
      <c r="A270" s="197" t="s">
        <v>240</v>
      </c>
      <c r="B270" s="271"/>
      <c r="C270" s="197" t="s">
        <v>1979</v>
      </c>
      <c r="D270" s="410"/>
      <c r="E270" s="413"/>
      <c r="F270" s="197" t="str">
        <f t="shared" si="85"/>
        <v>unused_VI_D2</v>
      </c>
      <c r="G270" s="198" t="s">
        <v>1006</v>
      </c>
      <c r="H270" s="360" t="s">
        <v>3077</v>
      </c>
      <c r="I270" s="197" t="s">
        <v>753</v>
      </c>
      <c r="J270" s="197" t="s">
        <v>754</v>
      </c>
      <c r="K270" s="360" t="s">
        <v>3063</v>
      </c>
      <c r="L270" s="198" t="s">
        <v>2062</v>
      </c>
      <c r="M270" s="197" t="s">
        <v>270</v>
      </c>
      <c r="N270" s="197" t="s">
        <v>270</v>
      </c>
      <c r="O270" s="197" t="s">
        <v>255</v>
      </c>
      <c r="P270" s="197" t="s">
        <v>253</v>
      </c>
      <c r="Q270" s="198" t="s">
        <v>747</v>
      </c>
      <c r="R270" s="197" t="s">
        <v>613</v>
      </c>
      <c r="S270" s="197">
        <v>15</v>
      </c>
      <c r="T270" s="197" t="s">
        <v>748</v>
      </c>
      <c r="U270" s="198">
        <v>0</v>
      </c>
      <c r="V270" s="199">
        <v>1</v>
      </c>
      <c r="W270" s="199">
        <v>1</v>
      </c>
      <c r="X270" s="199" t="s">
        <v>259</v>
      </c>
      <c r="Y270" s="200" t="s">
        <v>260</v>
      </c>
      <c r="Z270" s="200" t="s">
        <v>260</v>
      </c>
      <c r="AA270" s="233" t="str">
        <f t="shared" si="86"/>
        <v>Unused</v>
      </c>
      <c r="AB270" s="234" t="str">
        <f t="shared" si="87"/>
        <v>Unused</v>
      </c>
      <c r="AC270" s="234" t="str">
        <f t="shared" ref="AC270:AC277" si="90">IF(REPLACE(AJ270,FIND(".",CONCATENATE(REPLACE(AJ270,FIND("-",CONCATENATE(AJ270,"-")),LEN(AJ270),""),".")),LEN(AJ270),"")="SDMMC2","Yes","No")</f>
        <v>No</v>
      </c>
      <c r="AD270" s="234" t="str">
        <f t="shared" si="80"/>
        <v>ENABLE</v>
      </c>
      <c r="AE270" s="234" t="str">
        <f t="shared" si="84"/>
        <v>DISABLE</v>
      </c>
      <c r="AF270" s="234" t="str">
        <f t="shared" si="81"/>
        <v>NORMAL</v>
      </c>
      <c r="AG270" s="248"/>
      <c r="AH270" s="234" t="str">
        <f t="shared" si="88"/>
        <v>TRISTATE</v>
      </c>
      <c r="AI270" s="234" t="str">
        <f t="shared" si="89"/>
        <v>HIGH</v>
      </c>
      <c r="AJ270" s="182" t="s">
        <v>1106</v>
      </c>
      <c r="AK270" s="149" t="s">
        <v>2926</v>
      </c>
      <c r="AL270" s="153"/>
      <c r="AM270" s="257"/>
      <c r="AN270" s="152"/>
      <c r="AO270" s="152"/>
      <c r="AP270" s="349"/>
      <c r="AQ270" s="450"/>
      <c r="AR270" s="6" t="s">
        <v>1106</v>
      </c>
      <c r="AS270" s="44" t="s">
        <v>2263</v>
      </c>
      <c r="AT270" s="282" t="s">
        <v>1006</v>
      </c>
      <c r="AU270" s="447"/>
      <c r="AV270" s="44" t="s">
        <v>2263</v>
      </c>
    </row>
    <row r="271" spans="1:48" ht="12.95" customHeight="1" thickBot="1" x14ac:dyDescent="0.3">
      <c r="A271" s="197" t="s">
        <v>241</v>
      </c>
      <c r="B271" s="271"/>
      <c r="C271" s="197" t="s">
        <v>1980</v>
      </c>
      <c r="D271" s="410"/>
      <c r="E271" s="413"/>
      <c r="F271" s="197" t="str">
        <f t="shared" si="85"/>
        <v>unused_VI_D3</v>
      </c>
      <c r="G271" s="198" t="s">
        <v>1007</v>
      </c>
      <c r="H271" s="360" t="s">
        <v>3077</v>
      </c>
      <c r="I271" s="197" t="s">
        <v>755</v>
      </c>
      <c r="J271" s="197" t="s">
        <v>756</v>
      </c>
      <c r="K271" s="360" t="s">
        <v>3063</v>
      </c>
      <c r="L271" s="198" t="s">
        <v>2062</v>
      </c>
      <c r="M271" s="197" t="s">
        <v>254</v>
      </c>
      <c r="N271" s="197" t="s">
        <v>2062</v>
      </c>
      <c r="O271" s="197" t="s">
        <v>255</v>
      </c>
      <c r="P271" s="197">
        <v>2</v>
      </c>
      <c r="Q271" s="198" t="s">
        <v>747</v>
      </c>
      <c r="R271" s="197" t="s">
        <v>613</v>
      </c>
      <c r="S271" s="197">
        <v>15</v>
      </c>
      <c r="T271" s="197" t="s">
        <v>748</v>
      </c>
      <c r="U271" s="198">
        <v>0</v>
      </c>
      <c r="V271" s="199">
        <v>1</v>
      </c>
      <c r="W271" s="199">
        <v>1</v>
      </c>
      <c r="X271" s="199" t="s">
        <v>259</v>
      </c>
      <c r="Y271" s="200" t="s">
        <v>260</v>
      </c>
      <c r="Z271" s="200" t="s">
        <v>260</v>
      </c>
      <c r="AA271" s="233" t="str">
        <f t="shared" si="86"/>
        <v>Unused</v>
      </c>
      <c r="AB271" s="234" t="str">
        <f t="shared" si="87"/>
        <v>Unused</v>
      </c>
      <c r="AC271" s="234" t="str">
        <f t="shared" si="90"/>
        <v>No</v>
      </c>
      <c r="AD271" s="234" t="str">
        <f t="shared" si="80"/>
        <v>ENABLE</v>
      </c>
      <c r="AE271" s="234" t="str">
        <f t="shared" si="84"/>
        <v>DISABLE</v>
      </c>
      <c r="AF271" s="234" t="str">
        <f t="shared" si="81"/>
        <v>NORMAL</v>
      </c>
      <c r="AG271" s="248"/>
      <c r="AH271" s="234" t="str">
        <f t="shared" si="88"/>
        <v>TRISTATE</v>
      </c>
      <c r="AI271" s="234" t="str">
        <f t="shared" si="89"/>
        <v>HIGH</v>
      </c>
      <c r="AJ271" s="182" t="s">
        <v>1107</v>
      </c>
      <c r="AK271" s="149" t="s">
        <v>2926</v>
      </c>
      <c r="AL271" s="153"/>
      <c r="AM271" s="168"/>
      <c r="AN271" s="152"/>
      <c r="AO271" s="152"/>
      <c r="AP271" s="349"/>
      <c r="AQ271" s="450"/>
      <c r="AR271" s="6" t="s">
        <v>1107</v>
      </c>
      <c r="AS271" s="44" t="s">
        <v>2264</v>
      </c>
      <c r="AT271" s="282" t="s">
        <v>1007</v>
      </c>
      <c r="AU271" s="447"/>
      <c r="AV271" s="44" t="s">
        <v>2264</v>
      </c>
    </row>
    <row r="272" spans="1:48" ht="12.95" customHeight="1" x14ac:dyDescent="0.25">
      <c r="A272" s="197" t="s">
        <v>242</v>
      </c>
      <c r="B272" s="271"/>
      <c r="C272" s="197" t="s">
        <v>1981</v>
      </c>
      <c r="D272" s="410"/>
      <c r="E272" s="413"/>
      <c r="F272" s="197" t="str">
        <f t="shared" si="85"/>
        <v>unused_VI_D4</v>
      </c>
      <c r="G272" s="198" t="s">
        <v>1008</v>
      </c>
      <c r="H272" s="360" t="s">
        <v>3077</v>
      </c>
      <c r="I272" s="197" t="s">
        <v>757</v>
      </c>
      <c r="J272" s="197" t="s">
        <v>758</v>
      </c>
      <c r="K272" s="360" t="s">
        <v>3063</v>
      </c>
      <c r="L272" s="198" t="s">
        <v>2062</v>
      </c>
      <c r="M272" s="197" t="s">
        <v>270</v>
      </c>
      <c r="N272" s="197" t="s">
        <v>270</v>
      </c>
      <c r="O272" s="197" t="s">
        <v>255</v>
      </c>
      <c r="P272" s="197" t="s">
        <v>253</v>
      </c>
      <c r="Q272" s="198" t="s">
        <v>747</v>
      </c>
      <c r="R272" s="197" t="s">
        <v>613</v>
      </c>
      <c r="S272" s="197">
        <v>15</v>
      </c>
      <c r="T272" s="197" t="s">
        <v>748</v>
      </c>
      <c r="U272" s="198">
        <v>0</v>
      </c>
      <c r="V272" s="199">
        <v>1</v>
      </c>
      <c r="W272" s="199">
        <v>1</v>
      </c>
      <c r="X272" s="199" t="s">
        <v>259</v>
      </c>
      <c r="Y272" s="200" t="s">
        <v>260</v>
      </c>
      <c r="Z272" s="200" t="s">
        <v>260</v>
      </c>
      <c r="AA272" s="233" t="str">
        <f t="shared" si="86"/>
        <v>Unused</v>
      </c>
      <c r="AB272" s="234" t="str">
        <f t="shared" si="87"/>
        <v>Unused</v>
      </c>
      <c r="AC272" s="234" t="str">
        <f t="shared" si="90"/>
        <v>No</v>
      </c>
      <c r="AD272" s="234" t="str">
        <f t="shared" si="80"/>
        <v>ENABLE</v>
      </c>
      <c r="AE272" s="234" t="str">
        <f t="shared" si="84"/>
        <v>DISABLE</v>
      </c>
      <c r="AF272" s="234" t="str">
        <f t="shared" si="81"/>
        <v>NORMAL</v>
      </c>
      <c r="AG272" s="248"/>
      <c r="AH272" s="234" t="str">
        <f t="shared" si="88"/>
        <v>TRISTATE</v>
      </c>
      <c r="AI272" s="234" t="str">
        <f t="shared" si="89"/>
        <v>HIGH</v>
      </c>
      <c r="AJ272" s="182" t="s">
        <v>1108</v>
      </c>
      <c r="AK272" s="149" t="s">
        <v>2926</v>
      </c>
      <c r="AL272" s="153"/>
      <c r="AM272" s="258"/>
      <c r="AN272" s="152"/>
      <c r="AO272" s="152"/>
      <c r="AP272" s="349"/>
      <c r="AQ272" s="450"/>
      <c r="AR272" s="6" t="s">
        <v>1108</v>
      </c>
      <c r="AS272" s="44" t="s">
        <v>2265</v>
      </c>
      <c r="AT272" s="282" t="s">
        <v>1008</v>
      </c>
      <c r="AU272" s="447"/>
      <c r="AV272" s="44" t="s">
        <v>2265</v>
      </c>
    </row>
    <row r="273" spans="1:48" ht="12.95" customHeight="1" x14ac:dyDescent="0.25">
      <c r="A273" s="197" t="s">
        <v>243</v>
      </c>
      <c r="B273" s="271"/>
      <c r="C273" s="197" t="s">
        <v>1982</v>
      </c>
      <c r="D273" s="410"/>
      <c r="E273" s="413"/>
      <c r="F273" s="197" t="str">
        <f t="shared" si="85"/>
        <v>unused_VI_D5</v>
      </c>
      <c r="G273" s="198" t="s">
        <v>1009</v>
      </c>
      <c r="H273" s="360" t="s">
        <v>3077</v>
      </c>
      <c r="I273" s="197" t="s">
        <v>759</v>
      </c>
      <c r="J273" s="197" t="s">
        <v>760</v>
      </c>
      <c r="K273" s="360" t="s">
        <v>3063</v>
      </c>
      <c r="L273" s="198" t="s">
        <v>2062</v>
      </c>
      <c r="M273" s="197" t="s">
        <v>270</v>
      </c>
      <c r="N273" s="197" t="s">
        <v>270</v>
      </c>
      <c r="O273" s="197" t="s">
        <v>255</v>
      </c>
      <c r="P273" s="197" t="s">
        <v>253</v>
      </c>
      <c r="Q273" s="198" t="s">
        <v>747</v>
      </c>
      <c r="R273" s="197" t="s">
        <v>613</v>
      </c>
      <c r="S273" s="197">
        <v>15</v>
      </c>
      <c r="T273" s="197" t="s">
        <v>748</v>
      </c>
      <c r="U273" s="198">
        <v>0</v>
      </c>
      <c r="V273" s="199">
        <v>1</v>
      </c>
      <c r="W273" s="199">
        <v>1</v>
      </c>
      <c r="X273" s="199" t="s">
        <v>259</v>
      </c>
      <c r="Y273" s="200" t="s">
        <v>260</v>
      </c>
      <c r="Z273" s="200" t="s">
        <v>260</v>
      </c>
      <c r="AA273" s="233" t="str">
        <f t="shared" si="86"/>
        <v>Unused</v>
      </c>
      <c r="AB273" s="234" t="str">
        <f t="shared" si="87"/>
        <v>Unused</v>
      </c>
      <c r="AC273" s="234" t="str">
        <f t="shared" si="90"/>
        <v>No</v>
      </c>
      <c r="AD273" s="234" t="str">
        <f t="shared" si="80"/>
        <v>ENABLE</v>
      </c>
      <c r="AE273" s="234" t="str">
        <f t="shared" si="84"/>
        <v>DISABLE</v>
      </c>
      <c r="AF273" s="234" t="str">
        <f t="shared" si="81"/>
        <v>NORMAL</v>
      </c>
      <c r="AG273" s="248"/>
      <c r="AH273" s="234" t="str">
        <f t="shared" si="88"/>
        <v>TRISTATE</v>
      </c>
      <c r="AI273" s="234" t="str">
        <f t="shared" si="89"/>
        <v>HIGH</v>
      </c>
      <c r="AJ273" s="182" t="s">
        <v>1109</v>
      </c>
      <c r="AK273" s="149" t="s">
        <v>2926</v>
      </c>
      <c r="AL273" s="153"/>
      <c r="AM273" s="256"/>
      <c r="AN273" s="152"/>
      <c r="AO273" s="152"/>
      <c r="AP273" s="349"/>
      <c r="AQ273" s="450"/>
      <c r="AR273" s="6" t="s">
        <v>1109</v>
      </c>
      <c r="AS273" s="43"/>
      <c r="AT273" s="282" t="s">
        <v>1109</v>
      </c>
      <c r="AU273" s="447"/>
      <c r="AV273" s="44" t="s">
        <v>2468</v>
      </c>
    </row>
    <row r="274" spans="1:48" ht="12.95" customHeight="1" x14ac:dyDescent="0.25">
      <c r="A274" s="197" t="s">
        <v>244</v>
      </c>
      <c r="B274" s="271"/>
      <c r="C274" s="197" t="s">
        <v>1967</v>
      </c>
      <c r="D274" s="410"/>
      <c r="E274" s="413"/>
      <c r="F274" s="197" t="str">
        <f t="shared" si="85"/>
        <v>unused_VI_D6</v>
      </c>
      <c r="G274" s="198" t="s">
        <v>1010</v>
      </c>
      <c r="H274" s="360" t="s">
        <v>3077</v>
      </c>
      <c r="I274" s="197" t="s">
        <v>761</v>
      </c>
      <c r="J274" s="197" t="s">
        <v>762</v>
      </c>
      <c r="K274" s="360" t="s">
        <v>3063</v>
      </c>
      <c r="L274" s="198" t="s">
        <v>2062</v>
      </c>
      <c r="M274" s="197" t="s">
        <v>270</v>
      </c>
      <c r="N274" s="197" t="s">
        <v>270</v>
      </c>
      <c r="O274" s="197" t="s">
        <v>255</v>
      </c>
      <c r="P274" s="197" t="s">
        <v>253</v>
      </c>
      <c r="Q274" s="198" t="s">
        <v>747</v>
      </c>
      <c r="R274" s="197" t="s">
        <v>613</v>
      </c>
      <c r="S274" s="197">
        <v>15</v>
      </c>
      <c r="T274" s="197" t="s">
        <v>748</v>
      </c>
      <c r="U274" s="198">
        <v>0</v>
      </c>
      <c r="V274" s="199">
        <v>1</v>
      </c>
      <c r="W274" s="199">
        <v>1</v>
      </c>
      <c r="X274" s="199" t="s">
        <v>259</v>
      </c>
      <c r="Y274" s="200" t="s">
        <v>260</v>
      </c>
      <c r="Z274" s="200" t="s">
        <v>260</v>
      </c>
      <c r="AA274" s="233" t="str">
        <f t="shared" si="86"/>
        <v>Unused</v>
      </c>
      <c r="AB274" s="234" t="str">
        <f t="shared" si="87"/>
        <v>Unused</v>
      </c>
      <c r="AC274" s="234" t="str">
        <f t="shared" si="90"/>
        <v>No</v>
      </c>
      <c r="AD274" s="234" t="str">
        <f t="shared" si="80"/>
        <v>ENABLE</v>
      </c>
      <c r="AE274" s="234" t="str">
        <f t="shared" si="84"/>
        <v>DISABLE</v>
      </c>
      <c r="AF274" s="234" t="str">
        <f t="shared" si="81"/>
        <v>NORMAL</v>
      </c>
      <c r="AG274" s="248"/>
      <c r="AH274" s="234" t="str">
        <f t="shared" si="88"/>
        <v>TRISTATE</v>
      </c>
      <c r="AI274" s="234" t="str">
        <f t="shared" si="89"/>
        <v>HIGH</v>
      </c>
      <c r="AJ274" s="182" t="s">
        <v>1110</v>
      </c>
      <c r="AK274" s="149" t="s">
        <v>2926</v>
      </c>
      <c r="AL274" s="153"/>
      <c r="AM274" s="256"/>
      <c r="AN274" s="152"/>
      <c r="AO274" s="152"/>
      <c r="AP274" s="349"/>
      <c r="AQ274" s="450"/>
      <c r="AR274" s="6" t="s">
        <v>1110</v>
      </c>
      <c r="AS274" s="44" t="s">
        <v>1210</v>
      </c>
      <c r="AT274" s="282" t="s">
        <v>1010</v>
      </c>
      <c r="AU274" s="447"/>
      <c r="AV274" s="44" t="s">
        <v>2442</v>
      </c>
    </row>
    <row r="275" spans="1:48" ht="12.95" customHeight="1" x14ac:dyDescent="0.25">
      <c r="A275" s="197" t="s">
        <v>245</v>
      </c>
      <c r="B275" s="271"/>
      <c r="C275" s="197" t="s">
        <v>1983</v>
      </c>
      <c r="D275" s="410"/>
      <c r="E275" s="413"/>
      <c r="F275" s="197" t="str">
        <f t="shared" si="85"/>
        <v>unused_VI_D7</v>
      </c>
      <c r="G275" s="198" t="s">
        <v>1011</v>
      </c>
      <c r="H275" s="360" t="s">
        <v>3077</v>
      </c>
      <c r="I275" s="197" t="s">
        <v>763</v>
      </c>
      <c r="J275" s="197" t="s">
        <v>764</v>
      </c>
      <c r="K275" s="360" t="s">
        <v>3063</v>
      </c>
      <c r="L275" s="198" t="s">
        <v>2062</v>
      </c>
      <c r="M275" s="197" t="s">
        <v>270</v>
      </c>
      <c r="N275" s="197" t="s">
        <v>270</v>
      </c>
      <c r="O275" s="197" t="s">
        <v>255</v>
      </c>
      <c r="P275" s="197" t="s">
        <v>253</v>
      </c>
      <c r="Q275" s="198" t="s">
        <v>747</v>
      </c>
      <c r="R275" s="197" t="s">
        <v>613</v>
      </c>
      <c r="S275" s="197">
        <v>15</v>
      </c>
      <c r="T275" s="197" t="s">
        <v>748</v>
      </c>
      <c r="U275" s="198">
        <v>0</v>
      </c>
      <c r="V275" s="199">
        <v>1</v>
      </c>
      <c r="W275" s="199">
        <v>1</v>
      </c>
      <c r="X275" s="199" t="s">
        <v>259</v>
      </c>
      <c r="Y275" s="200" t="s">
        <v>260</v>
      </c>
      <c r="Z275" s="200" t="s">
        <v>260</v>
      </c>
      <c r="AA275" s="233" t="str">
        <f t="shared" si="86"/>
        <v>Unused</v>
      </c>
      <c r="AB275" s="234" t="str">
        <f t="shared" si="87"/>
        <v>Unused</v>
      </c>
      <c r="AC275" s="234" t="str">
        <f t="shared" si="90"/>
        <v>No</v>
      </c>
      <c r="AD275" s="234" t="str">
        <f t="shared" si="80"/>
        <v>ENABLE</v>
      </c>
      <c r="AE275" s="234" t="str">
        <f t="shared" si="84"/>
        <v>DISABLE</v>
      </c>
      <c r="AF275" s="234" t="str">
        <f t="shared" si="81"/>
        <v>NORMAL</v>
      </c>
      <c r="AG275" s="248"/>
      <c r="AH275" s="234" t="str">
        <f t="shared" si="88"/>
        <v>TRISTATE</v>
      </c>
      <c r="AI275" s="234" t="str">
        <f t="shared" si="89"/>
        <v>HIGH</v>
      </c>
      <c r="AJ275" s="182" t="s">
        <v>1111</v>
      </c>
      <c r="AK275" s="149" t="s">
        <v>2926</v>
      </c>
      <c r="AL275" s="153"/>
      <c r="AM275" s="256"/>
      <c r="AN275" s="152"/>
      <c r="AO275" s="152"/>
      <c r="AP275" s="349"/>
      <c r="AQ275" s="450"/>
      <c r="AR275" s="6" t="s">
        <v>1111</v>
      </c>
      <c r="AS275" s="43"/>
      <c r="AT275" s="282" t="s">
        <v>1111</v>
      </c>
      <c r="AU275" s="447"/>
      <c r="AV275" s="44" t="s">
        <v>2443</v>
      </c>
    </row>
    <row r="276" spans="1:48" ht="12.95" customHeight="1" x14ac:dyDescent="0.25">
      <c r="A276" s="197" t="s">
        <v>246</v>
      </c>
      <c r="B276" s="271"/>
      <c r="C276" s="197" t="s">
        <v>1949</v>
      </c>
      <c r="D276" s="410"/>
      <c r="E276" s="413"/>
      <c r="F276" s="197" t="str">
        <f t="shared" si="85"/>
        <v>unused_VI_D8</v>
      </c>
      <c r="G276" s="198" t="s">
        <v>1012</v>
      </c>
      <c r="H276" s="360" t="s">
        <v>3077</v>
      </c>
      <c r="I276" s="197" t="s">
        <v>765</v>
      </c>
      <c r="J276" s="197" t="s">
        <v>766</v>
      </c>
      <c r="K276" s="360" t="s">
        <v>3063</v>
      </c>
      <c r="L276" s="198" t="s">
        <v>2062</v>
      </c>
      <c r="M276" s="197" t="s">
        <v>270</v>
      </c>
      <c r="N276" s="197" t="s">
        <v>270</v>
      </c>
      <c r="O276" s="197" t="s">
        <v>255</v>
      </c>
      <c r="P276" s="197" t="s">
        <v>253</v>
      </c>
      <c r="Q276" s="198" t="s">
        <v>747</v>
      </c>
      <c r="R276" s="197" t="s">
        <v>613</v>
      </c>
      <c r="S276" s="197">
        <v>15</v>
      </c>
      <c r="T276" s="197" t="s">
        <v>748</v>
      </c>
      <c r="U276" s="198">
        <v>0</v>
      </c>
      <c r="V276" s="199">
        <v>1</v>
      </c>
      <c r="W276" s="199">
        <v>1</v>
      </c>
      <c r="X276" s="199" t="s">
        <v>259</v>
      </c>
      <c r="Y276" s="200" t="s">
        <v>260</v>
      </c>
      <c r="Z276" s="200" t="s">
        <v>260</v>
      </c>
      <c r="AA276" s="233" t="str">
        <f t="shared" si="86"/>
        <v>Unused</v>
      </c>
      <c r="AB276" s="234" t="str">
        <f t="shared" si="87"/>
        <v>Unused</v>
      </c>
      <c r="AC276" s="234" t="str">
        <f t="shared" si="90"/>
        <v>No</v>
      </c>
      <c r="AD276" s="234" t="str">
        <f t="shared" si="80"/>
        <v>ENABLE</v>
      </c>
      <c r="AE276" s="234" t="str">
        <f t="shared" si="84"/>
        <v>DISABLE</v>
      </c>
      <c r="AF276" s="234" t="str">
        <f t="shared" si="81"/>
        <v>NORMAL</v>
      </c>
      <c r="AG276" s="248"/>
      <c r="AH276" s="234" t="str">
        <f t="shared" si="88"/>
        <v>TRISTATE</v>
      </c>
      <c r="AI276" s="234" t="str">
        <f t="shared" si="89"/>
        <v>HIGH</v>
      </c>
      <c r="AJ276" s="182" t="s">
        <v>1112</v>
      </c>
      <c r="AK276" s="149" t="s">
        <v>2926</v>
      </c>
      <c r="AL276" s="153"/>
      <c r="AM276" s="256"/>
      <c r="AN276" s="152"/>
      <c r="AO276" s="152"/>
      <c r="AP276" s="349"/>
      <c r="AQ276" s="450"/>
      <c r="AR276" s="6" t="s">
        <v>1112</v>
      </c>
      <c r="AS276" s="44" t="s">
        <v>1211</v>
      </c>
      <c r="AT276" s="282" t="s">
        <v>1012</v>
      </c>
      <c r="AU276" s="447"/>
      <c r="AV276" s="44" t="s">
        <v>1211</v>
      </c>
    </row>
    <row r="277" spans="1:48" ht="12.95" customHeight="1" x14ac:dyDescent="0.25">
      <c r="A277" s="197" t="s">
        <v>247</v>
      </c>
      <c r="B277" s="271"/>
      <c r="C277" s="197" t="s">
        <v>1984</v>
      </c>
      <c r="D277" s="410"/>
      <c r="E277" s="413"/>
      <c r="F277" s="197" t="str">
        <f t="shared" si="85"/>
        <v>unused_VI_D9</v>
      </c>
      <c r="G277" s="198" t="s">
        <v>1013</v>
      </c>
      <c r="H277" s="360" t="s">
        <v>3077</v>
      </c>
      <c r="I277" s="197" t="s">
        <v>767</v>
      </c>
      <c r="J277" s="197" t="s">
        <v>768</v>
      </c>
      <c r="K277" s="360" t="s">
        <v>3063</v>
      </c>
      <c r="L277" s="198" t="s">
        <v>2062</v>
      </c>
      <c r="M277" s="197" t="s">
        <v>270</v>
      </c>
      <c r="N277" s="197" t="s">
        <v>270</v>
      </c>
      <c r="O277" s="197" t="s">
        <v>255</v>
      </c>
      <c r="P277" s="197" t="s">
        <v>253</v>
      </c>
      <c r="Q277" s="198" t="s">
        <v>747</v>
      </c>
      <c r="R277" s="197" t="s">
        <v>613</v>
      </c>
      <c r="S277" s="197">
        <v>15</v>
      </c>
      <c r="T277" s="197" t="s">
        <v>748</v>
      </c>
      <c r="U277" s="198">
        <v>0</v>
      </c>
      <c r="V277" s="199">
        <v>1</v>
      </c>
      <c r="W277" s="199">
        <v>1</v>
      </c>
      <c r="X277" s="199" t="s">
        <v>259</v>
      </c>
      <c r="Y277" s="200" t="s">
        <v>260</v>
      </c>
      <c r="Z277" s="200" t="s">
        <v>260</v>
      </c>
      <c r="AA277" s="233" t="str">
        <f t="shared" si="86"/>
        <v>Unused</v>
      </c>
      <c r="AB277" s="234" t="str">
        <f t="shared" si="87"/>
        <v>Unused</v>
      </c>
      <c r="AC277" s="234" t="str">
        <f t="shared" si="90"/>
        <v>No</v>
      </c>
      <c r="AD277" s="234" t="str">
        <f t="shared" si="80"/>
        <v>ENABLE</v>
      </c>
      <c r="AE277" s="234" t="str">
        <f t="shared" si="84"/>
        <v>DISABLE</v>
      </c>
      <c r="AF277" s="234" t="str">
        <f t="shared" si="81"/>
        <v>NORMAL</v>
      </c>
      <c r="AG277" s="248"/>
      <c r="AH277" s="234" t="str">
        <f t="shared" si="88"/>
        <v>TRISTATE</v>
      </c>
      <c r="AI277" s="234" t="str">
        <f t="shared" si="89"/>
        <v>HIGH</v>
      </c>
      <c r="AJ277" s="182" t="s">
        <v>1113</v>
      </c>
      <c r="AK277" s="149" t="s">
        <v>2926</v>
      </c>
      <c r="AL277" s="153"/>
      <c r="AM277" s="256"/>
      <c r="AN277" s="152"/>
      <c r="AO277" s="152"/>
      <c r="AP277" s="349"/>
      <c r="AQ277" s="450"/>
      <c r="AR277" s="6" t="s">
        <v>1113</v>
      </c>
      <c r="AS277" s="44" t="s">
        <v>1212</v>
      </c>
      <c r="AT277" s="282" t="s">
        <v>1013</v>
      </c>
      <c r="AU277" s="447"/>
      <c r="AV277" s="44" t="s">
        <v>2444</v>
      </c>
    </row>
    <row r="278" spans="1:48" ht="12.95" customHeight="1" x14ac:dyDescent="0.25">
      <c r="A278" s="197" t="s">
        <v>248</v>
      </c>
      <c r="B278" s="271"/>
      <c r="C278" s="197" t="s">
        <v>1985</v>
      </c>
      <c r="D278" s="410"/>
      <c r="E278" s="413"/>
      <c r="F278" s="197" t="str">
        <f t="shared" si="85"/>
        <v>unused_VI_HSYNC</v>
      </c>
      <c r="G278" s="198" t="s">
        <v>1014</v>
      </c>
      <c r="H278" s="360" t="s">
        <v>3077</v>
      </c>
      <c r="I278" s="360" t="s">
        <v>3063</v>
      </c>
      <c r="J278" s="197" t="s">
        <v>769</v>
      </c>
      <c r="K278" s="360" t="s">
        <v>3076</v>
      </c>
      <c r="L278" s="198" t="s">
        <v>2062</v>
      </c>
      <c r="M278" s="197" t="s">
        <v>270</v>
      </c>
      <c r="N278" s="197" t="s">
        <v>270</v>
      </c>
      <c r="O278" s="197" t="s">
        <v>255</v>
      </c>
      <c r="P278" s="197" t="s">
        <v>253</v>
      </c>
      <c r="Q278" s="198" t="s">
        <v>747</v>
      </c>
      <c r="R278" s="197" t="s">
        <v>613</v>
      </c>
      <c r="S278" s="197">
        <v>15</v>
      </c>
      <c r="T278" s="197" t="s">
        <v>748</v>
      </c>
      <c r="U278" s="198">
        <v>0</v>
      </c>
      <c r="V278" s="199">
        <v>1</v>
      </c>
      <c r="W278" s="199">
        <v>1</v>
      </c>
      <c r="X278" s="199" t="s">
        <v>259</v>
      </c>
      <c r="Y278" s="200" t="s">
        <v>260</v>
      </c>
      <c r="Z278" s="200" t="s">
        <v>260</v>
      </c>
      <c r="AA278" s="233" t="str">
        <f t="shared" si="86"/>
        <v>Unused</v>
      </c>
      <c r="AB278" s="234" t="str">
        <f t="shared" si="87"/>
        <v>Unused</v>
      </c>
      <c r="AC278" s="248"/>
      <c r="AD278" s="234" t="str">
        <f t="shared" si="80"/>
        <v>ENABLE</v>
      </c>
      <c r="AE278" s="234" t="str">
        <f t="shared" si="84"/>
        <v>DISABLE</v>
      </c>
      <c r="AF278" s="234" t="str">
        <f t="shared" si="81"/>
        <v>NORMAL</v>
      </c>
      <c r="AG278" s="248"/>
      <c r="AH278" s="234" t="str">
        <f t="shared" si="88"/>
        <v>TRISTATE</v>
      </c>
      <c r="AI278" s="234" t="str">
        <f t="shared" si="89"/>
        <v>HIGH</v>
      </c>
      <c r="AJ278" s="182" t="s">
        <v>1114</v>
      </c>
      <c r="AK278" s="149" t="s">
        <v>2926</v>
      </c>
      <c r="AL278" s="153"/>
      <c r="AM278" s="256"/>
      <c r="AN278" s="152"/>
      <c r="AO278" s="152"/>
      <c r="AP278" s="349"/>
      <c r="AQ278" s="450"/>
      <c r="AR278" s="6" t="s">
        <v>1114</v>
      </c>
      <c r="AS278" s="44" t="s">
        <v>1213</v>
      </c>
      <c r="AT278" s="282" t="s">
        <v>1014</v>
      </c>
      <c r="AU278" s="447"/>
      <c r="AV278" s="126"/>
    </row>
    <row r="279" spans="1:48" ht="12.95" customHeight="1" x14ac:dyDescent="0.25">
      <c r="A279" s="197" t="s">
        <v>249</v>
      </c>
      <c r="B279" s="271"/>
      <c r="C279" s="197" t="s">
        <v>1986</v>
      </c>
      <c r="D279" s="410"/>
      <c r="E279" s="413"/>
      <c r="F279" s="197" t="str">
        <f t="shared" si="85"/>
        <v>unused_VI_MCLK</v>
      </c>
      <c r="G279" s="198" t="s">
        <v>1015</v>
      </c>
      <c r="H279" s="360" t="s">
        <v>3077</v>
      </c>
      <c r="I279" s="360" t="s">
        <v>3077</v>
      </c>
      <c r="J279" s="360" t="s">
        <v>3077</v>
      </c>
      <c r="K279" s="197" t="s">
        <v>371</v>
      </c>
      <c r="L279" s="198" t="s">
        <v>2062</v>
      </c>
      <c r="M279" s="197" t="s">
        <v>270</v>
      </c>
      <c r="N279" s="197" t="s">
        <v>270</v>
      </c>
      <c r="O279" s="197" t="s">
        <v>255</v>
      </c>
      <c r="P279" s="197" t="s">
        <v>253</v>
      </c>
      <c r="Q279" s="198" t="s">
        <v>747</v>
      </c>
      <c r="R279" s="197" t="s">
        <v>613</v>
      </c>
      <c r="S279" s="197">
        <v>15</v>
      </c>
      <c r="T279" s="197" t="s">
        <v>770</v>
      </c>
      <c r="U279" s="198">
        <v>0</v>
      </c>
      <c r="V279" s="199">
        <v>1</v>
      </c>
      <c r="W279" s="199">
        <v>1</v>
      </c>
      <c r="X279" s="199" t="s">
        <v>259</v>
      </c>
      <c r="Y279" s="200" t="s">
        <v>260</v>
      </c>
      <c r="Z279" s="200" t="s">
        <v>260</v>
      </c>
      <c r="AA279" s="233" t="str">
        <f t="shared" si="86"/>
        <v>Unused</v>
      </c>
      <c r="AB279" s="234" t="str">
        <f t="shared" si="87"/>
        <v>Unused</v>
      </c>
      <c r="AC279" s="248"/>
      <c r="AD279" s="234" t="str">
        <f t="shared" si="80"/>
        <v>ENABLE</v>
      </c>
      <c r="AE279" s="234" t="str">
        <f t="shared" si="84"/>
        <v>DISABLE</v>
      </c>
      <c r="AF279" s="234" t="str">
        <f t="shared" si="81"/>
        <v>NORMAL</v>
      </c>
      <c r="AG279" s="248"/>
      <c r="AH279" s="234" t="str">
        <f t="shared" si="88"/>
        <v>TRISTATE</v>
      </c>
      <c r="AI279" s="234" t="str">
        <f t="shared" si="89"/>
        <v>HIGH</v>
      </c>
      <c r="AJ279" s="182" t="s">
        <v>1115</v>
      </c>
      <c r="AK279" s="149" t="s">
        <v>2926</v>
      </c>
      <c r="AL279" s="153"/>
      <c r="AM279" s="256"/>
      <c r="AN279" s="152"/>
      <c r="AO279" s="152"/>
      <c r="AP279" s="349"/>
      <c r="AQ279" s="450"/>
      <c r="AR279" s="6" t="s">
        <v>1115</v>
      </c>
      <c r="AS279" s="43"/>
      <c r="AT279" s="282" t="s">
        <v>1115</v>
      </c>
      <c r="AU279" s="447"/>
      <c r="AV279" s="126"/>
    </row>
    <row r="280" spans="1:48" ht="12.95" customHeight="1" x14ac:dyDescent="0.25">
      <c r="A280" s="197" t="s">
        <v>250</v>
      </c>
      <c r="B280" s="271"/>
      <c r="C280" s="197" t="s">
        <v>1987</v>
      </c>
      <c r="D280" s="410"/>
      <c r="E280" s="413"/>
      <c r="F280" s="197" t="str">
        <f t="shared" si="85"/>
        <v>unused_VI_PCLK</v>
      </c>
      <c r="G280" s="198" t="s">
        <v>1016</v>
      </c>
      <c r="H280" s="360" t="s">
        <v>3063</v>
      </c>
      <c r="I280" s="197" t="s">
        <v>771</v>
      </c>
      <c r="J280" s="197" t="s">
        <v>772</v>
      </c>
      <c r="K280" s="360" t="s">
        <v>3076</v>
      </c>
      <c r="L280" s="198" t="s">
        <v>2062</v>
      </c>
      <c r="M280" s="197" t="s">
        <v>270</v>
      </c>
      <c r="N280" s="197" t="s">
        <v>270</v>
      </c>
      <c r="O280" s="197" t="s">
        <v>255</v>
      </c>
      <c r="P280" s="197" t="s">
        <v>253</v>
      </c>
      <c r="Q280" s="198" t="s">
        <v>747</v>
      </c>
      <c r="R280" s="197" t="s">
        <v>613</v>
      </c>
      <c r="S280" s="197">
        <v>15</v>
      </c>
      <c r="T280" s="197" t="s">
        <v>748</v>
      </c>
      <c r="U280" s="198">
        <v>0</v>
      </c>
      <c r="V280" s="199">
        <v>1</v>
      </c>
      <c r="W280" s="199">
        <v>1</v>
      </c>
      <c r="X280" s="199" t="s">
        <v>259</v>
      </c>
      <c r="Y280" s="200" t="s">
        <v>260</v>
      </c>
      <c r="Z280" s="200" t="s">
        <v>260</v>
      </c>
      <c r="AA280" s="233" t="str">
        <f t="shared" si="86"/>
        <v>Unused</v>
      </c>
      <c r="AB280" s="234" t="str">
        <f t="shared" si="87"/>
        <v>Unused</v>
      </c>
      <c r="AC280" s="248"/>
      <c r="AD280" s="234" t="str">
        <f t="shared" si="80"/>
        <v>ENABLE</v>
      </c>
      <c r="AE280" s="234" t="str">
        <f t="shared" si="84"/>
        <v>DISABLE</v>
      </c>
      <c r="AF280" s="234" t="str">
        <f t="shared" si="81"/>
        <v>NORMAL</v>
      </c>
      <c r="AG280" s="248"/>
      <c r="AH280" s="234" t="str">
        <f t="shared" si="88"/>
        <v>TRISTATE</v>
      </c>
      <c r="AI280" s="234" t="str">
        <f t="shared" si="89"/>
        <v>HIGH</v>
      </c>
      <c r="AJ280" s="182" t="s">
        <v>1116</v>
      </c>
      <c r="AK280" s="149" t="s">
        <v>2926</v>
      </c>
      <c r="AL280" s="153"/>
      <c r="AM280" s="256"/>
      <c r="AN280" s="152"/>
      <c r="AO280" s="152"/>
      <c r="AP280" s="349"/>
      <c r="AQ280" s="450"/>
      <c r="AR280" s="6" t="s">
        <v>1116</v>
      </c>
      <c r="AS280" s="44" t="s">
        <v>2266</v>
      </c>
      <c r="AT280" s="282" t="s">
        <v>1016</v>
      </c>
      <c r="AU280" s="447"/>
      <c r="AV280" s="44" t="s">
        <v>2266</v>
      </c>
    </row>
    <row r="281" spans="1:48" ht="12.95" customHeight="1" thickBot="1" x14ac:dyDescent="0.3">
      <c r="A281" s="197" t="s">
        <v>251</v>
      </c>
      <c r="B281" s="271"/>
      <c r="C281" s="197" t="s">
        <v>1988</v>
      </c>
      <c r="D281" s="411"/>
      <c r="E281" s="417"/>
      <c r="F281" s="197" t="str">
        <f t="shared" si="85"/>
        <v>unused_VI_VSYNC</v>
      </c>
      <c r="G281" s="198" t="s">
        <v>1017</v>
      </c>
      <c r="H281" s="360" t="s">
        <v>3077</v>
      </c>
      <c r="I281" s="360" t="s">
        <v>3063</v>
      </c>
      <c r="J281" s="197" t="s">
        <v>773</v>
      </c>
      <c r="K281" s="360" t="s">
        <v>3076</v>
      </c>
      <c r="L281" s="198" t="s">
        <v>2062</v>
      </c>
      <c r="M281" s="197" t="s">
        <v>270</v>
      </c>
      <c r="N281" s="197" t="s">
        <v>270</v>
      </c>
      <c r="O281" s="197" t="s">
        <v>255</v>
      </c>
      <c r="P281" s="197" t="s">
        <v>253</v>
      </c>
      <c r="Q281" s="198" t="s">
        <v>747</v>
      </c>
      <c r="R281" s="197" t="s">
        <v>613</v>
      </c>
      <c r="S281" s="197">
        <v>15</v>
      </c>
      <c r="T281" s="197" t="s">
        <v>748</v>
      </c>
      <c r="U281" s="198">
        <v>0</v>
      </c>
      <c r="V281" s="199">
        <v>1</v>
      </c>
      <c r="W281" s="199">
        <v>1</v>
      </c>
      <c r="X281" s="199" t="s">
        <v>259</v>
      </c>
      <c r="Y281" s="200" t="s">
        <v>260</v>
      </c>
      <c r="Z281" s="200" t="s">
        <v>260</v>
      </c>
      <c r="AA281" s="233" t="str">
        <f t="shared" si="86"/>
        <v>Unused</v>
      </c>
      <c r="AB281" s="234" t="str">
        <f t="shared" si="87"/>
        <v>Unused</v>
      </c>
      <c r="AC281" s="248"/>
      <c r="AD281" s="234" t="str">
        <f t="shared" si="80"/>
        <v>ENABLE</v>
      </c>
      <c r="AE281" s="234" t="str">
        <f t="shared" si="84"/>
        <v>DISABLE</v>
      </c>
      <c r="AF281" s="234" t="str">
        <f t="shared" si="81"/>
        <v>NORMAL</v>
      </c>
      <c r="AG281" s="248"/>
      <c r="AH281" s="234" t="str">
        <f t="shared" si="88"/>
        <v>TRISTATE</v>
      </c>
      <c r="AI281" s="234" t="str">
        <f t="shared" si="89"/>
        <v>HIGH</v>
      </c>
      <c r="AJ281" s="182" t="s">
        <v>1117</v>
      </c>
      <c r="AK281" s="149" t="s">
        <v>2926</v>
      </c>
      <c r="AL281" s="153"/>
      <c r="AM281" s="256"/>
      <c r="AN281" s="152"/>
      <c r="AO281" s="152"/>
      <c r="AP281" s="349"/>
      <c r="AQ281" s="451"/>
      <c r="AR281" s="6" t="s">
        <v>1117</v>
      </c>
      <c r="AS281" s="44" t="s">
        <v>1214</v>
      </c>
      <c r="AT281" s="283" t="s">
        <v>1017</v>
      </c>
      <c r="AU281" s="448"/>
      <c r="AV281" s="126"/>
    </row>
    <row r="282" spans="1:48" s="30" customFormat="1" ht="18" customHeight="1" x14ac:dyDescent="0.25">
      <c r="A282" s="161" t="s">
        <v>1255</v>
      </c>
      <c r="B282" s="275"/>
      <c r="C282" s="161"/>
      <c r="D282" s="161"/>
      <c r="E282" s="222"/>
      <c r="F282" s="203"/>
      <c r="G282" s="204"/>
      <c r="H282" s="161"/>
      <c r="I282" s="161"/>
      <c r="J282" s="161"/>
      <c r="K282" s="161"/>
      <c r="L282" s="204"/>
      <c r="M282" s="161"/>
      <c r="N282" s="161"/>
      <c r="O282" s="161"/>
      <c r="P282" s="161"/>
      <c r="Q282" s="204"/>
      <c r="R282" s="161"/>
      <c r="S282" s="161"/>
      <c r="T282" s="161"/>
      <c r="U282" s="204"/>
      <c r="V282" s="161"/>
      <c r="W282" s="161"/>
      <c r="X282" s="161"/>
      <c r="Y282" s="161"/>
      <c r="Z282" s="205"/>
      <c r="AA282" s="238"/>
      <c r="AB282" s="239"/>
      <c r="AC282" s="239"/>
      <c r="AD282" s="239"/>
      <c r="AE282" s="239"/>
      <c r="AF282" s="239"/>
      <c r="AG282" s="239"/>
      <c r="AH282" s="239"/>
      <c r="AI282" s="240"/>
      <c r="AJ282" s="161"/>
      <c r="AK282" s="37"/>
      <c r="AL282" s="156"/>
      <c r="AM282" s="171"/>
      <c r="AN282" s="156"/>
      <c r="AO282" s="156"/>
      <c r="AP282" s="156"/>
      <c r="AQ282" s="358"/>
      <c r="AR282" s="278"/>
      <c r="AS282" s="46"/>
      <c r="AT282" s="287"/>
      <c r="AU282" s="46"/>
      <c r="AV282" s="46"/>
    </row>
    <row r="283" spans="1:48" s="30" customFormat="1" ht="18" customHeight="1" x14ac:dyDescent="0.25">
      <c r="A283" s="161" t="s">
        <v>1254</v>
      </c>
      <c r="B283" s="275"/>
      <c r="C283" s="161"/>
      <c r="D283" s="161"/>
      <c r="E283" s="222"/>
      <c r="F283" s="161"/>
      <c r="G283" s="204"/>
      <c r="H283" s="161"/>
      <c r="I283" s="161"/>
      <c r="J283" s="161"/>
      <c r="K283" s="161"/>
      <c r="L283" s="204"/>
      <c r="M283" s="161"/>
      <c r="N283" s="161"/>
      <c r="O283" s="161"/>
      <c r="P283" s="161"/>
      <c r="Q283" s="204"/>
      <c r="R283" s="161"/>
      <c r="S283" s="161"/>
      <c r="T283" s="161"/>
      <c r="U283" s="204"/>
      <c r="V283" s="161"/>
      <c r="W283" s="161"/>
      <c r="X283" s="161"/>
      <c r="Y283" s="161"/>
      <c r="Z283" s="205"/>
      <c r="AA283" s="238"/>
      <c r="AB283" s="239"/>
      <c r="AC283" s="239"/>
      <c r="AD283" s="239"/>
      <c r="AE283" s="239"/>
      <c r="AF283" s="239"/>
      <c r="AG283" s="239"/>
      <c r="AH283" s="239"/>
      <c r="AI283" s="240"/>
      <c r="AJ283" s="161"/>
      <c r="AK283" s="157"/>
      <c r="AL283" s="157"/>
      <c r="AM283" s="172"/>
      <c r="AN283" s="157"/>
      <c r="AO283" s="157"/>
      <c r="AP283" s="157"/>
      <c r="AQ283" s="46"/>
      <c r="AR283" s="278"/>
      <c r="AS283" s="46"/>
      <c r="AT283" s="287"/>
      <c r="AU283" s="46"/>
      <c r="AV283" s="46"/>
    </row>
    <row r="284" spans="1:48" s="31" customFormat="1" ht="12.95" customHeight="1" x14ac:dyDescent="0.2">
      <c r="A284" s="206" t="s">
        <v>1263</v>
      </c>
      <c r="B284" s="274"/>
      <c r="C284" s="206" t="s">
        <v>1341</v>
      </c>
      <c r="D284" s="206" t="s">
        <v>1989</v>
      </c>
      <c r="E284" s="223" t="s">
        <v>1989</v>
      </c>
      <c r="F284" s="206"/>
      <c r="G284" s="207"/>
      <c r="H284" s="206" t="s">
        <v>1263</v>
      </c>
      <c r="I284" s="206"/>
      <c r="J284" s="206"/>
      <c r="K284" s="206"/>
      <c r="L284" s="207"/>
      <c r="M284" s="206"/>
      <c r="N284" s="206"/>
      <c r="O284" s="206"/>
      <c r="P284" s="206"/>
      <c r="Q284" s="207"/>
      <c r="R284" s="206"/>
      <c r="S284" s="206"/>
      <c r="T284" s="206"/>
      <c r="U284" s="207"/>
      <c r="V284" s="208"/>
      <c r="W284" s="208"/>
      <c r="X284" s="208"/>
      <c r="Y284" s="208"/>
      <c r="Z284" s="209"/>
      <c r="AA284" s="252"/>
      <c r="AB284" s="241" t="str">
        <f t="shared" ref="AB284:AB315" si="91">IF((AJ284=H284),"SFIO",IF((AJ284=F284),"Unused"))</f>
        <v>SFIO</v>
      </c>
      <c r="AC284" s="247"/>
      <c r="AD284" s="247"/>
      <c r="AE284" s="247"/>
      <c r="AF284" s="247"/>
      <c r="AG284" s="247"/>
      <c r="AH284" s="248"/>
      <c r="AI284" s="245"/>
      <c r="AJ284" s="183" t="s">
        <v>1263</v>
      </c>
      <c r="AK284" s="256"/>
      <c r="AL284" s="256"/>
      <c r="AM284" s="256"/>
      <c r="AN284" s="256"/>
      <c r="AO284" s="256"/>
      <c r="AP284" s="256"/>
      <c r="AQ284" s="114" t="s">
        <v>2159</v>
      </c>
      <c r="AR284" s="279" t="s">
        <v>1263</v>
      </c>
      <c r="AS284" s="371" t="s">
        <v>2109</v>
      </c>
      <c r="AT284" s="288" t="s">
        <v>1263</v>
      </c>
      <c r="AU284" s="371" t="s">
        <v>2109</v>
      </c>
      <c r="AV284" s="371" t="s">
        <v>2109</v>
      </c>
    </row>
    <row r="285" spans="1:48" s="31" customFormat="1" ht="12.95" customHeight="1" x14ac:dyDescent="0.2">
      <c r="A285" s="206" t="s">
        <v>1264</v>
      </c>
      <c r="B285" s="274"/>
      <c r="C285" s="206" t="s">
        <v>1342</v>
      </c>
      <c r="D285" s="206" t="s">
        <v>1990</v>
      </c>
      <c r="E285" s="223" t="s">
        <v>1990</v>
      </c>
      <c r="F285" s="206"/>
      <c r="G285" s="207"/>
      <c r="H285" s="206" t="s">
        <v>1264</v>
      </c>
      <c r="I285" s="206"/>
      <c r="J285" s="206"/>
      <c r="K285" s="206"/>
      <c r="L285" s="207"/>
      <c r="M285" s="206"/>
      <c r="N285" s="206"/>
      <c r="O285" s="206"/>
      <c r="P285" s="206"/>
      <c r="Q285" s="207"/>
      <c r="R285" s="206"/>
      <c r="S285" s="206"/>
      <c r="T285" s="206"/>
      <c r="U285" s="207"/>
      <c r="V285" s="208"/>
      <c r="W285" s="208"/>
      <c r="X285" s="208"/>
      <c r="Y285" s="208"/>
      <c r="Z285" s="209"/>
      <c r="AA285" s="253"/>
      <c r="AB285" s="234" t="str">
        <f t="shared" si="91"/>
        <v>SFIO</v>
      </c>
      <c r="AC285" s="248"/>
      <c r="AD285" s="248"/>
      <c r="AE285" s="248"/>
      <c r="AF285" s="248"/>
      <c r="AG285" s="248"/>
      <c r="AH285" s="248"/>
      <c r="AI285" s="245"/>
      <c r="AJ285" s="183" t="s">
        <v>1264</v>
      </c>
      <c r="AK285" s="256"/>
      <c r="AL285" s="256"/>
      <c r="AM285" s="256"/>
      <c r="AN285" s="256"/>
      <c r="AO285" s="256"/>
      <c r="AP285" s="256"/>
      <c r="AQ285" s="116"/>
      <c r="AR285" s="279" t="s">
        <v>1264</v>
      </c>
      <c r="AS285" s="372"/>
      <c r="AT285" s="289" t="s">
        <v>1264</v>
      </c>
      <c r="AU285" s="372"/>
      <c r="AV285" s="372"/>
    </row>
    <row r="286" spans="1:48" s="31" customFormat="1" ht="12.95" customHeight="1" x14ac:dyDescent="0.2">
      <c r="A286" s="206" t="s">
        <v>1265</v>
      </c>
      <c r="B286" s="274" t="s">
        <v>2992</v>
      </c>
      <c r="C286" s="206" t="s">
        <v>1343</v>
      </c>
      <c r="D286" s="206" t="s">
        <v>1364</v>
      </c>
      <c r="E286" s="220" t="s">
        <v>1364</v>
      </c>
      <c r="F286" s="206" t="str">
        <f t="shared" ref="F286:F308" si="92">CONCATENATE("unused_",A286)</f>
        <v>unused_DDR_A10</v>
      </c>
      <c r="G286" s="207"/>
      <c r="H286" s="206" t="s">
        <v>1265</v>
      </c>
      <c r="I286" s="206"/>
      <c r="J286" s="206"/>
      <c r="K286" s="206"/>
      <c r="L286" s="207"/>
      <c r="M286" s="206"/>
      <c r="N286" s="206"/>
      <c r="O286" s="206"/>
      <c r="P286" s="206"/>
      <c r="Q286" s="207"/>
      <c r="R286" s="206"/>
      <c r="S286" s="206"/>
      <c r="T286" s="206"/>
      <c r="U286" s="207"/>
      <c r="V286" s="208"/>
      <c r="W286" s="208"/>
      <c r="X286" s="208"/>
      <c r="Y286" s="208"/>
      <c r="Z286" s="209"/>
      <c r="AA286" s="253"/>
      <c r="AB286" s="234" t="str">
        <f t="shared" si="91"/>
        <v>Unused</v>
      </c>
      <c r="AC286" s="248"/>
      <c r="AD286" s="248"/>
      <c r="AE286" s="248"/>
      <c r="AF286" s="248"/>
      <c r="AG286" s="248"/>
      <c r="AH286" s="248"/>
      <c r="AI286" s="245"/>
      <c r="AJ286" s="183" t="s">
        <v>2127</v>
      </c>
      <c r="AK286" s="256"/>
      <c r="AL286" s="256"/>
      <c r="AM286" s="256"/>
      <c r="AN286" s="256"/>
      <c r="AO286" s="256"/>
      <c r="AP286" s="256"/>
      <c r="AQ286" s="392" t="s">
        <v>1229</v>
      </c>
      <c r="AR286" s="279" t="s">
        <v>2127</v>
      </c>
      <c r="AS286" s="372"/>
      <c r="AT286" s="289" t="s">
        <v>1265</v>
      </c>
      <c r="AU286" s="372"/>
      <c r="AV286" s="372"/>
    </row>
    <row r="287" spans="1:48" s="31" customFormat="1" ht="12.95" customHeight="1" x14ac:dyDescent="0.2">
      <c r="A287" s="206" t="s">
        <v>1266</v>
      </c>
      <c r="B287" s="274" t="s">
        <v>2992</v>
      </c>
      <c r="C287" s="206" t="s">
        <v>1344</v>
      </c>
      <c r="D287" s="206" t="s">
        <v>1991</v>
      </c>
      <c r="E287" s="220" t="s">
        <v>1991</v>
      </c>
      <c r="F287" s="206" t="str">
        <f t="shared" si="92"/>
        <v>unused_DDR_A11</v>
      </c>
      <c r="G287" s="207"/>
      <c r="H287" s="206" t="s">
        <v>1266</v>
      </c>
      <c r="I287" s="206"/>
      <c r="J287" s="206"/>
      <c r="K287" s="206"/>
      <c r="L287" s="207"/>
      <c r="M287" s="206"/>
      <c r="N287" s="206"/>
      <c r="O287" s="206"/>
      <c r="P287" s="206"/>
      <c r="Q287" s="207"/>
      <c r="R287" s="206"/>
      <c r="S287" s="206"/>
      <c r="T287" s="206"/>
      <c r="U287" s="207"/>
      <c r="V287" s="208"/>
      <c r="W287" s="208"/>
      <c r="X287" s="208"/>
      <c r="Y287" s="208"/>
      <c r="Z287" s="209"/>
      <c r="AA287" s="253"/>
      <c r="AB287" s="234" t="str">
        <f t="shared" si="91"/>
        <v>Unused</v>
      </c>
      <c r="AC287" s="248"/>
      <c r="AD287" s="248"/>
      <c r="AE287" s="248"/>
      <c r="AF287" s="248"/>
      <c r="AG287" s="248"/>
      <c r="AH287" s="248"/>
      <c r="AI287" s="245"/>
      <c r="AJ287" s="183" t="s">
        <v>2128</v>
      </c>
      <c r="AK287" s="256"/>
      <c r="AL287" s="256"/>
      <c r="AM287" s="256"/>
      <c r="AN287" s="256"/>
      <c r="AO287" s="256"/>
      <c r="AP287" s="256"/>
      <c r="AQ287" s="408"/>
      <c r="AR287" s="279" t="s">
        <v>2128</v>
      </c>
      <c r="AS287" s="372"/>
      <c r="AT287" s="289" t="s">
        <v>1266</v>
      </c>
      <c r="AU287" s="372"/>
      <c r="AV287" s="372"/>
    </row>
    <row r="288" spans="1:48" s="31" customFormat="1" ht="12.95" customHeight="1" x14ac:dyDescent="0.2">
      <c r="A288" s="206" t="s">
        <v>1267</v>
      </c>
      <c r="B288" s="274" t="s">
        <v>2992</v>
      </c>
      <c r="C288" s="206" t="s">
        <v>1345</v>
      </c>
      <c r="D288" s="206" t="s">
        <v>1992</v>
      </c>
      <c r="E288" s="220" t="s">
        <v>1992</v>
      </c>
      <c r="F288" s="206" t="str">
        <f t="shared" si="92"/>
        <v>unused_DDR_A12</v>
      </c>
      <c r="G288" s="207"/>
      <c r="H288" s="206" t="s">
        <v>1267</v>
      </c>
      <c r="I288" s="206"/>
      <c r="J288" s="206"/>
      <c r="K288" s="206"/>
      <c r="L288" s="207"/>
      <c r="M288" s="206"/>
      <c r="N288" s="206"/>
      <c r="O288" s="206"/>
      <c r="P288" s="206"/>
      <c r="Q288" s="207"/>
      <c r="R288" s="206"/>
      <c r="S288" s="206"/>
      <c r="T288" s="206"/>
      <c r="U288" s="207"/>
      <c r="V288" s="208"/>
      <c r="W288" s="208"/>
      <c r="X288" s="208"/>
      <c r="Y288" s="208"/>
      <c r="Z288" s="209"/>
      <c r="AA288" s="253"/>
      <c r="AB288" s="234" t="str">
        <f t="shared" si="91"/>
        <v>Unused</v>
      </c>
      <c r="AC288" s="248"/>
      <c r="AD288" s="248"/>
      <c r="AE288" s="248"/>
      <c r="AF288" s="248"/>
      <c r="AG288" s="248"/>
      <c r="AH288" s="248"/>
      <c r="AI288" s="245"/>
      <c r="AJ288" s="183" t="s">
        <v>2129</v>
      </c>
      <c r="AK288" s="256"/>
      <c r="AL288" s="256"/>
      <c r="AM288" s="256"/>
      <c r="AN288" s="256"/>
      <c r="AO288" s="256"/>
      <c r="AP288" s="256"/>
      <c r="AQ288" s="408"/>
      <c r="AR288" s="279" t="s">
        <v>2129</v>
      </c>
      <c r="AS288" s="372"/>
      <c r="AT288" s="289" t="s">
        <v>1267</v>
      </c>
      <c r="AU288" s="372"/>
      <c r="AV288" s="372"/>
    </row>
    <row r="289" spans="1:48" s="31" customFormat="1" ht="12.95" customHeight="1" x14ac:dyDescent="0.2">
      <c r="A289" s="206" t="s">
        <v>1268</v>
      </c>
      <c r="B289" s="274" t="s">
        <v>2992</v>
      </c>
      <c r="C289" s="206" t="s">
        <v>1346</v>
      </c>
      <c r="D289" s="206" t="s">
        <v>1993</v>
      </c>
      <c r="E289" s="220" t="s">
        <v>1993</v>
      </c>
      <c r="F289" s="206" t="str">
        <f t="shared" si="92"/>
        <v>unused_DDR_A13</v>
      </c>
      <c r="G289" s="207"/>
      <c r="H289" s="206" t="s">
        <v>1268</v>
      </c>
      <c r="I289" s="206"/>
      <c r="J289" s="206"/>
      <c r="K289" s="206"/>
      <c r="L289" s="207"/>
      <c r="M289" s="206"/>
      <c r="N289" s="206"/>
      <c r="O289" s="206"/>
      <c r="P289" s="206"/>
      <c r="Q289" s="207"/>
      <c r="R289" s="206"/>
      <c r="S289" s="206"/>
      <c r="T289" s="206"/>
      <c r="U289" s="207"/>
      <c r="V289" s="208"/>
      <c r="W289" s="208"/>
      <c r="X289" s="208"/>
      <c r="Y289" s="208"/>
      <c r="Z289" s="209"/>
      <c r="AA289" s="253"/>
      <c r="AB289" s="234" t="str">
        <f t="shared" si="91"/>
        <v>Unused</v>
      </c>
      <c r="AC289" s="248"/>
      <c r="AD289" s="248"/>
      <c r="AE289" s="248"/>
      <c r="AF289" s="248"/>
      <c r="AG289" s="248"/>
      <c r="AH289" s="248"/>
      <c r="AI289" s="245"/>
      <c r="AJ289" s="183" t="s">
        <v>2130</v>
      </c>
      <c r="AK289" s="256"/>
      <c r="AL289" s="256"/>
      <c r="AM289" s="256"/>
      <c r="AN289" s="256"/>
      <c r="AO289" s="256"/>
      <c r="AP289" s="256"/>
      <c r="AQ289" s="408"/>
      <c r="AR289" s="279" t="s">
        <v>2130</v>
      </c>
      <c r="AS289" s="372"/>
      <c r="AT289" s="289" t="s">
        <v>1268</v>
      </c>
      <c r="AU289" s="372"/>
      <c r="AV289" s="372"/>
    </row>
    <row r="290" spans="1:48" s="31" customFormat="1" ht="12.95" customHeight="1" x14ac:dyDescent="0.2">
      <c r="A290" s="206" t="s">
        <v>1269</v>
      </c>
      <c r="B290" s="274" t="s">
        <v>2992</v>
      </c>
      <c r="C290" s="206" t="s">
        <v>1347</v>
      </c>
      <c r="D290" s="206" t="s">
        <v>1994</v>
      </c>
      <c r="E290" s="220" t="s">
        <v>1994</v>
      </c>
      <c r="F290" s="206" t="str">
        <f t="shared" si="92"/>
        <v>unused_DDR_A14</v>
      </c>
      <c r="G290" s="207"/>
      <c r="H290" s="206" t="s">
        <v>1269</v>
      </c>
      <c r="I290" s="206"/>
      <c r="J290" s="206"/>
      <c r="K290" s="206"/>
      <c r="L290" s="207"/>
      <c r="M290" s="206"/>
      <c r="N290" s="206"/>
      <c r="O290" s="206"/>
      <c r="P290" s="206"/>
      <c r="Q290" s="207"/>
      <c r="R290" s="206"/>
      <c r="S290" s="206"/>
      <c r="T290" s="206"/>
      <c r="U290" s="207"/>
      <c r="V290" s="208"/>
      <c r="W290" s="208"/>
      <c r="X290" s="208"/>
      <c r="Y290" s="208"/>
      <c r="Z290" s="209"/>
      <c r="AA290" s="253"/>
      <c r="AB290" s="234" t="str">
        <f t="shared" si="91"/>
        <v>Unused</v>
      </c>
      <c r="AC290" s="248"/>
      <c r="AD290" s="248"/>
      <c r="AE290" s="248"/>
      <c r="AF290" s="248"/>
      <c r="AG290" s="248"/>
      <c r="AH290" s="248"/>
      <c r="AI290" s="245"/>
      <c r="AJ290" s="183" t="s">
        <v>2131</v>
      </c>
      <c r="AK290" s="256"/>
      <c r="AL290" s="256"/>
      <c r="AM290" s="256"/>
      <c r="AN290" s="256"/>
      <c r="AO290" s="256"/>
      <c r="AP290" s="256"/>
      <c r="AQ290" s="393"/>
      <c r="AR290" s="279" t="s">
        <v>2131</v>
      </c>
      <c r="AS290" s="372"/>
      <c r="AT290" s="289" t="s">
        <v>1269</v>
      </c>
      <c r="AU290" s="372"/>
      <c r="AV290" s="372"/>
    </row>
    <row r="291" spans="1:48" s="31" customFormat="1" ht="12.95" customHeight="1" x14ac:dyDescent="0.2">
      <c r="A291" s="206" t="s">
        <v>1270</v>
      </c>
      <c r="B291" s="274"/>
      <c r="C291" s="206" t="s">
        <v>1348</v>
      </c>
      <c r="D291" s="206" t="s">
        <v>1357</v>
      </c>
      <c r="E291" s="223" t="s">
        <v>1357</v>
      </c>
      <c r="F291" s="206"/>
      <c r="G291" s="207"/>
      <c r="H291" s="206" t="s">
        <v>1270</v>
      </c>
      <c r="I291" s="206"/>
      <c r="J291" s="206"/>
      <c r="K291" s="206"/>
      <c r="L291" s="207"/>
      <c r="M291" s="206"/>
      <c r="N291" s="206"/>
      <c r="O291" s="206"/>
      <c r="P291" s="206"/>
      <c r="Q291" s="207"/>
      <c r="R291" s="206"/>
      <c r="S291" s="206"/>
      <c r="T291" s="206"/>
      <c r="U291" s="207"/>
      <c r="V291" s="208"/>
      <c r="W291" s="208"/>
      <c r="X291" s="208"/>
      <c r="Y291" s="208"/>
      <c r="Z291" s="209"/>
      <c r="AA291" s="253"/>
      <c r="AB291" s="234" t="str">
        <f t="shared" si="91"/>
        <v>SFIO</v>
      </c>
      <c r="AC291" s="248"/>
      <c r="AD291" s="248"/>
      <c r="AE291" s="248"/>
      <c r="AF291" s="248"/>
      <c r="AG291" s="248"/>
      <c r="AH291" s="248"/>
      <c r="AI291" s="245"/>
      <c r="AJ291" s="183" t="s">
        <v>1270</v>
      </c>
      <c r="AK291" s="256"/>
      <c r="AL291" s="256"/>
      <c r="AM291" s="256"/>
      <c r="AN291" s="256"/>
      <c r="AO291" s="256"/>
      <c r="AP291" s="256"/>
      <c r="AQ291" s="114" t="s">
        <v>2159</v>
      </c>
      <c r="AR291" s="279" t="s">
        <v>1270</v>
      </c>
      <c r="AS291" s="372"/>
      <c r="AT291" s="289" t="s">
        <v>1270</v>
      </c>
      <c r="AU291" s="372"/>
      <c r="AV291" s="372"/>
    </row>
    <row r="292" spans="1:48" s="31" customFormat="1" ht="12.95" customHeight="1" x14ac:dyDescent="0.2">
      <c r="A292" s="206" t="s">
        <v>1271</v>
      </c>
      <c r="B292" s="274"/>
      <c r="C292" s="206" t="s">
        <v>1349</v>
      </c>
      <c r="D292" s="206" t="s">
        <v>1995</v>
      </c>
      <c r="E292" s="223" t="s">
        <v>1995</v>
      </c>
      <c r="F292" s="206"/>
      <c r="G292" s="207"/>
      <c r="H292" s="206" t="s">
        <v>1271</v>
      </c>
      <c r="I292" s="206"/>
      <c r="J292" s="206"/>
      <c r="K292" s="206"/>
      <c r="L292" s="207"/>
      <c r="M292" s="206"/>
      <c r="N292" s="206"/>
      <c r="O292" s="206"/>
      <c r="P292" s="206"/>
      <c r="Q292" s="207"/>
      <c r="R292" s="206"/>
      <c r="S292" s="206"/>
      <c r="T292" s="206"/>
      <c r="U292" s="207"/>
      <c r="V292" s="208"/>
      <c r="W292" s="208"/>
      <c r="X292" s="208"/>
      <c r="Y292" s="208"/>
      <c r="Z292" s="209"/>
      <c r="AA292" s="253"/>
      <c r="AB292" s="234" t="str">
        <f t="shared" si="91"/>
        <v>SFIO</v>
      </c>
      <c r="AC292" s="248"/>
      <c r="AD292" s="248"/>
      <c r="AE292" s="248"/>
      <c r="AF292" s="248"/>
      <c r="AG292" s="248"/>
      <c r="AH292" s="248"/>
      <c r="AI292" s="245"/>
      <c r="AJ292" s="183" t="s">
        <v>1271</v>
      </c>
      <c r="AK292" s="256"/>
      <c r="AL292" s="256"/>
      <c r="AM292" s="256"/>
      <c r="AN292" s="256"/>
      <c r="AO292" s="256"/>
      <c r="AP292" s="256"/>
      <c r="AQ292" s="115"/>
      <c r="AR292" s="279" t="s">
        <v>1271</v>
      </c>
      <c r="AS292" s="372"/>
      <c r="AT292" s="289" t="s">
        <v>1271</v>
      </c>
      <c r="AU292" s="372"/>
      <c r="AV292" s="372"/>
    </row>
    <row r="293" spans="1:48" s="31" customFormat="1" ht="12.95" customHeight="1" x14ac:dyDescent="0.2">
      <c r="A293" s="206" t="s">
        <v>1272</v>
      </c>
      <c r="B293" s="274"/>
      <c r="C293" s="206" t="s">
        <v>1350</v>
      </c>
      <c r="D293" s="206" t="s">
        <v>1996</v>
      </c>
      <c r="E293" s="223" t="s">
        <v>1996</v>
      </c>
      <c r="F293" s="206"/>
      <c r="G293" s="207"/>
      <c r="H293" s="206" t="s">
        <v>1272</v>
      </c>
      <c r="I293" s="206"/>
      <c r="J293" s="206"/>
      <c r="K293" s="206"/>
      <c r="L293" s="207"/>
      <c r="M293" s="206"/>
      <c r="N293" s="206"/>
      <c r="O293" s="206"/>
      <c r="P293" s="206"/>
      <c r="Q293" s="207"/>
      <c r="R293" s="206"/>
      <c r="S293" s="206"/>
      <c r="T293" s="206"/>
      <c r="U293" s="207"/>
      <c r="V293" s="208"/>
      <c r="W293" s="208"/>
      <c r="X293" s="208"/>
      <c r="Y293" s="208"/>
      <c r="Z293" s="209"/>
      <c r="AA293" s="253"/>
      <c r="AB293" s="234" t="str">
        <f t="shared" si="91"/>
        <v>SFIO</v>
      </c>
      <c r="AC293" s="248"/>
      <c r="AD293" s="248"/>
      <c r="AE293" s="248"/>
      <c r="AF293" s="248"/>
      <c r="AG293" s="248"/>
      <c r="AH293" s="248"/>
      <c r="AI293" s="245"/>
      <c r="AJ293" s="183" t="s">
        <v>1272</v>
      </c>
      <c r="AK293" s="256"/>
      <c r="AL293" s="256"/>
      <c r="AM293" s="256"/>
      <c r="AN293" s="256"/>
      <c r="AO293" s="256"/>
      <c r="AP293" s="256"/>
      <c r="AQ293" s="115"/>
      <c r="AR293" s="279" t="s">
        <v>1272</v>
      </c>
      <c r="AS293" s="372"/>
      <c r="AT293" s="289" t="s">
        <v>1272</v>
      </c>
      <c r="AU293" s="372"/>
      <c r="AV293" s="372"/>
    </row>
    <row r="294" spans="1:48" s="31" customFormat="1" ht="12.95" customHeight="1" x14ac:dyDescent="0.2">
      <c r="A294" s="206" t="s">
        <v>1273</v>
      </c>
      <c r="B294" s="274"/>
      <c r="C294" s="206" t="s">
        <v>1351</v>
      </c>
      <c r="D294" s="206" t="s">
        <v>1363</v>
      </c>
      <c r="E294" s="223" t="s">
        <v>1363</v>
      </c>
      <c r="F294" s="206"/>
      <c r="G294" s="207"/>
      <c r="H294" s="206" t="s">
        <v>1273</v>
      </c>
      <c r="I294" s="206"/>
      <c r="J294" s="206"/>
      <c r="K294" s="206"/>
      <c r="L294" s="207"/>
      <c r="M294" s="206"/>
      <c r="N294" s="206"/>
      <c r="O294" s="206"/>
      <c r="P294" s="206"/>
      <c r="Q294" s="207"/>
      <c r="R294" s="206"/>
      <c r="S294" s="206"/>
      <c r="T294" s="206"/>
      <c r="U294" s="207"/>
      <c r="V294" s="208"/>
      <c r="W294" s="208"/>
      <c r="X294" s="208"/>
      <c r="Y294" s="208"/>
      <c r="Z294" s="209"/>
      <c r="AA294" s="253"/>
      <c r="AB294" s="234" t="str">
        <f t="shared" si="91"/>
        <v>SFIO</v>
      </c>
      <c r="AC294" s="248"/>
      <c r="AD294" s="248"/>
      <c r="AE294" s="248"/>
      <c r="AF294" s="248"/>
      <c r="AG294" s="248"/>
      <c r="AH294" s="248"/>
      <c r="AI294" s="245"/>
      <c r="AJ294" s="183" t="s">
        <v>1273</v>
      </c>
      <c r="AK294" s="256"/>
      <c r="AL294" s="256"/>
      <c r="AM294" s="256"/>
      <c r="AN294" s="256"/>
      <c r="AO294" s="256"/>
      <c r="AP294" s="256"/>
      <c r="AQ294" s="115"/>
      <c r="AR294" s="279" t="s">
        <v>1273</v>
      </c>
      <c r="AS294" s="372"/>
      <c r="AT294" s="289" t="s">
        <v>1273</v>
      </c>
      <c r="AU294" s="372"/>
      <c r="AV294" s="372"/>
    </row>
    <row r="295" spans="1:48" s="31" customFormat="1" ht="12.95" customHeight="1" x14ac:dyDescent="0.2">
      <c r="A295" s="206" t="s">
        <v>1274</v>
      </c>
      <c r="B295" s="274"/>
      <c r="C295" s="206" t="s">
        <v>1352</v>
      </c>
      <c r="D295" s="206" t="s">
        <v>1997</v>
      </c>
      <c r="E295" s="223" t="s">
        <v>1997</v>
      </c>
      <c r="F295" s="206"/>
      <c r="G295" s="207"/>
      <c r="H295" s="206" t="s">
        <v>1274</v>
      </c>
      <c r="I295" s="206"/>
      <c r="J295" s="206"/>
      <c r="K295" s="206"/>
      <c r="L295" s="207"/>
      <c r="M295" s="206"/>
      <c r="N295" s="206"/>
      <c r="O295" s="206"/>
      <c r="P295" s="206"/>
      <c r="Q295" s="207"/>
      <c r="R295" s="206"/>
      <c r="S295" s="206"/>
      <c r="T295" s="206"/>
      <c r="U295" s="207"/>
      <c r="V295" s="208"/>
      <c r="W295" s="208"/>
      <c r="X295" s="208"/>
      <c r="Y295" s="208"/>
      <c r="Z295" s="209"/>
      <c r="AA295" s="253"/>
      <c r="AB295" s="234" t="str">
        <f t="shared" si="91"/>
        <v>SFIO</v>
      </c>
      <c r="AC295" s="248"/>
      <c r="AD295" s="248"/>
      <c r="AE295" s="248"/>
      <c r="AF295" s="248"/>
      <c r="AG295" s="248"/>
      <c r="AH295" s="248"/>
      <c r="AI295" s="245"/>
      <c r="AJ295" s="183" t="s">
        <v>1274</v>
      </c>
      <c r="AK295" s="256"/>
      <c r="AL295" s="256"/>
      <c r="AM295" s="256"/>
      <c r="AN295" s="256"/>
      <c r="AO295" s="256"/>
      <c r="AP295" s="256"/>
      <c r="AQ295" s="115"/>
      <c r="AR295" s="279" t="s">
        <v>1274</v>
      </c>
      <c r="AS295" s="372"/>
      <c r="AT295" s="289" t="s">
        <v>1274</v>
      </c>
      <c r="AU295" s="372"/>
      <c r="AV295" s="372"/>
    </row>
    <row r="296" spans="1:48" s="31" customFormat="1" ht="12.95" customHeight="1" x14ac:dyDescent="0.2">
      <c r="A296" s="206" t="s">
        <v>1275</v>
      </c>
      <c r="B296" s="274"/>
      <c r="C296" s="206" t="s">
        <v>1353</v>
      </c>
      <c r="D296" s="206" t="s">
        <v>1411</v>
      </c>
      <c r="E296" s="223" t="s">
        <v>1411</v>
      </c>
      <c r="F296" s="206"/>
      <c r="G296" s="207"/>
      <c r="H296" s="206" t="s">
        <v>1275</v>
      </c>
      <c r="I296" s="206"/>
      <c r="J296" s="206"/>
      <c r="K296" s="206"/>
      <c r="L296" s="207"/>
      <c r="M296" s="206"/>
      <c r="N296" s="206"/>
      <c r="O296" s="206"/>
      <c r="P296" s="206"/>
      <c r="Q296" s="207"/>
      <c r="R296" s="206"/>
      <c r="S296" s="206"/>
      <c r="T296" s="206"/>
      <c r="U296" s="207"/>
      <c r="V296" s="208"/>
      <c r="W296" s="208"/>
      <c r="X296" s="208"/>
      <c r="Y296" s="208"/>
      <c r="Z296" s="209"/>
      <c r="AA296" s="253"/>
      <c r="AB296" s="234" t="str">
        <f t="shared" si="91"/>
        <v>SFIO</v>
      </c>
      <c r="AC296" s="248"/>
      <c r="AD296" s="248"/>
      <c r="AE296" s="248"/>
      <c r="AF296" s="248"/>
      <c r="AG296" s="248"/>
      <c r="AH296" s="248"/>
      <c r="AI296" s="245"/>
      <c r="AJ296" s="183" t="s">
        <v>1275</v>
      </c>
      <c r="AK296" s="256"/>
      <c r="AL296" s="256"/>
      <c r="AM296" s="256"/>
      <c r="AN296" s="256"/>
      <c r="AO296" s="256"/>
      <c r="AP296" s="256"/>
      <c r="AQ296" s="115"/>
      <c r="AR296" s="279" t="s">
        <v>1275</v>
      </c>
      <c r="AS296" s="372"/>
      <c r="AT296" s="289" t="s">
        <v>1275</v>
      </c>
      <c r="AU296" s="372"/>
      <c r="AV296" s="372"/>
    </row>
    <row r="297" spans="1:48" s="31" customFormat="1" ht="12.95" customHeight="1" x14ac:dyDescent="0.2">
      <c r="A297" s="206" t="s">
        <v>1276</v>
      </c>
      <c r="B297" s="274"/>
      <c r="C297" s="206" t="s">
        <v>1354</v>
      </c>
      <c r="D297" s="206" t="s">
        <v>1998</v>
      </c>
      <c r="E297" s="223" t="s">
        <v>1998</v>
      </c>
      <c r="F297" s="206"/>
      <c r="G297" s="207"/>
      <c r="H297" s="206" t="s">
        <v>1276</v>
      </c>
      <c r="I297" s="206"/>
      <c r="J297" s="206"/>
      <c r="K297" s="206"/>
      <c r="L297" s="207"/>
      <c r="M297" s="206"/>
      <c r="N297" s="206"/>
      <c r="O297" s="206"/>
      <c r="P297" s="206"/>
      <c r="Q297" s="207"/>
      <c r="R297" s="206"/>
      <c r="S297" s="206"/>
      <c r="T297" s="206"/>
      <c r="U297" s="207"/>
      <c r="V297" s="208"/>
      <c r="W297" s="208"/>
      <c r="X297" s="208"/>
      <c r="Y297" s="208"/>
      <c r="Z297" s="209"/>
      <c r="AA297" s="253"/>
      <c r="AB297" s="234" t="str">
        <f t="shared" si="91"/>
        <v>SFIO</v>
      </c>
      <c r="AC297" s="248"/>
      <c r="AD297" s="248"/>
      <c r="AE297" s="248"/>
      <c r="AF297" s="248"/>
      <c r="AG297" s="248"/>
      <c r="AH297" s="248"/>
      <c r="AI297" s="245"/>
      <c r="AJ297" s="183" t="s">
        <v>1276</v>
      </c>
      <c r="AK297" s="256"/>
      <c r="AL297" s="256"/>
      <c r="AM297" s="256"/>
      <c r="AN297" s="256"/>
      <c r="AO297" s="256"/>
      <c r="AP297" s="256"/>
      <c r="AQ297" s="115"/>
      <c r="AR297" s="279" t="s">
        <v>1276</v>
      </c>
      <c r="AS297" s="372"/>
      <c r="AT297" s="289" t="s">
        <v>1276</v>
      </c>
      <c r="AU297" s="372"/>
      <c r="AV297" s="372"/>
    </row>
    <row r="298" spans="1:48" s="31" customFormat="1" ht="12.95" customHeight="1" x14ac:dyDescent="0.2">
      <c r="A298" s="206" t="s">
        <v>1277</v>
      </c>
      <c r="B298" s="274"/>
      <c r="C298" s="206" t="s">
        <v>1355</v>
      </c>
      <c r="D298" s="206" t="s">
        <v>1999</v>
      </c>
      <c r="E298" s="223" t="s">
        <v>1999</v>
      </c>
      <c r="F298" s="206"/>
      <c r="G298" s="207"/>
      <c r="H298" s="206" t="s">
        <v>1277</v>
      </c>
      <c r="I298" s="206"/>
      <c r="J298" s="206"/>
      <c r="K298" s="206"/>
      <c r="L298" s="207"/>
      <c r="M298" s="206"/>
      <c r="N298" s="206"/>
      <c r="O298" s="206"/>
      <c r="P298" s="206"/>
      <c r="Q298" s="207"/>
      <c r="R298" s="206"/>
      <c r="S298" s="206"/>
      <c r="T298" s="206"/>
      <c r="U298" s="207"/>
      <c r="V298" s="208"/>
      <c r="W298" s="208"/>
      <c r="X298" s="208"/>
      <c r="Y298" s="208"/>
      <c r="Z298" s="209"/>
      <c r="AA298" s="253"/>
      <c r="AB298" s="234" t="str">
        <f t="shared" si="91"/>
        <v>SFIO</v>
      </c>
      <c r="AC298" s="248"/>
      <c r="AD298" s="248"/>
      <c r="AE298" s="248"/>
      <c r="AF298" s="248"/>
      <c r="AG298" s="248"/>
      <c r="AH298" s="248"/>
      <c r="AI298" s="245"/>
      <c r="AJ298" s="183" t="s">
        <v>1277</v>
      </c>
      <c r="AK298" s="256"/>
      <c r="AL298" s="256"/>
      <c r="AM298" s="256"/>
      <c r="AN298" s="256"/>
      <c r="AO298" s="256"/>
      <c r="AP298" s="256"/>
      <c r="AQ298" s="116"/>
      <c r="AR298" s="279" t="s">
        <v>1277</v>
      </c>
      <c r="AS298" s="372"/>
      <c r="AT298" s="289" t="s">
        <v>1277</v>
      </c>
      <c r="AU298" s="372"/>
      <c r="AV298" s="372"/>
    </row>
    <row r="299" spans="1:48" s="31" customFormat="1" ht="12.95" customHeight="1" x14ac:dyDescent="0.2">
      <c r="A299" s="206" t="s">
        <v>1278</v>
      </c>
      <c r="B299" s="274" t="s">
        <v>2992</v>
      </c>
      <c r="C299" s="206" t="s">
        <v>1356</v>
      </c>
      <c r="D299" s="206" t="s">
        <v>2000</v>
      </c>
      <c r="E299" s="220" t="s">
        <v>2000</v>
      </c>
      <c r="F299" s="206" t="str">
        <f t="shared" si="92"/>
        <v>unused_DDR_BA0</v>
      </c>
      <c r="G299" s="207"/>
      <c r="H299" s="206" t="s">
        <v>1278</v>
      </c>
      <c r="I299" s="206"/>
      <c r="J299" s="206"/>
      <c r="K299" s="206"/>
      <c r="L299" s="207"/>
      <c r="M299" s="206"/>
      <c r="N299" s="206"/>
      <c r="O299" s="206"/>
      <c r="P299" s="206"/>
      <c r="Q299" s="207"/>
      <c r="R299" s="206"/>
      <c r="S299" s="206"/>
      <c r="T299" s="206"/>
      <c r="U299" s="207"/>
      <c r="V299" s="208"/>
      <c r="W299" s="208"/>
      <c r="X299" s="208"/>
      <c r="Y299" s="208"/>
      <c r="Z299" s="209"/>
      <c r="AA299" s="253"/>
      <c r="AB299" s="234" t="str">
        <f t="shared" si="91"/>
        <v>Unused</v>
      </c>
      <c r="AC299" s="248"/>
      <c r="AD299" s="248"/>
      <c r="AE299" s="248"/>
      <c r="AF299" s="248"/>
      <c r="AG299" s="248"/>
      <c r="AH299" s="248"/>
      <c r="AI299" s="245"/>
      <c r="AJ299" s="183" t="s">
        <v>2132</v>
      </c>
      <c r="AK299" s="256"/>
      <c r="AL299" s="256"/>
      <c r="AM299" s="256"/>
      <c r="AN299" s="256"/>
      <c r="AO299" s="256"/>
      <c r="AP299" s="256"/>
      <c r="AQ299" s="392" t="s">
        <v>1229</v>
      </c>
      <c r="AR299" s="279" t="s">
        <v>2132</v>
      </c>
      <c r="AS299" s="372"/>
      <c r="AT299" s="289" t="s">
        <v>1278</v>
      </c>
      <c r="AU299" s="372"/>
      <c r="AV299" s="372"/>
    </row>
    <row r="300" spans="1:48" s="31" customFormat="1" ht="12.95" customHeight="1" x14ac:dyDescent="0.2">
      <c r="A300" s="206" t="s">
        <v>1279</v>
      </c>
      <c r="B300" s="274" t="s">
        <v>2992</v>
      </c>
      <c r="C300" s="206" t="s">
        <v>1357</v>
      </c>
      <c r="D300" s="206" t="s">
        <v>1383</v>
      </c>
      <c r="E300" s="220" t="s">
        <v>1383</v>
      </c>
      <c r="F300" s="206" t="str">
        <f t="shared" si="92"/>
        <v>unused_DDR_BA1</v>
      </c>
      <c r="G300" s="207"/>
      <c r="H300" s="206" t="s">
        <v>1279</v>
      </c>
      <c r="I300" s="206"/>
      <c r="J300" s="206"/>
      <c r="K300" s="206"/>
      <c r="L300" s="207"/>
      <c r="M300" s="206"/>
      <c r="N300" s="206"/>
      <c r="O300" s="206"/>
      <c r="P300" s="206"/>
      <c r="Q300" s="207"/>
      <c r="R300" s="206"/>
      <c r="S300" s="206"/>
      <c r="T300" s="206"/>
      <c r="U300" s="207"/>
      <c r="V300" s="208"/>
      <c r="W300" s="208"/>
      <c r="X300" s="208"/>
      <c r="Y300" s="208"/>
      <c r="Z300" s="209"/>
      <c r="AA300" s="253"/>
      <c r="AB300" s="234" t="str">
        <f t="shared" si="91"/>
        <v>Unused</v>
      </c>
      <c r="AC300" s="248"/>
      <c r="AD300" s="248"/>
      <c r="AE300" s="248"/>
      <c r="AF300" s="248"/>
      <c r="AG300" s="248"/>
      <c r="AH300" s="248"/>
      <c r="AI300" s="245"/>
      <c r="AJ300" s="183" t="s">
        <v>2268</v>
      </c>
      <c r="AK300" s="256"/>
      <c r="AL300" s="256"/>
      <c r="AM300" s="256"/>
      <c r="AN300" s="256"/>
      <c r="AO300" s="256"/>
      <c r="AP300" s="256"/>
      <c r="AQ300" s="408"/>
      <c r="AR300" s="279" t="s">
        <v>2268</v>
      </c>
      <c r="AS300" s="372"/>
      <c r="AT300" s="289" t="s">
        <v>1279</v>
      </c>
      <c r="AU300" s="372"/>
      <c r="AV300" s="372"/>
    </row>
    <row r="301" spans="1:48" s="31" customFormat="1" ht="12.95" customHeight="1" x14ac:dyDescent="0.2">
      <c r="A301" s="206" t="s">
        <v>1280</v>
      </c>
      <c r="B301" s="274" t="s">
        <v>2992</v>
      </c>
      <c r="C301" s="206" t="s">
        <v>1358</v>
      </c>
      <c r="D301" s="206" t="s">
        <v>1386</v>
      </c>
      <c r="E301" s="220" t="s">
        <v>1386</v>
      </c>
      <c r="F301" s="206" t="str">
        <f t="shared" si="92"/>
        <v>unused_DDR_BA2</v>
      </c>
      <c r="G301" s="207"/>
      <c r="H301" s="206" t="s">
        <v>1280</v>
      </c>
      <c r="I301" s="206"/>
      <c r="J301" s="206"/>
      <c r="K301" s="206"/>
      <c r="L301" s="207"/>
      <c r="M301" s="206"/>
      <c r="N301" s="206"/>
      <c r="O301" s="206"/>
      <c r="P301" s="206"/>
      <c r="Q301" s="207"/>
      <c r="R301" s="206"/>
      <c r="S301" s="206"/>
      <c r="T301" s="206"/>
      <c r="U301" s="207"/>
      <c r="V301" s="208"/>
      <c r="W301" s="208"/>
      <c r="X301" s="208"/>
      <c r="Y301" s="208"/>
      <c r="Z301" s="209"/>
      <c r="AA301" s="253"/>
      <c r="AB301" s="234" t="str">
        <f t="shared" si="91"/>
        <v>Unused</v>
      </c>
      <c r="AC301" s="248"/>
      <c r="AD301" s="248"/>
      <c r="AE301" s="248"/>
      <c r="AF301" s="248"/>
      <c r="AG301" s="248"/>
      <c r="AH301" s="248"/>
      <c r="AI301" s="245"/>
      <c r="AJ301" s="183" t="s">
        <v>2133</v>
      </c>
      <c r="AK301" s="256"/>
      <c r="AL301" s="256"/>
      <c r="AM301" s="256"/>
      <c r="AN301" s="256"/>
      <c r="AO301" s="256"/>
      <c r="AP301" s="256"/>
      <c r="AQ301" s="408"/>
      <c r="AR301" s="279" t="s">
        <v>2133</v>
      </c>
      <c r="AS301" s="372"/>
      <c r="AT301" s="289" t="s">
        <v>1280</v>
      </c>
      <c r="AU301" s="372"/>
      <c r="AV301" s="372"/>
    </row>
    <row r="302" spans="1:48" s="31" customFormat="1" ht="12.95" customHeight="1" x14ac:dyDescent="0.2">
      <c r="A302" s="206" t="s">
        <v>1281</v>
      </c>
      <c r="B302" s="274" t="s">
        <v>2992</v>
      </c>
      <c r="C302" s="206" t="s">
        <v>1359</v>
      </c>
      <c r="D302" s="206" t="s">
        <v>2001</v>
      </c>
      <c r="E302" s="220" t="s">
        <v>2001</v>
      </c>
      <c r="F302" s="206" t="str">
        <f t="shared" si="92"/>
        <v>unused_DDR_CAS_N</v>
      </c>
      <c r="G302" s="207"/>
      <c r="H302" s="206" t="s">
        <v>1281</v>
      </c>
      <c r="I302" s="206"/>
      <c r="J302" s="206"/>
      <c r="K302" s="206"/>
      <c r="L302" s="207"/>
      <c r="M302" s="206"/>
      <c r="N302" s="206"/>
      <c r="O302" s="206"/>
      <c r="P302" s="206"/>
      <c r="Q302" s="207"/>
      <c r="R302" s="206"/>
      <c r="S302" s="206"/>
      <c r="T302" s="206"/>
      <c r="U302" s="207"/>
      <c r="V302" s="208"/>
      <c r="W302" s="208"/>
      <c r="X302" s="208"/>
      <c r="Y302" s="208"/>
      <c r="Z302" s="209"/>
      <c r="AA302" s="253"/>
      <c r="AB302" s="234" t="str">
        <f t="shared" si="91"/>
        <v>Unused</v>
      </c>
      <c r="AC302" s="248"/>
      <c r="AD302" s="248"/>
      <c r="AE302" s="248"/>
      <c r="AF302" s="248"/>
      <c r="AG302" s="248"/>
      <c r="AH302" s="248"/>
      <c r="AI302" s="245"/>
      <c r="AJ302" s="183" t="s">
        <v>2269</v>
      </c>
      <c r="AK302" s="256"/>
      <c r="AL302" s="256"/>
      <c r="AM302" s="256"/>
      <c r="AN302" s="256"/>
      <c r="AO302" s="256"/>
      <c r="AP302" s="256"/>
      <c r="AQ302" s="393"/>
      <c r="AR302" s="279" t="s">
        <v>2269</v>
      </c>
      <c r="AS302" s="372"/>
      <c r="AT302" s="289" t="s">
        <v>1281</v>
      </c>
      <c r="AU302" s="372"/>
      <c r="AV302" s="372"/>
    </row>
    <row r="303" spans="1:48" s="31" customFormat="1" ht="12.95" customHeight="1" x14ac:dyDescent="0.2">
      <c r="A303" s="206" t="s">
        <v>1282</v>
      </c>
      <c r="B303" s="274"/>
      <c r="C303" s="206" t="s">
        <v>1360</v>
      </c>
      <c r="D303" s="206" t="s">
        <v>2002</v>
      </c>
      <c r="E303" s="223" t="s">
        <v>2002</v>
      </c>
      <c r="F303" s="206"/>
      <c r="G303" s="207"/>
      <c r="H303" s="206" t="s">
        <v>1282</v>
      </c>
      <c r="I303" s="206"/>
      <c r="J303" s="206"/>
      <c r="K303" s="206"/>
      <c r="L303" s="207"/>
      <c r="M303" s="206"/>
      <c r="N303" s="206"/>
      <c r="O303" s="206"/>
      <c r="P303" s="206"/>
      <c r="Q303" s="207"/>
      <c r="R303" s="206"/>
      <c r="S303" s="206"/>
      <c r="T303" s="206"/>
      <c r="U303" s="207"/>
      <c r="V303" s="208"/>
      <c r="W303" s="208"/>
      <c r="X303" s="208"/>
      <c r="Y303" s="208"/>
      <c r="Z303" s="209"/>
      <c r="AA303" s="253"/>
      <c r="AB303" s="234" t="str">
        <f t="shared" si="91"/>
        <v>SFIO</v>
      </c>
      <c r="AC303" s="248"/>
      <c r="AD303" s="248"/>
      <c r="AE303" s="248"/>
      <c r="AF303" s="248"/>
      <c r="AG303" s="248"/>
      <c r="AH303" s="248"/>
      <c r="AI303" s="245"/>
      <c r="AJ303" s="183" t="s">
        <v>1282</v>
      </c>
      <c r="AK303" s="256"/>
      <c r="AL303" s="256"/>
      <c r="AM303" s="256"/>
      <c r="AN303" s="256"/>
      <c r="AO303" s="256"/>
      <c r="AP303" s="256"/>
      <c r="AQ303" s="114" t="s">
        <v>2159</v>
      </c>
      <c r="AR303" s="279" t="s">
        <v>1282</v>
      </c>
      <c r="AS303" s="372"/>
      <c r="AT303" s="289" t="s">
        <v>1282</v>
      </c>
      <c r="AU303" s="372"/>
      <c r="AV303" s="372"/>
    </row>
    <row r="304" spans="1:48" s="31" customFormat="1" ht="12.95" customHeight="1" x14ac:dyDescent="0.2">
      <c r="A304" s="206" t="s">
        <v>1283</v>
      </c>
      <c r="B304" s="274"/>
      <c r="C304" s="206" t="s">
        <v>1361</v>
      </c>
      <c r="D304" s="206" t="s">
        <v>1365</v>
      </c>
      <c r="E304" s="223" t="s">
        <v>1365</v>
      </c>
      <c r="F304" s="206" t="str">
        <f t="shared" si="92"/>
        <v>unused_DDR_CKE1</v>
      </c>
      <c r="G304" s="207"/>
      <c r="H304" s="206" t="s">
        <v>1283</v>
      </c>
      <c r="I304" s="206"/>
      <c r="J304" s="206"/>
      <c r="K304" s="206"/>
      <c r="L304" s="207"/>
      <c r="M304" s="206"/>
      <c r="N304" s="206"/>
      <c r="O304" s="206"/>
      <c r="P304" s="206"/>
      <c r="Q304" s="207"/>
      <c r="R304" s="206"/>
      <c r="S304" s="206"/>
      <c r="T304" s="206"/>
      <c r="U304" s="207"/>
      <c r="V304" s="208"/>
      <c r="W304" s="208"/>
      <c r="X304" s="208"/>
      <c r="Y304" s="208"/>
      <c r="Z304" s="209"/>
      <c r="AA304" s="253"/>
      <c r="AB304" s="234" t="str">
        <f t="shared" si="91"/>
        <v>Unused</v>
      </c>
      <c r="AC304" s="248"/>
      <c r="AD304" s="248"/>
      <c r="AE304" s="248"/>
      <c r="AF304" s="248"/>
      <c r="AG304" s="248"/>
      <c r="AH304" s="248"/>
      <c r="AI304" s="245"/>
      <c r="AJ304" s="183" t="s">
        <v>2134</v>
      </c>
      <c r="AK304" s="256"/>
      <c r="AL304" s="256"/>
      <c r="AM304" s="256"/>
      <c r="AN304" s="256"/>
      <c r="AO304" s="256"/>
      <c r="AP304" s="256"/>
      <c r="AQ304" s="115"/>
      <c r="AR304" s="279" t="s">
        <v>1283</v>
      </c>
      <c r="AS304" s="372"/>
      <c r="AT304" s="289" t="s">
        <v>1283</v>
      </c>
      <c r="AU304" s="108"/>
      <c r="AV304" s="124"/>
    </row>
    <row r="305" spans="1:48" s="31" customFormat="1" ht="12.95" customHeight="1" x14ac:dyDescent="0.2">
      <c r="A305" s="206" t="s">
        <v>1284</v>
      </c>
      <c r="B305" s="274"/>
      <c r="C305" s="206" t="s">
        <v>1362</v>
      </c>
      <c r="D305" s="206" t="s">
        <v>1417</v>
      </c>
      <c r="E305" s="223" t="s">
        <v>1417</v>
      </c>
      <c r="F305" s="206"/>
      <c r="G305" s="207"/>
      <c r="H305" s="206" t="s">
        <v>1284</v>
      </c>
      <c r="I305" s="206"/>
      <c r="J305" s="206"/>
      <c r="K305" s="206"/>
      <c r="L305" s="207"/>
      <c r="M305" s="206"/>
      <c r="N305" s="206"/>
      <c r="O305" s="206"/>
      <c r="P305" s="206"/>
      <c r="Q305" s="207"/>
      <c r="R305" s="206"/>
      <c r="S305" s="206"/>
      <c r="T305" s="206"/>
      <c r="U305" s="207"/>
      <c r="V305" s="208"/>
      <c r="W305" s="208"/>
      <c r="X305" s="208"/>
      <c r="Y305" s="208"/>
      <c r="Z305" s="209"/>
      <c r="AA305" s="253"/>
      <c r="AB305" s="234" t="str">
        <f t="shared" si="91"/>
        <v>SFIO</v>
      </c>
      <c r="AC305" s="248"/>
      <c r="AD305" s="248"/>
      <c r="AE305" s="248"/>
      <c r="AF305" s="248"/>
      <c r="AG305" s="248"/>
      <c r="AH305" s="248"/>
      <c r="AI305" s="245"/>
      <c r="AJ305" s="183" t="s">
        <v>1284</v>
      </c>
      <c r="AK305" s="256"/>
      <c r="AL305" s="256"/>
      <c r="AM305" s="256"/>
      <c r="AN305" s="256"/>
      <c r="AO305" s="256"/>
      <c r="AP305" s="256"/>
      <c r="AQ305" s="115"/>
      <c r="AR305" s="279" t="s">
        <v>1284</v>
      </c>
      <c r="AS305" s="372"/>
      <c r="AT305" s="289" t="s">
        <v>1284</v>
      </c>
      <c r="AU305" s="371" t="s">
        <v>2109</v>
      </c>
      <c r="AV305" s="371" t="s">
        <v>2109</v>
      </c>
    </row>
    <row r="306" spans="1:48" s="31" customFormat="1" ht="12.95" customHeight="1" x14ac:dyDescent="0.2">
      <c r="A306" s="206" t="s">
        <v>1285</v>
      </c>
      <c r="B306" s="274"/>
      <c r="C306" s="206" t="s">
        <v>1363</v>
      </c>
      <c r="D306" s="206" t="s">
        <v>1344</v>
      </c>
      <c r="E306" s="223" t="s">
        <v>1344</v>
      </c>
      <c r="F306" s="206"/>
      <c r="G306" s="207"/>
      <c r="H306" s="206" t="s">
        <v>1285</v>
      </c>
      <c r="I306" s="206"/>
      <c r="J306" s="206"/>
      <c r="K306" s="206"/>
      <c r="L306" s="207"/>
      <c r="M306" s="206"/>
      <c r="N306" s="206"/>
      <c r="O306" s="206"/>
      <c r="P306" s="206"/>
      <c r="Q306" s="207"/>
      <c r="R306" s="206"/>
      <c r="S306" s="206"/>
      <c r="T306" s="206"/>
      <c r="U306" s="207"/>
      <c r="V306" s="208"/>
      <c r="W306" s="208"/>
      <c r="X306" s="208"/>
      <c r="Y306" s="208"/>
      <c r="Z306" s="209"/>
      <c r="AA306" s="253"/>
      <c r="AB306" s="234" t="str">
        <f t="shared" si="91"/>
        <v>SFIO</v>
      </c>
      <c r="AC306" s="248"/>
      <c r="AD306" s="248"/>
      <c r="AE306" s="248"/>
      <c r="AF306" s="248"/>
      <c r="AG306" s="248"/>
      <c r="AH306" s="248"/>
      <c r="AI306" s="245"/>
      <c r="AJ306" s="183" t="s">
        <v>1285</v>
      </c>
      <c r="AK306" s="256"/>
      <c r="AL306" s="256"/>
      <c r="AM306" s="256"/>
      <c r="AN306" s="256"/>
      <c r="AO306" s="256"/>
      <c r="AP306" s="256"/>
      <c r="AQ306" s="115"/>
      <c r="AR306" s="279" t="s">
        <v>1285</v>
      </c>
      <c r="AS306" s="372"/>
      <c r="AT306" s="289" t="s">
        <v>1285</v>
      </c>
      <c r="AU306" s="372"/>
      <c r="AV306" s="372"/>
    </row>
    <row r="307" spans="1:48" s="31" customFormat="1" ht="12.95" customHeight="1" x14ac:dyDescent="0.2">
      <c r="A307" s="206" t="s">
        <v>1286</v>
      </c>
      <c r="B307" s="274"/>
      <c r="C307" s="206" t="s">
        <v>1364</v>
      </c>
      <c r="D307" s="206" t="s">
        <v>1352</v>
      </c>
      <c r="E307" s="223" t="s">
        <v>1352</v>
      </c>
      <c r="F307" s="206"/>
      <c r="G307" s="207"/>
      <c r="H307" s="206" t="s">
        <v>1286</v>
      </c>
      <c r="I307" s="206"/>
      <c r="J307" s="206"/>
      <c r="K307" s="206"/>
      <c r="L307" s="207"/>
      <c r="M307" s="206"/>
      <c r="N307" s="206"/>
      <c r="O307" s="206"/>
      <c r="P307" s="206"/>
      <c r="Q307" s="207"/>
      <c r="R307" s="206"/>
      <c r="S307" s="206"/>
      <c r="T307" s="206"/>
      <c r="U307" s="207"/>
      <c r="V307" s="208"/>
      <c r="W307" s="208"/>
      <c r="X307" s="208"/>
      <c r="Y307" s="208"/>
      <c r="Z307" s="209"/>
      <c r="AA307" s="253"/>
      <c r="AB307" s="234" t="str">
        <f t="shared" si="91"/>
        <v>SFIO</v>
      </c>
      <c r="AC307" s="248"/>
      <c r="AD307" s="248"/>
      <c r="AE307" s="248"/>
      <c r="AF307" s="248"/>
      <c r="AG307" s="248"/>
      <c r="AH307" s="248"/>
      <c r="AI307" s="245"/>
      <c r="AJ307" s="183" t="s">
        <v>1286</v>
      </c>
      <c r="AK307" s="256"/>
      <c r="AL307" s="256"/>
      <c r="AM307" s="256"/>
      <c r="AN307" s="256"/>
      <c r="AO307" s="256"/>
      <c r="AP307" s="256"/>
      <c r="AQ307" s="115"/>
      <c r="AR307" s="279" t="s">
        <v>1286</v>
      </c>
      <c r="AS307" s="372"/>
      <c r="AT307" s="289" t="s">
        <v>1286</v>
      </c>
      <c r="AU307" s="372"/>
      <c r="AV307" s="372"/>
    </row>
    <row r="308" spans="1:48" s="31" customFormat="1" ht="12.95" customHeight="1" x14ac:dyDescent="0.2">
      <c r="A308" s="206" t="s">
        <v>1287</v>
      </c>
      <c r="B308" s="274"/>
      <c r="C308" s="206" t="s">
        <v>1365</v>
      </c>
      <c r="D308" s="206" t="s">
        <v>1341</v>
      </c>
      <c r="E308" s="223" t="s">
        <v>1341</v>
      </c>
      <c r="F308" s="206" t="str">
        <f t="shared" si="92"/>
        <v>unused_DDR_CS1_N</v>
      </c>
      <c r="G308" s="207"/>
      <c r="H308" s="206" t="s">
        <v>1287</v>
      </c>
      <c r="I308" s="206"/>
      <c r="J308" s="206"/>
      <c r="K308" s="206"/>
      <c r="L308" s="207"/>
      <c r="M308" s="206"/>
      <c r="N308" s="206"/>
      <c r="O308" s="206"/>
      <c r="P308" s="206"/>
      <c r="Q308" s="207"/>
      <c r="R308" s="206"/>
      <c r="S308" s="206"/>
      <c r="T308" s="206"/>
      <c r="U308" s="207"/>
      <c r="V308" s="208"/>
      <c r="W308" s="208"/>
      <c r="X308" s="208"/>
      <c r="Y308" s="208"/>
      <c r="Z308" s="209"/>
      <c r="AA308" s="253"/>
      <c r="AB308" s="234" t="str">
        <f t="shared" si="91"/>
        <v>Unused</v>
      </c>
      <c r="AC308" s="248"/>
      <c r="AD308" s="248"/>
      <c r="AE308" s="248"/>
      <c r="AF308" s="248"/>
      <c r="AG308" s="248"/>
      <c r="AH308" s="248"/>
      <c r="AI308" s="245"/>
      <c r="AJ308" s="183" t="s">
        <v>2135</v>
      </c>
      <c r="AK308" s="256"/>
      <c r="AL308" s="256"/>
      <c r="AM308" s="256"/>
      <c r="AN308" s="256"/>
      <c r="AO308" s="256"/>
      <c r="AP308" s="256"/>
      <c r="AQ308" s="115"/>
      <c r="AR308" s="279" t="s">
        <v>1287</v>
      </c>
      <c r="AS308" s="372"/>
      <c r="AT308" s="289" t="s">
        <v>1287</v>
      </c>
      <c r="AU308" s="372"/>
      <c r="AV308" s="372"/>
    </row>
    <row r="309" spans="1:48" s="31" customFormat="1" ht="12.95" customHeight="1" x14ac:dyDescent="0.2">
      <c r="A309" s="206" t="s">
        <v>1288</v>
      </c>
      <c r="B309" s="274"/>
      <c r="C309" s="206" t="s">
        <v>1366</v>
      </c>
      <c r="D309" s="206" t="s">
        <v>1596</v>
      </c>
      <c r="E309" s="223" t="s">
        <v>1596</v>
      </c>
      <c r="F309" s="206"/>
      <c r="G309" s="207"/>
      <c r="H309" s="206" t="s">
        <v>1288</v>
      </c>
      <c r="I309" s="206"/>
      <c r="J309" s="206"/>
      <c r="K309" s="206"/>
      <c r="L309" s="207"/>
      <c r="M309" s="206"/>
      <c r="N309" s="206"/>
      <c r="O309" s="206"/>
      <c r="P309" s="206"/>
      <c r="Q309" s="207"/>
      <c r="R309" s="206"/>
      <c r="S309" s="206"/>
      <c r="T309" s="206"/>
      <c r="U309" s="207"/>
      <c r="V309" s="208"/>
      <c r="W309" s="208"/>
      <c r="X309" s="208"/>
      <c r="Y309" s="208"/>
      <c r="Z309" s="209"/>
      <c r="AA309" s="253"/>
      <c r="AB309" s="234" t="str">
        <f t="shared" si="91"/>
        <v>SFIO</v>
      </c>
      <c r="AC309" s="248"/>
      <c r="AD309" s="248"/>
      <c r="AE309" s="248"/>
      <c r="AF309" s="248"/>
      <c r="AG309" s="248"/>
      <c r="AH309" s="248"/>
      <c r="AI309" s="245"/>
      <c r="AJ309" s="183" t="s">
        <v>1288</v>
      </c>
      <c r="AK309" s="256"/>
      <c r="AL309" s="256"/>
      <c r="AM309" s="256"/>
      <c r="AN309" s="256"/>
      <c r="AO309" s="256"/>
      <c r="AP309" s="256"/>
      <c r="AQ309" s="115"/>
      <c r="AR309" s="279" t="s">
        <v>1288</v>
      </c>
      <c r="AS309" s="372"/>
      <c r="AT309" s="289" t="s">
        <v>1288</v>
      </c>
      <c r="AU309" s="372"/>
      <c r="AV309" s="372"/>
    </row>
    <row r="310" spans="1:48" s="31" customFormat="1" ht="12.95" customHeight="1" x14ac:dyDescent="0.2">
      <c r="A310" s="206" t="s">
        <v>1289</v>
      </c>
      <c r="B310" s="274"/>
      <c r="C310" s="206" t="s">
        <v>1367</v>
      </c>
      <c r="D310" s="206" t="s">
        <v>2003</v>
      </c>
      <c r="E310" s="223" t="s">
        <v>2003</v>
      </c>
      <c r="F310" s="206"/>
      <c r="G310" s="207"/>
      <c r="H310" s="206" t="s">
        <v>1289</v>
      </c>
      <c r="I310" s="206"/>
      <c r="J310" s="206"/>
      <c r="K310" s="206"/>
      <c r="L310" s="207"/>
      <c r="M310" s="206"/>
      <c r="N310" s="206"/>
      <c r="O310" s="206"/>
      <c r="P310" s="206"/>
      <c r="Q310" s="207"/>
      <c r="R310" s="206"/>
      <c r="S310" s="206"/>
      <c r="T310" s="206"/>
      <c r="U310" s="207"/>
      <c r="V310" s="208"/>
      <c r="W310" s="208"/>
      <c r="X310" s="208"/>
      <c r="Y310" s="208"/>
      <c r="Z310" s="209"/>
      <c r="AA310" s="253"/>
      <c r="AB310" s="234" t="str">
        <f t="shared" si="91"/>
        <v>SFIO</v>
      </c>
      <c r="AC310" s="248"/>
      <c r="AD310" s="248"/>
      <c r="AE310" s="248"/>
      <c r="AF310" s="248"/>
      <c r="AG310" s="248"/>
      <c r="AH310" s="248"/>
      <c r="AI310" s="245"/>
      <c r="AJ310" s="183" t="s">
        <v>1289</v>
      </c>
      <c r="AK310" s="256"/>
      <c r="AL310" s="256"/>
      <c r="AM310" s="256"/>
      <c r="AN310" s="256"/>
      <c r="AO310" s="256"/>
      <c r="AP310" s="256"/>
      <c r="AQ310" s="115"/>
      <c r="AR310" s="279" t="s">
        <v>1289</v>
      </c>
      <c r="AS310" s="372"/>
      <c r="AT310" s="289" t="s">
        <v>1289</v>
      </c>
      <c r="AU310" s="372"/>
      <c r="AV310" s="372"/>
    </row>
    <row r="311" spans="1:48" s="31" customFormat="1" ht="12.95" customHeight="1" x14ac:dyDescent="0.2">
      <c r="A311" s="206" t="s">
        <v>1290</v>
      </c>
      <c r="B311" s="274"/>
      <c r="C311" s="206" t="s">
        <v>1368</v>
      </c>
      <c r="D311" s="206" t="s">
        <v>1609</v>
      </c>
      <c r="E311" s="223" t="s">
        <v>1609</v>
      </c>
      <c r="F311" s="206"/>
      <c r="G311" s="207"/>
      <c r="H311" s="206" t="s">
        <v>1290</v>
      </c>
      <c r="I311" s="206"/>
      <c r="J311" s="206"/>
      <c r="K311" s="206"/>
      <c r="L311" s="207"/>
      <c r="M311" s="206"/>
      <c r="N311" s="206"/>
      <c r="O311" s="206"/>
      <c r="P311" s="206"/>
      <c r="Q311" s="207"/>
      <c r="R311" s="206"/>
      <c r="S311" s="206"/>
      <c r="T311" s="206"/>
      <c r="U311" s="207"/>
      <c r="V311" s="208"/>
      <c r="W311" s="208"/>
      <c r="X311" s="208"/>
      <c r="Y311" s="208"/>
      <c r="Z311" s="209"/>
      <c r="AA311" s="253"/>
      <c r="AB311" s="234" t="str">
        <f t="shared" si="91"/>
        <v>SFIO</v>
      </c>
      <c r="AC311" s="248"/>
      <c r="AD311" s="248"/>
      <c r="AE311" s="248"/>
      <c r="AF311" s="248"/>
      <c r="AG311" s="248"/>
      <c r="AH311" s="248"/>
      <c r="AI311" s="245"/>
      <c r="AJ311" s="183" t="s">
        <v>1290</v>
      </c>
      <c r="AK311" s="256"/>
      <c r="AL311" s="256"/>
      <c r="AM311" s="256"/>
      <c r="AN311" s="256"/>
      <c r="AO311" s="256"/>
      <c r="AP311" s="256"/>
      <c r="AQ311" s="115"/>
      <c r="AR311" s="279" t="s">
        <v>1290</v>
      </c>
      <c r="AS311" s="372"/>
      <c r="AT311" s="289" t="s">
        <v>1290</v>
      </c>
      <c r="AU311" s="372"/>
      <c r="AV311" s="372"/>
    </row>
    <row r="312" spans="1:48" s="31" customFormat="1" ht="12.95" customHeight="1" x14ac:dyDescent="0.2">
      <c r="A312" s="206" t="s">
        <v>1291</v>
      </c>
      <c r="B312" s="274"/>
      <c r="C312" s="206" t="s">
        <v>1369</v>
      </c>
      <c r="D312" s="206" t="s">
        <v>2004</v>
      </c>
      <c r="E312" s="223" t="s">
        <v>2004</v>
      </c>
      <c r="F312" s="206"/>
      <c r="G312" s="207"/>
      <c r="H312" s="206" t="s">
        <v>1291</v>
      </c>
      <c r="I312" s="206"/>
      <c r="J312" s="206"/>
      <c r="K312" s="206"/>
      <c r="L312" s="207"/>
      <c r="M312" s="206"/>
      <c r="N312" s="206"/>
      <c r="O312" s="206"/>
      <c r="P312" s="206"/>
      <c r="Q312" s="207"/>
      <c r="R312" s="206"/>
      <c r="S312" s="206"/>
      <c r="T312" s="206"/>
      <c r="U312" s="207"/>
      <c r="V312" s="208"/>
      <c r="W312" s="208"/>
      <c r="X312" s="208"/>
      <c r="Y312" s="208"/>
      <c r="Z312" s="209"/>
      <c r="AA312" s="253"/>
      <c r="AB312" s="234" t="str">
        <f t="shared" si="91"/>
        <v>SFIO</v>
      </c>
      <c r="AC312" s="248"/>
      <c r="AD312" s="248"/>
      <c r="AE312" s="248"/>
      <c r="AF312" s="248"/>
      <c r="AG312" s="248"/>
      <c r="AH312" s="248"/>
      <c r="AI312" s="245"/>
      <c r="AJ312" s="183" t="s">
        <v>1291</v>
      </c>
      <c r="AK312" s="256"/>
      <c r="AL312" s="256"/>
      <c r="AM312" s="256"/>
      <c r="AN312" s="256"/>
      <c r="AO312" s="256"/>
      <c r="AP312" s="256"/>
      <c r="AQ312" s="115"/>
      <c r="AR312" s="279" t="s">
        <v>1291</v>
      </c>
      <c r="AS312" s="372"/>
      <c r="AT312" s="289" t="s">
        <v>1291</v>
      </c>
      <c r="AU312" s="372"/>
      <c r="AV312" s="372"/>
    </row>
    <row r="313" spans="1:48" s="31" customFormat="1" ht="12.95" customHeight="1" x14ac:dyDescent="0.2">
      <c r="A313" s="206" t="s">
        <v>1292</v>
      </c>
      <c r="B313" s="274"/>
      <c r="C313" s="206" t="s">
        <v>1370</v>
      </c>
      <c r="D313" s="206" t="s">
        <v>2005</v>
      </c>
      <c r="E313" s="223" t="s">
        <v>2005</v>
      </c>
      <c r="F313" s="206"/>
      <c r="G313" s="207"/>
      <c r="H313" s="206" t="s">
        <v>1292</v>
      </c>
      <c r="I313" s="206"/>
      <c r="J313" s="206"/>
      <c r="K313" s="206"/>
      <c r="L313" s="207"/>
      <c r="M313" s="206"/>
      <c r="N313" s="206"/>
      <c r="O313" s="206"/>
      <c r="P313" s="206"/>
      <c r="Q313" s="207"/>
      <c r="R313" s="206"/>
      <c r="S313" s="206"/>
      <c r="T313" s="206"/>
      <c r="U313" s="207"/>
      <c r="V313" s="208"/>
      <c r="W313" s="208"/>
      <c r="X313" s="208"/>
      <c r="Y313" s="208"/>
      <c r="Z313" s="209"/>
      <c r="AA313" s="253"/>
      <c r="AB313" s="234" t="str">
        <f t="shared" si="91"/>
        <v>SFIO</v>
      </c>
      <c r="AC313" s="248"/>
      <c r="AD313" s="248"/>
      <c r="AE313" s="248"/>
      <c r="AF313" s="248"/>
      <c r="AG313" s="248"/>
      <c r="AH313" s="248"/>
      <c r="AI313" s="245"/>
      <c r="AJ313" s="183" t="s">
        <v>1292</v>
      </c>
      <c r="AK313" s="256"/>
      <c r="AL313" s="256"/>
      <c r="AM313" s="256"/>
      <c r="AN313" s="256"/>
      <c r="AO313" s="256"/>
      <c r="AP313" s="256"/>
      <c r="AQ313" s="115"/>
      <c r="AR313" s="279" t="s">
        <v>1292</v>
      </c>
      <c r="AS313" s="372"/>
      <c r="AT313" s="289" t="s">
        <v>1292</v>
      </c>
      <c r="AU313" s="372"/>
      <c r="AV313" s="372"/>
    </row>
    <row r="314" spans="1:48" s="31" customFormat="1" ht="12.95" customHeight="1" x14ac:dyDescent="0.2">
      <c r="A314" s="206" t="s">
        <v>1293</v>
      </c>
      <c r="B314" s="274"/>
      <c r="C314" s="206" t="s">
        <v>1371</v>
      </c>
      <c r="D314" s="206" t="s">
        <v>1619</v>
      </c>
      <c r="E314" s="223" t="s">
        <v>1619</v>
      </c>
      <c r="F314" s="206"/>
      <c r="G314" s="207"/>
      <c r="H314" s="206" t="s">
        <v>1293</v>
      </c>
      <c r="I314" s="206"/>
      <c r="J314" s="206"/>
      <c r="K314" s="206"/>
      <c r="L314" s="207"/>
      <c r="M314" s="206"/>
      <c r="N314" s="206"/>
      <c r="O314" s="206"/>
      <c r="P314" s="206"/>
      <c r="Q314" s="207"/>
      <c r="R314" s="206"/>
      <c r="S314" s="206"/>
      <c r="T314" s="206"/>
      <c r="U314" s="207"/>
      <c r="V314" s="208"/>
      <c r="W314" s="208"/>
      <c r="X314" s="208"/>
      <c r="Y314" s="208"/>
      <c r="Z314" s="209"/>
      <c r="AA314" s="253"/>
      <c r="AB314" s="234" t="str">
        <f t="shared" si="91"/>
        <v>SFIO</v>
      </c>
      <c r="AC314" s="248"/>
      <c r="AD314" s="248"/>
      <c r="AE314" s="248"/>
      <c r="AF314" s="248"/>
      <c r="AG314" s="248"/>
      <c r="AH314" s="248"/>
      <c r="AI314" s="245"/>
      <c r="AJ314" s="183" t="s">
        <v>1293</v>
      </c>
      <c r="AK314" s="256"/>
      <c r="AL314" s="256"/>
      <c r="AM314" s="256"/>
      <c r="AN314" s="256"/>
      <c r="AO314" s="256"/>
      <c r="AP314" s="256"/>
      <c r="AQ314" s="115"/>
      <c r="AR314" s="279" t="s">
        <v>1293</v>
      </c>
      <c r="AS314" s="372"/>
      <c r="AT314" s="289" t="s">
        <v>1293</v>
      </c>
      <c r="AU314" s="372"/>
      <c r="AV314" s="372"/>
    </row>
    <row r="315" spans="1:48" s="31" customFormat="1" ht="12.95" customHeight="1" x14ac:dyDescent="0.2">
      <c r="A315" s="206" t="s">
        <v>1294</v>
      </c>
      <c r="B315" s="274"/>
      <c r="C315" s="206" t="s">
        <v>1372</v>
      </c>
      <c r="D315" s="206" t="s">
        <v>1349</v>
      </c>
      <c r="E315" s="223" t="s">
        <v>1349</v>
      </c>
      <c r="F315" s="206"/>
      <c r="G315" s="207"/>
      <c r="H315" s="206" t="s">
        <v>1294</v>
      </c>
      <c r="I315" s="206"/>
      <c r="J315" s="206"/>
      <c r="K315" s="206"/>
      <c r="L315" s="207"/>
      <c r="M315" s="206"/>
      <c r="N315" s="206"/>
      <c r="O315" s="206"/>
      <c r="P315" s="206"/>
      <c r="Q315" s="207"/>
      <c r="R315" s="206"/>
      <c r="S315" s="206"/>
      <c r="T315" s="206"/>
      <c r="U315" s="207"/>
      <c r="V315" s="208"/>
      <c r="W315" s="208"/>
      <c r="X315" s="208"/>
      <c r="Y315" s="208"/>
      <c r="Z315" s="209"/>
      <c r="AA315" s="253"/>
      <c r="AB315" s="234" t="str">
        <f t="shared" si="91"/>
        <v>SFIO</v>
      </c>
      <c r="AC315" s="248"/>
      <c r="AD315" s="248"/>
      <c r="AE315" s="248"/>
      <c r="AF315" s="248"/>
      <c r="AG315" s="248"/>
      <c r="AH315" s="248"/>
      <c r="AI315" s="245"/>
      <c r="AJ315" s="183" t="s">
        <v>1294</v>
      </c>
      <c r="AK315" s="256"/>
      <c r="AL315" s="256"/>
      <c r="AM315" s="256"/>
      <c r="AN315" s="256"/>
      <c r="AO315" s="256"/>
      <c r="AP315" s="256"/>
      <c r="AQ315" s="115"/>
      <c r="AR315" s="279" t="s">
        <v>1294</v>
      </c>
      <c r="AS315" s="372"/>
      <c r="AT315" s="289" t="s">
        <v>1294</v>
      </c>
      <c r="AU315" s="372"/>
      <c r="AV315" s="372"/>
    </row>
    <row r="316" spans="1:48" s="31" customFormat="1" ht="12.95" customHeight="1" x14ac:dyDescent="0.2">
      <c r="A316" s="206" t="s">
        <v>1295</v>
      </c>
      <c r="B316" s="274"/>
      <c r="C316" s="206" t="s">
        <v>1373</v>
      </c>
      <c r="D316" s="206" t="s">
        <v>2006</v>
      </c>
      <c r="E316" s="223" t="s">
        <v>2006</v>
      </c>
      <c r="F316" s="206"/>
      <c r="G316" s="207"/>
      <c r="H316" s="206" t="s">
        <v>1295</v>
      </c>
      <c r="I316" s="206"/>
      <c r="J316" s="206"/>
      <c r="K316" s="206"/>
      <c r="L316" s="207"/>
      <c r="M316" s="206"/>
      <c r="N316" s="206"/>
      <c r="O316" s="206"/>
      <c r="P316" s="206"/>
      <c r="Q316" s="207"/>
      <c r="R316" s="206"/>
      <c r="S316" s="206"/>
      <c r="T316" s="206"/>
      <c r="U316" s="207"/>
      <c r="V316" s="208"/>
      <c r="W316" s="208"/>
      <c r="X316" s="208"/>
      <c r="Y316" s="208"/>
      <c r="Z316" s="209"/>
      <c r="AA316" s="253"/>
      <c r="AB316" s="234" t="str">
        <f t="shared" ref="AB316:AB347" si="93">IF((AJ316=H316),"SFIO",IF((AJ316=F316),"Unused"))</f>
        <v>SFIO</v>
      </c>
      <c r="AC316" s="248"/>
      <c r="AD316" s="248"/>
      <c r="AE316" s="248"/>
      <c r="AF316" s="248"/>
      <c r="AG316" s="248"/>
      <c r="AH316" s="248"/>
      <c r="AI316" s="245"/>
      <c r="AJ316" s="183" t="s">
        <v>1295</v>
      </c>
      <c r="AK316" s="256"/>
      <c r="AL316" s="256"/>
      <c r="AM316" s="256"/>
      <c r="AN316" s="256"/>
      <c r="AO316" s="256"/>
      <c r="AP316" s="256"/>
      <c r="AQ316" s="115"/>
      <c r="AR316" s="279" t="s">
        <v>1295</v>
      </c>
      <c r="AS316" s="372"/>
      <c r="AT316" s="289" t="s">
        <v>1295</v>
      </c>
      <c r="AU316" s="372"/>
      <c r="AV316" s="372"/>
    </row>
    <row r="317" spans="1:48" s="31" customFormat="1" ht="12.95" customHeight="1" x14ac:dyDescent="0.2">
      <c r="A317" s="206" t="s">
        <v>1296</v>
      </c>
      <c r="B317" s="274"/>
      <c r="C317" s="206" t="s">
        <v>1374</v>
      </c>
      <c r="D317" s="206" t="s">
        <v>1374</v>
      </c>
      <c r="E317" s="223" t="s">
        <v>1374</v>
      </c>
      <c r="F317" s="206"/>
      <c r="G317" s="207"/>
      <c r="H317" s="206" t="s">
        <v>1296</v>
      </c>
      <c r="I317" s="206"/>
      <c r="J317" s="206"/>
      <c r="K317" s="206"/>
      <c r="L317" s="207"/>
      <c r="M317" s="206"/>
      <c r="N317" s="206"/>
      <c r="O317" s="206"/>
      <c r="P317" s="206"/>
      <c r="Q317" s="207"/>
      <c r="R317" s="206"/>
      <c r="S317" s="206"/>
      <c r="T317" s="206"/>
      <c r="U317" s="207"/>
      <c r="V317" s="208"/>
      <c r="W317" s="208"/>
      <c r="X317" s="208"/>
      <c r="Y317" s="208"/>
      <c r="Z317" s="209"/>
      <c r="AA317" s="253"/>
      <c r="AB317" s="234" t="str">
        <f t="shared" si="93"/>
        <v>SFIO</v>
      </c>
      <c r="AC317" s="248"/>
      <c r="AD317" s="248"/>
      <c r="AE317" s="248"/>
      <c r="AF317" s="248"/>
      <c r="AG317" s="248"/>
      <c r="AH317" s="248"/>
      <c r="AI317" s="245"/>
      <c r="AJ317" s="183" t="s">
        <v>1296</v>
      </c>
      <c r="AK317" s="256"/>
      <c r="AL317" s="256"/>
      <c r="AM317" s="256"/>
      <c r="AN317" s="256"/>
      <c r="AO317" s="256"/>
      <c r="AP317" s="256"/>
      <c r="AQ317" s="115"/>
      <c r="AR317" s="279" t="s">
        <v>1296</v>
      </c>
      <c r="AS317" s="372"/>
      <c r="AT317" s="289" t="s">
        <v>1296</v>
      </c>
      <c r="AU317" s="372"/>
      <c r="AV317" s="372"/>
    </row>
    <row r="318" spans="1:48" s="31" customFormat="1" ht="12.95" customHeight="1" x14ac:dyDescent="0.2">
      <c r="A318" s="206" t="s">
        <v>1297</v>
      </c>
      <c r="B318" s="274"/>
      <c r="C318" s="206" t="s">
        <v>1375</v>
      </c>
      <c r="D318" s="206" t="s">
        <v>2007</v>
      </c>
      <c r="E318" s="223" t="s">
        <v>2007</v>
      </c>
      <c r="F318" s="206"/>
      <c r="G318" s="207"/>
      <c r="H318" s="206" t="s">
        <v>1297</v>
      </c>
      <c r="I318" s="206"/>
      <c r="J318" s="206"/>
      <c r="K318" s="206"/>
      <c r="L318" s="207"/>
      <c r="M318" s="206"/>
      <c r="N318" s="206"/>
      <c r="O318" s="206"/>
      <c r="P318" s="206"/>
      <c r="Q318" s="207"/>
      <c r="R318" s="206"/>
      <c r="S318" s="206"/>
      <c r="T318" s="206"/>
      <c r="U318" s="207"/>
      <c r="V318" s="208"/>
      <c r="W318" s="208"/>
      <c r="X318" s="208"/>
      <c r="Y318" s="208"/>
      <c r="Z318" s="209"/>
      <c r="AA318" s="253"/>
      <c r="AB318" s="234" t="str">
        <f t="shared" si="93"/>
        <v>SFIO</v>
      </c>
      <c r="AC318" s="248"/>
      <c r="AD318" s="248"/>
      <c r="AE318" s="248"/>
      <c r="AF318" s="248"/>
      <c r="AG318" s="248"/>
      <c r="AH318" s="248"/>
      <c r="AI318" s="245"/>
      <c r="AJ318" s="183" t="s">
        <v>1297</v>
      </c>
      <c r="AK318" s="256"/>
      <c r="AL318" s="256"/>
      <c r="AM318" s="256"/>
      <c r="AN318" s="256"/>
      <c r="AO318" s="256"/>
      <c r="AP318" s="256"/>
      <c r="AQ318" s="115"/>
      <c r="AR318" s="279" t="s">
        <v>1297</v>
      </c>
      <c r="AS318" s="372"/>
      <c r="AT318" s="289" t="s">
        <v>1297</v>
      </c>
      <c r="AU318" s="372"/>
      <c r="AV318" s="372"/>
    </row>
    <row r="319" spans="1:48" s="31" customFormat="1" ht="12.95" customHeight="1" x14ac:dyDescent="0.2">
      <c r="A319" s="206" t="s">
        <v>1298</v>
      </c>
      <c r="B319" s="274"/>
      <c r="C319" s="206" t="s">
        <v>1376</v>
      </c>
      <c r="D319" s="206" t="s">
        <v>1367</v>
      </c>
      <c r="E319" s="223" t="s">
        <v>1367</v>
      </c>
      <c r="F319" s="206"/>
      <c r="G319" s="207"/>
      <c r="H319" s="206" t="s">
        <v>1298</v>
      </c>
      <c r="I319" s="206"/>
      <c r="J319" s="206"/>
      <c r="K319" s="206"/>
      <c r="L319" s="207"/>
      <c r="M319" s="206"/>
      <c r="N319" s="206"/>
      <c r="O319" s="206"/>
      <c r="P319" s="206"/>
      <c r="Q319" s="207"/>
      <c r="R319" s="206"/>
      <c r="S319" s="206"/>
      <c r="T319" s="206"/>
      <c r="U319" s="207"/>
      <c r="V319" s="208"/>
      <c r="W319" s="208"/>
      <c r="X319" s="208"/>
      <c r="Y319" s="208"/>
      <c r="Z319" s="209"/>
      <c r="AA319" s="253"/>
      <c r="AB319" s="234" t="str">
        <f t="shared" si="93"/>
        <v>SFIO</v>
      </c>
      <c r="AC319" s="248"/>
      <c r="AD319" s="248"/>
      <c r="AE319" s="248"/>
      <c r="AF319" s="248"/>
      <c r="AG319" s="248"/>
      <c r="AH319" s="248"/>
      <c r="AI319" s="245"/>
      <c r="AJ319" s="183" t="s">
        <v>1298</v>
      </c>
      <c r="AK319" s="256"/>
      <c r="AL319" s="256"/>
      <c r="AM319" s="256"/>
      <c r="AN319" s="256"/>
      <c r="AO319" s="256"/>
      <c r="AP319" s="256"/>
      <c r="AQ319" s="115"/>
      <c r="AR319" s="279" t="s">
        <v>1298</v>
      </c>
      <c r="AS319" s="372"/>
      <c r="AT319" s="289" t="s">
        <v>1298</v>
      </c>
      <c r="AU319" s="372"/>
      <c r="AV319" s="372"/>
    </row>
    <row r="320" spans="1:48" s="31" customFormat="1" ht="12.95" customHeight="1" x14ac:dyDescent="0.2">
      <c r="A320" s="206" t="s">
        <v>1299</v>
      </c>
      <c r="B320" s="274"/>
      <c r="C320" s="206" t="s">
        <v>1377</v>
      </c>
      <c r="D320" s="206" t="s">
        <v>1863</v>
      </c>
      <c r="E320" s="223" t="s">
        <v>1863</v>
      </c>
      <c r="F320" s="206"/>
      <c r="G320" s="207"/>
      <c r="H320" s="206" t="s">
        <v>1299</v>
      </c>
      <c r="I320" s="206"/>
      <c r="J320" s="206"/>
      <c r="K320" s="206"/>
      <c r="L320" s="207"/>
      <c r="M320" s="206"/>
      <c r="N320" s="206"/>
      <c r="O320" s="206"/>
      <c r="P320" s="206"/>
      <c r="Q320" s="207"/>
      <c r="R320" s="206"/>
      <c r="S320" s="206"/>
      <c r="T320" s="206"/>
      <c r="U320" s="207"/>
      <c r="V320" s="208"/>
      <c r="W320" s="208"/>
      <c r="X320" s="208"/>
      <c r="Y320" s="208"/>
      <c r="Z320" s="209"/>
      <c r="AA320" s="253"/>
      <c r="AB320" s="234" t="str">
        <f t="shared" si="93"/>
        <v>SFIO</v>
      </c>
      <c r="AC320" s="248"/>
      <c r="AD320" s="248"/>
      <c r="AE320" s="248"/>
      <c r="AF320" s="248"/>
      <c r="AG320" s="248"/>
      <c r="AH320" s="248"/>
      <c r="AI320" s="245"/>
      <c r="AJ320" s="183" t="s">
        <v>1299</v>
      </c>
      <c r="AK320" s="256"/>
      <c r="AL320" s="256"/>
      <c r="AM320" s="256"/>
      <c r="AN320" s="256"/>
      <c r="AO320" s="256"/>
      <c r="AP320" s="256"/>
      <c r="AQ320" s="115"/>
      <c r="AR320" s="279" t="s">
        <v>1299</v>
      </c>
      <c r="AS320" s="372"/>
      <c r="AT320" s="289" t="s">
        <v>1299</v>
      </c>
      <c r="AU320" s="372"/>
      <c r="AV320" s="372"/>
    </row>
    <row r="321" spans="1:48" s="31" customFormat="1" ht="12.95" customHeight="1" x14ac:dyDescent="0.2">
      <c r="A321" s="206" t="s">
        <v>1300</v>
      </c>
      <c r="B321" s="274"/>
      <c r="C321" s="206" t="s">
        <v>1378</v>
      </c>
      <c r="D321" s="206" t="s">
        <v>1631</v>
      </c>
      <c r="E321" s="223" t="s">
        <v>1631</v>
      </c>
      <c r="F321" s="206"/>
      <c r="G321" s="207"/>
      <c r="H321" s="206" t="s">
        <v>1300</v>
      </c>
      <c r="I321" s="206"/>
      <c r="J321" s="206"/>
      <c r="K321" s="206"/>
      <c r="L321" s="207"/>
      <c r="M321" s="206"/>
      <c r="N321" s="206"/>
      <c r="O321" s="206"/>
      <c r="P321" s="206"/>
      <c r="Q321" s="207"/>
      <c r="R321" s="206"/>
      <c r="S321" s="206"/>
      <c r="T321" s="206"/>
      <c r="U321" s="207"/>
      <c r="V321" s="208"/>
      <c r="W321" s="208"/>
      <c r="X321" s="208"/>
      <c r="Y321" s="208"/>
      <c r="Z321" s="209"/>
      <c r="AA321" s="253"/>
      <c r="AB321" s="234" t="str">
        <f t="shared" si="93"/>
        <v>SFIO</v>
      </c>
      <c r="AC321" s="248"/>
      <c r="AD321" s="248"/>
      <c r="AE321" s="248"/>
      <c r="AF321" s="248"/>
      <c r="AG321" s="248"/>
      <c r="AH321" s="248"/>
      <c r="AI321" s="245"/>
      <c r="AJ321" s="183" t="s">
        <v>1300</v>
      </c>
      <c r="AK321" s="256"/>
      <c r="AL321" s="256"/>
      <c r="AM321" s="256"/>
      <c r="AN321" s="256"/>
      <c r="AO321" s="256"/>
      <c r="AP321" s="256"/>
      <c r="AQ321" s="115"/>
      <c r="AR321" s="279" t="s">
        <v>1300</v>
      </c>
      <c r="AS321" s="372"/>
      <c r="AT321" s="289" t="s">
        <v>1300</v>
      </c>
      <c r="AU321" s="372"/>
      <c r="AV321" s="372"/>
    </row>
    <row r="322" spans="1:48" s="31" customFormat="1" ht="12.95" customHeight="1" x14ac:dyDescent="0.2">
      <c r="A322" s="206" t="s">
        <v>1301</v>
      </c>
      <c r="B322" s="274"/>
      <c r="C322" s="206" t="s">
        <v>1379</v>
      </c>
      <c r="D322" s="206" t="s">
        <v>1859</v>
      </c>
      <c r="E322" s="223" t="s">
        <v>1859</v>
      </c>
      <c r="F322" s="206"/>
      <c r="G322" s="207"/>
      <c r="H322" s="206" t="s">
        <v>1301</v>
      </c>
      <c r="I322" s="206"/>
      <c r="J322" s="206"/>
      <c r="K322" s="206"/>
      <c r="L322" s="207"/>
      <c r="M322" s="206"/>
      <c r="N322" s="206"/>
      <c r="O322" s="206"/>
      <c r="P322" s="206"/>
      <c r="Q322" s="207"/>
      <c r="R322" s="206"/>
      <c r="S322" s="206"/>
      <c r="T322" s="206"/>
      <c r="U322" s="207"/>
      <c r="V322" s="208"/>
      <c r="W322" s="208"/>
      <c r="X322" s="208"/>
      <c r="Y322" s="208"/>
      <c r="Z322" s="209"/>
      <c r="AA322" s="253"/>
      <c r="AB322" s="234" t="str">
        <f t="shared" si="93"/>
        <v>SFIO</v>
      </c>
      <c r="AC322" s="248"/>
      <c r="AD322" s="248"/>
      <c r="AE322" s="248"/>
      <c r="AF322" s="248"/>
      <c r="AG322" s="248"/>
      <c r="AH322" s="248"/>
      <c r="AI322" s="245"/>
      <c r="AJ322" s="183" t="s">
        <v>1301</v>
      </c>
      <c r="AK322" s="256"/>
      <c r="AL322" s="256"/>
      <c r="AM322" s="256"/>
      <c r="AN322" s="256"/>
      <c r="AO322" s="256"/>
      <c r="AP322" s="256"/>
      <c r="AQ322" s="115"/>
      <c r="AR322" s="279" t="s">
        <v>1301</v>
      </c>
      <c r="AS322" s="372"/>
      <c r="AT322" s="289" t="s">
        <v>1301</v>
      </c>
      <c r="AU322" s="372"/>
      <c r="AV322" s="372"/>
    </row>
    <row r="323" spans="1:48" s="31" customFormat="1" ht="12.95" customHeight="1" x14ac:dyDescent="0.2">
      <c r="A323" s="206" t="s">
        <v>1302</v>
      </c>
      <c r="B323" s="274"/>
      <c r="C323" s="206" t="s">
        <v>1380</v>
      </c>
      <c r="D323" s="206" t="s">
        <v>1607</v>
      </c>
      <c r="E323" s="223" t="s">
        <v>1607</v>
      </c>
      <c r="F323" s="206"/>
      <c r="G323" s="207"/>
      <c r="H323" s="206" t="s">
        <v>1302</v>
      </c>
      <c r="I323" s="206"/>
      <c r="J323" s="206"/>
      <c r="K323" s="206"/>
      <c r="L323" s="207"/>
      <c r="M323" s="206"/>
      <c r="N323" s="206"/>
      <c r="O323" s="206"/>
      <c r="P323" s="206"/>
      <c r="Q323" s="207"/>
      <c r="R323" s="206"/>
      <c r="S323" s="206"/>
      <c r="T323" s="206"/>
      <c r="U323" s="207"/>
      <c r="V323" s="208"/>
      <c r="W323" s="208"/>
      <c r="X323" s="208"/>
      <c r="Y323" s="208"/>
      <c r="Z323" s="209"/>
      <c r="AA323" s="253"/>
      <c r="AB323" s="234" t="str">
        <f t="shared" si="93"/>
        <v>SFIO</v>
      </c>
      <c r="AC323" s="248"/>
      <c r="AD323" s="248"/>
      <c r="AE323" s="248"/>
      <c r="AF323" s="248"/>
      <c r="AG323" s="248"/>
      <c r="AH323" s="248"/>
      <c r="AI323" s="245"/>
      <c r="AJ323" s="183" t="s">
        <v>1302</v>
      </c>
      <c r="AK323" s="256"/>
      <c r="AL323" s="256"/>
      <c r="AM323" s="256"/>
      <c r="AN323" s="256"/>
      <c r="AO323" s="256"/>
      <c r="AP323" s="256"/>
      <c r="AQ323" s="115"/>
      <c r="AR323" s="279" t="s">
        <v>1302</v>
      </c>
      <c r="AS323" s="372"/>
      <c r="AT323" s="289" t="s">
        <v>1302</v>
      </c>
      <c r="AU323" s="372"/>
      <c r="AV323" s="372"/>
    </row>
    <row r="324" spans="1:48" s="31" customFormat="1" ht="12.95" customHeight="1" x14ac:dyDescent="0.2">
      <c r="A324" s="206" t="s">
        <v>1303</v>
      </c>
      <c r="B324" s="274"/>
      <c r="C324" s="206" t="s">
        <v>1381</v>
      </c>
      <c r="D324" s="206" t="s">
        <v>2008</v>
      </c>
      <c r="E324" s="223" t="s">
        <v>2008</v>
      </c>
      <c r="F324" s="206"/>
      <c r="G324" s="207"/>
      <c r="H324" s="206" t="s">
        <v>1303</v>
      </c>
      <c r="I324" s="206"/>
      <c r="J324" s="206"/>
      <c r="K324" s="206"/>
      <c r="L324" s="207"/>
      <c r="M324" s="206"/>
      <c r="N324" s="206"/>
      <c r="O324" s="206"/>
      <c r="P324" s="206"/>
      <c r="Q324" s="207"/>
      <c r="R324" s="206"/>
      <c r="S324" s="206"/>
      <c r="T324" s="206"/>
      <c r="U324" s="207"/>
      <c r="V324" s="208"/>
      <c r="W324" s="208"/>
      <c r="X324" s="208"/>
      <c r="Y324" s="208"/>
      <c r="Z324" s="209"/>
      <c r="AA324" s="253"/>
      <c r="AB324" s="234" t="str">
        <f t="shared" si="93"/>
        <v>SFIO</v>
      </c>
      <c r="AC324" s="248"/>
      <c r="AD324" s="248"/>
      <c r="AE324" s="248"/>
      <c r="AF324" s="248"/>
      <c r="AG324" s="248"/>
      <c r="AH324" s="248"/>
      <c r="AI324" s="245"/>
      <c r="AJ324" s="183" t="s">
        <v>1303</v>
      </c>
      <c r="AK324" s="256"/>
      <c r="AL324" s="256"/>
      <c r="AM324" s="256"/>
      <c r="AN324" s="256"/>
      <c r="AO324" s="256"/>
      <c r="AP324" s="256"/>
      <c r="AQ324" s="115"/>
      <c r="AR324" s="279" t="s">
        <v>1303</v>
      </c>
      <c r="AS324" s="372"/>
      <c r="AT324" s="289" t="s">
        <v>1303</v>
      </c>
      <c r="AU324" s="372"/>
      <c r="AV324" s="372"/>
    </row>
    <row r="325" spans="1:48" s="31" customFormat="1" ht="12.95" customHeight="1" x14ac:dyDescent="0.2">
      <c r="A325" s="206" t="s">
        <v>1304</v>
      </c>
      <c r="B325" s="274"/>
      <c r="C325" s="206" t="s">
        <v>1382</v>
      </c>
      <c r="D325" s="206" t="s">
        <v>2009</v>
      </c>
      <c r="E325" s="223" t="s">
        <v>2009</v>
      </c>
      <c r="F325" s="206"/>
      <c r="G325" s="207"/>
      <c r="H325" s="206" t="s">
        <v>1304</v>
      </c>
      <c r="I325" s="206"/>
      <c r="J325" s="206"/>
      <c r="K325" s="206"/>
      <c r="L325" s="207"/>
      <c r="M325" s="206"/>
      <c r="N325" s="206"/>
      <c r="O325" s="206"/>
      <c r="P325" s="206"/>
      <c r="Q325" s="207"/>
      <c r="R325" s="206"/>
      <c r="S325" s="206"/>
      <c r="T325" s="206"/>
      <c r="U325" s="207"/>
      <c r="V325" s="208"/>
      <c r="W325" s="208"/>
      <c r="X325" s="208"/>
      <c r="Y325" s="208"/>
      <c r="Z325" s="209"/>
      <c r="AA325" s="253"/>
      <c r="AB325" s="234" t="str">
        <f t="shared" si="93"/>
        <v>SFIO</v>
      </c>
      <c r="AC325" s="248"/>
      <c r="AD325" s="248"/>
      <c r="AE325" s="248"/>
      <c r="AF325" s="248"/>
      <c r="AG325" s="248"/>
      <c r="AH325" s="248"/>
      <c r="AI325" s="245"/>
      <c r="AJ325" s="183" t="s">
        <v>1304</v>
      </c>
      <c r="AK325" s="256"/>
      <c r="AL325" s="256"/>
      <c r="AM325" s="256"/>
      <c r="AN325" s="256"/>
      <c r="AO325" s="256"/>
      <c r="AP325" s="256"/>
      <c r="AQ325" s="115"/>
      <c r="AR325" s="279" t="s">
        <v>1304</v>
      </c>
      <c r="AS325" s="372"/>
      <c r="AT325" s="289" t="s">
        <v>1304</v>
      </c>
      <c r="AU325" s="372"/>
      <c r="AV325" s="372"/>
    </row>
    <row r="326" spans="1:48" s="31" customFormat="1" ht="12.95" customHeight="1" x14ac:dyDescent="0.2">
      <c r="A326" s="206" t="s">
        <v>1305</v>
      </c>
      <c r="B326" s="274"/>
      <c r="C326" s="206" t="s">
        <v>1383</v>
      </c>
      <c r="D326" s="206" t="s">
        <v>1629</v>
      </c>
      <c r="E326" s="223" t="s">
        <v>1629</v>
      </c>
      <c r="F326" s="206"/>
      <c r="G326" s="207"/>
      <c r="H326" s="206" t="s">
        <v>1305</v>
      </c>
      <c r="I326" s="206"/>
      <c r="J326" s="206"/>
      <c r="K326" s="206"/>
      <c r="L326" s="207"/>
      <c r="M326" s="206"/>
      <c r="N326" s="206"/>
      <c r="O326" s="206"/>
      <c r="P326" s="206"/>
      <c r="Q326" s="207"/>
      <c r="R326" s="206"/>
      <c r="S326" s="206"/>
      <c r="T326" s="206"/>
      <c r="U326" s="207"/>
      <c r="V326" s="208"/>
      <c r="W326" s="208"/>
      <c r="X326" s="208"/>
      <c r="Y326" s="208"/>
      <c r="Z326" s="209"/>
      <c r="AA326" s="253"/>
      <c r="AB326" s="234" t="str">
        <f t="shared" si="93"/>
        <v>SFIO</v>
      </c>
      <c r="AC326" s="248"/>
      <c r="AD326" s="248"/>
      <c r="AE326" s="248"/>
      <c r="AF326" s="248"/>
      <c r="AG326" s="248"/>
      <c r="AH326" s="248"/>
      <c r="AI326" s="245"/>
      <c r="AJ326" s="183" t="s">
        <v>1305</v>
      </c>
      <c r="AK326" s="256"/>
      <c r="AL326" s="256"/>
      <c r="AM326" s="256"/>
      <c r="AN326" s="256"/>
      <c r="AO326" s="256"/>
      <c r="AP326" s="256"/>
      <c r="AQ326" s="115"/>
      <c r="AR326" s="279" t="s">
        <v>1305</v>
      </c>
      <c r="AS326" s="372"/>
      <c r="AT326" s="289" t="s">
        <v>1305</v>
      </c>
      <c r="AU326" s="372"/>
      <c r="AV326" s="372"/>
    </row>
    <row r="327" spans="1:48" s="31" customFormat="1" ht="12.95" customHeight="1" x14ac:dyDescent="0.2">
      <c r="A327" s="206" t="s">
        <v>1306</v>
      </c>
      <c r="B327" s="274"/>
      <c r="C327" s="206" t="s">
        <v>1384</v>
      </c>
      <c r="D327" s="206" t="s">
        <v>1603</v>
      </c>
      <c r="E327" s="223" t="s">
        <v>1603</v>
      </c>
      <c r="F327" s="206"/>
      <c r="G327" s="207"/>
      <c r="H327" s="206" t="s">
        <v>1306</v>
      </c>
      <c r="I327" s="206"/>
      <c r="J327" s="206"/>
      <c r="K327" s="206"/>
      <c r="L327" s="207"/>
      <c r="M327" s="206"/>
      <c r="N327" s="206"/>
      <c r="O327" s="206"/>
      <c r="P327" s="206"/>
      <c r="Q327" s="207"/>
      <c r="R327" s="206"/>
      <c r="S327" s="206"/>
      <c r="T327" s="206"/>
      <c r="U327" s="207"/>
      <c r="V327" s="208"/>
      <c r="W327" s="208"/>
      <c r="X327" s="208"/>
      <c r="Y327" s="208"/>
      <c r="Z327" s="209"/>
      <c r="AA327" s="253"/>
      <c r="AB327" s="234" t="str">
        <f t="shared" si="93"/>
        <v>SFIO</v>
      </c>
      <c r="AC327" s="248"/>
      <c r="AD327" s="248"/>
      <c r="AE327" s="248"/>
      <c r="AF327" s="248"/>
      <c r="AG327" s="248"/>
      <c r="AH327" s="248"/>
      <c r="AI327" s="245"/>
      <c r="AJ327" s="183" t="s">
        <v>1306</v>
      </c>
      <c r="AK327" s="256"/>
      <c r="AL327" s="256"/>
      <c r="AM327" s="256"/>
      <c r="AN327" s="256"/>
      <c r="AO327" s="256"/>
      <c r="AP327" s="256"/>
      <c r="AQ327" s="115"/>
      <c r="AR327" s="279" t="s">
        <v>1306</v>
      </c>
      <c r="AS327" s="372"/>
      <c r="AT327" s="289" t="s">
        <v>1306</v>
      </c>
      <c r="AU327" s="372"/>
      <c r="AV327" s="372"/>
    </row>
    <row r="328" spans="1:48" s="31" customFormat="1" ht="12.95" customHeight="1" x14ac:dyDescent="0.2">
      <c r="A328" s="206" t="s">
        <v>1307</v>
      </c>
      <c r="B328" s="274"/>
      <c r="C328" s="206" t="s">
        <v>1385</v>
      </c>
      <c r="D328" s="206" t="s">
        <v>2010</v>
      </c>
      <c r="E328" s="223" t="s">
        <v>2010</v>
      </c>
      <c r="F328" s="206"/>
      <c r="G328" s="207"/>
      <c r="H328" s="206" t="s">
        <v>1307</v>
      </c>
      <c r="I328" s="206"/>
      <c r="J328" s="206"/>
      <c r="K328" s="206"/>
      <c r="L328" s="207"/>
      <c r="M328" s="206"/>
      <c r="N328" s="206"/>
      <c r="O328" s="206"/>
      <c r="P328" s="206"/>
      <c r="Q328" s="207"/>
      <c r="R328" s="206"/>
      <c r="S328" s="206"/>
      <c r="T328" s="206"/>
      <c r="U328" s="207"/>
      <c r="V328" s="208"/>
      <c r="W328" s="208"/>
      <c r="X328" s="208"/>
      <c r="Y328" s="208"/>
      <c r="Z328" s="209"/>
      <c r="AA328" s="253"/>
      <c r="AB328" s="234" t="str">
        <f t="shared" si="93"/>
        <v>SFIO</v>
      </c>
      <c r="AC328" s="248"/>
      <c r="AD328" s="248"/>
      <c r="AE328" s="248"/>
      <c r="AF328" s="248"/>
      <c r="AG328" s="248"/>
      <c r="AH328" s="248"/>
      <c r="AI328" s="245"/>
      <c r="AJ328" s="183" t="s">
        <v>1307</v>
      </c>
      <c r="AK328" s="256"/>
      <c r="AL328" s="256"/>
      <c r="AM328" s="256"/>
      <c r="AN328" s="256"/>
      <c r="AO328" s="256"/>
      <c r="AP328" s="256"/>
      <c r="AQ328" s="115"/>
      <c r="AR328" s="279" t="s">
        <v>1307</v>
      </c>
      <c r="AS328" s="372"/>
      <c r="AT328" s="289" t="s">
        <v>1307</v>
      </c>
      <c r="AU328" s="372"/>
      <c r="AV328" s="372"/>
    </row>
    <row r="329" spans="1:48" s="31" customFormat="1" ht="12.95" customHeight="1" x14ac:dyDescent="0.2">
      <c r="A329" s="206" t="s">
        <v>1308</v>
      </c>
      <c r="B329" s="274"/>
      <c r="C329" s="206" t="s">
        <v>1386</v>
      </c>
      <c r="D329" s="206" t="s">
        <v>2011</v>
      </c>
      <c r="E329" s="223" t="s">
        <v>2011</v>
      </c>
      <c r="F329" s="206"/>
      <c r="G329" s="207"/>
      <c r="H329" s="206" t="s">
        <v>1308</v>
      </c>
      <c r="I329" s="206"/>
      <c r="J329" s="206"/>
      <c r="K329" s="206"/>
      <c r="L329" s="207"/>
      <c r="M329" s="206"/>
      <c r="N329" s="206"/>
      <c r="O329" s="206"/>
      <c r="P329" s="206"/>
      <c r="Q329" s="207"/>
      <c r="R329" s="206"/>
      <c r="S329" s="206"/>
      <c r="T329" s="206"/>
      <c r="U329" s="207"/>
      <c r="V329" s="208"/>
      <c r="W329" s="208"/>
      <c r="X329" s="208"/>
      <c r="Y329" s="208"/>
      <c r="Z329" s="209"/>
      <c r="AA329" s="253"/>
      <c r="AB329" s="234" t="str">
        <f t="shared" si="93"/>
        <v>SFIO</v>
      </c>
      <c r="AC329" s="248"/>
      <c r="AD329" s="248"/>
      <c r="AE329" s="248"/>
      <c r="AF329" s="248"/>
      <c r="AG329" s="248"/>
      <c r="AH329" s="248"/>
      <c r="AI329" s="245"/>
      <c r="AJ329" s="183" t="s">
        <v>1308</v>
      </c>
      <c r="AK329" s="256"/>
      <c r="AL329" s="256"/>
      <c r="AM329" s="256"/>
      <c r="AN329" s="256"/>
      <c r="AO329" s="256"/>
      <c r="AP329" s="256"/>
      <c r="AQ329" s="115"/>
      <c r="AR329" s="279" t="s">
        <v>1308</v>
      </c>
      <c r="AS329" s="372"/>
      <c r="AT329" s="289" t="s">
        <v>1308</v>
      </c>
      <c r="AU329" s="372"/>
      <c r="AV329" s="372"/>
    </row>
    <row r="330" spans="1:48" s="31" customFormat="1" ht="12.95" customHeight="1" x14ac:dyDescent="0.2">
      <c r="A330" s="206" t="s">
        <v>1309</v>
      </c>
      <c r="B330" s="274"/>
      <c r="C330" s="206" t="s">
        <v>1387</v>
      </c>
      <c r="D330" s="206" t="s">
        <v>2012</v>
      </c>
      <c r="E330" s="223" t="s">
        <v>2012</v>
      </c>
      <c r="F330" s="206"/>
      <c r="G330" s="207"/>
      <c r="H330" s="206" t="s">
        <v>1309</v>
      </c>
      <c r="I330" s="206"/>
      <c r="J330" s="206"/>
      <c r="K330" s="206"/>
      <c r="L330" s="207"/>
      <c r="M330" s="206"/>
      <c r="N330" s="206"/>
      <c r="O330" s="206"/>
      <c r="P330" s="206"/>
      <c r="Q330" s="207"/>
      <c r="R330" s="206"/>
      <c r="S330" s="206"/>
      <c r="T330" s="206"/>
      <c r="U330" s="207"/>
      <c r="V330" s="208"/>
      <c r="W330" s="208"/>
      <c r="X330" s="208"/>
      <c r="Y330" s="208"/>
      <c r="Z330" s="209"/>
      <c r="AA330" s="253"/>
      <c r="AB330" s="234" t="str">
        <f t="shared" si="93"/>
        <v>SFIO</v>
      </c>
      <c r="AC330" s="248"/>
      <c r="AD330" s="248"/>
      <c r="AE330" s="248"/>
      <c r="AF330" s="248"/>
      <c r="AG330" s="248"/>
      <c r="AH330" s="248"/>
      <c r="AI330" s="245"/>
      <c r="AJ330" s="183" t="s">
        <v>1309</v>
      </c>
      <c r="AK330" s="256"/>
      <c r="AL330" s="256"/>
      <c r="AM330" s="256"/>
      <c r="AN330" s="256"/>
      <c r="AO330" s="256"/>
      <c r="AP330" s="256"/>
      <c r="AQ330" s="115"/>
      <c r="AR330" s="279" t="s">
        <v>1309</v>
      </c>
      <c r="AS330" s="372"/>
      <c r="AT330" s="289" t="s">
        <v>1309</v>
      </c>
      <c r="AU330" s="372"/>
      <c r="AV330" s="372"/>
    </row>
    <row r="331" spans="1:48" s="31" customFormat="1" ht="12.95" customHeight="1" x14ac:dyDescent="0.2">
      <c r="A331" s="206" t="s">
        <v>1310</v>
      </c>
      <c r="B331" s="274"/>
      <c r="C331" s="206" t="s">
        <v>1388</v>
      </c>
      <c r="D331" s="206" t="s">
        <v>1392</v>
      </c>
      <c r="E331" s="223" t="s">
        <v>1392</v>
      </c>
      <c r="F331" s="206"/>
      <c r="G331" s="207"/>
      <c r="H331" s="206" t="s">
        <v>1310</v>
      </c>
      <c r="I331" s="206"/>
      <c r="J331" s="206"/>
      <c r="K331" s="206"/>
      <c r="L331" s="207"/>
      <c r="M331" s="206"/>
      <c r="N331" s="206"/>
      <c r="O331" s="206"/>
      <c r="P331" s="206"/>
      <c r="Q331" s="207"/>
      <c r="R331" s="206"/>
      <c r="S331" s="206"/>
      <c r="T331" s="206"/>
      <c r="U331" s="207"/>
      <c r="V331" s="208"/>
      <c r="W331" s="208"/>
      <c r="X331" s="208"/>
      <c r="Y331" s="208"/>
      <c r="Z331" s="209"/>
      <c r="AA331" s="253"/>
      <c r="AB331" s="234" t="str">
        <f t="shared" si="93"/>
        <v>SFIO</v>
      </c>
      <c r="AC331" s="248"/>
      <c r="AD331" s="248"/>
      <c r="AE331" s="248"/>
      <c r="AF331" s="248"/>
      <c r="AG331" s="248"/>
      <c r="AH331" s="248"/>
      <c r="AI331" s="245"/>
      <c r="AJ331" s="183" t="s">
        <v>1310</v>
      </c>
      <c r="AK331" s="256"/>
      <c r="AL331" s="256"/>
      <c r="AM331" s="256"/>
      <c r="AN331" s="256"/>
      <c r="AO331" s="256"/>
      <c r="AP331" s="256"/>
      <c r="AQ331" s="115"/>
      <c r="AR331" s="279" t="s">
        <v>1310</v>
      </c>
      <c r="AS331" s="372"/>
      <c r="AT331" s="289" t="s">
        <v>1310</v>
      </c>
      <c r="AU331" s="372"/>
      <c r="AV331" s="372"/>
    </row>
    <row r="332" spans="1:48" s="31" customFormat="1" ht="12.95" customHeight="1" x14ac:dyDescent="0.2">
      <c r="A332" s="206" t="s">
        <v>1311</v>
      </c>
      <c r="B332" s="274"/>
      <c r="C332" s="206" t="s">
        <v>1389</v>
      </c>
      <c r="D332" s="206" t="s">
        <v>2013</v>
      </c>
      <c r="E332" s="223" t="s">
        <v>2013</v>
      </c>
      <c r="F332" s="206"/>
      <c r="G332" s="207"/>
      <c r="H332" s="206" t="s">
        <v>1311</v>
      </c>
      <c r="I332" s="206"/>
      <c r="J332" s="206"/>
      <c r="K332" s="206"/>
      <c r="L332" s="207"/>
      <c r="M332" s="206"/>
      <c r="N332" s="206"/>
      <c r="O332" s="206"/>
      <c r="P332" s="206"/>
      <c r="Q332" s="207"/>
      <c r="R332" s="206"/>
      <c r="S332" s="206"/>
      <c r="T332" s="206"/>
      <c r="U332" s="207"/>
      <c r="V332" s="208"/>
      <c r="W332" s="208"/>
      <c r="X332" s="208"/>
      <c r="Y332" s="208"/>
      <c r="Z332" s="209"/>
      <c r="AA332" s="253"/>
      <c r="AB332" s="234" t="str">
        <f t="shared" si="93"/>
        <v>SFIO</v>
      </c>
      <c r="AC332" s="248"/>
      <c r="AD332" s="248"/>
      <c r="AE332" s="248"/>
      <c r="AF332" s="248"/>
      <c r="AG332" s="248"/>
      <c r="AH332" s="248"/>
      <c r="AI332" s="245"/>
      <c r="AJ332" s="183" t="s">
        <v>1311</v>
      </c>
      <c r="AK332" s="256"/>
      <c r="AL332" s="256"/>
      <c r="AM332" s="256"/>
      <c r="AN332" s="256"/>
      <c r="AO332" s="256"/>
      <c r="AP332" s="256"/>
      <c r="AQ332" s="115"/>
      <c r="AR332" s="279" t="s">
        <v>1311</v>
      </c>
      <c r="AS332" s="372"/>
      <c r="AT332" s="289" t="s">
        <v>1311</v>
      </c>
      <c r="AU332" s="372"/>
      <c r="AV332" s="372"/>
    </row>
    <row r="333" spans="1:48" s="31" customFormat="1" ht="12.95" customHeight="1" x14ac:dyDescent="0.2">
      <c r="A333" s="206" t="s">
        <v>1312</v>
      </c>
      <c r="B333" s="274"/>
      <c r="C333" s="206" t="s">
        <v>1390</v>
      </c>
      <c r="D333" s="206" t="s">
        <v>2014</v>
      </c>
      <c r="E333" s="223" t="s">
        <v>2014</v>
      </c>
      <c r="F333" s="206"/>
      <c r="G333" s="207"/>
      <c r="H333" s="206" t="s">
        <v>1312</v>
      </c>
      <c r="I333" s="206"/>
      <c r="J333" s="206"/>
      <c r="K333" s="206"/>
      <c r="L333" s="207"/>
      <c r="M333" s="206"/>
      <c r="N333" s="206"/>
      <c r="O333" s="206"/>
      <c r="P333" s="206"/>
      <c r="Q333" s="207"/>
      <c r="R333" s="206"/>
      <c r="S333" s="206"/>
      <c r="T333" s="206"/>
      <c r="U333" s="207"/>
      <c r="V333" s="208"/>
      <c r="W333" s="208"/>
      <c r="X333" s="208"/>
      <c r="Y333" s="208"/>
      <c r="Z333" s="209"/>
      <c r="AA333" s="253"/>
      <c r="AB333" s="234" t="str">
        <f t="shared" si="93"/>
        <v>SFIO</v>
      </c>
      <c r="AC333" s="248"/>
      <c r="AD333" s="248"/>
      <c r="AE333" s="248"/>
      <c r="AF333" s="248"/>
      <c r="AG333" s="248"/>
      <c r="AH333" s="248"/>
      <c r="AI333" s="245"/>
      <c r="AJ333" s="183" t="s">
        <v>1312</v>
      </c>
      <c r="AK333" s="256"/>
      <c r="AL333" s="256"/>
      <c r="AM333" s="256"/>
      <c r="AN333" s="256"/>
      <c r="AO333" s="256"/>
      <c r="AP333" s="256"/>
      <c r="AQ333" s="115"/>
      <c r="AR333" s="279" t="s">
        <v>1312</v>
      </c>
      <c r="AS333" s="372"/>
      <c r="AT333" s="289" t="s">
        <v>1312</v>
      </c>
      <c r="AU333" s="372"/>
      <c r="AV333" s="372"/>
    </row>
    <row r="334" spans="1:48" s="31" customFormat="1" ht="12.95" customHeight="1" x14ac:dyDescent="0.2">
      <c r="A334" s="206" t="s">
        <v>1313</v>
      </c>
      <c r="B334" s="274"/>
      <c r="C334" s="206" t="s">
        <v>1391</v>
      </c>
      <c r="D334" s="206" t="s">
        <v>2015</v>
      </c>
      <c r="E334" s="223" t="s">
        <v>2015</v>
      </c>
      <c r="F334" s="206"/>
      <c r="G334" s="207"/>
      <c r="H334" s="206" t="s">
        <v>1313</v>
      </c>
      <c r="I334" s="206"/>
      <c r="J334" s="206"/>
      <c r="K334" s="206"/>
      <c r="L334" s="207"/>
      <c r="M334" s="206"/>
      <c r="N334" s="206"/>
      <c r="O334" s="206"/>
      <c r="P334" s="206"/>
      <c r="Q334" s="207"/>
      <c r="R334" s="206"/>
      <c r="S334" s="206"/>
      <c r="T334" s="206"/>
      <c r="U334" s="207"/>
      <c r="V334" s="208"/>
      <c r="W334" s="208"/>
      <c r="X334" s="208"/>
      <c r="Y334" s="208"/>
      <c r="Z334" s="209"/>
      <c r="AA334" s="253"/>
      <c r="AB334" s="234" t="str">
        <f t="shared" si="93"/>
        <v>SFIO</v>
      </c>
      <c r="AC334" s="248"/>
      <c r="AD334" s="248"/>
      <c r="AE334" s="248"/>
      <c r="AF334" s="248"/>
      <c r="AG334" s="248"/>
      <c r="AH334" s="248"/>
      <c r="AI334" s="245"/>
      <c r="AJ334" s="183" t="s">
        <v>1313</v>
      </c>
      <c r="AK334" s="256"/>
      <c r="AL334" s="256"/>
      <c r="AM334" s="256"/>
      <c r="AN334" s="256"/>
      <c r="AO334" s="256"/>
      <c r="AP334" s="256"/>
      <c r="AQ334" s="115"/>
      <c r="AR334" s="279" t="s">
        <v>1313</v>
      </c>
      <c r="AS334" s="372"/>
      <c r="AT334" s="289" t="s">
        <v>1313</v>
      </c>
      <c r="AU334" s="372"/>
      <c r="AV334" s="372"/>
    </row>
    <row r="335" spans="1:48" s="31" customFormat="1" ht="12.95" customHeight="1" x14ac:dyDescent="0.2">
      <c r="A335" s="206" t="s">
        <v>1314</v>
      </c>
      <c r="B335" s="274"/>
      <c r="C335" s="206" t="s">
        <v>1392</v>
      </c>
      <c r="D335" s="206" t="s">
        <v>2016</v>
      </c>
      <c r="E335" s="223" t="s">
        <v>2016</v>
      </c>
      <c r="F335" s="206"/>
      <c r="G335" s="207"/>
      <c r="H335" s="206" t="s">
        <v>1314</v>
      </c>
      <c r="I335" s="206"/>
      <c r="J335" s="206"/>
      <c r="K335" s="206"/>
      <c r="L335" s="207"/>
      <c r="M335" s="206"/>
      <c r="N335" s="206"/>
      <c r="O335" s="206"/>
      <c r="P335" s="206"/>
      <c r="Q335" s="207"/>
      <c r="R335" s="206"/>
      <c r="S335" s="206"/>
      <c r="T335" s="206"/>
      <c r="U335" s="207"/>
      <c r="V335" s="208"/>
      <c r="W335" s="208"/>
      <c r="X335" s="208"/>
      <c r="Y335" s="208"/>
      <c r="Z335" s="209"/>
      <c r="AA335" s="253"/>
      <c r="AB335" s="234" t="str">
        <f t="shared" si="93"/>
        <v>SFIO</v>
      </c>
      <c r="AC335" s="248"/>
      <c r="AD335" s="248"/>
      <c r="AE335" s="248"/>
      <c r="AF335" s="248"/>
      <c r="AG335" s="248"/>
      <c r="AH335" s="248"/>
      <c r="AI335" s="245"/>
      <c r="AJ335" s="183" t="s">
        <v>1314</v>
      </c>
      <c r="AK335" s="256"/>
      <c r="AL335" s="256"/>
      <c r="AM335" s="256"/>
      <c r="AN335" s="256"/>
      <c r="AO335" s="256"/>
      <c r="AP335" s="256"/>
      <c r="AQ335" s="115"/>
      <c r="AR335" s="279" t="s">
        <v>1314</v>
      </c>
      <c r="AS335" s="372"/>
      <c r="AT335" s="289" t="s">
        <v>1314</v>
      </c>
      <c r="AU335" s="372"/>
      <c r="AV335" s="372"/>
    </row>
    <row r="336" spans="1:48" s="31" customFormat="1" ht="12.95" customHeight="1" x14ac:dyDescent="0.2">
      <c r="A336" s="206" t="s">
        <v>1315</v>
      </c>
      <c r="B336" s="274"/>
      <c r="C336" s="206" t="s">
        <v>1393</v>
      </c>
      <c r="D336" s="206" t="s">
        <v>1384</v>
      </c>
      <c r="E336" s="223" t="s">
        <v>1384</v>
      </c>
      <c r="F336" s="206"/>
      <c r="G336" s="207"/>
      <c r="H336" s="206" t="s">
        <v>1315</v>
      </c>
      <c r="I336" s="206"/>
      <c r="J336" s="206"/>
      <c r="K336" s="206"/>
      <c r="L336" s="207"/>
      <c r="M336" s="206"/>
      <c r="N336" s="206"/>
      <c r="O336" s="206"/>
      <c r="P336" s="206"/>
      <c r="Q336" s="207"/>
      <c r="R336" s="206"/>
      <c r="S336" s="206"/>
      <c r="T336" s="206"/>
      <c r="U336" s="207"/>
      <c r="V336" s="208"/>
      <c r="W336" s="208"/>
      <c r="X336" s="208"/>
      <c r="Y336" s="208"/>
      <c r="Z336" s="209"/>
      <c r="AA336" s="253"/>
      <c r="AB336" s="234" t="str">
        <f t="shared" si="93"/>
        <v>SFIO</v>
      </c>
      <c r="AC336" s="248"/>
      <c r="AD336" s="248"/>
      <c r="AE336" s="248"/>
      <c r="AF336" s="248"/>
      <c r="AG336" s="248"/>
      <c r="AH336" s="248"/>
      <c r="AI336" s="245"/>
      <c r="AJ336" s="183" t="s">
        <v>1315</v>
      </c>
      <c r="AK336" s="256"/>
      <c r="AL336" s="256"/>
      <c r="AM336" s="256"/>
      <c r="AN336" s="256"/>
      <c r="AO336" s="256"/>
      <c r="AP336" s="256"/>
      <c r="AQ336" s="115"/>
      <c r="AR336" s="279" t="s">
        <v>1315</v>
      </c>
      <c r="AS336" s="372"/>
      <c r="AT336" s="289" t="s">
        <v>1315</v>
      </c>
      <c r="AU336" s="372"/>
      <c r="AV336" s="372"/>
    </row>
    <row r="337" spans="1:48" s="31" customFormat="1" ht="12.95" customHeight="1" x14ac:dyDescent="0.2">
      <c r="A337" s="206" t="s">
        <v>1316</v>
      </c>
      <c r="B337" s="274"/>
      <c r="C337" s="206" t="s">
        <v>1394</v>
      </c>
      <c r="D337" s="206" t="s">
        <v>1877</v>
      </c>
      <c r="E337" s="223" t="s">
        <v>1877</v>
      </c>
      <c r="F337" s="206"/>
      <c r="G337" s="207"/>
      <c r="H337" s="206" t="s">
        <v>1316</v>
      </c>
      <c r="I337" s="206"/>
      <c r="J337" s="206"/>
      <c r="K337" s="206"/>
      <c r="L337" s="207"/>
      <c r="M337" s="206"/>
      <c r="N337" s="206"/>
      <c r="O337" s="206"/>
      <c r="P337" s="206"/>
      <c r="Q337" s="207"/>
      <c r="R337" s="206"/>
      <c r="S337" s="206"/>
      <c r="T337" s="206"/>
      <c r="U337" s="207"/>
      <c r="V337" s="208"/>
      <c r="W337" s="208"/>
      <c r="X337" s="208"/>
      <c r="Y337" s="208"/>
      <c r="Z337" s="209"/>
      <c r="AA337" s="253"/>
      <c r="AB337" s="234" t="str">
        <f t="shared" si="93"/>
        <v>SFIO</v>
      </c>
      <c r="AC337" s="248"/>
      <c r="AD337" s="248"/>
      <c r="AE337" s="248"/>
      <c r="AF337" s="248"/>
      <c r="AG337" s="248"/>
      <c r="AH337" s="248"/>
      <c r="AI337" s="245"/>
      <c r="AJ337" s="183" t="s">
        <v>1316</v>
      </c>
      <c r="AK337" s="256"/>
      <c r="AL337" s="256"/>
      <c r="AM337" s="256"/>
      <c r="AN337" s="256"/>
      <c r="AO337" s="256"/>
      <c r="AP337" s="256"/>
      <c r="AQ337" s="115"/>
      <c r="AR337" s="279" t="s">
        <v>1316</v>
      </c>
      <c r="AS337" s="372"/>
      <c r="AT337" s="289" t="s">
        <v>1316</v>
      </c>
      <c r="AU337" s="372"/>
      <c r="AV337" s="372"/>
    </row>
    <row r="338" spans="1:48" s="31" customFormat="1" ht="12.95" customHeight="1" x14ac:dyDescent="0.2">
      <c r="A338" s="206" t="s">
        <v>1317</v>
      </c>
      <c r="B338" s="274"/>
      <c r="C338" s="206" t="s">
        <v>1395</v>
      </c>
      <c r="D338" s="206" t="s">
        <v>1414</v>
      </c>
      <c r="E338" s="223" t="s">
        <v>1414</v>
      </c>
      <c r="F338" s="206"/>
      <c r="G338" s="207"/>
      <c r="H338" s="206" t="s">
        <v>1317</v>
      </c>
      <c r="I338" s="206"/>
      <c r="J338" s="206"/>
      <c r="K338" s="206"/>
      <c r="L338" s="207"/>
      <c r="M338" s="206"/>
      <c r="N338" s="206"/>
      <c r="O338" s="206"/>
      <c r="P338" s="206"/>
      <c r="Q338" s="207"/>
      <c r="R338" s="206"/>
      <c r="S338" s="206"/>
      <c r="T338" s="206"/>
      <c r="U338" s="207"/>
      <c r="V338" s="208"/>
      <c r="W338" s="208"/>
      <c r="X338" s="208"/>
      <c r="Y338" s="208"/>
      <c r="Z338" s="209"/>
      <c r="AA338" s="253"/>
      <c r="AB338" s="234" t="str">
        <f t="shared" si="93"/>
        <v>SFIO</v>
      </c>
      <c r="AC338" s="248"/>
      <c r="AD338" s="248"/>
      <c r="AE338" s="248"/>
      <c r="AF338" s="248"/>
      <c r="AG338" s="248"/>
      <c r="AH338" s="248"/>
      <c r="AI338" s="245"/>
      <c r="AJ338" s="183" t="s">
        <v>1317</v>
      </c>
      <c r="AK338" s="256"/>
      <c r="AL338" s="256"/>
      <c r="AM338" s="256"/>
      <c r="AN338" s="256"/>
      <c r="AO338" s="256"/>
      <c r="AP338" s="256"/>
      <c r="AQ338" s="115"/>
      <c r="AR338" s="279" t="s">
        <v>1317</v>
      </c>
      <c r="AS338" s="372"/>
      <c r="AT338" s="289" t="s">
        <v>1317</v>
      </c>
      <c r="AU338" s="372"/>
      <c r="AV338" s="372"/>
    </row>
    <row r="339" spans="1:48" s="31" customFormat="1" ht="12.95" customHeight="1" x14ac:dyDescent="0.2">
      <c r="A339" s="206" t="s">
        <v>1318</v>
      </c>
      <c r="B339" s="274"/>
      <c r="C339" s="206" t="s">
        <v>1396</v>
      </c>
      <c r="D339" s="206" t="s">
        <v>2017</v>
      </c>
      <c r="E339" s="223" t="s">
        <v>2017</v>
      </c>
      <c r="F339" s="206"/>
      <c r="G339" s="207"/>
      <c r="H339" s="206" t="s">
        <v>1318</v>
      </c>
      <c r="I339" s="206"/>
      <c r="J339" s="206"/>
      <c r="K339" s="206"/>
      <c r="L339" s="207"/>
      <c r="M339" s="206"/>
      <c r="N339" s="206"/>
      <c r="O339" s="206"/>
      <c r="P339" s="206"/>
      <c r="Q339" s="207"/>
      <c r="R339" s="206"/>
      <c r="S339" s="206"/>
      <c r="T339" s="206"/>
      <c r="U339" s="207"/>
      <c r="V339" s="208"/>
      <c r="W339" s="208"/>
      <c r="X339" s="208"/>
      <c r="Y339" s="208"/>
      <c r="Z339" s="209"/>
      <c r="AA339" s="253"/>
      <c r="AB339" s="234" t="str">
        <f t="shared" si="93"/>
        <v>SFIO</v>
      </c>
      <c r="AC339" s="248"/>
      <c r="AD339" s="248"/>
      <c r="AE339" s="248"/>
      <c r="AF339" s="248"/>
      <c r="AG339" s="248"/>
      <c r="AH339" s="248"/>
      <c r="AI339" s="245"/>
      <c r="AJ339" s="183" t="s">
        <v>1318</v>
      </c>
      <c r="AK339" s="256"/>
      <c r="AL339" s="256"/>
      <c r="AM339" s="256"/>
      <c r="AN339" s="256"/>
      <c r="AO339" s="256"/>
      <c r="AP339" s="256"/>
      <c r="AQ339" s="115"/>
      <c r="AR339" s="279" t="s">
        <v>1318</v>
      </c>
      <c r="AS339" s="372"/>
      <c r="AT339" s="289" t="s">
        <v>1318</v>
      </c>
      <c r="AU339" s="372"/>
      <c r="AV339" s="372"/>
    </row>
    <row r="340" spans="1:48" s="31" customFormat="1" ht="12.95" customHeight="1" x14ac:dyDescent="0.2">
      <c r="A340" s="206" t="s">
        <v>1319</v>
      </c>
      <c r="B340" s="274"/>
      <c r="C340" s="206" t="s">
        <v>1397</v>
      </c>
      <c r="D340" s="206" t="s">
        <v>2018</v>
      </c>
      <c r="E340" s="223" t="s">
        <v>2018</v>
      </c>
      <c r="F340" s="206"/>
      <c r="G340" s="207"/>
      <c r="H340" s="206" t="s">
        <v>1319</v>
      </c>
      <c r="I340" s="206"/>
      <c r="J340" s="206"/>
      <c r="K340" s="206"/>
      <c r="L340" s="207"/>
      <c r="M340" s="206"/>
      <c r="N340" s="206"/>
      <c r="O340" s="206"/>
      <c r="P340" s="206"/>
      <c r="Q340" s="207"/>
      <c r="R340" s="206"/>
      <c r="S340" s="206"/>
      <c r="T340" s="206"/>
      <c r="U340" s="207"/>
      <c r="V340" s="208"/>
      <c r="W340" s="208"/>
      <c r="X340" s="208"/>
      <c r="Y340" s="208"/>
      <c r="Z340" s="209"/>
      <c r="AA340" s="253"/>
      <c r="AB340" s="234" t="str">
        <f t="shared" si="93"/>
        <v>SFIO</v>
      </c>
      <c r="AC340" s="248"/>
      <c r="AD340" s="248"/>
      <c r="AE340" s="248"/>
      <c r="AF340" s="248"/>
      <c r="AG340" s="248"/>
      <c r="AH340" s="248"/>
      <c r="AI340" s="245"/>
      <c r="AJ340" s="183" t="s">
        <v>1319</v>
      </c>
      <c r="AK340" s="256"/>
      <c r="AL340" s="256"/>
      <c r="AM340" s="256"/>
      <c r="AN340" s="256"/>
      <c r="AO340" s="256"/>
      <c r="AP340" s="256"/>
      <c r="AQ340" s="115"/>
      <c r="AR340" s="279" t="s">
        <v>1319</v>
      </c>
      <c r="AS340" s="372"/>
      <c r="AT340" s="289" t="s">
        <v>1319</v>
      </c>
      <c r="AU340" s="372"/>
      <c r="AV340" s="372"/>
    </row>
    <row r="341" spans="1:48" s="31" customFormat="1" ht="12.95" customHeight="1" x14ac:dyDescent="0.2">
      <c r="A341" s="206" t="s">
        <v>1320</v>
      </c>
      <c r="B341" s="274"/>
      <c r="C341" s="206" t="s">
        <v>1398</v>
      </c>
      <c r="D341" s="206" t="s">
        <v>1370</v>
      </c>
      <c r="E341" s="223" t="s">
        <v>1370</v>
      </c>
      <c r="F341" s="206"/>
      <c r="G341" s="207"/>
      <c r="H341" s="206" t="s">
        <v>1320</v>
      </c>
      <c r="I341" s="206"/>
      <c r="J341" s="206"/>
      <c r="K341" s="206"/>
      <c r="L341" s="207"/>
      <c r="M341" s="206"/>
      <c r="N341" s="206"/>
      <c r="O341" s="206"/>
      <c r="P341" s="206"/>
      <c r="Q341" s="207"/>
      <c r="R341" s="206"/>
      <c r="S341" s="206"/>
      <c r="T341" s="206"/>
      <c r="U341" s="207"/>
      <c r="V341" s="208"/>
      <c r="W341" s="208"/>
      <c r="X341" s="208"/>
      <c r="Y341" s="208"/>
      <c r="Z341" s="209"/>
      <c r="AA341" s="253"/>
      <c r="AB341" s="234" t="str">
        <f t="shared" si="93"/>
        <v>SFIO</v>
      </c>
      <c r="AC341" s="248"/>
      <c r="AD341" s="248"/>
      <c r="AE341" s="248"/>
      <c r="AF341" s="248"/>
      <c r="AG341" s="248"/>
      <c r="AH341" s="248"/>
      <c r="AI341" s="245"/>
      <c r="AJ341" s="183" t="s">
        <v>1320</v>
      </c>
      <c r="AK341" s="256"/>
      <c r="AL341" s="256"/>
      <c r="AM341" s="256"/>
      <c r="AN341" s="256"/>
      <c r="AO341" s="256"/>
      <c r="AP341" s="256"/>
      <c r="AQ341" s="115"/>
      <c r="AR341" s="279" t="s">
        <v>1320</v>
      </c>
      <c r="AS341" s="372"/>
      <c r="AT341" s="289" t="s">
        <v>1320</v>
      </c>
      <c r="AU341" s="372"/>
      <c r="AV341" s="372"/>
    </row>
    <row r="342" spans="1:48" s="31" customFormat="1" ht="12.95" customHeight="1" x14ac:dyDescent="0.2">
      <c r="A342" s="206" t="s">
        <v>1321</v>
      </c>
      <c r="B342" s="274"/>
      <c r="C342" s="206" t="s">
        <v>1399</v>
      </c>
      <c r="D342" s="206" t="s">
        <v>1385</v>
      </c>
      <c r="E342" s="223" t="s">
        <v>1385</v>
      </c>
      <c r="F342" s="206"/>
      <c r="G342" s="207"/>
      <c r="H342" s="206" t="s">
        <v>1321</v>
      </c>
      <c r="I342" s="206"/>
      <c r="J342" s="206"/>
      <c r="K342" s="206"/>
      <c r="L342" s="207"/>
      <c r="M342" s="206"/>
      <c r="N342" s="206"/>
      <c r="O342" s="206"/>
      <c r="P342" s="206"/>
      <c r="Q342" s="207"/>
      <c r="R342" s="206"/>
      <c r="S342" s="206"/>
      <c r="T342" s="206"/>
      <c r="U342" s="207"/>
      <c r="V342" s="208"/>
      <c r="W342" s="208"/>
      <c r="X342" s="208"/>
      <c r="Y342" s="208"/>
      <c r="Z342" s="209"/>
      <c r="AA342" s="253"/>
      <c r="AB342" s="234" t="str">
        <f t="shared" si="93"/>
        <v>SFIO</v>
      </c>
      <c r="AC342" s="248"/>
      <c r="AD342" s="248"/>
      <c r="AE342" s="248"/>
      <c r="AF342" s="248"/>
      <c r="AG342" s="248"/>
      <c r="AH342" s="248"/>
      <c r="AI342" s="245"/>
      <c r="AJ342" s="183" t="s">
        <v>1321</v>
      </c>
      <c r="AK342" s="256"/>
      <c r="AL342" s="256"/>
      <c r="AM342" s="256"/>
      <c r="AN342" s="256"/>
      <c r="AO342" s="256"/>
      <c r="AP342" s="256"/>
      <c r="AQ342" s="115"/>
      <c r="AR342" s="279" t="s">
        <v>1321</v>
      </c>
      <c r="AS342" s="372"/>
      <c r="AT342" s="289" t="s">
        <v>1321</v>
      </c>
      <c r="AU342" s="372"/>
      <c r="AV342" s="372"/>
    </row>
    <row r="343" spans="1:48" s="31" customFormat="1" ht="12.95" customHeight="1" x14ac:dyDescent="0.2">
      <c r="A343" s="206" t="s">
        <v>1322</v>
      </c>
      <c r="B343" s="274"/>
      <c r="C343" s="206" t="s">
        <v>1400</v>
      </c>
      <c r="D343" s="206" t="s">
        <v>2019</v>
      </c>
      <c r="E343" s="223" t="s">
        <v>2019</v>
      </c>
      <c r="F343" s="206"/>
      <c r="G343" s="207"/>
      <c r="H343" s="206" t="s">
        <v>1322</v>
      </c>
      <c r="I343" s="206"/>
      <c r="J343" s="206"/>
      <c r="K343" s="206"/>
      <c r="L343" s="207"/>
      <c r="M343" s="206"/>
      <c r="N343" s="206"/>
      <c r="O343" s="206"/>
      <c r="P343" s="206"/>
      <c r="Q343" s="207"/>
      <c r="R343" s="206"/>
      <c r="S343" s="206"/>
      <c r="T343" s="206"/>
      <c r="U343" s="207"/>
      <c r="V343" s="208"/>
      <c r="W343" s="208"/>
      <c r="X343" s="208"/>
      <c r="Y343" s="208"/>
      <c r="Z343" s="209"/>
      <c r="AA343" s="253"/>
      <c r="AB343" s="234" t="str">
        <f t="shared" si="93"/>
        <v>SFIO</v>
      </c>
      <c r="AC343" s="248"/>
      <c r="AD343" s="248"/>
      <c r="AE343" s="248"/>
      <c r="AF343" s="248"/>
      <c r="AG343" s="248"/>
      <c r="AH343" s="248"/>
      <c r="AI343" s="245"/>
      <c r="AJ343" s="183" t="s">
        <v>1322</v>
      </c>
      <c r="AK343" s="256"/>
      <c r="AL343" s="256"/>
      <c r="AM343" s="256"/>
      <c r="AN343" s="256"/>
      <c r="AO343" s="256"/>
      <c r="AP343" s="256"/>
      <c r="AQ343" s="115"/>
      <c r="AR343" s="279" t="s">
        <v>1322</v>
      </c>
      <c r="AS343" s="372"/>
      <c r="AT343" s="289" t="s">
        <v>1322</v>
      </c>
      <c r="AU343" s="372"/>
      <c r="AV343" s="372"/>
    </row>
    <row r="344" spans="1:48" s="31" customFormat="1" ht="12.95" customHeight="1" x14ac:dyDescent="0.2">
      <c r="A344" s="206" t="s">
        <v>1323</v>
      </c>
      <c r="B344" s="274"/>
      <c r="C344" s="206" t="s">
        <v>1401</v>
      </c>
      <c r="D344" s="206" t="s">
        <v>1400</v>
      </c>
      <c r="E344" s="223" t="s">
        <v>1400</v>
      </c>
      <c r="F344" s="206"/>
      <c r="G344" s="207"/>
      <c r="H344" s="206" t="s">
        <v>1323</v>
      </c>
      <c r="I344" s="206"/>
      <c r="J344" s="206"/>
      <c r="K344" s="206"/>
      <c r="L344" s="207"/>
      <c r="M344" s="206"/>
      <c r="N344" s="206"/>
      <c r="O344" s="206"/>
      <c r="P344" s="206"/>
      <c r="Q344" s="207"/>
      <c r="R344" s="206"/>
      <c r="S344" s="206"/>
      <c r="T344" s="206"/>
      <c r="U344" s="207"/>
      <c r="V344" s="208"/>
      <c r="W344" s="208"/>
      <c r="X344" s="208"/>
      <c r="Y344" s="208"/>
      <c r="Z344" s="209"/>
      <c r="AA344" s="253"/>
      <c r="AB344" s="234" t="str">
        <f t="shared" si="93"/>
        <v>SFIO</v>
      </c>
      <c r="AC344" s="248"/>
      <c r="AD344" s="248"/>
      <c r="AE344" s="248"/>
      <c r="AF344" s="248"/>
      <c r="AG344" s="248"/>
      <c r="AH344" s="248"/>
      <c r="AI344" s="245"/>
      <c r="AJ344" s="183" t="s">
        <v>1323</v>
      </c>
      <c r="AK344" s="256"/>
      <c r="AL344" s="256"/>
      <c r="AM344" s="256"/>
      <c r="AN344" s="256"/>
      <c r="AO344" s="256"/>
      <c r="AP344" s="256"/>
      <c r="AQ344" s="115"/>
      <c r="AR344" s="279" t="s">
        <v>1323</v>
      </c>
      <c r="AS344" s="372"/>
      <c r="AT344" s="289" t="s">
        <v>1323</v>
      </c>
      <c r="AU344" s="372"/>
      <c r="AV344" s="372"/>
    </row>
    <row r="345" spans="1:48" s="31" customFormat="1" ht="12.95" customHeight="1" x14ac:dyDescent="0.2">
      <c r="A345" s="206" t="s">
        <v>1324</v>
      </c>
      <c r="B345" s="274"/>
      <c r="C345" s="206" t="s">
        <v>1402</v>
      </c>
      <c r="D345" s="206" t="s">
        <v>2020</v>
      </c>
      <c r="E345" s="223" t="s">
        <v>2020</v>
      </c>
      <c r="F345" s="206"/>
      <c r="G345" s="207"/>
      <c r="H345" s="206" t="s">
        <v>1324</v>
      </c>
      <c r="I345" s="206"/>
      <c r="J345" s="206"/>
      <c r="K345" s="206"/>
      <c r="L345" s="207"/>
      <c r="M345" s="206"/>
      <c r="N345" s="206"/>
      <c r="O345" s="206"/>
      <c r="P345" s="206"/>
      <c r="Q345" s="207"/>
      <c r="R345" s="206"/>
      <c r="S345" s="206"/>
      <c r="T345" s="206"/>
      <c r="U345" s="207"/>
      <c r="V345" s="208"/>
      <c r="W345" s="208"/>
      <c r="X345" s="208"/>
      <c r="Y345" s="208"/>
      <c r="Z345" s="209"/>
      <c r="AA345" s="253"/>
      <c r="AB345" s="234" t="str">
        <f t="shared" si="93"/>
        <v>SFIO</v>
      </c>
      <c r="AC345" s="248"/>
      <c r="AD345" s="248"/>
      <c r="AE345" s="248"/>
      <c r="AF345" s="248"/>
      <c r="AG345" s="248"/>
      <c r="AH345" s="248"/>
      <c r="AI345" s="245"/>
      <c r="AJ345" s="183" t="s">
        <v>1324</v>
      </c>
      <c r="AK345" s="256"/>
      <c r="AL345" s="256"/>
      <c r="AM345" s="256"/>
      <c r="AN345" s="256"/>
      <c r="AO345" s="256"/>
      <c r="AP345" s="256"/>
      <c r="AQ345" s="115"/>
      <c r="AR345" s="279" t="s">
        <v>1324</v>
      </c>
      <c r="AS345" s="372"/>
      <c r="AT345" s="289" t="s">
        <v>1324</v>
      </c>
      <c r="AU345" s="372"/>
      <c r="AV345" s="372"/>
    </row>
    <row r="346" spans="1:48" s="31" customFormat="1" ht="12.95" customHeight="1" x14ac:dyDescent="0.2">
      <c r="A346" s="206" t="s">
        <v>1325</v>
      </c>
      <c r="B346" s="274"/>
      <c r="C346" s="206" t="s">
        <v>1403</v>
      </c>
      <c r="D346" s="206" t="s">
        <v>2021</v>
      </c>
      <c r="E346" s="223" t="s">
        <v>2021</v>
      </c>
      <c r="F346" s="206"/>
      <c r="G346" s="207"/>
      <c r="H346" s="206" t="s">
        <v>1325</v>
      </c>
      <c r="I346" s="206"/>
      <c r="J346" s="206"/>
      <c r="K346" s="206"/>
      <c r="L346" s="207"/>
      <c r="M346" s="206"/>
      <c r="N346" s="206"/>
      <c r="O346" s="206"/>
      <c r="P346" s="206"/>
      <c r="Q346" s="207"/>
      <c r="R346" s="206"/>
      <c r="S346" s="206"/>
      <c r="T346" s="206"/>
      <c r="U346" s="207"/>
      <c r="V346" s="208"/>
      <c r="W346" s="208"/>
      <c r="X346" s="208"/>
      <c r="Y346" s="208"/>
      <c r="Z346" s="209"/>
      <c r="AA346" s="253"/>
      <c r="AB346" s="234" t="str">
        <f t="shared" si="93"/>
        <v>SFIO</v>
      </c>
      <c r="AC346" s="248"/>
      <c r="AD346" s="248"/>
      <c r="AE346" s="248"/>
      <c r="AF346" s="248"/>
      <c r="AG346" s="248"/>
      <c r="AH346" s="248"/>
      <c r="AI346" s="245"/>
      <c r="AJ346" s="183" t="s">
        <v>1325</v>
      </c>
      <c r="AK346" s="256"/>
      <c r="AL346" s="256"/>
      <c r="AM346" s="256"/>
      <c r="AN346" s="256"/>
      <c r="AO346" s="256"/>
      <c r="AP346" s="256"/>
      <c r="AQ346" s="115"/>
      <c r="AR346" s="279" t="s">
        <v>1325</v>
      </c>
      <c r="AS346" s="372"/>
      <c r="AT346" s="289" t="s">
        <v>1325</v>
      </c>
      <c r="AU346" s="372"/>
      <c r="AV346" s="372"/>
    </row>
    <row r="347" spans="1:48" s="31" customFormat="1" ht="12.95" customHeight="1" x14ac:dyDescent="0.2">
      <c r="A347" s="206" t="s">
        <v>1326</v>
      </c>
      <c r="B347" s="274"/>
      <c r="C347" s="206" t="s">
        <v>1404</v>
      </c>
      <c r="D347" s="206" t="s">
        <v>2022</v>
      </c>
      <c r="E347" s="223" t="s">
        <v>2022</v>
      </c>
      <c r="F347" s="206"/>
      <c r="G347" s="207"/>
      <c r="H347" s="206" t="s">
        <v>1326</v>
      </c>
      <c r="I347" s="206"/>
      <c r="J347" s="206"/>
      <c r="K347" s="206"/>
      <c r="L347" s="207"/>
      <c r="M347" s="206"/>
      <c r="N347" s="206"/>
      <c r="O347" s="206"/>
      <c r="P347" s="206"/>
      <c r="Q347" s="207"/>
      <c r="R347" s="206"/>
      <c r="S347" s="206"/>
      <c r="T347" s="206"/>
      <c r="U347" s="207"/>
      <c r="V347" s="208"/>
      <c r="W347" s="208"/>
      <c r="X347" s="208"/>
      <c r="Y347" s="208"/>
      <c r="Z347" s="209"/>
      <c r="AA347" s="253"/>
      <c r="AB347" s="234" t="str">
        <f t="shared" si="93"/>
        <v>SFIO</v>
      </c>
      <c r="AC347" s="248"/>
      <c r="AD347" s="248"/>
      <c r="AE347" s="248"/>
      <c r="AF347" s="248"/>
      <c r="AG347" s="248"/>
      <c r="AH347" s="248"/>
      <c r="AI347" s="245"/>
      <c r="AJ347" s="183" t="s">
        <v>1326</v>
      </c>
      <c r="AK347" s="256"/>
      <c r="AL347" s="256"/>
      <c r="AM347" s="256"/>
      <c r="AN347" s="256"/>
      <c r="AO347" s="256"/>
      <c r="AP347" s="256"/>
      <c r="AQ347" s="115"/>
      <c r="AR347" s="279" t="s">
        <v>1326</v>
      </c>
      <c r="AS347" s="372"/>
      <c r="AT347" s="289" t="s">
        <v>1326</v>
      </c>
      <c r="AU347" s="372"/>
      <c r="AV347" s="372"/>
    </row>
    <row r="348" spans="1:48" s="31" customFormat="1" ht="12.95" customHeight="1" x14ac:dyDescent="0.2">
      <c r="A348" s="206" t="s">
        <v>1327</v>
      </c>
      <c r="B348" s="274"/>
      <c r="C348" s="206" t="s">
        <v>1405</v>
      </c>
      <c r="D348" s="206" t="s">
        <v>1404</v>
      </c>
      <c r="E348" s="223" t="s">
        <v>1404</v>
      </c>
      <c r="F348" s="206"/>
      <c r="G348" s="207"/>
      <c r="H348" s="206" t="s">
        <v>1327</v>
      </c>
      <c r="I348" s="206"/>
      <c r="J348" s="206"/>
      <c r="K348" s="206"/>
      <c r="L348" s="207"/>
      <c r="M348" s="206"/>
      <c r="N348" s="206"/>
      <c r="O348" s="206"/>
      <c r="P348" s="206"/>
      <c r="Q348" s="207"/>
      <c r="R348" s="206"/>
      <c r="S348" s="206"/>
      <c r="T348" s="206"/>
      <c r="U348" s="207"/>
      <c r="V348" s="208"/>
      <c r="W348" s="208"/>
      <c r="X348" s="208"/>
      <c r="Y348" s="208"/>
      <c r="Z348" s="209"/>
      <c r="AA348" s="253"/>
      <c r="AB348" s="234" t="str">
        <f t="shared" ref="AB348:AB363" si="94">IF((AJ348=H348),"SFIO",IF((AJ348=F348),"Unused"))</f>
        <v>SFIO</v>
      </c>
      <c r="AC348" s="248"/>
      <c r="AD348" s="248"/>
      <c r="AE348" s="248"/>
      <c r="AF348" s="248"/>
      <c r="AG348" s="248"/>
      <c r="AH348" s="248"/>
      <c r="AI348" s="245"/>
      <c r="AJ348" s="183" t="s">
        <v>1327</v>
      </c>
      <c r="AK348" s="256"/>
      <c r="AL348" s="256"/>
      <c r="AM348" s="256"/>
      <c r="AN348" s="256"/>
      <c r="AO348" s="256"/>
      <c r="AP348" s="256"/>
      <c r="AQ348" s="115"/>
      <c r="AR348" s="279" t="s">
        <v>1327</v>
      </c>
      <c r="AS348" s="372"/>
      <c r="AT348" s="289" t="s">
        <v>1327</v>
      </c>
      <c r="AU348" s="372"/>
      <c r="AV348" s="372"/>
    </row>
    <row r="349" spans="1:48" s="31" customFormat="1" ht="12.95" customHeight="1" x14ac:dyDescent="0.2">
      <c r="A349" s="206" t="s">
        <v>1328</v>
      </c>
      <c r="B349" s="274"/>
      <c r="C349" s="206" t="s">
        <v>1406</v>
      </c>
      <c r="D349" s="206" t="s">
        <v>1853</v>
      </c>
      <c r="E349" s="223" t="s">
        <v>1853</v>
      </c>
      <c r="F349" s="206"/>
      <c r="G349" s="207"/>
      <c r="H349" s="206" t="s">
        <v>1328</v>
      </c>
      <c r="I349" s="206"/>
      <c r="J349" s="206"/>
      <c r="K349" s="206"/>
      <c r="L349" s="207"/>
      <c r="M349" s="206"/>
      <c r="N349" s="206"/>
      <c r="O349" s="206"/>
      <c r="P349" s="206"/>
      <c r="Q349" s="207"/>
      <c r="R349" s="206"/>
      <c r="S349" s="206"/>
      <c r="T349" s="206"/>
      <c r="U349" s="207"/>
      <c r="V349" s="208"/>
      <c r="W349" s="208"/>
      <c r="X349" s="208"/>
      <c r="Y349" s="208"/>
      <c r="Z349" s="209"/>
      <c r="AA349" s="253"/>
      <c r="AB349" s="234" t="str">
        <f t="shared" si="94"/>
        <v>SFIO</v>
      </c>
      <c r="AC349" s="248"/>
      <c r="AD349" s="248"/>
      <c r="AE349" s="248"/>
      <c r="AF349" s="248"/>
      <c r="AG349" s="248"/>
      <c r="AH349" s="248"/>
      <c r="AI349" s="245"/>
      <c r="AJ349" s="183" t="s">
        <v>1328</v>
      </c>
      <c r="AK349" s="256"/>
      <c r="AL349" s="256"/>
      <c r="AM349" s="256"/>
      <c r="AN349" s="256"/>
      <c r="AO349" s="256"/>
      <c r="AP349" s="256"/>
      <c r="AQ349" s="115"/>
      <c r="AR349" s="279" t="s">
        <v>1328</v>
      </c>
      <c r="AS349" s="372"/>
      <c r="AT349" s="289" t="s">
        <v>1328</v>
      </c>
      <c r="AU349" s="372"/>
      <c r="AV349" s="372"/>
    </row>
    <row r="350" spans="1:48" s="31" customFormat="1" ht="12.95" customHeight="1" x14ac:dyDescent="0.2">
      <c r="A350" s="206" t="s">
        <v>1329</v>
      </c>
      <c r="B350" s="274"/>
      <c r="C350" s="206" t="s">
        <v>1407</v>
      </c>
      <c r="D350" s="206" t="s">
        <v>2023</v>
      </c>
      <c r="E350" s="223" t="s">
        <v>2023</v>
      </c>
      <c r="F350" s="206"/>
      <c r="G350" s="207"/>
      <c r="H350" s="206" t="s">
        <v>1329</v>
      </c>
      <c r="I350" s="206"/>
      <c r="J350" s="206"/>
      <c r="K350" s="206"/>
      <c r="L350" s="207"/>
      <c r="M350" s="206"/>
      <c r="N350" s="206"/>
      <c r="O350" s="206"/>
      <c r="P350" s="206"/>
      <c r="Q350" s="207"/>
      <c r="R350" s="206"/>
      <c r="S350" s="206"/>
      <c r="T350" s="206"/>
      <c r="U350" s="207"/>
      <c r="V350" s="208"/>
      <c r="W350" s="208"/>
      <c r="X350" s="208"/>
      <c r="Y350" s="208"/>
      <c r="Z350" s="209"/>
      <c r="AA350" s="253"/>
      <c r="AB350" s="234" t="str">
        <f t="shared" si="94"/>
        <v>SFIO</v>
      </c>
      <c r="AC350" s="248"/>
      <c r="AD350" s="248"/>
      <c r="AE350" s="248"/>
      <c r="AF350" s="248"/>
      <c r="AG350" s="248"/>
      <c r="AH350" s="248"/>
      <c r="AI350" s="245"/>
      <c r="AJ350" s="183" t="s">
        <v>1329</v>
      </c>
      <c r="AK350" s="256"/>
      <c r="AL350" s="256"/>
      <c r="AM350" s="256"/>
      <c r="AN350" s="256"/>
      <c r="AO350" s="256"/>
      <c r="AP350" s="256"/>
      <c r="AQ350" s="115"/>
      <c r="AR350" s="279" t="s">
        <v>1329</v>
      </c>
      <c r="AS350" s="372"/>
      <c r="AT350" s="289" t="s">
        <v>1329</v>
      </c>
      <c r="AU350" s="372"/>
      <c r="AV350" s="372"/>
    </row>
    <row r="351" spans="1:48" s="31" customFormat="1" ht="12.95" customHeight="1" x14ac:dyDescent="0.2">
      <c r="A351" s="206" t="s">
        <v>1330</v>
      </c>
      <c r="B351" s="274"/>
      <c r="C351" s="206" t="s">
        <v>1408</v>
      </c>
      <c r="D351" s="206" t="s">
        <v>2024</v>
      </c>
      <c r="E351" s="223" t="s">
        <v>2024</v>
      </c>
      <c r="F351" s="206"/>
      <c r="G351" s="207"/>
      <c r="H351" s="206" t="s">
        <v>1330</v>
      </c>
      <c r="I351" s="206"/>
      <c r="J351" s="206"/>
      <c r="K351" s="206"/>
      <c r="L351" s="207"/>
      <c r="M351" s="206"/>
      <c r="N351" s="206"/>
      <c r="O351" s="206"/>
      <c r="P351" s="206"/>
      <c r="Q351" s="207"/>
      <c r="R351" s="206"/>
      <c r="S351" s="206"/>
      <c r="T351" s="206"/>
      <c r="U351" s="207"/>
      <c r="V351" s="208"/>
      <c r="W351" s="208"/>
      <c r="X351" s="208"/>
      <c r="Y351" s="208"/>
      <c r="Z351" s="209"/>
      <c r="AA351" s="253"/>
      <c r="AB351" s="234" t="str">
        <f t="shared" si="94"/>
        <v>SFIO</v>
      </c>
      <c r="AC351" s="248"/>
      <c r="AD351" s="248"/>
      <c r="AE351" s="248"/>
      <c r="AF351" s="248"/>
      <c r="AG351" s="248"/>
      <c r="AH351" s="248"/>
      <c r="AI351" s="245"/>
      <c r="AJ351" s="183" t="s">
        <v>1330</v>
      </c>
      <c r="AK351" s="256"/>
      <c r="AL351" s="256"/>
      <c r="AM351" s="256"/>
      <c r="AN351" s="256"/>
      <c r="AO351" s="256"/>
      <c r="AP351" s="256"/>
      <c r="AQ351" s="115"/>
      <c r="AR351" s="279" t="s">
        <v>1330</v>
      </c>
      <c r="AS351" s="372"/>
      <c r="AT351" s="289" t="s">
        <v>1330</v>
      </c>
      <c r="AU351" s="372"/>
      <c r="AV351" s="372"/>
    </row>
    <row r="352" spans="1:48" s="31" customFormat="1" ht="12.95" customHeight="1" x14ac:dyDescent="0.2">
      <c r="A352" s="206" t="s">
        <v>1331</v>
      </c>
      <c r="B352" s="274"/>
      <c r="C352" s="206" t="s">
        <v>1409</v>
      </c>
      <c r="D352" s="206" t="s">
        <v>1395</v>
      </c>
      <c r="E352" s="223" t="s">
        <v>1395</v>
      </c>
      <c r="F352" s="206"/>
      <c r="G352" s="207"/>
      <c r="H352" s="206" t="s">
        <v>1331</v>
      </c>
      <c r="I352" s="206"/>
      <c r="J352" s="206"/>
      <c r="K352" s="206"/>
      <c r="L352" s="207"/>
      <c r="M352" s="206"/>
      <c r="N352" s="206"/>
      <c r="O352" s="206"/>
      <c r="P352" s="206"/>
      <c r="Q352" s="207"/>
      <c r="R352" s="206"/>
      <c r="S352" s="206"/>
      <c r="T352" s="206"/>
      <c r="U352" s="207"/>
      <c r="V352" s="208"/>
      <c r="W352" s="208"/>
      <c r="X352" s="208"/>
      <c r="Y352" s="208"/>
      <c r="Z352" s="209"/>
      <c r="AA352" s="253"/>
      <c r="AB352" s="234" t="str">
        <f t="shared" si="94"/>
        <v>SFIO</v>
      </c>
      <c r="AC352" s="248"/>
      <c r="AD352" s="248"/>
      <c r="AE352" s="248"/>
      <c r="AF352" s="248"/>
      <c r="AG352" s="248"/>
      <c r="AH352" s="248"/>
      <c r="AI352" s="245"/>
      <c r="AJ352" s="183" t="s">
        <v>1331</v>
      </c>
      <c r="AK352" s="256"/>
      <c r="AL352" s="256"/>
      <c r="AM352" s="256"/>
      <c r="AN352" s="256"/>
      <c r="AO352" s="256"/>
      <c r="AP352" s="256"/>
      <c r="AQ352" s="116"/>
      <c r="AR352" s="279" t="s">
        <v>1331</v>
      </c>
      <c r="AS352" s="372"/>
      <c r="AT352" s="289" t="s">
        <v>1331</v>
      </c>
      <c r="AU352" s="372"/>
      <c r="AV352" s="372"/>
    </row>
    <row r="353" spans="1:48" s="31" customFormat="1" ht="12.95" customHeight="1" x14ac:dyDescent="0.2">
      <c r="A353" s="206" t="s">
        <v>1332</v>
      </c>
      <c r="B353" s="274" t="s">
        <v>2992</v>
      </c>
      <c r="C353" s="206" t="s">
        <v>1410</v>
      </c>
      <c r="D353" s="206" t="s">
        <v>2025</v>
      </c>
      <c r="E353" s="220" t="s">
        <v>2025</v>
      </c>
      <c r="F353" s="206" t="str">
        <f t="shared" ref="F353:F361" si="95">CONCATENATE("unused_",A353)</f>
        <v>unused_DDR_ODT0</v>
      </c>
      <c r="G353" s="207"/>
      <c r="H353" s="206" t="s">
        <v>1332</v>
      </c>
      <c r="I353" s="206"/>
      <c r="J353" s="206"/>
      <c r="K353" s="206"/>
      <c r="L353" s="207"/>
      <c r="M353" s="206"/>
      <c r="N353" s="206"/>
      <c r="O353" s="206"/>
      <c r="P353" s="206"/>
      <c r="Q353" s="207"/>
      <c r="R353" s="206"/>
      <c r="S353" s="206"/>
      <c r="T353" s="206"/>
      <c r="U353" s="207"/>
      <c r="V353" s="208"/>
      <c r="W353" s="208"/>
      <c r="X353" s="208"/>
      <c r="Y353" s="208"/>
      <c r="Z353" s="209"/>
      <c r="AA353" s="253"/>
      <c r="AB353" s="234" t="str">
        <f t="shared" si="94"/>
        <v>Unused</v>
      </c>
      <c r="AC353" s="248"/>
      <c r="AD353" s="248"/>
      <c r="AE353" s="248"/>
      <c r="AF353" s="248"/>
      <c r="AG353" s="248"/>
      <c r="AH353" s="248"/>
      <c r="AI353" s="245"/>
      <c r="AJ353" s="183" t="s">
        <v>2136</v>
      </c>
      <c r="AK353" s="256"/>
      <c r="AL353" s="256"/>
      <c r="AM353" s="256"/>
      <c r="AN353" s="256"/>
      <c r="AO353" s="256"/>
      <c r="AP353" s="256"/>
      <c r="AQ353" s="392" t="s">
        <v>1229</v>
      </c>
      <c r="AR353" s="279" t="s">
        <v>2136</v>
      </c>
      <c r="AS353" s="372"/>
      <c r="AT353" s="289" t="s">
        <v>1332</v>
      </c>
      <c r="AU353" s="372"/>
      <c r="AV353" s="372"/>
    </row>
    <row r="354" spans="1:48" s="31" customFormat="1" ht="12.95" customHeight="1" x14ac:dyDescent="0.2">
      <c r="A354" s="206" t="s">
        <v>1333</v>
      </c>
      <c r="B354" s="274" t="s">
        <v>2992</v>
      </c>
      <c r="C354" s="206" t="s">
        <v>1411</v>
      </c>
      <c r="D354" s="206" t="s">
        <v>2026</v>
      </c>
      <c r="E354" s="220" t="s">
        <v>2026</v>
      </c>
      <c r="F354" s="206" t="str">
        <f t="shared" si="95"/>
        <v>unused_DDR_ODT1</v>
      </c>
      <c r="G354" s="207"/>
      <c r="H354" s="206" t="s">
        <v>1333</v>
      </c>
      <c r="I354" s="206"/>
      <c r="J354" s="206"/>
      <c r="K354" s="206"/>
      <c r="L354" s="207"/>
      <c r="M354" s="206"/>
      <c r="N354" s="206"/>
      <c r="O354" s="206"/>
      <c r="P354" s="206"/>
      <c r="Q354" s="207"/>
      <c r="R354" s="206"/>
      <c r="S354" s="206"/>
      <c r="T354" s="206"/>
      <c r="U354" s="207"/>
      <c r="V354" s="208"/>
      <c r="W354" s="208"/>
      <c r="X354" s="208"/>
      <c r="Y354" s="208"/>
      <c r="Z354" s="209"/>
      <c r="AA354" s="253"/>
      <c r="AB354" s="234" t="str">
        <f t="shared" si="94"/>
        <v>Unused</v>
      </c>
      <c r="AC354" s="248"/>
      <c r="AD354" s="248"/>
      <c r="AE354" s="248"/>
      <c r="AF354" s="248"/>
      <c r="AG354" s="248"/>
      <c r="AH354" s="248"/>
      <c r="AI354" s="245"/>
      <c r="AJ354" s="183" t="s">
        <v>2137</v>
      </c>
      <c r="AK354" s="256"/>
      <c r="AL354" s="256"/>
      <c r="AM354" s="256"/>
      <c r="AN354" s="256"/>
      <c r="AO354" s="256"/>
      <c r="AP354" s="256"/>
      <c r="AQ354" s="393"/>
      <c r="AR354" s="279" t="s">
        <v>2137</v>
      </c>
      <c r="AS354" s="372"/>
      <c r="AT354" s="289" t="s">
        <v>1333</v>
      </c>
      <c r="AU354" s="108"/>
      <c r="AV354" s="124"/>
    </row>
    <row r="355" spans="1:48" s="31" customFormat="1" ht="12.95" customHeight="1" x14ac:dyDescent="0.2">
      <c r="A355" s="206" t="s">
        <v>1334</v>
      </c>
      <c r="B355" s="274"/>
      <c r="C355" s="206" t="s">
        <v>1412</v>
      </c>
      <c r="D355" s="206" t="s">
        <v>1594</v>
      </c>
      <c r="E355" s="223" t="s">
        <v>1594</v>
      </c>
      <c r="F355" s="206"/>
      <c r="G355" s="207"/>
      <c r="H355" s="206" t="s">
        <v>1334</v>
      </c>
      <c r="I355" s="206"/>
      <c r="J355" s="206"/>
      <c r="K355" s="206"/>
      <c r="L355" s="207"/>
      <c r="M355" s="206"/>
      <c r="N355" s="206"/>
      <c r="O355" s="206"/>
      <c r="P355" s="206"/>
      <c r="Q355" s="207"/>
      <c r="R355" s="206"/>
      <c r="S355" s="206"/>
      <c r="T355" s="206"/>
      <c r="U355" s="207"/>
      <c r="V355" s="208"/>
      <c r="W355" s="208"/>
      <c r="X355" s="208"/>
      <c r="Y355" s="208"/>
      <c r="Z355" s="209"/>
      <c r="AA355" s="253"/>
      <c r="AB355" s="234" t="str">
        <f t="shared" si="94"/>
        <v>SFIO</v>
      </c>
      <c r="AC355" s="248"/>
      <c r="AD355" s="248"/>
      <c r="AE355" s="248"/>
      <c r="AF355" s="248"/>
      <c r="AG355" s="248"/>
      <c r="AH355" s="248"/>
      <c r="AI355" s="245"/>
      <c r="AJ355" s="183" t="s">
        <v>1334</v>
      </c>
      <c r="AK355" s="256"/>
      <c r="AL355" s="256"/>
      <c r="AM355" s="256"/>
      <c r="AN355" s="256"/>
      <c r="AO355" s="256"/>
      <c r="AP355" s="256"/>
      <c r="AQ355" s="114" t="s">
        <v>2159</v>
      </c>
      <c r="AR355" s="279" t="s">
        <v>1334</v>
      </c>
      <c r="AS355" s="372"/>
      <c r="AT355" s="289" t="s">
        <v>1334</v>
      </c>
      <c r="AU355" s="371" t="s">
        <v>2109</v>
      </c>
      <c r="AV355" s="371" t="s">
        <v>2109</v>
      </c>
    </row>
    <row r="356" spans="1:48" s="31" customFormat="1" ht="12.95" customHeight="1" x14ac:dyDescent="0.2">
      <c r="A356" s="206" t="s">
        <v>1335</v>
      </c>
      <c r="B356" s="274"/>
      <c r="C356" s="206" t="s">
        <v>1413</v>
      </c>
      <c r="D356" s="206" t="s">
        <v>1413</v>
      </c>
      <c r="E356" s="223" t="s">
        <v>1413</v>
      </c>
      <c r="F356" s="206"/>
      <c r="G356" s="207"/>
      <c r="H356" s="206" t="s">
        <v>1335</v>
      </c>
      <c r="I356" s="206"/>
      <c r="J356" s="206"/>
      <c r="K356" s="206"/>
      <c r="L356" s="207"/>
      <c r="M356" s="206"/>
      <c r="N356" s="206"/>
      <c r="O356" s="206"/>
      <c r="P356" s="206"/>
      <c r="Q356" s="207"/>
      <c r="R356" s="206"/>
      <c r="S356" s="206"/>
      <c r="T356" s="206"/>
      <c r="U356" s="207"/>
      <c r="V356" s="208"/>
      <c r="W356" s="208"/>
      <c r="X356" s="208"/>
      <c r="Y356" s="208"/>
      <c r="Z356" s="209"/>
      <c r="AA356" s="253"/>
      <c r="AB356" s="234" t="str">
        <f t="shared" si="94"/>
        <v>SFIO</v>
      </c>
      <c r="AC356" s="248"/>
      <c r="AD356" s="248"/>
      <c r="AE356" s="248"/>
      <c r="AF356" s="248"/>
      <c r="AG356" s="248"/>
      <c r="AH356" s="248"/>
      <c r="AI356" s="245"/>
      <c r="AJ356" s="183" t="s">
        <v>1335</v>
      </c>
      <c r="AK356" s="256"/>
      <c r="AL356" s="256"/>
      <c r="AM356" s="256"/>
      <c r="AN356" s="256"/>
      <c r="AO356" s="256"/>
      <c r="AP356" s="256"/>
      <c r="AQ356" s="115"/>
      <c r="AR356" s="279" t="s">
        <v>1335</v>
      </c>
      <c r="AS356" s="372"/>
      <c r="AT356" s="289" t="s">
        <v>1335</v>
      </c>
      <c r="AU356" s="372"/>
      <c r="AV356" s="372"/>
    </row>
    <row r="357" spans="1:48" s="31" customFormat="1" ht="12.95" customHeight="1" x14ac:dyDescent="0.2">
      <c r="A357" s="206" t="s">
        <v>1336</v>
      </c>
      <c r="B357" s="274"/>
      <c r="C357" s="206" t="s">
        <v>1414</v>
      </c>
      <c r="D357" s="206" t="s">
        <v>1342</v>
      </c>
      <c r="E357" s="223" t="s">
        <v>1342</v>
      </c>
      <c r="F357" s="206"/>
      <c r="G357" s="207"/>
      <c r="H357" s="206" t="s">
        <v>1336</v>
      </c>
      <c r="I357" s="206"/>
      <c r="J357" s="206"/>
      <c r="K357" s="206"/>
      <c r="L357" s="207"/>
      <c r="M357" s="206"/>
      <c r="N357" s="206"/>
      <c r="O357" s="206"/>
      <c r="P357" s="206"/>
      <c r="Q357" s="207"/>
      <c r="R357" s="206"/>
      <c r="S357" s="206"/>
      <c r="T357" s="206"/>
      <c r="U357" s="207"/>
      <c r="V357" s="208"/>
      <c r="W357" s="208"/>
      <c r="X357" s="208"/>
      <c r="Y357" s="208"/>
      <c r="Z357" s="209"/>
      <c r="AA357" s="253"/>
      <c r="AB357" s="234" t="str">
        <f t="shared" si="94"/>
        <v>SFIO</v>
      </c>
      <c r="AC357" s="248"/>
      <c r="AD357" s="248"/>
      <c r="AE357" s="248"/>
      <c r="AF357" s="248"/>
      <c r="AG357" s="248"/>
      <c r="AH357" s="248"/>
      <c r="AI357" s="245"/>
      <c r="AJ357" s="183" t="s">
        <v>1336</v>
      </c>
      <c r="AK357" s="256"/>
      <c r="AL357" s="256"/>
      <c r="AM357" s="256"/>
      <c r="AN357" s="256"/>
      <c r="AO357" s="256"/>
      <c r="AP357" s="256"/>
      <c r="AQ357" s="115"/>
      <c r="AR357" s="279" t="s">
        <v>1336</v>
      </c>
      <c r="AS357" s="372"/>
      <c r="AT357" s="289" t="s">
        <v>1336</v>
      </c>
      <c r="AU357" s="372"/>
      <c r="AV357" s="372"/>
    </row>
    <row r="358" spans="1:48" s="31" customFormat="1" ht="12.95" customHeight="1" x14ac:dyDescent="0.2">
      <c r="A358" s="206" t="s">
        <v>1337</v>
      </c>
      <c r="B358" s="274"/>
      <c r="C358" s="206" t="s">
        <v>1415</v>
      </c>
      <c r="D358" s="206" t="s">
        <v>2027</v>
      </c>
      <c r="E358" s="223" t="s">
        <v>2027</v>
      </c>
      <c r="F358" s="206"/>
      <c r="G358" s="207"/>
      <c r="H358" s="206" t="s">
        <v>1337</v>
      </c>
      <c r="I358" s="206"/>
      <c r="J358" s="206"/>
      <c r="K358" s="206"/>
      <c r="L358" s="207"/>
      <c r="M358" s="206"/>
      <c r="N358" s="206"/>
      <c r="O358" s="206"/>
      <c r="P358" s="206"/>
      <c r="Q358" s="207"/>
      <c r="R358" s="206"/>
      <c r="S358" s="206"/>
      <c r="T358" s="206"/>
      <c r="U358" s="207"/>
      <c r="V358" s="208"/>
      <c r="W358" s="208"/>
      <c r="X358" s="208"/>
      <c r="Y358" s="208"/>
      <c r="Z358" s="209"/>
      <c r="AA358" s="253"/>
      <c r="AB358" s="234" t="str">
        <f t="shared" si="94"/>
        <v>SFIO</v>
      </c>
      <c r="AC358" s="248"/>
      <c r="AD358" s="248"/>
      <c r="AE358" s="248"/>
      <c r="AF358" s="248"/>
      <c r="AG358" s="248"/>
      <c r="AH358" s="248"/>
      <c r="AI358" s="245"/>
      <c r="AJ358" s="183" t="s">
        <v>1337</v>
      </c>
      <c r="AK358" s="256"/>
      <c r="AL358" s="256"/>
      <c r="AM358" s="256"/>
      <c r="AN358" s="256"/>
      <c r="AO358" s="256"/>
      <c r="AP358" s="256"/>
      <c r="AQ358" s="116"/>
      <c r="AR358" s="279" t="s">
        <v>1337</v>
      </c>
      <c r="AS358" s="372"/>
      <c r="AT358" s="289" t="s">
        <v>1337</v>
      </c>
      <c r="AU358" s="372"/>
      <c r="AV358" s="372"/>
    </row>
    <row r="359" spans="1:48" s="31" customFormat="1" ht="12.95" customHeight="1" x14ac:dyDescent="0.2">
      <c r="A359" s="206" t="s">
        <v>1338</v>
      </c>
      <c r="B359" s="274" t="s">
        <v>2992</v>
      </c>
      <c r="C359" s="206" t="s">
        <v>1416</v>
      </c>
      <c r="D359" s="206" t="s">
        <v>2028</v>
      </c>
      <c r="E359" s="220" t="s">
        <v>2028</v>
      </c>
      <c r="F359" s="206" t="str">
        <f t="shared" si="95"/>
        <v>unused_DDR_RAS_N</v>
      </c>
      <c r="G359" s="207"/>
      <c r="H359" s="206" t="s">
        <v>1338</v>
      </c>
      <c r="I359" s="206"/>
      <c r="J359" s="206"/>
      <c r="K359" s="206"/>
      <c r="L359" s="207"/>
      <c r="M359" s="206"/>
      <c r="N359" s="206"/>
      <c r="O359" s="206"/>
      <c r="P359" s="206"/>
      <c r="Q359" s="207"/>
      <c r="R359" s="206"/>
      <c r="S359" s="206"/>
      <c r="T359" s="206"/>
      <c r="U359" s="207"/>
      <c r="V359" s="208"/>
      <c r="W359" s="208"/>
      <c r="X359" s="208"/>
      <c r="Y359" s="208"/>
      <c r="Z359" s="209"/>
      <c r="AA359" s="253"/>
      <c r="AB359" s="234" t="str">
        <f t="shared" si="94"/>
        <v>Unused</v>
      </c>
      <c r="AC359" s="248"/>
      <c r="AD359" s="248"/>
      <c r="AE359" s="248"/>
      <c r="AF359" s="248"/>
      <c r="AG359" s="248"/>
      <c r="AH359" s="248"/>
      <c r="AI359" s="245"/>
      <c r="AJ359" s="183" t="s">
        <v>2270</v>
      </c>
      <c r="AK359" s="256"/>
      <c r="AL359" s="256"/>
      <c r="AM359" s="256"/>
      <c r="AN359" s="256"/>
      <c r="AO359" s="256"/>
      <c r="AP359" s="256"/>
      <c r="AQ359" s="392" t="s">
        <v>1229</v>
      </c>
      <c r="AR359" s="279" t="s">
        <v>2270</v>
      </c>
      <c r="AS359" s="372"/>
      <c r="AT359" s="289" t="s">
        <v>1338</v>
      </c>
      <c r="AU359" s="372"/>
      <c r="AV359" s="372"/>
    </row>
    <row r="360" spans="1:48" s="31" customFormat="1" ht="12.95" customHeight="1" x14ac:dyDescent="0.2">
      <c r="A360" s="206" t="s">
        <v>1339</v>
      </c>
      <c r="B360" s="274" t="s">
        <v>2992</v>
      </c>
      <c r="C360" s="206" t="s">
        <v>1417</v>
      </c>
      <c r="D360" s="206" t="s">
        <v>2029</v>
      </c>
      <c r="E360" s="220" t="s">
        <v>2029</v>
      </c>
      <c r="F360" s="206" t="str">
        <f t="shared" si="95"/>
        <v>unused_DDR_RESET</v>
      </c>
      <c r="G360" s="207"/>
      <c r="H360" s="206" t="s">
        <v>1339</v>
      </c>
      <c r="I360" s="206"/>
      <c r="J360" s="206"/>
      <c r="K360" s="206"/>
      <c r="L360" s="207"/>
      <c r="M360" s="206"/>
      <c r="N360" s="206"/>
      <c r="O360" s="206"/>
      <c r="P360" s="206"/>
      <c r="Q360" s="207"/>
      <c r="R360" s="206"/>
      <c r="S360" s="206"/>
      <c r="T360" s="206"/>
      <c r="U360" s="207"/>
      <c r="V360" s="208"/>
      <c r="W360" s="208"/>
      <c r="X360" s="208"/>
      <c r="Y360" s="208"/>
      <c r="Z360" s="209"/>
      <c r="AA360" s="253"/>
      <c r="AB360" s="234" t="str">
        <f t="shared" si="94"/>
        <v>Unused</v>
      </c>
      <c r="AC360" s="248"/>
      <c r="AD360" s="248"/>
      <c r="AE360" s="248"/>
      <c r="AF360" s="248"/>
      <c r="AG360" s="248"/>
      <c r="AH360" s="248"/>
      <c r="AI360" s="245"/>
      <c r="AJ360" s="183" t="s">
        <v>2271</v>
      </c>
      <c r="AK360" s="256"/>
      <c r="AL360" s="256"/>
      <c r="AM360" s="256"/>
      <c r="AN360" s="256"/>
      <c r="AO360" s="256"/>
      <c r="AP360" s="256"/>
      <c r="AQ360" s="408"/>
      <c r="AR360" s="279" t="s">
        <v>2271</v>
      </c>
      <c r="AS360" s="372"/>
      <c r="AT360" s="289" t="s">
        <v>1339</v>
      </c>
      <c r="AU360" s="372"/>
      <c r="AV360" s="372"/>
    </row>
    <row r="361" spans="1:48" s="31" customFormat="1" ht="12.95" customHeight="1" x14ac:dyDescent="0.2">
      <c r="A361" s="206" t="s">
        <v>1340</v>
      </c>
      <c r="B361" s="274" t="s">
        <v>2992</v>
      </c>
      <c r="C361" s="206" t="s">
        <v>1418</v>
      </c>
      <c r="D361" s="206" t="s">
        <v>2030</v>
      </c>
      <c r="E361" s="218" t="s">
        <v>2030</v>
      </c>
      <c r="F361" s="206" t="str">
        <f t="shared" si="95"/>
        <v>unused_DDR_WE_N</v>
      </c>
      <c r="G361" s="207"/>
      <c r="H361" s="206" t="s">
        <v>1340</v>
      </c>
      <c r="I361" s="206"/>
      <c r="J361" s="206"/>
      <c r="K361" s="206"/>
      <c r="L361" s="207"/>
      <c r="M361" s="206"/>
      <c r="N361" s="206"/>
      <c r="O361" s="206"/>
      <c r="P361" s="206"/>
      <c r="Q361" s="207"/>
      <c r="R361" s="206"/>
      <c r="S361" s="206"/>
      <c r="T361" s="206"/>
      <c r="U361" s="207"/>
      <c r="V361" s="208"/>
      <c r="W361" s="208"/>
      <c r="X361" s="208"/>
      <c r="Y361" s="208"/>
      <c r="Z361" s="209"/>
      <c r="AA361" s="253"/>
      <c r="AB361" s="234" t="str">
        <f t="shared" si="94"/>
        <v>Unused</v>
      </c>
      <c r="AC361" s="248"/>
      <c r="AD361" s="248"/>
      <c r="AE361" s="248"/>
      <c r="AF361" s="248"/>
      <c r="AG361" s="248"/>
      <c r="AH361" s="248"/>
      <c r="AI361" s="245"/>
      <c r="AJ361" s="183" t="s">
        <v>2272</v>
      </c>
      <c r="AK361" s="256"/>
      <c r="AL361" s="256"/>
      <c r="AM361" s="256"/>
      <c r="AN361" s="256"/>
      <c r="AO361" s="256"/>
      <c r="AP361" s="256"/>
      <c r="AQ361" s="393"/>
      <c r="AR361" s="279" t="s">
        <v>2272</v>
      </c>
      <c r="AS361" s="372"/>
      <c r="AT361" s="289" t="s">
        <v>1340</v>
      </c>
      <c r="AU361" s="372"/>
      <c r="AV361" s="372"/>
    </row>
    <row r="362" spans="1:48" s="31" customFormat="1" ht="12.95" customHeight="1" x14ac:dyDescent="0.2">
      <c r="A362" s="206" t="s">
        <v>2320</v>
      </c>
      <c r="B362" s="274"/>
      <c r="C362" s="206" t="s">
        <v>2322</v>
      </c>
      <c r="D362" s="206" t="s">
        <v>2324</v>
      </c>
      <c r="E362" s="223" t="s">
        <v>2324</v>
      </c>
      <c r="F362" s="206"/>
      <c r="G362" s="207"/>
      <c r="H362" s="206" t="s">
        <v>2320</v>
      </c>
      <c r="I362" s="206"/>
      <c r="J362" s="206"/>
      <c r="K362" s="206"/>
      <c r="L362" s="207"/>
      <c r="M362" s="206"/>
      <c r="N362" s="206"/>
      <c r="O362" s="206"/>
      <c r="P362" s="206"/>
      <c r="Q362" s="207"/>
      <c r="R362" s="206"/>
      <c r="S362" s="206"/>
      <c r="T362" s="206"/>
      <c r="U362" s="207"/>
      <c r="V362" s="208"/>
      <c r="W362" s="208"/>
      <c r="X362" s="208"/>
      <c r="Y362" s="208"/>
      <c r="Z362" s="209"/>
      <c r="AA362" s="253"/>
      <c r="AB362" s="234" t="str">
        <f t="shared" si="94"/>
        <v>SFIO</v>
      </c>
      <c r="AC362" s="248"/>
      <c r="AD362" s="248"/>
      <c r="AE362" s="248"/>
      <c r="AF362" s="248"/>
      <c r="AG362" s="248"/>
      <c r="AH362" s="248"/>
      <c r="AI362" s="245"/>
      <c r="AJ362" s="184" t="s">
        <v>2320</v>
      </c>
      <c r="AK362" s="256"/>
      <c r="AL362" s="256"/>
      <c r="AM362" s="256"/>
      <c r="AN362" s="256"/>
      <c r="AO362" s="256"/>
      <c r="AP362" s="256"/>
      <c r="AQ362" s="134" t="s">
        <v>2159</v>
      </c>
      <c r="AR362" s="280" t="s">
        <v>2320</v>
      </c>
      <c r="AS362" s="372"/>
      <c r="AT362" s="289" t="s">
        <v>2320</v>
      </c>
      <c r="AU362" s="372"/>
      <c r="AV362" s="372"/>
    </row>
    <row r="363" spans="1:48" s="31" customFormat="1" ht="12.95" customHeight="1" x14ac:dyDescent="0.2">
      <c r="A363" s="206" t="s">
        <v>2321</v>
      </c>
      <c r="B363" s="274"/>
      <c r="C363" s="206" t="s">
        <v>2323</v>
      </c>
      <c r="D363" s="206" t="s">
        <v>1345</v>
      </c>
      <c r="E363" s="223" t="s">
        <v>1345</v>
      </c>
      <c r="F363" s="206"/>
      <c r="G363" s="207"/>
      <c r="H363" s="206" t="s">
        <v>2321</v>
      </c>
      <c r="I363" s="206"/>
      <c r="J363" s="206"/>
      <c r="K363" s="206"/>
      <c r="L363" s="207"/>
      <c r="M363" s="206"/>
      <c r="N363" s="206"/>
      <c r="O363" s="206"/>
      <c r="P363" s="206"/>
      <c r="Q363" s="207"/>
      <c r="R363" s="206"/>
      <c r="S363" s="206"/>
      <c r="T363" s="206"/>
      <c r="U363" s="207"/>
      <c r="V363" s="208"/>
      <c r="W363" s="208"/>
      <c r="X363" s="208"/>
      <c r="Y363" s="208"/>
      <c r="Z363" s="209"/>
      <c r="AA363" s="254"/>
      <c r="AB363" s="234" t="str">
        <f t="shared" si="94"/>
        <v>SFIO</v>
      </c>
      <c r="AC363" s="249"/>
      <c r="AD363" s="249"/>
      <c r="AE363" s="249"/>
      <c r="AF363" s="249"/>
      <c r="AG363" s="249"/>
      <c r="AH363" s="249"/>
      <c r="AI363" s="250"/>
      <c r="AJ363" s="185" t="s">
        <v>2321</v>
      </c>
      <c r="AK363" s="256"/>
      <c r="AL363" s="256"/>
      <c r="AM363" s="256"/>
      <c r="AN363" s="256"/>
      <c r="AO363" s="256"/>
      <c r="AP363" s="256"/>
      <c r="AQ363" s="137"/>
      <c r="AR363" s="280" t="s">
        <v>2321</v>
      </c>
      <c r="AS363" s="373"/>
      <c r="AT363" s="290" t="s">
        <v>2321</v>
      </c>
      <c r="AU363" s="373"/>
      <c r="AV363" s="373"/>
    </row>
    <row r="364" spans="1:48" s="30" customFormat="1" ht="18" customHeight="1" x14ac:dyDescent="0.25">
      <c r="A364" s="161" t="s">
        <v>1256</v>
      </c>
      <c r="B364" s="275"/>
      <c r="C364" s="161"/>
      <c r="D364" s="161"/>
      <c r="E364" s="222"/>
      <c r="F364" s="161"/>
      <c r="G364" s="204"/>
      <c r="H364" s="161"/>
      <c r="I364" s="161"/>
      <c r="J364" s="161"/>
      <c r="K364" s="161"/>
      <c r="L364" s="204"/>
      <c r="M364" s="161"/>
      <c r="N364" s="161"/>
      <c r="O364" s="161"/>
      <c r="P364" s="161"/>
      <c r="Q364" s="204"/>
      <c r="R364" s="161"/>
      <c r="S364" s="161"/>
      <c r="T364" s="161"/>
      <c r="U364" s="204"/>
      <c r="V364" s="161"/>
      <c r="W364" s="161"/>
      <c r="X364" s="161"/>
      <c r="Y364" s="161"/>
      <c r="Z364" s="205"/>
      <c r="AA364" s="238"/>
      <c r="AB364" s="239"/>
      <c r="AC364" s="239"/>
      <c r="AD364" s="239"/>
      <c r="AE364" s="239"/>
      <c r="AF364" s="239"/>
      <c r="AG364" s="239"/>
      <c r="AH364" s="239"/>
      <c r="AI364" s="240"/>
      <c r="AJ364" s="161"/>
      <c r="AK364" s="174"/>
      <c r="AL364" s="174"/>
      <c r="AM364" s="173"/>
      <c r="AN364" s="174"/>
      <c r="AO364" s="174"/>
      <c r="AP364" s="174"/>
      <c r="AQ364" s="46"/>
      <c r="AR364" s="278"/>
      <c r="AS364" s="46"/>
      <c r="AT364" s="287"/>
      <c r="AU364" s="46"/>
      <c r="AV364" s="46"/>
    </row>
    <row r="365" spans="1:48" s="31" customFormat="1" ht="12.95" customHeight="1" x14ac:dyDescent="0.2">
      <c r="A365" s="206" t="s">
        <v>1419</v>
      </c>
      <c r="B365" s="274"/>
      <c r="C365" s="206" t="s">
        <v>1420</v>
      </c>
      <c r="D365" s="206" t="s">
        <v>2031</v>
      </c>
      <c r="E365" s="223" t="s">
        <v>2031</v>
      </c>
      <c r="F365" s="206" t="str">
        <f t="shared" ref="F365:F385" si="96">CONCATENATE("unused_",A365)</f>
        <v>unused_CSI_CLKAN</v>
      </c>
      <c r="G365" s="207"/>
      <c r="H365" s="206" t="s">
        <v>1419</v>
      </c>
      <c r="I365" s="206"/>
      <c r="J365" s="206"/>
      <c r="K365" s="206"/>
      <c r="L365" s="207"/>
      <c r="M365" s="206"/>
      <c r="N365" s="206"/>
      <c r="O365" s="206"/>
      <c r="P365" s="206"/>
      <c r="Q365" s="207"/>
      <c r="R365" s="206"/>
      <c r="S365" s="206"/>
      <c r="T365" s="206"/>
      <c r="U365" s="207"/>
      <c r="V365" s="208"/>
      <c r="W365" s="208"/>
      <c r="X365" s="208"/>
      <c r="Y365" s="208"/>
      <c r="Z365" s="209"/>
      <c r="AA365" s="255"/>
      <c r="AB365" s="241" t="str">
        <f t="shared" ref="AB365:AB385" si="97">IF((AJ365=H365),"SFIO",IF((AJ365=F365),"Unused"))</f>
        <v>Unused</v>
      </c>
      <c r="AC365" s="251"/>
      <c r="AD365" s="251"/>
      <c r="AE365" s="251"/>
      <c r="AF365" s="251"/>
      <c r="AG365" s="251"/>
      <c r="AH365" s="251"/>
      <c r="AI365" s="246"/>
      <c r="AJ365" s="183" t="s">
        <v>2232</v>
      </c>
      <c r="AK365" s="256"/>
      <c r="AL365" s="256"/>
      <c r="AM365" s="256"/>
      <c r="AN365" s="256"/>
      <c r="AO365" s="256"/>
      <c r="AP365" s="256"/>
      <c r="AQ365" s="380" t="s">
        <v>2450</v>
      </c>
      <c r="AR365" s="279" t="s">
        <v>1419</v>
      </c>
      <c r="AS365" s="380" t="s">
        <v>2114</v>
      </c>
      <c r="AT365" s="288" t="s">
        <v>1419</v>
      </c>
      <c r="AU365" s="439" t="s">
        <v>2114</v>
      </c>
      <c r="AV365" s="380" t="s">
        <v>2451</v>
      </c>
    </row>
    <row r="366" spans="1:48" s="31" customFormat="1" ht="12.95" customHeight="1" x14ac:dyDescent="0.2">
      <c r="A366" s="206" t="s">
        <v>1421</v>
      </c>
      <c r="B366" s="274"/>
      <c r="C366" s="206" t="s">
        <v>1422</v>
      </c>
      <c r="D366" s="206" t="s">
        <v>2032</v>
      </c>
      <c r="E366" s="223" t="s">
        <v>2032</v>
      </c>
      <c r="F366" s="206" t="str">
        <f t="shared" si="96"/>
        <v>unused_CSI_CLKAP</v>
      </c>
      <c r="G366" s="207"/>
      <c r="H366" s="206" t="s">
        <v>1421</v>
      </c>
      <c r="I366" s="206"/>
      <c r="J366" s="206"/>
      <c r="K366" s="206"/>
      <c r="L366" s="207"/>
      <c r="M366" s="206"/>
      <c r="N366" s="206"/>
      <c r="O366" s="206"/>
      <c r="P366" s="206"/>
      <c r="Q366" s="207"/>
      <c r="R366" s="206"/>
      <c r="S366" s="206"/>
      <c r="T366" s="206"/>
      <c r="U366" s="207"/>
      <c r="V366" s="208"/>
      <c r="W366" s="208"/>
      <c r="X366" s="208"/>
      <c r="Y366" s="208"/>
      <c r="Z366" s="209"/>
      <c r="AA366" s="255"/>
      <c r="AB366" s="234" t="str">
        <f t="shared" si="97"/>
        <v>Unused</v>
      </c>
      <c r="AC366" s="251"/>
      <c r="AD366" s="251"/>
      <c r="AE366" s="251"/>
      <c r="AF366" s="251"/>
      <c r="AG366" s="251"/>
      <c r="AH366" s="251"/>
      <c r="AI366" s="246"/>
      <c r="AJ366" s="183" t="s">
        <v>2138</v>
      </c>
      <c r="AK366" s="256"/>
      <c r="AL366" s="256"/>
      <c r="AM366" s="256"/>
      <c r="AN366" s="256"/>
      <c r="AO366" s="256"/>
      <c r="AP366" s="256"/>
      <c r="AQ366" s="381"/>
      <c r="AR366" s="279" t="s">
        <v>1421</v>
      </c>
      <c r="AS366" s="395"/>
      <c r="AT366" s="289" t="s">
        <v>1421</v>
      </c>
      <c r="AU366" s="440"/>
      <c r="AV366" s="395"/>
    </row>
    <row r="367" spans="1:48" s="31" customFormat="1" ht="12.95" customHeight="1" x14ac:dyDescent="0.2">
      <c r="A367" s="206" t="s">
        <v>1423</v>
      </c>
      <c r="B367" s="274"/>
      <c r="C367" s="206" t="s">
        <v>1424</v>
      </c>
      <c r="D367" s="206" t="s">
        <v>2033</v>
      </c>
      <c r="E367" s="223" t="s">
        <v>2033</v>
      </c>
      <c r="F367" s="206" t="str">
        <f t="shared" si="96"/>
        <v>unused_CSI_CLKBN</v>
      </c>
      <c r="G367" s="207"/>
      <c r="H367" s="206" t="s">
        <v>1423</v>
      </c>
      <c r="I367" s="206"/>
      <c r="J367" s="206"/>
      <c r="K367" s="206"/>
      <c r="L367" s="207"/>
      <c r="M367" s="206"/>
      <c r="N367" s="206"/>
      <c r="O367" s="206"/>
      <c r="P367" s="206"/>
      <c r="Q367" s="207"/>
      <c r="R367" s="206"/>
      <c r="S367" s="206"/>
      <c r="T367" s="206"/>
      <c r="U367" s="207"/>
      <c r="V367" s="208"/>
      <c r="W367" s="208"/>
      <c r="X367" s="208"/>
      <c r="Y367" s="208"/>
      <c r="Z367" s="209"/>
      <c r="AA367" s="255"/>
      <c r="AB367" s="234" t="str">
        <f t="shared" si="97"/>
        <v>Unused</v>
      </c>
      <c r="AC367" s="251"/>
      <c r="AD367" s="251"/>
      <c r="AE367" s="251"/>
      <c r="AF367" s="251"/>
      <c r="AG367" s="251"/>
      <c r="AH367" s="251"/>
      <c r="AI367" s="246"/>
      <c r="AJ367" s="183" t="s">
        <v>2139</v>
      </c>
      <c r="AK367" s="256"/>
      <c r="AL367" s="256"/>
      <c r="AM367" s="256"/>
      <c r="AN367" s="256"/>
      <c r="AO367" s="256"/>
      <c r="AP367" s="256"/>
      <c r="AQ367" s="380" t="s">
        <v>2451</v>
      </c>
      <c r="AR367" s="279" t="s">
        <v>1423</v>
      </c>
      <c r="AS367" s="395"/>
      <c r="AT367" s="289" t="s">
        <v>1423</v>
      </c>
      <c r="AU367" s="440"/>
      <c r="AV367" s="395"/>
    </row>
    <row r="368" spans="1:48" s="31" customFormat="1" ht="12.95" customHeight="1" x14ac:dyDescent="0.2">
      <c r="A368" s="206" t="s">
        <v>1425</v>
      </c>
      <c r="B368" s="274"/>
      <c r="C368" s="206" t="s">
        <v>1426</v>
      </c>
      <c r="D368" s="206" t="s">
        <v>2034</v>
      </c>
      <c r="E368" s="223" t="s">
        <v>2034</v>
      </c>
      <c r="F368" s="206" t="str">
        <f t="shared" si="96"/>
        <v>unused_CSI_CLKBP</v>
      </c>
      <c r="G368" s="207"/>
      <c r="H368" s="206" t="s">
        <v>1425</v>
      </c>
      <c r="I368" s="206"/>
      <c r="J368" s="206"/>
      <c r="K368" s="206"/>
      <c r="L368" s="207"/>
      <c r="M368" s="206"/>
      <c r="N368" s="206"/>
      <c r="O368" s="206"/>
      <c r="P368" s="206"/>
      <c r="Q368" s="207"/>
      <c r="R368" s="206"/>
      <c r="S368" s="206"/>
      <c r="T368" s="206"/>
      <c r="U368" s="207"/>
      <c r="V368" s="208"/>
      <c r="W368" s="208"/>
      <c r="X368" s="208"/>
      <c r="Y368" s="208"/>
      <c r="Z368" s="209"/>
      <c r="AA368" s="255"/>
      <c r="AB368" s="234" t="str">
        <f t="shared" si="97"/>
        <v>Unused</v>
      </c>
      <c r="AC368" s="251"/>
      <c r="AD368" s="251"/>
      <c r="AE368" s="251"/>
      <c r="AF368" s="251"/>
      <c r="AG368" s="251"/>
      <c r="AH368" s="251"/>
      <c r="AI368" s="246"/>
      <c r="AJ368" s="183" t="s">
        <v>2233</v>
      </c>
      <c r="AK368" s="256"/>
      <c r="AL368" s="256"/>
      <c r="AM368" s="256"/>
      <c r="AN368" s="256"/>
      <c r="AO368" s="256"/>
      <c r="AP368" s="256"/>
      <c r="AQ368" s="382"/>
      <c r="AR368" s="279" t="s">
        <v>1425</v>
      </c>
      <c r="AS368" s="395"/>
      <c r="AT368" s="289" t="s">
        <v>1425</v>
      </c>
      <c r="AU368" s="440"/>
      <c r="AV368" s="395"/>
    </row>
    <row r="369" spans="1:48" s="31" customFormat="1" ht="12.95" customHeight="1" x14ac:dyDescent="0.2">
      <c r="A369" s="206" t="s">
        <v>1427</v>
      </c>
      <c r="B369" s="274"/>
      <c r="C369" s="206" t="s">
        <v>1428</v>
      </c>
      <c r="D369" s="206" t="s">
        <v>2035</v>
      </c>
      <c r="E369" s="223" t="s">
        <v>2035</v>
      </c>
      <c r="F369" s="206" t="str">
        <f t="shared" si="96"/>
        <v>unused_CSI_D1AN</v>
      </c>
      <c r="G369" s="207"/>
      <c r="H369" s="206" t="s">
        <v>1427</v>
      </c>
      <c r="I369" s="206"/>
      <c r="J369" s="206"/>
      <c r="K369" s="206"/>
      <c r="L369" s="207"/>
      <c r="M369" s="206"/>
      <c r="N369" s="206"/>
      <c r="O369" s="206"/>
      <c r="P369" s="206"/>
      <c r="Q369" s="207"/>
      <c r="R369" s="206"/>
      <c r="S369" s="206"/>
      <c r="T369" s="206"/>
      <c r="U369" s="207"/>
      <c r="V369" s="208"/>
      <c r="W369" s="208"/>
      <c r="X369" s="208"/>
      <c r="Y369" s="208"/>
      <c r="Z369" s="209"/>
      <c r="AA369" s="255"/>
      <c r="AB369" s="234" t="str">
        <f t="shared" si="97"/>
        <v>Unused</v>
      </c>
      <c r="AC369" s="251"/>
      <c r="AD369" s="251"/>
      <c r="AE369" s="251"/>
      <c r="AF369" s="251"/>
      <c r="AG369" s="251"/>
      <c r="AH369" s="251"/>
      <c r="AI369" s="246"/>
      <c r="AJ369" s="183" t="s">
        <v>2140</v>
      </c>
      <c r="AK369" s="256"/>
      <c r="AL369" s="256"/>
      <c r="AM369" s="256"/>
      <c r="AN369" s="256"/>
      <c r="AO369" s="256"/>
      <c r="AP369" s="256"/>
      <c r="AQ369" s="380" t="s">
        <v>2450</v>
      </c>
      <c r="AR369" s="279" t="s">
        <v>1427</v>
      </c>
      <c r="AS369" s="395"/>
      <c r="AT369" s="289" t="s">
        <v>1427</v>
      </c>
      <c r="AU369" s="440"/>
      <c r="AV369" s="395"/>
    </row>
    <row r="370" spans="1:48" s="31" customFormat="1" ht="12.95" customHeight="1" x14ac:dyDescent="0.2">
      <c r="A370" s="206" t="s">
        <v>1429</v>
      </c>
      <c r="B370" s="274"/>
      <c r="C370" s="206" t="s">
        <v>1430</v>
      </c>
      <c r="D370" s="206" t="s">
        <v>1447</v>
      </c>
      <c r="E370" s="223" t="s">
        <v>1447</v>
      </c>
      <c r="F370" s="206" t="str">
        <f t="shared" si="96"/>
        <v>unused_CSI_D1AP</v>
      </c>
      <c r="G370" s="207"/>
      <c r="H370" s="206" t="s">
        <v>1429</v>
      </c>
      <c r="I370" s="206"/>
      <c r="J370" s="206"/>
      <c r="K370" s="206"/>
      <c r="L370" s="207"/>
      <c r="M370" s="206"/>
      <c r="N370" s="206"/>
      <c r="O370" s="206"/>
      <c r="P370" s="206"/>
      <c r="Q370" s="207"/>
      <c r="R370" s="206"/>
      <c r="S370" s="206"/>
      <c r="T370" s="206"/>
      <c r="U370" s="207"/>
      <c r="V370" s="208"/>
      <c r="W370" s="208"/>
      <c r="X370" s="208"/>
      <c r="Y370" s="208"/>
      <c r="Z370" s="209"/>
      <c r="AA370" s="255"/>
      <c r="AB370" s="234" t="str">
        <f t="shared" si="97"/>
        <v>Unused</v>
      </c>
      <c r="AC370" s="251"/>
      <c r="AD370" s="251"/>
      <c r="AE370" s="251"/>
      <c r="AF370" s="251"/>
      <c r="AG370" s="251"/>
      <c r="AH370" s="251"/>
      <c r="AI370" s="246"/>
      <c r="AJ370" s="183" t="s">
        <v>2141</v>
      </c>
      <c r="AK370" s="256"/>
      <c r="AL370" s="256"/>
      <c r="AM370" s="256"/>
      <c r="AN370" s="256"/>
      <c r="AO370" s="256"/>
      <c r="AP370" s="256"/>
      <c r="AQ370" s="381"/>
      <c r="AR370" s="279" t="s">
        <v>1429</v>
      </c>
      <c r="AS370" s="396"/>
      <c r="AT370" s="289" t="s">
        <v>1429</v>
      </c>
      <c r="AU370" s="441"/>
      <c r="AV370" s="396"/>
    </row>
    <row r="371" spans="1:48" s="31" customFormat="1" ht="12.95" customHeight="1" x14ac:dyDescent="0.2">
      <c r="A371" s="206" t="s">
        <v>1431</v>
      </c>
      <c r="B371" s="274"/>
      <c r="C371" s="206" t="s">
        <v>1432</v>
      </c>
      <c r="D371" s="206" t="s">
        <v>1460</v>
      </c>
      <c r="E371" s="223" t="s">
        <v>1460</v>
      </c>
      <c r="F371" s="206" t="str">
        <f t="shared" si="96"/>
        <v>unused_CSI_D1BN</v>
      </c>
      <c r="G371" s="207"/>
      <c r="H371" s="206" t="s">
        <v>1431</v>
      </c>
      <c r="I371" s="206"/>
      <c r="J371" s="206"/>
      <c r="K371" s="206"/>
      <c r="L371" s="207"/>
      <c r="M371" s="206"/>
      <c r="N371" s="206"/>
      <c r="O371" s="206"/>
      <c r="P371" s="206"/>
      <c r="Q371" s="207"/>
      <c r="R371" s="206"/>
      <c r="S371" s="206"/>
      <c r="T371" s="206"/>
      <c r="U371" s="207"/>
      <c r="V371" s="208"/>
      <c r="W371" s="208"/>
      <c r="X371" s="208"/>
      <c r="Y371" s="208"/>
      <c r="Z371" s="209"/>
      <c r="AA371" s="255"/>
      <c r="AB371" s="234" t="str">
        <f t="shared" si="97"/>
        <v>Unused</v>
      </c>
      <c r="AC371" s="251"/>
      <c r="AD371" s="251"/>
      <c r="AE371" s="251"/>
      <c r="AF371" s="251"/>
      <c r="AG371" s="251"/>
      <c r="AH371" s="251"/>
      <c r="AI371" s="246"/>
      <c r="AJ371" s="183" t="s">
        <v>2234</v>
      </c>
      <c r="AK371" s="256"/>
      <c r="AL371" s="256"/>
      <c r="AM371" s="256"/>
      <c r="AN371" s="256"/>
      <c r="AO371" s="256"/>
      <c r="AP371" s="256"/>
      <c r="AQ371" s="380" t="s">
        <v>2451</v>
      </c>
      <c r="AR371" s="279" t="s">
        <v>1431</v>
      </c>
      <c r="AS371" s="380" t="s">
        <v>2115</v>
      </c>
      <c r="AT371" s="289" t="s">
        <v>1431</v>
      </c>
      <c r="AU371" s="439" t="s">
        <v>2115</v>
      </c>
      <c r="AV371" s="398"/>
    </row>
    <row r="372" spans="1:48" s="31" customFormat="1" ht="12.95" customHeight="1" x14ac:dyDescent="0.2">
      <c r="A372" s="206" t="s">
        <v>1433</v>
      </c>
      <c r="B372" s="274"/>
      <c r="C372" s="206" t="s">
        <v>1434</v>
      </c>
      <c r="D372" s="206" t="s">
        <v>2036</v>
      </c>
      <c r="E372" s="223" t="s">
        <v>2036</v>
      </c>
      <c r="F372" s="206" t="str">
        <f t="shared" si="96"/>
        <v>unused_CSI_D1BP</v>
      </c>
      <c r="G372" s="207"/>
      <c r="H372" s="206" t="s">
        <v>1433</v>
      </c>
      <c r="I372" s="206"/>
      <c r="J372" s="206"/>
      <c r="K372" s="206"/>
      <c r="L372" s="207"/>
      <c r="M372" s="206"/>
      <c r="N372" s="206"/>
      <c r="O372" s="206"/>
      <c r="P372" s="206"/>
      <c r="Q372" s="207"/>
      <c r="R372" s="206"/>
      <c r="S372" s="206"/>
      <c r="T372" s="206"/>
      <c r="U372" s="207"/>
      <c r="V372" s="208"/>
      <c r="W372" s="208"/>
      <c r="X372" s="208"/>
      <c r="Y372" s="208"/>
      <c r="Z372" s="209"/>
      <c r="AA372" s="255"/>
      <c r="AB372" s="234" t="str">
        <f t="shared" si="97"/>
        <v>Unused</v>
      </c>
      <c r="AC372" s="251"/>
      <c r="AD372" s="251"/>
      <c r="AE372" s="251"/>
      <c r="AF372" s="251"/>
      <c r="AG372" s="251"/>
      <c r="AH372" s="251"/>
      <c r="AI372" s="246"/>
      <c r="AJ372" s="183" t="s">
        <v>2142</v>
      </c>
      <c r="AK372" s="256"/>
      <c r="AL372" s="256"/>
      <c r="AM372" s="256"/>
      <c r="AN372" s="256"/>
      <c r="AO372" s="256"/>
      <c r="AP372" s="256"/>
      <c r="AQ372" s="381"/>
      <c r="AR372" s="279" t="s">
        <v>1433</v>
      </c>
      <c r="AS372" s="395"/>
      <c r="AT372" s="289" t="s">
        <v>1433</v>
      </c>
      <c r="AU372" s="440"/>
      <c r="AV372" s="399"/>
    </row>
    <row r="373" spans="1:48" s="31" customFormat="1" ht="12.95" customHeight="1" x14ac:dyDescent="0.2">
      <c r="A373" s="206" t="s">
        <v>1435</v>
      </c>
      <c r="B373" s="274"/>
      <c r="C373" s="206" t="s">
        <v>1436</v>
      </c>
      <c r="D373" s="206" t="s">
        <v>2037</v>
      </c>
      <c r="E373" s="223" t="s">
        <v>2037</v>
      </c>
      <c r="F373" s="206" t="str">
        <f t="shared" si="96"/>
        <v>unused_CSI_D2AN</v>
      </c>
      <c r="G373" s="207"/>
      <c r="H373" s="206" t="s">
        <v>1435</v>
      </c>
      <c r="I373" s="206"/>
      <c r="J373" s="206"/>
      <c r="K373" s="206"/>
      <c r="L373" s="207"/>
      <c r="M373" s="206"/>
      <c r="N373" s="206"/>
      <c r="O373" s="206"/>
      <c r="P373" s="206"/>
      <c r="Q373" s="207"/>
      <c r="R373" s="206"/>
      <c r="S373" s="206"/>
      <c r="T373" s="206"/>
      <c r="U373" s="207"/>
      <c r="V373" s="208"/>
      <c r="W373" s="208"/>
      <c r="X373" s="208"/>
      <c r="Y373" s="208"/>
      <c r="Z373" s="209"/>
      <c r="AA373" s="255"/>
      <c r="AB373" s="234" t="str">
        <f t="shared" si="97"/>
        <v>Unused</v>
      </c>
      <c r="AC373" s="251"/>
      <c r="AD373" s="251"/>
      <c r="AE373" s="251"/>
      <c r="AF373" s="251"/>
      <c r="AG373" s="251"/>
      <c r="AH373" s="251"/>
      <c r="AI373" s="246"/>
      <c r="AJ373" s="183" t="s">
        <v>2143</v>
      </c>
      <c r="AK373" s="256"/>
      <c r="AL373" s="256"/>
      <c r="AM373" s="256"/>
      <c r="AN373" s="256"/>
      <c r="AO373" s="256"/>
      <c r="AP373" s="256"/>
      <c r="AQ373" s="138"/>
      <c r="AR373" s="279" t="s">
        <v>1435</v>
      </c>
      <c r="AS373" s="395"/>
      <c r="AT373" s="289" t="s">
        <v>1435</v>
      </c>
      <c r="AU373" s="440"/>
      <c r="AV373" s="399"/>
    </row>
    <row r="374" spans="1:48" s="31" customFormat="1" ht="12.95" customHeight="1" x14ac:dyDescent="0.2">
      <c r="A374" s="206" t="s">
        <v>1437</v>
      </c>
      <c r="B374" s="274"/>
      <c r="C374" s="206" t="s">
        <v>1438</v>
      </c>
      <c r="D374" s="206" t="s">
        <v>1792</v>
      </c>
      <c r="E374" s="223" t="s">
        <v>1792</v>
      </c>
      <c r="F374" s="206" t="str">
        <f t="shared" si="96"/>
        <v>unused_CSI_D2AP</v>
      </c>
      <c r="G374" s="207"/>
      <c r="H374" s="206" t="s">
        <v>1437</v>
      </c>
      <c r="I374" s="206"/>
      <c r="J374" s="206"/>
      <c r="K374" s="206"/>
      <c r="L374" s="207"/>
      <c r="M374" s="206"/>
      <c r="N374" s="206"/>
      <c r="O374" s="206"/>
      <c r="P374" s="206"/>
      <c r="Q374" s="207"/>
      <c r="R374" s="206"/>
      <c r="S374" s="206"/>
      <c r="T374" s="206"/>
      <c r="U374" s="207"/>
      <c r="V374" s="208"/>
      <c r="W374" s="208"/>
      <c r="X374" s="208"/>
      <c r="Y374" s="208"/>
      <c r="Z374" s="209"/>
      <c r="AA374" s="255"/>
      <c r="AB374" s="234" t="str">
        <f t="shared" si="97"/>
        <v>Unused</v>
      </c>
      <c r="AC374" s="251"/>
      <c r="AD374" s="251"/>
      <c r="AE374" s="251"/>
      <c r="AF374" s="251"/>
      <c r="AG374" s="251"/>
      <c r="AH374" s="251"/>
      <c r="AI374" s="246"/>
      <c r="AJ374" s="183" t="s">
        <v>2235</v>
      </c>
      <c r="AK374" s="256"/>
      <c r="AL374" s="256"/>
      <c r="AM374" s="256"/>
      <c r="AN374" s="256"/>
      <c r="AO374" s="256"/>
      <c r="AP374" s="256"/>
      <c r="AQ374" s="138"/>
      <c r="AR374" s="279" t="s">
        <v>1437</v>
      </c>
      <c r="AS374" s="395"/>
      <c r="AT374" s="289" t="s">
        <v>1437</v>
      </c>
      <c r="AU374" s="440"/>
      <c r="AV374" s="399"/>
    </row>
    <row r="375" spans="1:48" s="31" customFormat="1" ht="12.95" customHeight="1" x14ac:dyDescent="0.2">
      <c r="A375" s="206" t="s">
        <v>1439</v>
      </c>
      <c r="B375" s="274"/>
      <c r="C375" s="206" t="s">
        <v>1440</v>
      </c>
      <c r="D375" s="206" t="s">
        <v>2038</v>
      </c>
      <c r="E375" s="223" t="s">
        <v>2038</v>
      </c>
      <c r="F375" s="206" t="str">
        <f t="shared" si="96"/>
        <v>unused_CSI_D2BN</v>
      </c>
      <c r="G375" s="207"/>
      <c r="H375" s="206" t="s">
        <v>1439</v>
      </c>
      <c r="I375" s="206"/>
      <c r="J375" s="206"/>
      <c r="K375" s="206"/>
      <c r="L375" s="207"/>
      <c r="M375" s="206"/>
      <c r="N375" s="206"/>
      <c r="O375" s="206"/>
      <c r="P375" s="206"/>
      <c r="Q375" s="207"/>
      <c r="R375" s="206"/>
      <c r="S375" s="206"/>
      <c r="T375" s="206"/>
      <c r="U375" s="207"/>
      <c r="V375" s="208"/>
      <c r="W375" s="208"/>
      <c r="X375" s="208"/>
      <c r="Y375" s="208"/>
      <c r="Z375" s="209"/>
      <c r="AA375" s="255"/>
      <c r="AB375" s="234" t="str">
        <f t="shared" si="97"/>
        <v>Unused</v>
      </c>
      <c r="AC375" s="251"/>
      <c r="AD375" s="251"/>
      <c r="AE375" s="251"/>
      <c r="AF375" s="251"/>
      <c r="AG375" s="251"/>
      <c r="AH375" s="251"/>
      <c r="AI375" s="246"/>
      <c r="AJ375" s="183" t="s">
        <v>2144</v>
      </c>
      <c r="AK375" s="256"/>
      <c r="AL375" s="256"/>
      <c r="AM375" s="256"/>
      <c r="AN375" s="256"/>
      <c r="AO375" s="256"/>
      <c r="AP375" s="256"/>
      <c r="AQ375" s="138"/>
      <c r="AR375" s="279" t="s">
        <v>1439</v>
      </c>
      <c r="AS375" s="395"/>
      <c r="AT375" s="289" t="s">
        <v>1439</v>
      </c>
      <c r="AU375" s="440"/>
      <c r="AV375" s="399"/>
    </row>
    <row r="376" spans="1:48" s="31" customFormat="1" ht="12.95" customHeight="1" x14ac:dyDescent="0.2">
      <c r="A376" s="206" t="s">
        <v>1441</v>
      </c>
      <c r="B376" s="274"/>
      <c r="C376" s="206" t="s">
        <v>1442</v>
      </c>
      <c r="D376" s="206" t="s">
        <v>2039</v>
      </c>
      <c r="E376" s="223" t="s">
        <v>2039</v>
      </c>
      <c r="F376" s="206" t="str">
        <f t="shared" si="96"/>
        <v>unused_CSI_D2BP</v>
      </c>
      <c r="G376" s="207"/>
      <c r="H376" s="206" t="s">
        <v>1441</v>
      </c>
      <c r="I376" s="206"/>
      <c r="J376" s="206"/>
      <c r="K376" s="206"/>
      <c r="L376" s="207"/>
      <c r="M376" s="206"/>
      <c r="N376" s="206"/>
      <c r="O376" s="206"/>
      <c r="P376" s="206"/>
      <c r="Q376" s="207"/>
      <c r="R376" s="206"/>
      <c r="S376" s="206"/>
      <c r="T376" s="206"/>
      <c r="U376" s="207"/>
      <c r="V376" s="208"/>
      <c r="W376" s="208"/>
      <c r="X376" s="208"/>
      <c r="Y376" s="208"/>
      <c r="Z376" s="209"/>
      <c r="AA376" s="255"/>
      <c r="AB376" s="234" t="str">
        <f t="shared" si="97"/>
        <v>Unused</v>
      </c>
      <c r="AC376" s="251"/>
      <c r="AD376" s="251"/>
      <c r="AE376" s="251"/>
      <c r="AF376" s="251"/>
      <c r="AG376" s="251"/>
      <c r="AH376" s="251"/>
      <c r="AI376" s="246"/>
      <c r="AJ376" s="183" t="s">
        <v>2145</v>
      </c>
      <c r="AK376" s="256"/>
      <c r="AL376" s="256"/>
      <c r="AM376" s="256"/>
      <c r="AN376" s="256"/>
      <c r="AO376" s="256"/>
      <c r="AP376" s="256"/>
      <c r="AQ376" s="138"/>
      <c r="AR376" s="279" t="s">
        <v>1441</v>
      </c>
      <c r="AS376" s="396"/>
      <c r="AT376" s="289" t="s">
        <v>1441</v>
      </c>
      <c r="AU376" s="441"/>
      <c r="AV376" s="400"/>
    </row>
    <row r="377" spans="1:48" s="31" customFormat="1" ht="12.95" customHeight="1" x14ac:dyDescent="0.2">
      <c r="A377" s="206" t="s">
        <v>1443</v>
      </c>
      <c r="B377" s="274"/>
      <c r="C377" s="206" t="s">
        <v>1444</v>
      </c>
      <c r="D377" s="206" t="s">
        <v>2040</v>
      </c>
      <c r="E377" s="223" t="s">
        <v>2040</v>
      </c>
      <c r="F377" s="206" t="str">
        <f t="shared" si="96"/>
        <v>unused_DSI_CLKAN</v>
      </c>
      <c r="G377" s="207"/>
      <c r="H377" s="206" t="s">
        <v>1443</v>
      </c>
      <c r="I377" s="206"/>
      <c r="J377" s="206"/>
      <c r="K377" s="206"/>
      <c r="L377" s="207"/>
      <c r="M377" s="206"/>
      <c r="N377" s="206"/>
      <c r="O377" s="206"/>
      <c r="P377" s="206"/>
      <c r="Q377" s="207"/>
      <c r="R377" s="206"/>
      <c r="S377" s="206"/>
      <c r="T377" s="206"/>
      <c r="U377" s="207"/>
      <c r="V377" s="208"/>
      <c r="W377" s="208"/>
      <c r="X377" s="208"/>
      <c r="Y377" s="208"/>
      <c r="Z377" s="209"/>
      <c r="AA377" s="255"/>
      <c r="AB377" s="234" t="str">
        <f t="shared" si="97"/>
        <v>Unused</v>
      </c>
      <c r="AC377" s="251"/>
      <c r="AD377" s="251"/>
      <c r="AE377" s="251"/>
      <c r="AF377" s="251"/>
      <c r="AG377" s="251"/>
      <c r="AH377" s="251"/>
      <c r="AI377" s="246"/>
      <c r="AJ377" s="183" t="s">
        <v>2064</v>
      </c>
      <c r="AK377" s="256"/>
      <c r="AL377" s="256"/>
      <c r="AM377" s="256"/>
      <c r="AN377" s="256"/>
      <c r="AO377" s="256"/>
      <c r="AP377" s="256"/>
      <c r="AQ377" s="394" t="s">
        <v>2449</v>
      </c>
      <c r="AR377" s="279" t="s">
        <v>1443</v>
      </c>
      <c r="AS377" s="398"/>
      <c r="AT377" s="289" t="s">
        <v>2064</v>
      </c>
      <c r="AU377" s="111"/>
      <c r="AV377" s="398"/>
    </row>
    <row r="378" spans="1:48" s="31" customFormat="1" ht="12.95" customHeight="1" x14ac:dyDescent="0.2">
      <c r="A378" s="206" t="s">
        <v>1445</v>
      </c>
      <c r="B378" s="274"/>
      <c r="C378" s="206" t="s">
        <v>1446</v>
      </c>
      <c r="D378" s="206" t="s">
        <v>2041</v>
      </c>
      <c r="E378" s="223" t="s">
        <v>2041</v>
      </c>
      <c r="F378" s="206" t="str">
        <f t="shared" si="96"/>
        <v>unused_DSI_CLKAP</v>
      </c>
      <c r="G378" s="207"/>
      <c r="H378" s="206" t="s">
        <v>1445</v>
      </c>
      <c r="I378" s="206"/>
      <c r="J378" s="206"/>
      <c r="K378" s="206"/>
      <c r="L378" s="207"/>
      <c r="M378" s="206"/>
      <c r="N378" s="206"/>
      <c r="O378" s="206"/>
      <c r="P378" s="206"/>
      <c r="Q378" s="207"/>
      <c r="R378" s="206"/>
      <c r="S378" s="206"/>
      <c r="T378" s="206"/>
      <c r="U378" s="207"/>
      <c r="V378" s="208"/>
      <c r="W378" s="208"/>
      <c r="X378" s="208"/>
      <c r="Y378" s="208"/>
      <c r="Z378" s="209"/>
      <c r="AA378" s="255"/>
      <c r="AB378" s="234" t="str">
        <f t="shared" si="97"/>
        <v>Unused</v>
      </c>
      <c r="AC378" s="251"/>
      <c r="AD378" s="251"/>
      <c r="AE378" s="251"/>
      <c r="AF378" s="251"/>
      <c r="AG378" s="251"/>
      <c r="AH378" s="251"/>
      <c r="AI378" s="246"/>
      <c r="AJ378" s="183" t="s">
        <v>2065</v>
      </c>
      <c r="AK378" s="256"/>
      <c r="AL378" s="256"/>
      <c r="AM378" s="256"/>
      <c r="AN378" s="256"/>
      <c r="AO378" s="256"/>
      <c r="AP378" s="256"/>
      <c r="AQ378" s="395"/>
      <c r="AR378" s="279" t="s">
        <v>1445</v>
      </c>
      <c r="AS378" s="399"/>
      <c r="AT378" s="289" t="s">
        <v>2065</v>
      </c>
      <c r="AU378" s="108"/>
      <c r="AV378" s="399"/>
    </row>
    <row r="379" spans="1:48" s="31" customFormat="1" ht="12.95" customHeight="1" x14ac:dyDescent="0.2">
      <c r="A379" s="206" t="s">
        <v>1448</v>
      </c>
      <c r="B379" s="274"/>
      <c r="C379" s="206" t="s">
        <v>1449</v>
      </c>
      <c r="D379" s="206" t="s">
        <v>2042</v>
      </c>
      <c r="E379" s="223" t="s">
        <v>2042</v>
      </c>
      <c r="F379" s="206" t="str">
        <f t="shared" si="96"/>
        <v>unused_DSI_D1AN</v>
      </c>
      <c r="G379" s="207"/>
      <c r="H379" s="206" t="s">
        <v>1448</v>
      </c>
      <c r="I379" s="206"/>
      <c r="J379" s="206"/>
      <c r="K379" s="206"/>
      <c r="L379" s="207"/>
      <c r="M379" s="206"/>
      <c r="N379" s="206"/>
      <c r="O379" s="206"/>
      <c r="P379" s="206"/>
      <c r="Q379" s="207"/>
      <c r="R379" s="206"/>
      <c r="S379" s="206"/>
      <c r="T379" s="206"/>
      <c r="U379" s="207"/>
      <c r="V379" s="208"/>
      <c r="W379" s="208"/>
      <c r="X379" s="208"/>
      <c r="Y379" s="208"/>
      <c r="Z379" s="209"/>
      <c r="AA379" s="255"/>
      <c r="AB379" s="234" t="str">
        <f t="shared" si="97"/>
        <v>Unused</v>
      </c>
      <c r="AC379" s="251"/>
      <c r="AD379" s="251"/>
      <c r="AE379" s="251"/>
      <c r="AF379" s="251"/>
      <c r="AG379" s="251"/>
      <c r="AH379" s="251"/>
      <c r="AI379" s="246"/>
      <c r="AJ379" s="183" t="s">
        <v>2066</v>
      </c>
      <c r="AK379" s="256"/>
      <c r="AL379" s="256"/>
      <c r="AM379" s="256"/>
      <c r="AN379" s="256"/>
      <c r="AO379" s="256"/>
      <c r="AP379" s="256"/>
      <c r="AQ379" s="395"/>
      <c r="AR379" s="279" t="s">
        <v>1448</v>
      </c>
      <c r="AS379" s="399"/>
      <c r="AT379" s="289" t="s">
        <v>2066</v>
      </c>
      <c r="AU379" s="108"/>
      <c r="AV379" s="399"/>
    </row>
    <row r="380" spans="1:48" s="31" customFormat="1" ht="12.95" customHeight="1" x14ac:dyDescent="0.2">
      <c r="A380" s="206" t="s">
        <v>1450</v>
      </c>
      <c r="B380" s="274"/>
      <c r="C380" s="206" t="s">
        <v>1451</v>
      </c>
      <c r="D380" s="206" t="s">
        <v>2043</v>
      </c>
      <c r="E380" s="223" t="s">
        <v>2043</v>
      </c>
      <c r="F380" s="206" t="str">
        <f t="shared" si="96"/>
        <v>unused_DSI_D1AP</v>
      </c>
      <c r="G380" s="207"/>
      <c r="H380" s="206" t="s">
        <v>1450</v>
      </c>
      <c r="I380" s="206"/>
      <c r="J380" s="206"/>
      <c r="K380" s="206"/>
      <c r="L380" s="207"/>
      <c r="M380" s="206"/>
      <c r="N380" s="206"/>
      <c r="O380" s="206"/>
      <c r="P380" s="206"/>
      <c r="Q380" s="207"/>
      <c r="R380" s="206"/>
      <c r="S380" s="206"/>
      <c r="T380" s="206"/>
      <c r="U380" s="207"/>
      <c r="V380" s="208"/>
      <c r="W380" s="208"/>
      <c r="X380" s="208"/>
      <c r="Y380" s="208"/>
      <c r="Z380" s="209"/>
      <c r="AA380" s="255"/>
      <c r="AB380" s="234" t="str">
        <f t="shared" si="97"/>
        <v>Unused</v>
      </c>
      <c r="AC380" s="251"/>
      <c r="AD380" s="251"/>
      <c r="AE380" s="251"/>
      <c r="AF380" s="251"/>
      <c r="AG380" s="251"/>
      <c r="AH380" s="251"/>
      <c r="AI380" s="246"/>
      <c r="AJ380" s="183" t="s">
        <v>2067</v>
      </c>
      <c r="AK380" s="256"/>
      <c r="AL380" s="256"/>
      <c r="AM380" s="256"/>
      <c r="AN380" s="256"/>
      <c r="AO380" s="256"/>
      <c r="AP380" s="256"/>
      <c r="AQ380" s="395"/>
      <c r="AR380" s="279" t="s">
        <v>1450</v>
      </c>
      <c r="AS380" s="399"/>
      <c r="AT380" s="289" t="s">
        <v>2067</v>
      </c>
      <c r="AU380" s="108"/>
      <c r="AV380" s="399"/>
    </row>
    <row r="381" spans="1:48" s="31" customFormat="1" ht="12.95" customHeight="1" x14ac:dyDescent="0.2">
      <c r="A381" s="206" t="s">
        <v>1452</v>
      </c>
      <c r="B381" s="274"/>
      <c r="C381" s="206" t="s">
        <v>1453</v>
      </c>
      <c r="D381" s="206" t="s">
        <v>2044</v>
      </c>
      <c r="E381" s="223" t="s">
        <v>2044</v>
      </c>
      <c r="F381" s="206" t="str">
        <f t="shared" si="96"/>
        <v>unused_DSI_D2AN</v>
      </c>
      <c r="G381" s="207"/>
      <c r="H381" s="206" t="s">
        <v>1452</v>
      </c>
      <c r="I381" s="206"/>
      <c r="J381" s="206"/>
      <c r="K381" s="206"/>
      <c r="L381" s="207"/>
      <c r="M381" s="206"/>
      <c r="N381" s="206"/>
      <c r="O381" s="206"/>
      <c r="P381" s="206"/>
      <c r="Q381" s="207"/>
      <c r="R381" s="206"/>
      <c r="S381" s="206"/>
      <c r="T381" s="206"/>
      <c r="U381" s="207"/>
      <c r="V381" s="208"/>
      <c r="W381" s="208"/>
      <c r="X381" s="208"/>
      <c r="Y381" s="208"/>
      <c r="Z381" s="209"/>
      <c r="AA381" s="255"/>
      <c r="AB381" s="234" t="str">
        <f t="shared" si="97"/>
        <v>Unused</v>
      </c>
      <c r="AC381" s="251"/>
      <c r="AD381" s="251"/>
      <c r="AE381" s="251"/>
      <c r="AF381" s="251"/>
      <c r="AG381" s="251"/>
      <c r="AH381" s="251"/>
      <c r="AI381" s="246"/>
      <c r="AJ381" s="183" t="s">
        <v>2068</v>
      </c>
      <c r="AK381" s="256"/>
      <c r="AL381" s="256"/>
      <c r="AM381" s="256"/>
      <c r="AN381" s="256"/>
      <c r="AO381" s="256"/>
      <c r="AP381" s="256"/>
      <c r="AQ381" s="395"/>
      <c r="AR381" s="279" t="s">
        <v>1452</v>
      </c>
      <c r="AS381" s="399"/>
      <c r="AT381" s="289" t="s">
        <v>2068</v>
      </c>
      <c r="AU381" s="108"/>
      <c r="AV381" s="399"/>
    </row>
    <row r="382" spans="1:48" s="31" customFormat="1" ht="12.95" customHeight="1" x14ac:dyDescent="0.2">
      <c r="A382" s="206" t="s">
        <v>1454</v>
      </c>
      <c r="B382" s="274"/>
      <c r="C382" s="206" t="s">
        <v>1455</v>
      </c>
      <c r="D382" s="206" t="s">
        <v>1804</v>
      </c>
      <c r="E382" s="223" t="s">
        <v>1804</v>
      </c>
      <c r="F382" s="206" t="str">
        <f t="shared" si="96"/>
        <v>unused_DSI_D2AP</v>
      </c>
      <c r="G382" s="207"/>
      <c r="H382" s="206" t="s">
        <v>1454</v>
      </c>
      <c r="I382" s="206"/>
      <c r="J382" s="206"/>
      <c r="K382" s="206"/>
      <c r="L382" s="207"/>
      <c r="M382" s="206"/>
      <c r="N382" s="206"/>
      <c r="O382" s="206"/>
      <c r="P382" s="206"/>
      <c r="Q382" s="207"/>
      <c r="R382" s="206"/>
      <c r="S382" s="206"/>
      <c r="T382" s="206"/>
      <c r="U382" s="207"/>
      <c r="V382" s="208"/>
      <c r="W382" s="208"/>
      <c r="X382" s="208"/>
      <c r="Y382" s="208"/>
      <c r="Z382" s="209"/>
      <c r="AA382" s="255"/>
      <c r="AB382" s="234" t="str">
        <f t="shared" si="97"/>
        <v>Unused</v>
      </c>
      <c r="AC382" s="251"/>
      <c r="AD382" s="251"/>
      <c r="AE382" s="251"/>
      <c r="AF382" s="251"/>
      <c r="AG382" s="251"/>
      <c r="AH382" s="251"/>
      <c r="AI382" s="246"/>
      <c r="AJ382" s="186" t="s">
        <v>2069</v>
      </c>
      <c r="AK382" s="256"/>
      <c r="AL382" s="256"/>
      <c r="AM382" s="256"/>
      <c r="AN382" s="256"/>
      <c r="AO382" s="256"/>
      <c r="AP382" s="256"/>
      <c r="AQ382" s="396"/>
      <c r="AR382" s="279" t="s">
        <v>1454</v>
      </c>
      <c r="AS382" s="400"/>
      <c r="AT382" s="289" t="s">
        <v>2069</v>
      </c>
      <c r="AU382" s="109"/>
      <c r="AV382" s="400"/>
    </row>
    <row r="383" spans="1:48" s="31" customFormat="1" ht="12.95" customHeight="1" x14ac:dyDescent="0.2">
      <c r="A383" s="206" t="s">
        <v>2402</v>
      </c>
      <c r="B383" s="274"/>
      <c r="C383" s="206" t="s">
        <v>1447</v>
      </c>
      <c r="D383" s="206" t="s">
        <v>2407</v>
      </c>
      <c r="E383" s="223" t="s">
        <v>2407</v>
      </c>
      <c r="F383" s="206" t="str">
        <f t="shared" si="96"/>
        <v>unused_DSI_CSI_RDN</v>
      </c>
      <c r="G383" s="207"/>
      <c r="H383" s="206" t="s">
        <v>2402</v>
      </c>
      <c r="I383" s="206"/>
      <c r="J383" s="206"/>
      <c r="K383" s="206"/>
      <c r="L383" s="207"/>
      <c r="M383" s="206"/>
      <c r="N383" s="206"/>
      <c r="O383" s="206"/>
      <c r="P383" s="206"/>
      <c r="Q383" s="207"/>
      <c r="R383" s="206"/>
      <c r="S383" s="206"/>
      <c r="T383" s="206"/>
      <c r="U383" s="207"/>
      <c r="V383" s="208"/>
      <c r="W383" s="208"/>
      <c r="X383" s="208"/>
      <c r="Y383" s="208"/>
      <c r="Z383" s="209"/>
      <c r="AA383" s="255"/>
      <c r="AB383" s="234" t="str">
        <f t="shared" si="97"/>
        <v>Unused</v>
      </c>
      <c r="AC383" s="251"/>
      <c r="AD383" s="251"/>
      <c r="AE383" s="251"/>
      <c r="AF383" s="251"/>
      <c r="AG383" s="251"/>
      <c r="AH383" s="251"/>
      <c r="AI383" s="246"/>
      <c r="AJ383" s="187" t="s">
        <v>2411</v>
      </c>
      <c r="AK383" s="256"/>
      <c r="AL383" s="256"/>
      <c r="AM383" s="256"/>
      <c r="AN383" s="256"/>
      <c r="AO383" s="256"/>
      <c r="AP383" s="256"/>
      <c r="AQ383" s="394" t="s">
        <v>2408</v>
      </c>
      <c r="AR383" s="279" t="s">
        <v>2402</v>
      </c>
      <c r="AS383" s="371" t="s">
        <v>2412</v>
      </c>
      <c r="AT383" s="280" t="s">
        <v>2402</v>
      </c>
      <c r="AU383" s="371" t="s">
        <v>2412</v>
      </c>
      <c r="AV383" s="371" t="s">
        <v>2412</v>
      </c>
    </row>
    <row r="384" spans="1:48" s="31" customFormat="1" ht="12.95" customHeight="1" x14ac:dyDescent="0.2">
      <c r="A384" s="206" t="s">
        <v>2403</v>
      </c>
      <c r="B384" s="274"/>
      <c r="C384" s="206" t="s">
        <v>2405</v>
      </c>
      <c r="D384" s="206" t="s">
        <v>1672</v>
      </c>
      <c r="E384" s="223" t="s">
        <v>1672</v>
      </c>
      <c r="F384" s="206" t="str">
        <f t="shared" si="96"/>
        <v>unused_DSI_CSI_RUP</v>
      </c>
      <c r="G384" s="207"/>
      <c r="H384" s="206" t="s">
        <v>2403</v>
      </c>
      <c r="I384" s="206"/>
      <c r="J384" s="206"/>
      <c r="K384" s="206"/>
      <c r="L384" s="207"/>
      <c r="M384" s="206"/>
      <c r="N384" s="206"/>
      <c r="O384" s="206"/>
      <c r="P384" s="206"/>
      <c r="Q384" s="207"/>
      <c r="R384" s="206"/>
      <c r="S384" s="206"/>
      <c r="T384" s="206"/>
      <c r="U384" s="207"/>
      <c r="V384" s="208"/>
      <c r="W384" s="208"/>
      <c r="X384" s="208"/>
      <c r="Y384" s="208"/>
      <c r="Z384" s="209"/>
      <c r="AA384" s="255"/>
      <c r="AB384" s="234" t="str">
        <f t="shared" si="97"/>
        <v>Unused</v>
      </c>
      <c r="AC384" s="251"/>
      <c r="AD384" s="251"/>
      <c r="AE384" s="251"/>
      <c r="AF384" s="251"/>
      <c r="AG384" s="251"/>
      <c r="AH384" s="251"/>
      <c r="AI384" s="246"/>
      <c r="AJ384" s="187" t="s">
        <v>2410</v>
      </c>
      <c r="AK384" s="256"/>
      <c r="AL384" s="256"/>
      <c r="AM384" s="256"/>
      <c r="AN384" s="256"/>
      <c r="AO384" s="256"/>
      <c r="AP384" s="256"/>
      <c r="AQ384" s="396"/>
      <c r="AR384" s="279" t="s">
        <v>2403</v>
      </c>
      <c r="AS384" s="372"/>
      <c r="AT384" s="280" t="s">
        <v>2403</v>
      </c>
      <c r="AU384" s="373"/>
      <c r="AV384" s="372"/>
    </row>
    <row r="385" spans="1:48" s="31" customFormat="1" ht="12.95" customHeight="1" x14ac:dyDescent="0.2">
      <c r="A385" s="206" t="s">
        <v>2404</v>
      </c>
      <c r="B385" s="274"/>
      <c r="C385" s="206" t="s">
        <v>2406</v>
      </c>
      <c r="D385" s="121"/>
      <c r="E385" s="220"/>
      <c r="F385" s="206" t="str">
        <f t="shared" si="96"/>
        <v>unused_DSI_CSI_TEST_OUT</v>
      </c>
      <c r="G385" s="207"/>
      <c r="H385" s="206" t="s">
        <v>2404</v>
      </c>
      <c r="I385" s="206"/>
      <c r="J385" s="206"/>
      <c r="K385" s="206"/>
      <c r="L385" s="207"/>
      <c r="M385" s="206"/>
      <c r="N385" s="206"/>
      <c r="O385" s="206"/>
      <c r="P385" s="206"/>
      <c r="Q385" s="207"/>
      <c r="R385" s="206"/>
      <c r="S385" s="206"/>
      <c r="T385" s="206"/>
      <c r="U385" s="207"/>
      <c r="V385" s="208"/>
      <c r="W385" s="208"/>
      <c r="X385" s="208"/>
      <c r="Y385" s="208"/>
      <c r="Z385" s="209"/>
      <c r="AA385" s="255"/>
      <c r="AB385" s="234" t="str">
        <f t="shared" si="97"/>
        <v>Unused</v>
      </c>
      <c r="AC385" s="251"/>
      <c r="AD385" s="251"/>
      <c r="AE385" s="251"/>
      <c r="AF385" s="251"/>
      <c r="AG385" s="251"/>
      <c r="AH385" s="251"/>
      <c r="AI385" s="246"/>
      <c r="AJ385" s="188" t="s">
        <v>2409</v>
      </c>
      <c r="AK385" s="256"/>
      <c r="AL385" s="256"/>
      <c r="AM385" s="256"/>
      <c r="AN385" s="256"/>
      <c r="AO385" s="256"/>
      <c r="AP385" s="256"/>
      <c r="AQ385" s="135" t="s">
        <v>1229</v>
      </c>
      <c r="AR385" s="279" t="s">
        <v>2404</v>
      </c>
      <c r="AS385" s="373"/>
      <c r="AT385" s="280" t="s">
        <v>2404</v>
      </c>
      <c r="AU385" s="110" t="s">
        <v>2280</v>
      </c>
      <c r="AV385" s="373"/>
    </row>
    <row r="386" spans="1:48" s="30" customFormat="1" ht="18" customHeight="1" x14ac:dyDescent="0.25">
      <c r="A386" s="161" t="s">
        <v>1258</v>
      </c>
      <c r="B386" s="275"/>
      <c r="C386" s="161"/>
      <c r="D386" s="161"/>
      <c r="E386" s="222"/>
      <c r="F386" s="161"/>
      <c r="G386" s="204"/>
      <c r="H386" s="161"/>
      <c r="I386" s="161"/>
      <c r="J386" s="161"/>
      <c r="K386" s="161"/>
      <c r="L386" s="204"/>
      <c r="M386" s="161"/>
      <c r="N386" s="161"/>
      <c r="O386" s="161"/>
      <c r="P386" s="161"/>
      <c r="Q386" s="204"/>
      <c r="R386" s="161"/>
      <c r="S386" s="161"/>
      <c r="T386" s="161"/>
      <c r="U386" s="204"/>
      <c r="V386" s="161"/>
      <c r="W386" s="161"/>
      <c r="X386" s="161"/>
      <c r="Y386" s="161"/>
      <c r="Z386" s="205"/>
      <c r="AA386" s="238"/>
      <c r="AB386" s="239"/>
      <c r="AC386" s="239"/>
      <c r="AD386" s="239"/>
      <c r="AE386" s="239"/>
      <c r="AF386" s="239"/>
      <c r="AG386" s="239"/>
      <c r="AH386" s="239"/>
      <c r="AI386" s="240"/>
      <c r="AJ386" s="161"/>
      <c r="AK386" s="174"/>
      <c r="AL386" s="174"/>
      <c r="AM386" s="173"/>
      <c r="AN386" s="174"/>
      <c r="AO386" s="174"/>
      <c r="AP386" s="174"/>
      <c r="AQ386" s="46"/>
      <c r="AR386" s="278"/>
      <c r="AS386" s="46"/>
      <c r="AT386" s="287"/>
      <c r="AU386" s="46"/>
      <c r="AV386" s="46"/>
    </row>
    <row r="387" spans="1:48" s="31" customFormat="1" ht="12.95" customHeight="1" x14ac:dyDescent="0.2">
      <c r="A387" s="206" t="s">
        <v>1457</v>
      </c>
      <c r="B387" s="274"/>
      <c r="C387" s="206" t="s">
        <v>1458</v>
      </c>
      <c r="D387" s="206" t="s">
        <v>2045</v>
      </c>
      <c r="E387" s="223" t="s">
        <v>2045</v>
      </c>
      <c r="F387" s="206" t="str">
        <f t="shared" ref="F387:F396" si="98">CONCATENATE("unused_",A387)</f>
        <v>unused_HDMI_TXCN</v>
      </c>
      <c r="G387" s="207"/>
      <c r="H387" s="206" t="s">
        <v>1457</v>
      </c>
      <c r="I387" s="206"/>
      <c r="J387" s="206"/>
      <c r="K387" s="206"/>
      <c r="L387" s="207"/>
      <c r="M387" s="206"/>
      <c r="N387" s="206"/>
      <c r="O387" s="206"/>
      <c r="P387" s="206"/>
      <c r="Q387" s="207"/>
      <c r="R387" s="206"/>
      <c r="S387" s="206"/>
      <c r="T387" s="206"/>
      <c r="U387" s="207"/>
      <c r="V387" s="208"/>
      <c r="W387" s="208"/>
      <c r="X387" s="208"/>
      <c r="Y387" s="208"/>
      <c r="Z387" s="209"/>
      <c r="AA387" s="255"/>
      <c r="AB387" s="241" t="str">
        <f t="shared" ref="AB387:AB396" si="99">IF((AJ387=H387),"SFIO",IF((AJ387=F387),"Unused"))</f>
        <v>Unused</v>
      </c>
      <c r="AC387" s="251"/>
      <c r="AD387" s="251"/>
      <c r="AE387" s="251"/>
      <c r="AF387" s="251"/>
      <c r="AG387" s="251"/>
      <c r="AH387" s="251"/>
      <c r="AI387" s="246"/>
      <c r="AJ387" s="183" t="s">
        <v>2236</v>
      </c>
      <c r="AK387" s="256"/>
      <c r="AL387" s="256"/>
      <c r="AM387" s="256"/>
      <c r="AN387" s="256"/>
      <c r="AO387" s="256"/>
      <c r="AP387" s="256"/>
      <c r="AQ387" s="394" t="s">
        <v>1258</v>
      </c>
      <c r="AR387" s="279" t="s">
        <v>1457</v>
      </c>
      <c r="AS387" s="371" t="s">
        <v>1258</v>
      </c>
      <c r="AT387" s="288" t="s">
        <v>1457</v>
      </c>
      <c r="AU387" s="371" t="s">
        <v>1258</v>
      </c>
      <c r="AV387" s="371" t="s">
        <v>1258</v>
      </c>
    </row>
    <row r="388" spans="1:48" s="31" customFormat="1" ht="12.95" customHeight="1" x14ac:dyDescent="0.2">
      <c r="A388" s="206" t="s">
        <v>1459</v>
      </c>
      <c r="B388" s="274"/>
      <c r="C388" s="206" t="s">
        <v>1460</v>
      </c>
      <c r="D388" s="206" t="s">
        <v>2046</v>
      </c>
      <c r="E388" s="223" t="s">
        <v>2046</v>
      </c>
      <c r="F388" s="206" t="str">
        <f t="shared" si="98"/>
        <v>unused_HDMI_TXCP</v>
      </c>
      <c r="G388" s="207"/>
      <c r="H388" s="206" t="s">
        <v>1459</v>
      </c>
      <c r="I388" s="206"/>
      <c r="J388" s="206"/>
      <c r="K388" s="206"/>
      <c r="L388" s="207"/>
      <c r="M388" s="206"/>
      <c r="N388" s="206"/>
      <c r="O388" s="206"/>
      <c r="P388" s="206"/>
      <c r="Q388" s="207"/>
      <c r="R388" s="206"/>
      <c r="S388" s="206"/>
      <c r="T388" s="206"/>
      <c r="U388" s="207"/>
      <c r="V388" s="208"/>
      <c r="W388" s="208"/>
      <c r="X388" s="208"/>
      <c r="Y388" s="208"/>
      <c r="Z388" s="209"/>
      <c r="AA388" s="255"/>
      <c r="AB388" s="234" t="str">
        <f t="shared" si="99"/>
        <v>Unused</v>
      </c>
      <c r="AC388" s="251"/>
      <c r="AD388" s="251"/>
      <c r="AE388" s="251"/>
      <c r="AF388" s="251"/>
      <c r="AG388" s="251"/>
      <c r="AH388" s="251"/>
      <c r="AI388" s="246"/>
      <c r="AJ388" s="183" t="s">
        <v>2146</v>
      </c>
      <c r="AK388" s="256"/>
      <c r="AL388" s="256"/>
      <c r="AM388" s="256"/>
      <c r="AN388" s="256"/>
      <c r="AO388" s="256"/>
      <c r="AP388" s="256"/>
      <c r="AQ388" s="395"/>
      <c r="AR388" s="279" t="s">
        <v>1459</v>
      </c>
      <c r="AS388" s="372"/>
      <c r="AT388" s="289" t="s">
        <v>1459</v>
      </c>
      <c r="AU388" s="372"/>
      <c r="AV388" s="372"/>
    </row>
    <row r="389" spans="1:48" s="31" customFormat="1" ht="12.95" customHeight="1" x14ac:dyDescent="0.2">
      <c r="A389" s="206" t="s">
        <v>1461</v>
      </c>
      <c r="B389" s="274"/>
      <c r="C389" s="206" t="s">
        <v>1462</v>
      </c>
      <c r="D389" s="206" t="s">
        <v>2047</v>
      </c>
      <c r="E389" s="223" t="s">
        <v>2047</v>
      </c>
      <c r="F389" s="206" t="str">
        <f t="shared" si="98"/>
        <v>unused_HDMI_TXD0N</v>
      </c>
      <c r="G389" s="207"/>
      <c r="H389" s="206" t="s">
        <v>1461</v>
      </c>
      <c r="I389" s="206"/>
      <c r="J389" s="206"/>
      <c r="K389" s="206"/>
      <c r="L389" s="207"/>
      <c r="M389" s="206"/>
      <c r="N389" s="206"/>
      <c r="O389" s="206"/>
      <c r="P389" s="206"/>
      <c r="Q389" s="207"/>
      <c r="R389" s="206"/>
      <c r="S389" s="206"/>
      <c r="T389" s="206"/>
      <c r="U389" s="207"/>
      <c r="V389" s="208"/>
      <c r="W389" s="208"/>
      <c r="X389" s="208"/>
      <c r="Y389" s="208"/>
      <c r="Z389" s="209"/>
      <c r="AA389" s="255"/>
      <c r="AB389" s="234" t="str">
        <f t="shared" si="99"/>
        <v>Unused</v>
      </c>
      <c r="AC389" s="251"/>
      <c r="AD389" s="251"/>
      <c r="AE389" s="251"/>
      <c r="AF389" s="251"/>
      <c r="AG389" s="251"/>
      <c r="AH389" s="251"/>
      <c r="AI389" s="246"/>
      <c r="AJ389" s="183" t="s">
        <v>2147</v>
      </c>
      <c r="AK389" s="256"/>
      <c r="AL389" s="256"/>
      <c r="AM389" s="256"/>
      <c r="AN389" s="256"/>
      <c r="AO389" s="256"/>
      <c r="AP389" s="256"/>
      <c r="AQ389" s="395"/>
      <c r="AR389" s="279" t="s">
        <v>1461</v>
      </c>
      <c r="AS389" s="372"/>
      <c r="AT389" s="289" t="s">
        <v>1461</v>
      </c>
      <c r="AU389" s="372"/>
      <c r="AV389" s="372"/>
    </row>
    <row r="390" spans="1:48" s="31" customFormat="1" ht="12.95" customHeight="1" x14ac:dyDescent="0.2">
      <c r="A390" s="206" t="s">
        <v>1463</v>
      </c>
      <c r="B390" s="274"/>
      <c r="C390" s="206" t="s">
        <v>1464</v>
      </c>
      <c r="D390" s="206" t="s">
        <v>2048</v>
      </c>
      <c r="E390" s="223" t="s">
        <v>2048</v>
      </c>
      <c r="F390" s="206" t="str">
        <f t="shared" si="98"/>
        <v>unused_HDMI_TXD0P</v>
      </c>
      <c r="G390" s="207"/>
      <c r="H390" s="206" t="s">
        <v>1463</v>
      </c>
      <c r="I390" s="206"/>
      <c r="J390" s="206"/>
      <c r="K390" s="206"/>
      <c r="L390" s="207"/>
      <c r="M390" s="206"/>
      <c r="N390" s="206"/>
      <c r="O390" s="206"/>
      <c r="P390" s="206"/>
      <c r="Q390" s="207"/>
      <c r="R390" s="206"/>
      <c r="S390" s="206"/>
      <c r="T390" s="206"/>
      <c r="U390" s="207"/>
      <c r="V390" s="208"/>
      <c r="W390" s="208"/>
      <c r="X390" s="208"/>
      <c r="Y390" s="208"/>
      <c r="Z390" s="209"/>
      <c r="AA390" s="255"/>
      <c r="AB390" s="234" t="str">
        <f t="shared" si="99"/>
        <v>Unused</v>
      </c>
      <c r="AC390" s="251"/>
      <c r="AD390" s="251"/>
      <c r="AE390" s="251"/>
      <c r="AF390" s="251"/>
      <c r="AG390" s="251"/>
      <c r="AH390" s="251"/>
      <c r="AI390" s="246"/>
      <c r="AJ390" s="183" t="s">
        <v>2237</v>
      </c>
      <c r="AK390" s="256"/>
      <c r="AL390" s="256"/>
      <c r="AM390" s="256"/>
      <c r="AN390" s="256"/>
      <c r="AO390" s="256"/>
      <c r="AP390" s="256"/>
      <c r="AQ390" s="395"/>
      <c r="AR390" s="279" t="s">
        <v>1463</v>
      </c>
      <c r="AS390" s="372"/>
      <c r="AT390" s="289" t="s">
        <v>1463</v>
      </c>
      <c r="AU390" s="372"/>
      <c r="AV390" s="372"/>
    </row>
    <row r="391" spans="1:48" s="31" customFormat="1" ht="12.95" customHeight="1" x14ac:dyDescent="0.2">
      <c r="A391" s="206" t="s">
        <v>1465</v>
      </c>
      <c r="B391" s="274"/>
      <c r="C391" s="206" t="s">
        <v>1466</v>
      </c>
      <c r="D391" s="206" t="s">
        <v>2049</v>
      </c>
      <c r="E391" s="223" t="s">
        <v>2049</v>
      </c>
      <c r="F391" s="206" t="str">
        <f t="shared" si="98"/>
        <v>unused_HDMI_TXD1N</v>
      </c>
      <c r="G391" s="207"/>
      <c r="H391" s="206" t="s">
        <v>1465</v>
      </c>
      <c r="I391" s="206"/>
      <c r="J391" s="206"/>
      <c r="K391" s="206"/>
      <c r="L391" s="207"/>
      <c r="M391" s="206"/>
      <c r="N391" s="206"/>
      <c r="O391" s="206"/>
      <c r="P391" s="206"/>
      <c r="Q391" s="207"/>
      <c r="R391" s="206"/>
      <c r="S391" s="206"/>
      <c r="T391" s="206"/>
      <c r="U391" s="207"/>
      <c r="V391" s="208"/>
      <c r="W391" s="208"/>
      <c r="X391" s="208"/>
      <c r="Y391" s="208"/>
      <c r="Z391" s="209"/>
      <c r="AA391" s="255"/>
      <c r="AB391" s="234" t="str">
        <f t="shared" si="99"/>
        <v>Unused</v>
      </c>
      <c r="AC391" s="251"/>
      <c r="AD391" s="251"/>
      <c r="AE391" s="251"/>
      <c r="AF391" s="251"/>
      <c r="AG391" s="251"/>
      <c r="AH391" s="251"/>
      <c r="AI391" s="246"/>
      <c r="AJ391" s="183" t="s">
        <v>2148</v>
      </c>
      <c r="AK391" s="256"/>
      <c r="AL391" s="256"/>
      <c r="AM391" s="256"/>
      <c r="AN391" s="256"/>
      <c r="AO391" s="256"/>
      <c r="AP391" s="256"/>
      <c r="AQ391" s="395"/>
      <c r="AR391" s="279" t="s">
        <v>1465</v>
      </c>
      <c r="AS391" s="372"/>
      <c r="AT391" s="289" t="s">
        <v>1465</v>
      </c>
      <c r="AU391" s="372"/>
      <c r="AV391" s="372"/>
    </row>
    <row r="392" spans="1:48" s="31" customFormat="1" ht="12.95" customHeight="1" x14ac:dyDescent="0.2">
      <c r="A392" s="206" t="s">
        <v>1467</v>
      </c>
      <c r="B392" s="274"/>
      <c r="C392" s="206" t="s">
        <v>1468</v>
      </c>
      <c r="D392" s="206" t="s">
        <v>2050</v>
      </c>
      <c r="E392" s="223" t="s">
        <v>2050</v>
      </c>
      <c r="F392" s="206" t="str">
        <f t="shared" si="98"/>
        <v>unused_HDMI_TXD1P</v>
      </c>
      <c r="G392" s="207"/>
      <c r="H392" s="206" t="s">
        <v>1467</v>
      </c>
      <c r="I392" s="206"/>
      <c r="J392" s="206"/>
      <c r="K392" s="206"/>
      <c r="L392" s="207"/>
      <c r="M392" s="206"/>
      <c r="N392" s="206"/>
      <c r="O392" s="206"/>
      <c r="P392" s="206"/>
      <c r="Q392" s="207"/>
      <c r="R392" s="206"/>
      <c r="S392" s="206"/>
      <c r="T392" s="206"/>
      <c r="U392" s="207"/>
      <c r="V392" s="208"/>
      <c r="W392" s="208"/>
      <c r="X392" s="208"/>
      <c r="Y392" s="208"/>
      <c r="Z392" s="209"/>
      <c r="AA392" s="255"/>
      <c r="AB392" s="234" t="str">
        <f t="shared" si="99"/>
        <v>Unused</v>
      </c>
      <c r="AC392" s="251"/>
      <c r="AD392" s="251"/>
      <c r="AE392" s="251"/>
      <c r="AF392" s="251"/>
      <c r="AG392" s="251"/>
      <c r="AH392" s="251"/>
      <c r="AI392" s="246"/>
      <c r="AJ392" s="183" t="s">
        <v>2149</v>
      </c>
      <c r="AK392" s="256"/>
      <c r="AL392" s="256"/>
      <c r="AM392" s="256"/>
      <c r="AN392" s="256"/>
      <c r="AO392" s="256"/>
      <c r="AP392" s="256"/>
      <c r="AQ392" s="395"/>
      <c r="AR392" s="279" t="s">
        <v>1467</v>
      </c>
      <c r="AS392" s="372"/>
      <c r="AT392" s="289" t="s">
        <v>1467</v>
      </c>
      <c r="AU392" s="372"/>
      <c r="AV392" s="372"/>
    </row>
    <row r="393" spans="1:48" s="31" customFormat="1" ht="12.95" customHeight="1" x14ac:dyDescent="0.2">
      <c r="A393" s="206" t="s">
        <v>1469</v>
      </c>
      <c r="B393" s="274"/>
      <c r="C393" s="206" t="s">
        <v>1470</v>
      </c>
      <c r="D393" s="206" t="s">
        <v>2051</v>
      </c>
      <c r="E393" s="223" t="s">
        <v>2051</v>
      </c>
      <c r="F393" s="206" t="str">
        <f t="shared" si="98"/>
        <v>unused_HDMI_TXD2N</v>
      </c>
      <c r="G393" s="207"/>
      <c r="H393" s="206" t="s">
        <v>1469</v>
      </c>
      <c r="I393" s="206"/>
      <c r="J393" s="206"/>
      <c r="K393" s="206"/>
      <c r="L393" s="207"/>
      <c r="M393" s="206"/>
      <c r="N393" s="206"/>
      <c r="O393" s="206"/>
      <c r="P393" s="206"/>
      <c r="Q393" s="207"/>
      <c r="R393" s="206"/>
      <c r="S393" s="206"/>
      <c r="T393" s="206"/>
      <c r="U393" s="207"/>
      <c r="V393" s="208"/>
      <c r="W393" s="208"/>
      <c r="X393" s="208"/>
      <c r="Y393" s="208"/>
      <c r="Z393" s="209"/>
      <c r="AA393" s="255"/>
      <c r="AB393" s="234" t="str">
        <f t="shared" si="99"/>
        <v>Unused</v>
      </c>
      <c r="AC393" s="251"/>
      <c r="AD393" s="251"/>
      <c r="AE393" s="251"/>
      <c r="AF393" s="251"/>
      <c r="AG393" s="251"/>
      <c r="AH393" s="251"/>
      <c r="AI393" s="246"/>
      <c r="AJ393" s="183" t="s">
        <v>2238</v>
      </c>
      <c r="AK393" s="256"/>
      <c r="AL393" s="256"/>
      <c r="AM393" s="256"/>
      <c r="AN393" s="256"/>
      <c r="AO393" s="256"/>
      <c r="AP393" s="256"/>
      <c r="AQ393" s="395"/>
      <c r="AR393" s="279" t="s">
        <v>1469</v>
      </c>
      <c r="AS393" s="372"/>
      <c r="AT393" s="289" t="s">
        <v>1469</v>
      </c>
      <c r="AU393" s="372"/>
      <c r="AV393" s="372"/>
    </row>
    <row r="394" spans="1:48" s="31" customFormat="1" ht="12.95" customHeight="1" x14ac:dyDescent="0.2">
      <c r="A394" s="206" t="s">
        <v>1471</v>
      </c>
      <c r="B394" s="274"/>
      <c r="C394" s="206" t="s">
        <v>1472</v>
      </c>
      <c r="D394" s="206" t="s">
        <v>2052</v>
      </c>
      <c r="E394" s="223" t="s">
        <v>2052</v>
      </c>
      <c r="F394" s="206" t="str">
        <f t="shared" si="98"/>
        <v>unused_HDMI_TXD2P</v>
      </c>
      <c r="G394" s="207"/>
      <c r="H394" s="206" t="s">
        <v>1471</v>
      </c>
      <c r="I394" s="206"/>
      <c r="J394" s="206"/>
      <c r="K394" s="206"/>
      <c r="L394" s="207"/>
      <c r="M394" s="206"/>
      <c r="N394" s="206"/>
      <c r="O394" s="206"/>
      <c r="P394" s="206"/>
      <c r="Q394" s="207"/>
      <c r="R394" s="206"/>
      <c r="S394" s="206"/>
      <c r="T394" s="206"/>
      <c r="U394" s="207"/>
      <c r="V394" s="208"/>
      <c r="W394" s="208"/>
      <c r="X394" s="208"/>
      <c r="Y394" s="208"/>
      <c r="Z394" s="209"/>
      <c r="AA394" s="255"/>
      <c r="AB394" s="234" t="str">
        <f t="shared" si="99"/>
        <v>Unused</v>
      </c>
      <c r="AC394" s="251"/>
      <c r="AD394" s="251"/>
      <c r="AE394" s="251"/>
      <c r="AF394" s="251"/>
      <c r="AG394" s="251"/>
      <c r="AH394" s="251"/>
      <c r="AI394" s="246"/>
      <c r="AJ394" s="186" t="s">
        <v>2150</v>
      </c>
      <c r="AK394" s="256"/>
      <c r="AL394" s="256"/>
      <c r="AM394" s="256"/>
      <c r="AN394" s="256"/>
      <c r="AO394" s="256"/>
      <c r="AP394" s="256"/>
      <c r="AQ394" s="395"/>
      <c r="AR394" s="279" t="s">
        <v>1471</v>
      </c>
      <c r="AS394" s="372"/>
      <c r="AT394" s="289" t="s">
        <v>1471</v>
      </c>
      <c r="AU394" s="372"/>
      <c r="AV394" s="372"/>
    </row>
    <row r="395" spans="1:48" s="31" customFormat="1" ht="12.95" customHeight="1" x14ac:dyDescent="0.2">
      <c r="A395" s="206" t="s">
        <v>2389</v>
      </c>
      <c r="B395" s="274"/>
      <c r="C395" s="206" t="s">
        <v>2391</v>
      </c>
      <c r="D395" s="206" t="s">
        <v>2393</v>
      </c>
      <c r="E395" s="223" t="s">
        <v>2393</v>
      </c>
      <c r="F395" s="206" t="str">
        <f t="shared" si="98"/>
        <v>unused_HDMI_RSET</v>
      </c>
      <c r="G395" s="207"/>
      <c r="H395" s="206" t="s">
        <v>2389</v>
      </c>
      <c r="I395" s="206"/>
      <c r="J395" s="206"/>
      <c r="K395" s="206"/>
      <c r="L395" s="207"/>
      <c r="M395" s="206"/>
      <c r="N395" s="206"/>
      <c r="O395" s="206"/>
      <c r="P395" s="206"/>
      <c r="Q395" s="207"/>
      <c r="R395" s="206"/>
      <c r="S395" s="206"/>
      <c r="T395" s="206"/>
      <c r="U395" s="207"/>
      <c r="V395" s="208"/>
      <c r="W395" s="208"/>
      <c r="X395" s="208"/>
      <c r="Y395" s="208"/>
      <c r="Z395" s="209"/>
      <c r="AA395" s="255"/>
      <c r="AB395" s="234" t="str">
        <f t="shared" si="99"/>
        <v>Unused</v>
      </c>
      <c r="AC395" s="251"/>
      <c r="AD395" s="251"/>
      <c r="AE395" s="251"/>
      <c r="AF395" s="251"/>
      <c r="AG395" s="251"/>
      <c r="AH395" s="251"/>
      <c r="AI395" s="246"/>
      <c r="AJ395" s="187" t="s">
        <v>2394</v>
      </c>
      <c r="AK395" s="256"/>
      <c r="AL395" s="256"/>
      <c r="AM395" s="256"/>
      <c r="AN395" s="256"/>
      <c r="AO395" s="256"/>
      <c r="AP395" s="256"/>
      <c r="AQ395" s="396"/>
      <c r="AR395" s="279" t="s">
        <v>2389</v>
      </c>
      <c r="AS395" s="372"/>
      <c r="AT395" s="291" t="s">
        <v>2389</v>
      </c>
      <c r="AU395" s="372"/>
      <c r="AV395" s="372"/>
    </row>
    <row r="396" spans="1:48" s="31" customFormat="1" ht="12.95" customHeight="1" x14ac:dyDescent="0.2">
      <c r="A396" s="206" t="s">
        <v>2390</v>
      </c>
      <c r="B396" s="274"/>
      <c r="C396" s="206" t="s">
        <v>1456</v>
      </c>
      <c r="D396" s="206" t="s">
        <v>2392</v>
      </c>
      <c r="E396" s="223" t="s">
        <v>2392</v>
      </c>
      <c r="F396" s="206" t="str">
        <f t="shared" si="98"/>
        <v>unused_HDMI_PROBE</v>
      </c>
      <c r="G396" s="207"/>
      <c r="H396" s="206" t="s">
        <v>2390</v>
      </c>
      <c r="I396" s="206"/>
      <c r="J396" s="206"/>
      <c r="K396" s="206"/>
      <c r="L396" s="207"/>
      <c r="M396" s="206"/>
      <c r="N396" s="206"/>
      <c r="O396" s="206"/>
      <c r="P396" s="206"/>
      <c r="Q396" s="207"/>
      <c r="R396" s="206"/>
      <c r="S396" s="206"/>
      <c r="T396" s="206"/>
      <c r="U396" s="207"/>
      <c r="V396" s="208"/>
      <c r="W396" s="208"/>
      <c r="X396" s="208"/>
      <c r="Y396" s="208"/>
      <c r="Z396" s="209"/>
      <c r="AA396" s="255"/>
      <c r="AB396" s="234" t="str">
        <f t="shared" si="99"/>
        <v>Unused</v>
      </c>
      <c r="AC396" s="251"/>
      <c r="AD396" s="251"/>
      <c r="AE396" s="251"/>
      <c r="AF396" s="251"/>
      <c r="AG396" s="251"/>
      <c r="AH396" s="251"/>
      <c r="AI396" s="246"/>
      <c r="AJ396" s="188" t="s">
        <v>2395</v>
      </c>
      <c r="AK396" s="256"/>
      <c r="AL396" s="256"/>
      <c r="AM396" s="256"/>
      <c r="AN396" s="256"/>
      <c r="AO396" s="256"/>
      <c r="AP396" s="256"/>
      <c r="AQ396" s="155"/>
      <c r="AR396" s="279" t="s">
        <v>2390</v>
      </c>
      <c r="AS396" s="373"/>
      <c r="AT396" s="292" t="s">
        <v>2390</v>
      </c>
      <c r="AU396" s="373"/>
      <c r="AV396" s="373"/>
    </row>
    <row r="397" spans="1:48" s="30" customFormat="1" ht="18" customHeight="1" x14ac:dyDescent="0.25">
      <c r="A397" s="161" t="s">
        <v>1257</v>
      </c>
      <c r="B397" s="275"/>
      <c r="C397" s="161"/>
      <c r="D397" s="161"/>
      <c r="E397" s="222"/>
      <c r="F397" s="161"/>
      <c r="G397" s="204"/>
      <c r="H397" s="161"/>
      <c r="I397" s="161"/>
      <c r="J397" s="161"/>
      <c r="K397" s="161"/>
      <c r="L397" s="204"/>
      <c r="M397" s="161"/>
      <c r="N397" s="161"/>
      <c r="O397" s="161"/>
      <c r="P397" s="161"/>
      <c r="Q397" s="204"/>
      <c r="R397" s="161"/>
      <c r="S397" s="161"/>
      <c r="T397" s="161"/>
      <c r="U397" s="204"/>
      <c r="V397" s="161"/>
      <c r="W397" s="161"/>
      <c r="X397" s="161"/>
      <c r="Y397" s="161"/>
      <c r="Z397" s="205"/>
      <c r="AA397" s="238"/>
      <c r="AB397" s="239"/>
      <c r="AC397" s="239"/>
      <c r="AD397" s="239"/>
      <c r="AE397" s="239"/>
      <c r="AF397" s="239"/>
      <c r="AG397" s="239"/>
      <c r="AH397" s="239"/>
      <c r="AI397" s="240"/>
      <c r="AJ397" s="161"/>
      <c r="AK397" s="174"/>
      <c r="AL397" s="174"/>
      <c r="AM397" s="173"/>
      <c r="AN397" s="174"/>
      <c r="AO397" s="174"/>
      <c r="AP397" s="174"/>
      <c r="AQ397" s="46"/>
      <c r="AR397" s="278"/>
      <c r="AS397" s="46"/>
      <c r="AT397" s="287"/>
      <c r="AU397" s="46"/>
      <c r="AV397" s="46"/>
    </row>
    <row r="398" spans="1:48" s="31" customFormat="1" ht="12.95" customHeight="1" x14ac:dyDescent="0.2">
      <c r="A398" s="206" t="s">
        <v>1473</v>
      </c>
      <c r="B398" s="274"/>
      <c r="C398" s="206" t="s">
        <v>1474</v>
      </c>
      <c r="D398" s="206" t="s">
        <v>2053</v>
      </c>
      <c r="E398" s="223" t="s">
        <v>2053</v>
      </c>
      <c r="F398" s="206" t="str">
        <f>CONCATENATE("unused_",A398)</f>
        <v>unused_HSIC_DATA</v>
      </c>
      <c r="G398" s="207"/>
      <c r="H398" s="206" t="s">
        <v>1473</v>
      </c>
      <c r="I398" s="206"/>
      <c r="J398" s="206"/>
      <c r="K398" s="206"/>
      <c r="L398" s="207"/>
      <c r="M398" s="206"/>
      <c r="N398" s="206"/>
      <c r="O398" s="206"/>
      <c r="P398" s="206"/>
      <c r="Q398" s="207"/>
      <c r="R398" s="206"/>
      <c r="S398" s="206"/>
      <c r="T398" s="206"/>
      <c r="U398" s="207"/>
      <c r="V398" s="208"/>
      <c r="W398" s="208"/>
      <c r="X398" s="208"/>
      <c r="Y398" s="208"/>
      <c r="Z398" s="209"/>
      <c r="AA398" s="255"/>
      <c r="AB398" s="241" t="str">
        <f>IF((AJ398=H398),"SFIO",IF((AJ398=F398),"Unused"))</f>
        <v>Unused</v>
      </c>
      <c r="AC398" s="251"/>
      <c r="AD398" s="251"/>
      <c r="AE398" s="251"/>
      <c r="AF398" s="251"/>
      <c r="AG398" s="251"/>
      <c r="AH398" s="251"/>
      <c r="AI398" s="246"/>
      <c r="AJ398" s="189" t="s">
        <v>2070</v>
      </c>
      <c r="AK398" s="256"/>
      <c r="AL398" s="256"/>
      <c r="AM398" s="256"/>
      <c r="AN398" s="256"/>
      <c r="AO398" s="256"/>
      <c r="AP398" s="256"/>
      <c r="AQ398" s="398"/>
      <c r="AR398" s="279" t="s">
        <v>2070</v>
      </c>
      <c r="AS398" s="377"/>
      <c r="AT398" s="288" t="s">
        <v>2070</v>
      </c>
      <c r="AU398" s="377" t="s">
        <v>2434</v>
      </c>
      <c r="AV398" s="452" t="s">
        <v>2469</v>
      </c>
    </row>
    <row r="399" spans="1:48" s="31" customFormat="1" ht="12.95" customHeight="1" x14ac:dyDescent="0.2">
      <c r="A399" s="206" t="s">
        <v>1475</v>
      </c>
      <c r="B399" s="274"/>
      <c r="C399" s="206" t="s">
        <v>1476</v>
      </c>
      <c r="D399" s="206" t="s">
        <v>1670</v>
      </c>
      <c r="E399" s="223" t="s">
        <v>1670</v>
      </c>
      <c r="F399" s="206" t="str">
        <f>CONCATENATE("unused_",A399)</f>
        <v>unused_HSIC_STROBE</v>
      </c>
      <c r="G399" s="207"/>
      <c r="H399" s="206" t="s">
        <v>1475</v>
      </c>
      <c r="I399" s="206"/>
      <c r="J399" s="206"/>
      <c r="K399" s="206"/>
      <c r="L399" s="207"/>
      <c r="M399" s="206"/>
      <c r="N399" s="206"/>
      <c r="O399" s="206"/>
      <c r="P399" s="206"/>
      <c r="Q399" s="207"/>
      <c r="R399" s="206"/>
      <c r="S399" s="206"/>
      <c r="T399" s="206"/>
      <c r="U399" s="207"/>
      <c r="V399" s="208"/>
      <c r="W399" s="208"/>
      <c r="X399" s="208"/>
      <c r="Y399" s="208"/>
      <c r="Z399" s="209"/>
      <c r="AA399" s="255"/>
      <c r="AB399" s="234" t="str">
        <f>IF((AJ399=H399),"SFIO",IF((AJ399=F399),"Unused"))</f>
        <v>Unused</v>
      </c>
      <c r="AC399" s="251"/>
      <c r="AD399" s="251"/>
      <c r="AE399" s="251"/>
      <c r="AF399" s="251"/>
      <c r="AG399" s="251"/>
      <c r="AH399" s="251"/>
      <c r="AI399" s="246"/>
      <c r="AJ399" s="187" t="s">
        <v>2071</v>
      </c>
      <c r="AK399" s="256"/>
      <c r="AL399" s="256"/>
      <c r="AM399" s="256"/>
      <c r="AN399" s="256"/>
      <c r="AO399" s="256"/>
      <c r="AP399" s="256"/>
      <c r="AQ399" s="399"/>
      <c r="AR399" s="279" t="s">
        <v>2071</v>
      </c>
      <c r="AS399" s="397"/>
      <c r="AT399" s="289" t="s">
        <v>2071</v>
      </c>
      <c r="AU399" s="397"/>
      <c r="AV399" s="397"/>
    </row>
    <row r="400" spans="1:48" s="31" customFormat="1" ht="12.95" customHeight="1" x14ac:dyDescent="0.2">
      <c r="A400" s="206" t="s">
        <v>2396</v>
      </c>
      <c r="B400" s="274"/>
      <c r="C400" s="206" t="s">
        <v>2399</v>
      </c>
      <c r="D400" s="206" t="s">
        <v>1778</v>
      </c>
      <c r="E400" s="223" t="s">
        <v>1778</v>
      </c>
      <c r="F400" s="206" t="str">
        <f>CONCATENATE("unused_",A400)</f>
        <v>unused_HSIC_REXT</v>
      </c>
      <c r="G400" s="207"/>
      <c r="H400" s="206" t="s">
        <v>2396</v>
      </c>
      <c r="I400" s="206"/>
      <c r="J400" s="206"/>
      <c r="K400" s="206"/>
      <c r="L400" s="207"/>
      <c r="M400" s="206"/>
      <c r="N400" s="206"/>
      <c r="O400" s="206"/>
      <c r="P400" s="206"/>
      <c r="Q400" s="207"/>
      <c r="R400" s="206"/>
      <c r="S400" s="206"/>
      <c r="T400" s="206"/>
      <c r="U400" s="207"/>
      <c r="V400" s="208"/>
      <c r="W400" s="208"/>
      <c r="X400" s="208"/>
      <c r="Y400" s="208"/>
      <c r="Z400" s="209"/>
      <c r="AA400" s="255"/>
      <c r="AB400" s="234" t="str">
        <f>IF((AJ400=H400),"SFIO",IF((AJ400=F400),"Unused"))</f>
        <v>Unused</v>
      </c>
      <c r="AC400" s="251"/>
      <c r="AD400" s="251"/>
      <c r="AE400" s="251"/>
      <c r="AF400" s="251"/>
      <c r="AG400" s="251"/>
      <c r="AH400" s="251"/>
      <c r="AI400" s="246"/>
      <c r="AJ400" s="188" t="s">
        <v>2400</v>
      </c>
      <c r="AK400" s="256"/>
      <c r="AL400" s="256"/>
      <c r="AM400" s="256"/>
      <c r="AN400" s="256"/>
      <c r="AO400" s="256"/>
      <c r="AP400" s="256"/>
      <c r="AQ400" s="400"/>
      <c r="AR400" s="279" t="s">
        <v>2400</v>
      </c>
      <c r="AS400" s="378"/>
      <c r="AT400" s="293" t="s">
        <v>2400</v>
      </c>
      <c r="AU400" s="378"/>
      <c r="AV400" s="378"/>
    </row>
    <row r="401" spans="1:48" s="30" customFormat="1" ht="18" customHeight="1" x14ac:dyDescent="0.25">
      <c r="A401" s="161" t="s">
        <v>1577</v>
      </c>
      <c r="B401" s="275"/>
      <c r="C401" s="161"/>
      <c r="D401" s="161"/>
      <c r="E401" s="222"/>
      <c r="F401" s="161"/>
      <c r="G401" s="204"/>
      <c r="H401" s="161"/>
      <c r="I401" s="161"/>
      <c r="J401" s="161"/>
      <c r="K401" s="161"/>
      <c r="L401" s="204"/>
      <c r="M401" s="161"/>
      <c r="N401" s="161"/>
      <c r="O401" s="161"/>
      <c r="P401" s="161"/>
      <c r="Q401" s="204"/>
      <c r="R401" s="161"/>
      <c r="S401" s="161"/>
      <c r="T401" s="161"/>
      <c r="U401" s="204"/>
      <c r="V401" s="161"/>
      <c r="W401" s="161"/>
      <c r="X401" s="161"/>
      <c r="Y401" s="161"/>
      <c r="Z401" s="205"/>
      <c r="AA401" s="238"/>
      <c r="AB401" s="239"/>
      <c r="AC401" s="239"/>
      <c r="AD401" s="239"/>
      <c r="AE401" s="239"/>
      <c r="AF401" s="239"/>
      <c r="AG401" s="239"/>
      <c r="AH401" s="239"/>
      <c r="AI401" s="240"/>
      <c r="AJ401" s="161"/>
      <c r="AK401" s="174"/>
      <c r="AL401" s="174"/>
      <c r="AM401" s="173"/>
      <c r="AN401" s="174"/>
      <c r="AO401" s="174"/>
      <c r="AP401" s="174"/>
      <c r="AQ401" s="46"/>
      <c r="AR401" s="278"/>
      <c r="AS401" s="46"/>
      <c r="AT401" s="287"/>
      <c r="AU401" s="46"/>
      <c r="AV401" s="46"/>
    </row>
    <row r="402" spans="1:48" s="31" customFormat="1" ht="12.95" customHeight="1" x14ac:dyDescent="0.2">
      <c r="A402" s="206" t="s">
        <v>1578</v>
      </c>
      <c r="B402" s="274"/>
      <c r="C402" s="206" t="s">
        <v>1579</v>
      </c>
      <c r="D402" s="206" t="s">
        <v>1422</v>
      </c>
      <c r="E402" s="223" t="s">
        <v>1422</v>
      </c>
      <c r="F402" s="206" t="str">
        <f>CONCATENATE("unused_",A402)</f>
        <v>unused_IC_USB_DN</v>
      </c>
      <c r="G402" s="207"/>
      <c r="H402" s="206" t="s">
        <v>1578</v>
      </c>
      <c r="I402" s="206"/>
      <c r="J402" s="206"/>
      <c r="K402" s="206"/>
      <c r="L402" s="207"/>
      <c r="M402" s="206"/>
      <c r="N402" s="206"/>
      <c r="O402" s="206"/>
      <c r="P402" s="206"/>
      <c r="Q402" s="207"/>
      <c r="R402" s="206"/>
      <c r="S402" s="206"/>
      <c r="T402" s="206"/>
      <c r="U402" s="207"/>
      <c r="V402" s="208"/>
      <c r="W402" s="208"/>
      <c r="X402" s="208"/>
      <c r="Y402" s="208"/>
      <c r="Z402" s="209"/>
      <c r="AA402" s="255"/>
      <c r="AB402" s="241" t="str">
        <f>IF((AJ402=H402),"SFIO",IF((AJ402=F402),"Unused"))</f>
        <v>Unused</v>
      </c>
      <c r="AC402" s="251"/>
      <c r="AD402" s="251"/>
      <c r="AE402" s="251"/>
      <c r="AF402" s="251"/>
      <c r="AG402" s="251"/>
      <c r="AH402" s="251"/>
      <c r="AI402" s="246"/>
      <c r="AJ402" s="189" t="s">
        <v>2072</v>
      </c>
      <c r="AK402" s="256"/>
      <c r="AL402" s="256"/>
      <c r="AM402" s="256"/>
      <c r="AN402" s="256"/>
      <c r="AO402" s="256"/>
      <c r="AP402" s="256"/>
      <c r="AQ402" s="398"/>
      <c r="AR402" s="279" t="s">
        <v>2072</v>
      </c>
      <c r="AS402" s="377"/>
      <c r="AT402" s="288" t="s">
        <v>2072</v>
      </c>
      <c r="AU402" s="377"/>
      <c r="AV402" s="377"/>
    </row>
    <row r="403" spans="1:48" s="31" customFormat="1" ht="12.95" customHeight="1" x14ac:dyDescent="0.2">
      <c r="A403" s="206" t="s">
        <v>1580</v>
      </c>
      <c r="B403" s="274"/>
      <c r="C403" s="206" t="s">
        <v>1581</v>
      </c>
      <c r="D403" s="206" t="s">
        <v>1438</v>
      </c>
      <c r="E403" s="223" t="s">
        <v>1438</v>
      </c>
      <c r="F403" s="206" t="str">
        <f>CONCATENATE("unused_",A403)</f>
        <v>unused_IC_USB_DP</v>
      </c>
      <c r="G403" s="207"/>
      <c r="H403" s="206" t="s">
        <v>1580</v>
      </c>
      <c r="I403" s="206"/>
      <c r="J403" s="206"/>
      <c r="K403" s="206"/>
      <c r="L403" s="207"/>
      <c r="M403" s="206"/>
      <c r="N403" s="206"/>
      <c r="O403" s="206"/>
      <c r="P403" s="206"/>
      <c r="Q403" s="207"/>
      <c r="R403" s="206"/>
      <c r="S403" s="206"/>
      <c r="T403" s="206"/>
      <c r="U403" s="207"/>
      <c r="V403" s="208"/>
      <c r="W403" s="208"/>
      <c r="X403" s="208"/>
      <c r="Y403" s="208"/>
      <c r="Z403" s="209"/>
      <c r="AA403" s="255"/>
      <c r="AB403" s="234" t="str">
        <f>IF((AJ403=H403),"SFIO",IF((AJ403=F403),"Unused"))</f>
        <v>Unused</v>
      </c>
      <c r="AC403" s="251"/>
      <c r="AD403" s="251"/>
      <c r="AE403" s="251"/>
      <c r="AF403" s="251"/>
      <c r="AG403" s="251"/>
      <c r="AH403" s="251"/>
      <c r="AI403" s="246"/>
      <c r="AJ403" s="187" t="s">
        <v>2073</v>
      </c>
      <c r="AK403" s="256"/>
      <c r="AL403" s="256"/>
      <c r="AM403" s="256"/>
      <c r="AN403" s="256"/>
      <c r="AO403" s="256"/>
      <c r="AP403" s="256"/>
      <c r="AQ403" s="399"/>
      <c r="AR403" s="279" t="s">
        <v>2073</v>
      </c>
      <c r="AS403" s="397"/>
      <c r="AT403" s="289" t="s">
        <v>2073</v>
      </c>
      <c r="AU403" s="397"/>
      <c r="AV403" s="397"/>
    </row>
    <row r="404" spans="1:48" s="31" customFormat="1" ht="12.95" customHeight="1" x14ac:dyDescent="0.2">
      <c r="A404" s="206" t="s">
        <v>2397</v>
      </c>
      <c r="B404" s="274"/>
      <c r="C404" s="206" t="s">
        <v>1582</v>
      </c>
      <c r="D404" s="206" t="s">
        <v>2398</v>
      </c>
      <c r="E404" s="223" t="s">
        <v>2398</v>
      </c>
      <c r="F404" s="206" t="str">
        <f>CONCATENATE("unused_",A404)</f>
        <v>unused_IC_USB_REXT</v>
      </c>
      <c r="G404" s="207"/>
      <c r="H404" s="206" t="s">
        <v>2397</v>
      </c>
      <c r="I404" s="206"/>
      <c r="J404" s="206"/>
      <c r="K404" s="206"/>
      <c r="L404" s="207"/>
      <c r="M404" s="206"/>
      <c r="N404" s="206"/>
      <c r="O404" s="206"/>
      <c r="P404" s="206"/>
      <c r="Q404" s="207"/>
      <c r="R404" s="206"/>
      <c r="S404" s="206"/>
      <c r="T404" s="206"/>
      <c r="U404" s="207"/>
      <c r="V404" s="208"/>
      <c r="W404" s="208"/>
      <c r="X404" s="208"/>
      <c r="Y404" s="208"/>
      <c r="Z404" s="209"/>
      <c r="AA404" s="255"/>
      <c r="AB404" s="234" t="str">
        <f>IF((AJ404=H404),"SFIO",IF((AJ404=F404),"Unused"))</f>
        <v>Unused</v>
      </c>
      <c r="AC404" s="251"/>
      <c r="AD404" s="251"/>
      <c r="AE404" s="251"/>
      <c r="AF404" s="251"/>
      <c r="AG404" s="251"/>
      <c r="AH404" s="251"/>
      <c r="AI404" s="246"/>
      <c r="AJ404" s="188" t="s">
        <v>2401</v>
      </c>
      <c r="AK404" s="256"/>
      <c r="AL404" s="256"/>
      <c r="AM404" s="256"/>
      <c r="AN404" s="256"/>
      <c r="AO404" s="256"/>
      <c r="AP404" s="256"/>
      <c r="AQ404" s="400"/>
      <c r="AR404" s="279" t="s">
        <v>2401</v>
      </c>
      <c r="AS404" s="378"/>
      <c r="AT404" s="293" t="s">
        <v>2401</v>
      </c>
      <c r="AU404" s="378"/>
      <c r="AV404" s="378"/>
    </row>
    <row r="405" spans="1:48" s="30" customFormat="1" ht="18" customHeight="1" x14ac:dyDescent="0.25">
      <c r="A405" s="161" t="s">
        <v>1259</v>
      </c>
      <c r="B405" s="275"/>
      <c r="C405" s="161"/>
      <c r="D405" s="161"/>
      <c r="E405" s="222"/>
      <c r="F405" s="161"/>
      <c r="G405" s="204"/>
      <c r="H405" s="161"/>
      <c r="I405" s="161"/>
      <c r="J405" s="161"/>
      <c r="K405" s="161"/>
      <c r="L405" s="204"/>
      <c r="M405" s="161"/>
      <c r="N405" s="161"/>
      <c r="O405" s="161"/>
      <c r="P405" s="161"/>
      <c r="Q405" s="204"/>
      <c r="R405" s="161"/>
      <c r="S405" s="161"/>
      <c r="T405" s="161"/>
      <c r="U405" s="204"/>
      <c r="V405" s="161"/>
      <c r="W405" s="161"/>
      <c r="X405" s="161"/>
      <c r="Y405" s="161"/>
      <c r="Z405" s="205"/>
      <c r="AA405" s="238"/>
      <c r="AB405" s="239"/>
      <c r="AC405" s="239"/>
      <c r="AD405" s="239"/>
      <c r="AE405" s="239"/>
      <c r="AF405" s="239"/>
      <c r="AG405" s="239"/>
      <c r="AH405" s="239"/>
      <c r="AI405" s="240"/>
      <c r="AJ405" s="161"/>
      <c r="AK405" s="174"/>
      <c r="AL405" s="174"/>
      <c r="AM405" s="173"/>
      <c r="AN405" s="174"/>
      <c r="AO405" s="174"/>
      <c r="AP405" s="174"/>
      <c r="AQ405" s="46"/>
      <c r="AR405" s="278"/>
      <c r="AS405" s="46"/>
      <c r="AT405" s="287"/>
      <c r="AU405" s="46"/>
      <c r="AV405" s="46"/>
    </row>
    <row r="406" spans="1:48" s="31" customFormat="1" ht="12.95" customHeight="1" x14ac:dyDescent="0.2">
      <c r="A406" s="206" t="s">
        <v>1477</v>
      </c>
      <c r="B406" s="274"/>
      <c r="C406" s="206" t="s">
        <v>1478</v>
      </c>
      <c r="D406" s="402"/>
      <c r="E406" s="405"/>
      <c r="F406" s="206" t="str">
        <f t="shared" ref="F406:F440" si="100">CONCATENATE("unused_",A406)</f>
        <v>unused_PEX_CLK1N</v>
      </c>
      <c r="G406" s="207"/>
      <c r="H406" s="206" t="s">
        <v>1477</v>
      </c>
      <c r="I406" s="206"/>
      <c r="J406" s="206"/>
      <c r="K406" s="206"/>
      <c r="L406" s="207"/>
      <c r="M406" s="206"/>
      <c r="N406" s="206"/>
      <c r="O406" s="206"/>
      <c r="P406" s="206"/>
      <c r="Q406" s="207"/>
      <c r="R406" s="206"/>
      <c r="S406" s="206"/>
      <c r="T406" s="206"/>
      <c r="U406" s="207"/>
      <c r="V406" s="208"/>
      <c r="W406" s="208"/>
      <c r="X406" s="208"/>
      <c r="Y406" s="208"/>
      <c r="Z406" s="209"/>
      <c r="AA406" s="255"/>
      <c r="AB406" s="241" t="str">
        <f t="shared" ref="AB406:AB440" si="101">IF((AJ406=H406),"SFIO",IF((AJ406=F406),"Unused"))</f>
        <v>Unused</v>
      </c>
      <c r="AC406" s="251"/>
      <c r="AD406" s="251"/>
      <c r="AE406" s="251"/>
      <c r="AF406" s="251"/>
      <c r="AG406" s="251"/>
      <c r="AH406" s="251"/>
      <c r="AI406" s="246"/>
      <c r="AJ406" s="190" t="s">
        <v>2074</v>
      </c>
      <c r="AK406" s="256"/>
      <c r="AL406" s="256"/>
      <c r="AM406" s="256"/>
      <c r="AN406" s="256"/>
      <c r="AO406" s="256"/>
      <c r="AP406" s="256"/>
      <c r="AQ406" s="392" t="s">
        <v>1229</v>
      </c>
      <c r="AR406" s="279" t="s">
        <v>2074</v>
      </c>
      <c r="AS406" s="398"/>
      <c r="AT406" s="288" t="s">
        <v>2074</v>
      </c>
      <c r="AU406" s="442" t="s">
        <v>2280</v>
      </c>
      <c r="AV406" s="377"/>
    </row>
    <row r="407" spans="1:48" s="31" customFormat="1" ht="12.95" customHeight="1" x14ac:dyDescent="0.2">
      <c r="A407" s="206" t="s">
        <v>1479</v>
      </c>
      <c r="B407" s="274"/>
      <c r="C407" s="206" t="s">
        <v>1480</v>
      </c>
      <c r="D407" s="403"/>
      <c r="E407" s="406"/>
      <c r="F407" s="206" t="str">
        <f t="shared" si="100"/>
        <v>unused_PEX_CLK1P</v>
      </c>
      <c r="G407" s="207"/>
      <c r="H407" s="206" t="s">
        <v>1479</v>
      </c>
      <c r="I407" s="206"/>
      <c r="J407" s="206"/>
      <c r="K407" s="206"/>
      <c r="L407" s="207"/>
      <c r="M407" s="206"/>
      <c r="N407" s="206"/>
      <c r="O407" s="206"/>
      <c r="P407" s="206"/>
      <c r="Q407" s="207"/>
      <c r="R407" s="206"/>
      <c r="S407" s="206"/>
      <c r="T407" s="206"/>
      <c r="U407" s="207"/>
      <c r="V407" s="208"/>
      <c r="W407" s="208"/>
      <c r="X407" s="208"/>
      <c r="Y407" s="208"/>
      <c r="Z407" s="209"/>
      <c r="AA407" s="255"/>
      <c r="AB407" s="234" t="str">
        <f t="shared" si="101"/>
        <v>Unused</v>
      </c>
      <c r="AC407" s="251"/>
      <c r="AD407" s="251"/>
      <c r="AE407" s="251"/>
      <c r="AF407" s="251"/>
      <c r="AG407" s="251"/>
      <c r="AH407" s="251"/>
      <c r="AI407" s="246"/>
      <c r="AJ407" s="191" t="s">
        <v>2075</v>
      </c>
      <c r="AK407" s="256"/>
      <c r="AL407" s="256"/>
      <c r="AM407" s="256"/>
      <c r="AN407" s="256"/>
      <c r="AO407" s="256"/>
      <c r="AP407" s="256"/>
      <c r="AQ407" s="408"/>
      <c r="AR407" s="279" t="s">
        <v>2075</v>
      </c>
      <c r="AS407" s="399"/>
      <c r="AT407" s="289" t="s">
        <v>2075</v>
      </c>
      <c r="AU407" s="443"/>
      <c r="AV407" s="397"/>
    </row>
    <row r="408" spans="1:48" s="31" customFormat="1" ht="12.95" customHeight="1" x14ac:dyDescent="0.2">
      <c r="A408" s="206" t="s">
        <v>1481</v>
      </c>
      <c r="B408" s="274"/>
      <c r="C408" s="206" t="s">
        <v>1482</v>
      </c>
      <c r="D408" s="403"/>
      <c r="E408" s="406"/>
      <c r="F408" s="206" t="str">
        <f t="shared" si="100"/>
        <v>unused_PEX_CLK2N</v>
      </c>
      <c r="G408" s="207"/>
      <c r="H408" s="206" t="s">
        <v>1481</v>
      </c>
      <c r="I408" s="206"/>
      <c r="J408" s="206"/>
      <c r="K408" s="206"/>
      <c r="L408" s="207"/>
      <c r="M408" s="206"/>
      <c r="N408" s="206"/>
      <c r="O408" s="206"/>
      <c r="P408" s="206"/>
      <c r="Q408" s="207"/>
      <c r="R408" s="206"/>
      <c r="S408" s="206"/>
      <c r="T408" s="206"/>
      <c r="U408" s="207"/>
      <c r="V408" s="208"/>
      <c r="W408" s="208"/>
      <c r="X408" s="208"/>
      <c r="Y408" s="208"/>
      <c r="Z408" s="209"/>
      <c r="AA408" s="255"/>
      <c r="AB408" s="234" t="str">
        <f t="shared" si="101"/>
        <v>Unused</v>
      </c>
      <c r="AC408" s="251"/>
      <c r="AD408" s="251"/>
      <c r="AE408" s="251"/>
      <c r="AF408" s="251"/>
      <c r="AG408" s="251"/>
      <c r="AH408" s="251"/>
      <c r="AI408" s="246"/>
      <c r="AJ408" s="191" t="s">
        <v>2076</v>
      </c>
      <c r="AK408" s="256"/>
      <c r="AL408" s="256"/>
      <c r="AM408" s="256"/>
      <c r="AN408" s="256"/>
      <c r="AO408" s="256"/>
      <c r="AP408" s="256"/>
      <c r="AQ408" s="408"/>
      <c r="AR408" s="279" t="s">
        <v>2076</v>
      </c>
      <c r="AS408" s="399"/>
      <c r="AT408" s="289" t="s">
        <v>2076</v>
      </c>
      <c r="AU408" s="443"/>
      <c r="AV408" s="397"/>
    </row>
    <row r="409" spans="1:48" s="31" customFormat="1" ht="12.95" customHeight="1" x14ac:dyDescent="0.2">
      <c r="A409" s="206" t="s">
        <v>1483</v>
      </c>
      <c r="B409" s="274"/>
      <c r="C409" s="206" t="s">
        <v>1484</v>
      </c>
      <c r="D409" s="403"/>
      <c r="E409" s="406"/>
      <c r="F409" s="206" t="str">
        <f t="shared" si="100"/>
        <v>unused_PEX_CLK2P</v>
      </c>
      <c r="G409" s="207"/>
      <c r="H409" s="206" t="s">
        <v>1483</v>
      </c>
      <c r="I409" s="206"/>
      <c r="J409" s="206"/>
      <c r="K409" s="206"/>
      <c r="L409" s="207"/>
      <c r="M409" s="206"/>
      <c r="N409" s="206"/>
      <c r="O409" s="206"/>
      <c r="P409" s="206"/>
      <c r="Q409" s="207"/>
      <c r="R409" s="206"/>
      <c r="S409" s="206"/>
      <c r="T409" s="206"/>
      <c r="U409" s="207"/>
      <c r="V409" s="208"/>
      <c r="W409" s="208"/>
      <c r="X409" s="208"/>
      <c r="Y409" s="208"/>
      <c r="Z409" s="209"/>
      <c r="AA409" s="255"/>
      <c r="AB409" s="234" t="str">
        <f t="shared" si="101"/>
        <v>Unused</v>
      </c>
      <c r="AC409" s="251"/>
      <c r="AD409" s="251"/>
      <c r="AE409" s="251"/>
      <c r="AF409" s="251"/>
      <c r="AG409" s="251"/>
      <c r="AH409" s="251"/>
      <c r="AI409" s="246"/>
      <c r="AJ409" s="191" t="s">
        <v>2077</v>
      </c>
      <c r="AK409" s="256"/>
      <c r="AL409" s="256"/>
      <c r="AM409" s="256"/>
      <c r="AN409" s="256"/>
      <c r="AO409" s="256"/>
      <c r="AP409" s="256"/>
      <c r="AQ409" s="408"/>
      <c r="AR409" s="279" t="s">
        <v>2077</v>
      </c>
      <c r="AS409" s="400"/>
      <c r="AT409" s="289" t="s">
        <v>2077</v>
      </c>
      <c r="AU409" s="443"/>
      <c r="AV409" s="397"/>
    </row>
    <row r="410" spans="1:48" s="31" customFormat="1" ht="12.95" customHeight="1" x14ac:dyDescent="0.2">
      <c r="A410" s="206" t="s">
        <v>1485</v>
      </c>
      <c r="B410" s="274"/>
      <c r="C410" s="206" t="s">
        <v>1486</v>
      </c>
      <c r="D410" s="403"/>
      <c r="E410" s="406"/>
      <c r="F410" s="206" t="str">
        <f t="shared" si="100"/>
        <v>unused_PEX_CLK3N</v>
      </c>
      <c r="G410" s="207"/>
      <c r="H410" s="206" t="s">
        <v>1485</v>
      </c>
      <c r="I410" s="206"/>
      <c r="J410" s="206"/>
      <c r="K410" s="206"/>
      <c r="L410" s="207"/>
      <c r="M410" s="206"/>
      <c r="N410" s="206"/>
      <c r="O410" s="206"/>
      <c r="P410" s="206"/>
      <c r="Q410" s="207"/>
      <c r="R410" s="206"/>
      <c r="S410" s="206"/>
      <c r="T410" s="206"/>
      <c r="U410" s="207"/>
      <c r="V410" s="208"/>
      <c r="W410" s="208"/>
      <c r="X410" s="208"/>
      <c r="Y410" s="208"/>
      <c r="Z410" s="209"/>
      <c r="AA410" s="255"/>
      <c r="AB410" s="234" t="str">
        <f t="shared" si="101"/>
        <v>Unused</v>
      </c>
      <c r="AC410" s="251"/>
      <c r="AD410" s="251"/>
      <c r="AE410" s="251"/>
      <c r="AF410" s="251"/>
      <c r="AG410" s="251"/>
      <c r="AH410" s="251"/>
      <c r="AI410" s="246"/>
      <c r="AJ410" s="191" t="s">
        <v>2151</v>
      </c>
      <c r="AK410" s="256"/>
      <c r="AL410" s="256"/>
      <c r="AM410" s="256"/>
      <c r="AN410" s="256"/>
      <c r="AO410" s="256"/>
      <c r="AP410" s="256"/>
      <c r="AQ410" s="408"/>
      <c r="AR410" s="279" t="s">
        <v>2151</v>
      </c>
      <c r="AS410" s="394" t="s">
        <v>2113</v>
      </c>
      <c r="AT410" s="289" t="s">
        <v>1485</v>
      </c>
      <c r="AU410" s="443"/>
      <c r="AV410" s="397"/>
    </row>
    <row r="411" spans="1:48" s="31" customFormat="1" ht="12.95" customHeight="1" x14ac:dyDescent="0.2">
      <c r="A411" s="206" t="s">
        <v>1487</v>
      </c>
      <c r="B411" s="274"/>
      <c r="C411" s="206" t="s">
        <v>1488</v>
      </c>
      <c r="D411" s="403"/>
      <c r="E411" s="406"/>
      <c r="F411" s="206" t="str">
        <f t="shared" si="100"/>
        <v>unused_PEX_CLK3P</v>
      </c>
      <c r="G411" s="207"/>
      <c r="H411" s="206" t="s">
        <v>1487</v>
      </c>
      <c r="I411" s="206"/>
      <c r="J411" s="206"/>
      <c r="K411" s="206"/>
      <c r="L411" s="207"/>
      <c r="M411" s="206"/>
      <c r="N411" s="206"/>
      <c r="O411" s="206"/>
      <c r="P411" s="206"/>
      <c r="Q411" s="207"/>
      <c r="R411" s="206"/>
      <c r="S411" s="206"/>
      <c r="T411" s="206"/>
      <c r="U411" s="207"/>
      <c r="V411" s="208"/>
      <c r="W411" s="208"/>
      <c r="X411" s="208"/>
      <c r="Y411" s="208"/>
      <c r="Z411" s="209"/>
      <c r="AA411" s="255"/>
      <c r="AB411" s="234" t="str">
        <f t="shared" si="101"/>
        <v>Unused</v>
      </c>
      <c r="AC411" s="251"/>
      <c r="AD411" s="251"/>
      <c r="AE411" s="251"/>
      <c r="AF411" s="251"/>
      <c r="AG411" s="251"/>
      <c r="AH411" s="251"/>
      <c r="AI411" s="246"/>
      <c r="AJ411" s="191" t="s">
        <v>2152</v>
      </c>
      <c r="AK411" s="256"/>
      <c r="AL411" s="256"/>
      <c r="AM411" s="256"/>
      <c r="AN411" s="256"/>
      <c r="AO411" s="256"/>
      <c r="AP411" s="256"/>
      <c r="AQ411" s="408"/>
      <c r="AR411" s="279" t="s">
        <v>2152</v>
      </c>
      <c r="AS411" s="396"/>
      <c r="AT411" s="289" t="s">
        <v>1487</v>
      </c>
      <c r="AU411" s="443"/>
      <c r="AV411" s="397"/>
    </row>
    <row r="412" spans="1:48" s="31" customFormat="1" ht="12.95" customHeight="1" x14ac:dyDescent="0.2">
      <c r="A412" s="206" t="s">
        <v>1492</v>
      </c>
      <c r="B412" s="274"/>
      <c r="C412" s="206" t="s">
        <v>1493</v>
      </c>
      <c r="D412" s="403"/>
      <c r="E412" s="406"/>
      <c r="F412" s="206" t="str">
        <f t="shared" si="100"/>
        <v>unused_PEX_L0_RXN</v>
      </c>
      <c r="G412" s="207"/>
      <c r="H412" s="206" t="s">
        <v>1492</v>
      </c>
      <c r="I412" s="206"/>
      <c r="J412" s="206"/>
      <c r="K412" s="206"/>
      <c r="L412" s="207"/>
      <c r="M412" s="206"/>
      <c r="N412" s="206"/>
      <c r="O412" s="206"/>
      <c r="P412" s="206"/>
      <c r="Q412" s="207"/>
      <c r="R412" s="206"/>
      <c r="S412" s="206"/>
      <c r="T412" s="206"/>
      <c r="U412" s="207"/>
      <c r="V412" s="208"/>
      <c r="W412" s="208"/>
      <c r="X412" s="208"/>
      <c r="Y412" s="208"/>
      <c r="Z412" s="209"/>
      <c r="AA412" s="255"/>
      <c r="AB412" s="234" t="str">
        <f t="shared" si="101"/>
        <v>Unused</v>
      </c>
      <c r="AC412" s="251"/>
      <c r="AD412" s="251"/>
      <c r="AE412" s="251"/>
      <c r="AF412" s="251"/>
      <c r="AG412" s="251"/>
      <c r="AH412" s="251"/>
      <c r="AI412" s="246"/>
      <c r="AJ412" s="191" t="s">
        <v>2078</v>
      </c>
      <c r="AK412" s="256"/>
      <c r="AL412" s="256"/>
      <c r="AM412" s="256"/>
      <c r="AN412" s="256"/>
      <c r="AO412" s="256"/>
      <c r="AP412" s="256"/>
      <c r="AQ412" s="408"/>
      <c r="AR412" s="279" t="s">
        <v>2078</v>
      </c>
      <c r="AS412" s="398"/>
      <c r="AT412" s="289" t="s">
        <v>2078</v>
      </c>
      <c r="AU412" s="443"/>
      <c r="AV412" s="397"/>
    </row>
    <row r="413" spans="1:48" s="31" customFormat="1" ht="12.95" customHeight="1" x14ac:dyDescent="0.2">
      <c r="A413" s="206" t="s">
        <v>1494</v>
      </c>
      <c r="B413" s="274"/>
      <c r="C413" s="206" t="s">
        <v>1495</v>
      </c>
      <c r="D413" s="403"/>
      <c r="E413" s="406"/>
      <c r="F413" s="206" t="str">
        <f t="shared" si="100"/>
        <v>unused_PEX_L0_RXP</v>
      </c>
      <c r="G413" s="207"/>
      <c r="H413" s="206" t="s">
        <v>1494</v>
      </c>
      <c r="I413" s="206"/>
      <c r="J413" s="206"/>
      <c r="K413" s="206"/>
      <c r="L413" s="207"/>
      <c r="M413" s="206"/>
      <c r="N413" s="206"/>
      <c r="O413" s="206"/>
      <c r="P413" s="206"/>
      <c r="Q413" s="207"/>
      <c r="R413" s="206"/>
      <c r="S413" s="206"/>
      <c r="T413" s="206"/>
      <c r="U413" s="207"/>
      <c r="V413" s="208"/>
      <c r="W413" s="208"/>
      <c r="X413" s="208"/>
      <c r="Y413" s="208"/>
      <c r="Z413" s="209"/>
      <c r="AA413" s="255"/>
      <c r="AB413" s="234" t="str">
        <f t="shared" si="101"/>
        <v>Unused</v>
      </c>
      <c r="AC413" s="251"/>
      <c r="AD413" s="251"/>
      <c r="AE413" s="251"/>
      <c r="AF413" s="251"/>
      <c r="AG413" s="251"/>
      <c r="AH413" s="251"/>
      <c r="AI413" s="246"/>
      <c r="AJ413" s="191" t="s">
        <v>2079</v>
      </c>
      <c r="AK413" s="256"/>
      <c r="AL413" s="256"/>
      <c r="AM413" s="256"/>
      <c r="AN413" s="256"/>
      <c r="AO413" s="256"/>
      <c r="AP413" s="256"/>
      <c r="AQ413" s="408"/>
      <c r="AR413" s="279" t="s">
        <v>2079</v>
      </c>
      <c r="AS413" s="399"/>
      <c r="AT413" s="289" t="s">
        <v>2079</v>
      </c>
      <c r="AU413" s="443"/>
      <c r="AV413" s="397"/>
    </row>
    <row r="414" spans="1:48" s="31" customFormat="1" ht="12.95" customHeight="1" x14ac:dyDescent="0.2">
      <c r="A414" s="206" t="s">
        <v>1496</v>
      </c>
      <c r="B414" s="274"/>
      <c r="C414" s="206" t="s">
        <v>1497</v>
      </c>
      <c r="D414" s="403"/>
      <c r="E414" s="406"/>
      <c r="F414" s="206" t="str">
        <f t="shared" si="100"/>
        <v>unused_PEX_L0_TXN</v>
      </c>
      <c r="G414" s="207"/>
      <c r="H414" s="206" t="s">
        <v>1496</v>
      </c>
      <c r="I414" s="206"/>
      <c r="J414" s="206"/>
      <c r="K414" s="206"/>
      <c r="L414" s="207"/>
      <c r="M414" s="206"/>
      <c r="N414" s="206"/>
      <c r="O414" s="206"/>
      <c r="P414" s="206"/>
      <c r="Q414" s="207"/>
      <c r="R414" s="206"/>
      <c r="S414" s="206"/>
      <c r="T414" s="206"/>
      <c r="U414" s="207"/>
      <c r="V414" s="208"/>
      <c r="W414" s="208"/>
      <c r="X414" s="208"/>
      <c r="Y414" s="208"/>
      <c r="Z414" s="209"/>
      <c r="AA414" s="255"/>
      <c r="AB414" s="234" t="str">
        <f t="shared" si="101"/>
        <v>Unused</v>
      </c>
      <c r="AC414" s="251"/>
      <c r="AD414" s="251"/>
      <c r="AE414" s="251"/>
      <c r="AF414" s="251"/>
      <c r="AG414" s="251"/>
      <c r="AH414" s="251"/>
      <c r="AI414" s="246"/>
      <c r="AJ414" s="191" t="s">
        <v>2080</v>
      </c>
      <c r="AK414" s="256"/>
      <c r="AL414" s="256"/>
      <c r="AM414" s="256"/>
      <c r="AN414" s="256"/>
      <c r="AO414" s="256"/>
      <c r="AP414" s="256"/>
      <c r="AQ414" s="408"/>
      <c r="AR414" s="279" t="s">
        <v>2080</v>
      </c>
      <c r="AS414" s="399"/>
      <c r="AT414" s="289" t="s">
        <v>2080</v>
      </c>
      <c r="AU414" s="443"/>
      <c r="AV414" s="397"/>
    </row>
    <row r="415" spans="1:48" s="31" customFormat="1" ht="12.95" customHeight="1" x14ac:dyDescent="0.2">
      <c r="A415" s="206" t="s">
        <v>1498</v>
      </c>
      <c r="B415" s="274"/>
      <c r="C415" s="206" t="s">
        <v>1499</v>
      </c>
      <c r="D415" s="403"/>
      <c r="E415" s="406"/>
      <c r="F415" s="206" t="str">
        <f t="shared" si="100"/>
        <v>unused_PEX_L0_TXP</v>
      </c>
      <c r="G415" s="207"/>
      <c r="H415" s="206" t="s">
        <v>1498</v>
      </c>
      <c r="I415" s="206"/>
      <c r="J415" s="206"/>
      <c r="K415" s="206"/>
      <c r="L415" s="207"/>
      <c r="M415" s="206"/>
      <c r="N415" s="206"/>
      <c r="O415" s="206"/>
      <c r="P415" s="206"/>
      <c r="Q415" s="207"/>
      <c r="R415" s="206"/>
      <c r="S415" s="206"/>
      <c r="T415" s="206"/>
      <c r="U415" s="207"/>
      <c r="V415" s="208"/>
      <c r="W415" s="208"/>
      <c r="X415" s="208"/>
      <c r="Y415" s="208"/>
      <c r="Z415" s="209"/>
      <c r="AA415" s="255"/>
      <c r="AB415" s="234" t="str">
        <f t="shared" si="101"/>
        <v>Unused</v>
      </c>
      <c r="AC415" s="251"/>
      <c r="AD415" s="251"/>
      <c r="AE415" s="251"/>
      <c r="AF415" s="251"/>
      <c r="AG415" s="251"/>
      <c r="AH415" s="251"/>
      <c r="AI415" s="246"/>
      <c r="AJ415" s="191" t="s">
        <v>2081</v>
      </c>
      <c r="AK415" s="256"/>
      <c r="AL415" s="256"/>
      <c r="AM415" s="256"/>
      <c r="AN415" s="256"/>
      <c r="AO415" s="256"/>
      <c r="AP415" s="256"/>
      <c r="AQ415" s="408"/>
      <c r="AR415" s="279" t="s">
        <v>2081</v>
      </c>
      <c r="AS415" s="399"/>
      <c r="AT415" s="289" t="s">
        <v>2081</v>
      </c>
      <c r="AU415" s="443"/>
      <c r="AV415" s="397"/>
    </row>
    <row r="416" spans="1:48" s="31" customFormat="1" ht="12.95" customHeight="1" x14ac:dyDescent="0.2">
      <c r="A416" s="206" t="s">
        <v>1503</v>
      </c>
      <c r="B416" s="274"/>
      <c r="C416" s="206" t="s">
        <v>1504</v>
      </c>
      <c r="D416" s="403"/>
      <c r="E416" s="406"/>
      <c r="F416" s="206" t="str">
        <f t="shared" si="100"/>
        <v>unused_PEX_L1_RXN</v>
      </c>
      <c r="G416" s="207"/>
      <c r="H416" s="206" t="s">
        <v>1503</v>
      </c>
      <c r="I416" s="206"/>
      <c r="J416" s="206"/>
      <c r="K416" s="206"/>
      <c r="L416" s="207"/>
      <c r="M416" s="206"/>
      <c r="N416" s="206"/>
      <c r="O416" s="206"/>
      <c r="P416" s="206"/>
      <c r="Q416" s="207"/>
      <c r="R416" s="206"/>
      <c r="S416" s="206"/>
      <c r="T416" s="206"/>
      <c r="U416" s="207"/>
      <c r="V416" s="208"/>
      <c r="W416" s="208"/>
      <c r="X416" s="208"/>
      <c r="Y416" s="208"/>
      <c r="Z416" s="209"/>
      <c r="AA416" s="255"/>
      <c r="AB416" s="234" t="str">
        <f t="shared" si="101"/>
        <v>Unused</v>
      </c>
      <c r="AC416" s="251"/>
      <c r="AD416" s="251"/>
      <c r="AE416" s="251"/>
      <c r="AF416" s="251"/>
      <c r="AG416" s="251"/>
      <c r="AH416" s="251"/>
      <c r="AI416" s="246"/>
      <c r="AJ416" s="191" t="s">
        <v>2082</v>
      </c>
      <c r="AK416" s="256"/>
      <c r="AL416" s="256"/>
      <c r="AM416" s="256"/>
      <c r="AN416" s="256"/>
      <c r="AO416" s="256"/>
      <c r="AP416" s="256"/>
      <c r="AQ416" s="408"/>
      <c r="AR416" s="279" t="s">
        <v>2082</v>
      </c>
      <c r="AS416" s="399"/>
      <c r="AT416" s="289" t="s">
        <v>2082</v>
      </c>
      <c r="AU416" s="443"/>
      <c r="AV416" s="397"/>
    </row>
    <row r="417" spans="1:48" s="31" customFormat="1" ht="12.95" customHeight="1" x14ac:dyDescent="0.2">
      <c r="A417" s="206" t="s">
        <v>1505</v>
      </c>
      <c r="B417" s="274"/>
      <c r="C417" s="206" t="s">
        <v>1506</v>
      </c>
      <c r="D417" s="403"/>
      <c r="E417" s="406"/>
      <c r="F417" s="206" t="str">
        <f t="shared" si="100"/>
        <v>unused_PEX_L1_RXP</v>
      </c>
      <c r="G417" s="207"/>
      <c r="H417" s="206" t="s">
        <v>1505</v>
      </c>
      <c r="I417" s="206"/>
      <c r="J417" s="206"/>
      <c r="K417" s="206"/>
      <c r="L417" s="207"/>
      <c r="M417" s="206"/>
      <c r="N417" s="206"/>
      <c r="O417" s="206"/>
      <c r="P417" s="206"/>
      <c r="Q417" s="207"/>
      <c r="R417" s="206"/>
      <c r="S417" s="206"/>
      <c r="T417" s="206"/>
      <c r="U417" s="207"/>
      <c r="V417" s="208"/>
      <c r="W417" s="208"/>
      <c r="X417" s="208"/>
      <c r="Y417" s="208"/>
      <c r="Z417" s="209"/>
      <c r="AA417" s="255"/>
      <c r="AB417" s="234" t="str">
        <f t="shared" si="101"/>
        <v>Unused</v>
      </c>
      <c r="AC417" s="251"/>
      <c r="AD417" s="251"/>
      <c r="AE417" s="251"/>
      <c r="AF417" s="251"/>
      <c r="AG417" s="251"/>
      <c r="AH417" s="251"/>
      <c r="AI417" s="246"/>
      <c r="AJ417" s="191" t="s">
        <v>2083</v>
      </c>
      <c r="AK417" s="256"/>
      <c r="AL417" s="256"/>
      <c r="AM417" s="256"/>
      <c r="AN417" s="256"/>
      <c r="AO417" s="256"/>
      <c r="AP417" s="256"/>
      <c r="AQ417" s="408"/>
      <c r="AR417" s="279" t="s">
        <v>2083</v>
      </c>
      <c r="AS417" s="399"/>
      <c r="AT417" s="289" t="s">
        <v>2083</v>
      </c>
      <c r="AU417" s="443"/>
      <c r="AV417" s="397"/>
    </row>
    <row r="418" spans="1:48" s="31" customFormat="1" ht="12.95" customHeight="1" x14ac:dyDescent="0.2">
      <c r="A418" s="206" t="s">
        <v>1507</v>
      </c>
      <c r="B418" s="274"/>
      <c r="C418" s="206" t="s">
        <v>1508</v>
      </c>
      <c r="D418" s="403"/>
      <c r="E418" s="406"/>
      <c r="F418" s="206" t="str">
        <f t="shared" si="100"/>
        <v>unused_PEX_L1_TXN</v>
      </c>
      <c r="G418" s="207"/>
      <c r="H418" s="206" t="s">
        <v>1507</v>
      </c>
      <c r="I418" s="206"/>
      <c r="J418" s="206"/>
      <c r="K418" s="206"/>
      <c r="L418" s="207"/>
      <c r="M418" s="206"/>
      <c r="N418" s="206"/>
      <c r="O418" s="206"/>
      <c r="P418" s="206"/>
      <c r="Q418" s="207"/>
      <c r="R418" s="206"/>
      <c r="S418" s="206"/>
      <c r="T418" s="206"/>
      <c r="U418" s="207"/>
      <c r="V418" s="208"/>
      <c r="W418" s="208"/>
      <c r="X418" s="208"/>
      <c r="Y418" s="208"/>
      <c r="Z418" s="209"/>
      <c r="AA418" s="255"/>
      <c r="AB418" s="234" t="str">
        <f t="shared" si="101"/>
        <v>Unused</v>
      </c>
      <c r="AC418" s="251"/>
      <c r="AD418" s="251"/>
      <c r="AE418" s="251"/>
      <c r="AF418" s="251"/>
      <c r="AG418" s="251"/>
      <c r="AH418" s="251"/>
      <c r="AI418" s="246"/>
      <c r="AJ418" s="191" t="s">
        <v>2084</v>
      </c>
      <c r="AK418" s="256"/>
      <c r="AL418" s="256"/>
      <c r="AM418" s="256"/>
      <c r="AN418" s="256"/>
      <c r="AO418" s="256"/>
      <c r="AP418" s="256"/>
      <c r="AQ418" s="408"/>
      <c r="AR418" s="279" t="s">
        <v>2084</v>
      </c>
      <c r="AS418" s="399"/>
      <c r="AT418" s="289" t="s">
        <v>2084</v>
      </c>
      <c r="AU418" s="443"/>
      <c r="AV418" s="397"/>
    </row>
    <row r="419" spans="1:48" s="31" customFormat="1" ht="12.95" customHeight="1" x14ac:dyDescent="0.2">
      <c r="A419" s="206" t="s">
        <v>1509</v>
      </c>
      <c r="B419" s="274"/>
      <c r="C419" s="206" t="s">
        <v>1510</v>
      </c>
      <c r="D419" s="403"/>
      <c r="E419" s="406"/>
      <c r="F419" s="206" t="str">
        <f t="shared" si="100"/>
        <v>unused_PEX_L1_TXP</v>
      </c>
      <c r="G419" s="207"/>
      <c r="H419" s="206" t="s">
        <v>1509</v>
      </c>
      <c r="I419" s="206"/>
      <c r="J419" s="206"/>
      <c r="K419" s="206"/>
      <c r="L419" s="207"/>
      <c r="M419" s="206"/>
      <c r="N419" s="206"/>
      <c r="O419" s="206"/>
      <c r="P419" s="206"/>
      <c r="Q419" s="207"/>
      <c r="R419" s="206"/>
      <c r="S419" s="206"/>
      <c r="T419" s="206"/>
      <c r="U419" s="207"/>
      <c r="V419" s="208"/>
      <c r="W419" s="208"/>
      <c r="X419" s="208"/>
      <c r="Y419" s="208"/>
      <c r="Z419" s="209"/>
      <c r="AA419" s="255"/>
      <c r="AB419" s="234" t="str">
        <f t="shared" si="101"/>
        <v>Unused</v>
      </c>
      <c r="AC419" s="251"/>
      <c r="AD419" s="251"/>
      <c r="AE419" s="251"/>
      <c r="AF419" s="251"/>
      <c r="AG419" s="251"/>
      <c r="AH419" s="251"/>
      <c r="AI419" s="246"/>
      <c r="AJ419" s="191" t="s">
        <v>2085</v>
      </c>
      <c r="AK419" s="256"/>
      <c r="AL419" s="256"/>
      <c r="AM419" s="256"/>
      <c r="AN419" s="256"/>
      <c r="AO419" s="256"/>
      <c r="AP419" s="256"/>
      <c r="AQ419" s="408"/>
      <c r="AR419" s="279" t="s">
        <v>2085</v>
      </c>
      <c r="AS419" s="399"/>
      <c r="AT419" s="289" t="s">
        <v>2085</v>
      </c>
      <c r="AU419" s="443"/>
      <c r="AV419" s="397"/>
    </row>
    <row r="420" spans="1:48" s="31" customFormat="1" ht="12.95" customHeight="1" x14ac:dyDescent="0.2">
      <c r="A420" s="206" t="s">
        <v>1514</v>
      </c>
      <c r="B420" s="274"/>
      <c r="C420" s="206" t="s">
        <v>1515</v>
      </c>
      <c r="D420" s="403"/>
      <c r="E420" s="406"/>
      <c r="F420" s="206" t="str">
        <f t="shared" si="100"/>
        <v>unused_PEX_L2_RXN</v>
      </c>
      <c r="G420" s="207"/>
      <c r="H420" s="206" t="s">
        <v>1514</v>
      </c>
      <c r="I420" s="206"/>
      <c r="J420" s="206"/>
      <c r="K420" s="206"/>
      <c r="L420" s="207"/>
      <c r="M420" s="206"/>
      <c r="N420" s="206"/>
      <c r="O420" s="206"/>
      <c r="P420" s="206"/>
      <c r="Q420" s="207"/>
      <c r="R420" s="206"/>
      <c r="S420" s="206"/>
      <c r="T420" s="206"/>
      <c r="U420" s="207"/>
      <c r="V420" s="208"/>
      <c r="W420" s="208"/>
      <c r="X420" s="208"/>
      <c r="Y420" s="208"/>
      <c r="Z420" s="209"/>
      <c r="AA420" s="255"/>
      <c r="AB420" s="234" t="str">
        <f t="shared" si="101"/>
        <v>Unused</v>
      </c>
      <c r="AC420" s="251"/>
      <c r="AD420" s="251"/>
      <c r="AE420" s="251"/>
      <c r="AF420" s="251"/>
      <c r="AG420" s="251"/>
      <c r="AH420" s="251"/>
      <c r="AI420" s="246"/>
      <c r="AJ420" s="191" t="s">
        <v>2086</v>
      </c>
      <c r="AK420" s="256"/>
      <c r="AL420" s="256"/>
      <c r="AM420" s="256"/>
      <c r="AN420" s="256"/>
      <c r="AO420" s="256"/>
      <c r="AP420" s="256"/>
      <c r="AQ420" s="408"/>
      <c r="AR420" s="279" t="s">
        <v>2086</v>
      </c>
      <c r="AS420" s="399"/>
      <c r="AT420" s="289" t="s">
        <v>2086</v>
      </c>
      <c r="AU420" s="443"/>
      <c r="AV420" s="397"/>
    </row>
    <row r="421" spans="1:48" s="31" customFormat="1" ht="12.95" customHeight="1" x14ac:dyDescent="0.2">
      <c r="A421" s="206" t="s">
        <v>1516</v>
      </c>
      <c r="B421" s="274"/>
      <c r="C421" s="206" t="s">
        <v>1517</v>
      </c>
      <c r="D421" s="403"/>
      <c r="E421" s="406"/>
      <c r="F421" s="206" t="str">
        <f t="shared" si="100"/>
        <v>unused_PEX_L2_RXP</v>
      </c>
      <c r="G421" s="207"/>
      <c r="H421" s="206" t="s">
        <v>1516</v>
      </c>
      <c r="I421" s="206"/>
      <c r="J421" s="206"/>
      <c r="K421" s="206"/>
      <c r="L421" s="207"/>
      <c r="M421" s="206"/>
      <c r="N421" s="206"/>
      <c r="O421" s="206"/>
      <c r="P421" s="206"/>
      <c r="Q421" s="207"/>
      <c r="R421" s="206"/>
      <c r="S421" s="206"/>
      <c r="T421" s="206"/>
      <c r="U421" s="207"/>
      <c r="V421" s="208"/>
      <c r="W421" s="208"/>
      <c r="X421" s="208"/>
      <c r="Y421" s="208"/>
      <c r="Z421" s="209"/>
      <c r="AA421" s="255"/>
      <c r="AB421" s="234" t="str">
        <f t="shared" si="101"/>
        <v>Unused</v>
      </c>
      <c r="AC421" s="251"/>
      <c r="AD421" s="251"/>
      <c r="AE421" s="251"/>
      <c r="AF421" s="251"/>
      <c r="AG421" s="251"/>
      <c r="AH421" s="251"/>
      <c r="AI421" s="246"/>
      <c r="AJ421" s="191" t="s">
        <v>2087</v>
      </c>
      <c r="AK421" s="256"/>
      <c r="AL421" s="256"/>
      <c r="AM421" s="256"/>
      <c r="AN421" s="256"/>
      <c r="AO421" s="256"/>
      <c r="AP421" s="256"/>
      <c r="AQ421" s="408"/>
      <c r="AR421" s="279" t="s">
        <v>2087</v>
      </c>
      <c r="AS421" s="399"/>
      <c r="AT421" s="289" t="s">
        <v>2087</v>
      </c>
      <c r="AU421" s="443"/>
      <c r="AV421" s="397"/>
    </row>
    <row r="422" spans="1:48" s="31" customFormat="1" ht="12.95" customHeight="1" x14ac:dyDescent="0.2">
      <c r="A422" s="206" t="s">
        <v>1518</v>
      </c>
      <c r="B422" s="274"/>
      <c r="C422" s="206" t="s">
        <v>1519</v>
      </c>
      <c r="D422" s="403"/>
      <c r="E422" s="406"/>
      <c r="F422" s="206" t="str">
        <f t="shared" si="100"/>
        <v>unused_PEX_L2_TXN</v>
      </c>
      <c r="G422" s="207"/>
      <c r="H422" s="206" t="s">
        <v>1518</v>
      </c>
      <c r="I422" s="206"/>
      <c r="J422" s="206"/>
      <c r="K422" s="206"/>
      <c r="L422" s="207"/>
      <c r="M422" s="206"/>
      <c r="N422" s="206"/>
      <c r="O422" s="206"/>
      <c r="P422" s="206"/>
      <c r="Q422" s="207"/>
      <c r="R422" s="206"/>
      <c r="S422" s="206"/>
      <c r="T422" s="206"/>
      <c r="U422" s="207"/>
      <c r="V422" s="208"/>
      <c r="W422" s="208"/>
      <c r="X422" s="208"/>
      <c r="Y422" s="208"/>
      <c r="Z422" s="209"/>
      <c r="AA422" s="255"/>
      <c r="AB422" s="234" t="str">
        <f t="shared" si="101"/>
        <v>Unused</v>
      </c>
      <c r="AC422" s="251"/>
      <c r="AD422" s="251"/>
      <c r="AE422" s="251"/>
      <c r="AF422" s="251"/>
      <c r="AG422" s="251"/>
      <c r="AH422" s="251"/>
      <c r="AI422" s="246"/>
      <c r="AJ422" s="191" t="s">
        <v>2088</v>
      </c>
      <c r="AK422" s="256"/>
      <c r="AL422" s="256"/>
      <c r="AM422" s="256"/>
      <c r="AN422" s="256"/>
      <c r="AO422" s="256"/>
      <c r="AP422" s="256"/>
      <c r="AQ422" s="408"/>
      <c r="AR422" s="279" t="s">
        <v>2088</v>
      </c>
      <c r="AS422" s="399"/>
      <c r="AT422" s="289" t="s">
        <v>2088</v>
      </c>
      <c r="AU422" s="443"/>
      <c r="AV422" s="397"/>
    </row>
    <row r="423" spans="1:48" s="31" customFormat="1" ht="12.95" customHeight="1" x14ac:dyDescent="0.2">
      <c r="A423" s="206" t="s">
        <v>1520</v>
      </c>
      <c r="B423" s="274"/>
      <c r="C423" s="206" t="s">
        <v>1521</v>
      </c>
      <c r="D423" s="403"/>
      <c r="E423" s="406"/>
      <c r="F423" s="206" t="str">
        <f t="shared" si="100"/>
        <v>unused_PEX_L2_TXP</v>
      </c>
      <c r="G423" s="207"/>
      <c r="H423" s="206" t="s">
        <v>1520</v>
      </c>
      <c r="I423" s="206"/>
      <c r="J423" s="206"/>
      <c r="K423" s="206"/>
      <c r="L423" s="207"/>
      <c r="M423" s="206"/>
      <c r="N423" s="206"/>
      <c r="O423" s="206"/>
      <c r="P423" s="206"/>
      <c r="Q423" s="207"/>
      <c r="R423" s="206"/>
      <c r="S423" s="206"/>
      <c r="T423" s="206"/>
      <c r="U423" s="207"/>
      <c r="V423" s="208"/>
      <c r="W423" s="208"/>
      <c r="X423" s="208"/>
      <c r="Y423" s="208"/>
      <c r="Z423" s="209"/>
      <c r="AA423" s="255"/>
      <c r="AB423" s="234" t="str">
        <f t="shared" si="101"/>
        <v>Unused</v>
      </c>
      <c r="AC423" s="251"/>
      <c r="AD423" s="251"/>
      <c r="AE423" s="251"/>
      <c r="AF423" s="251"/>
      <c r="AG423" s="251"/>
      <c r="AH423" s="251"/>
      <c r="AI423" s="246"/>
      <c r="AJ423" s="191" t="s">
        <v>2089</v>
      </c>
      <c r="AK423" s="256"/>
      <c r="AL423" s="256"/>
      <c r="AM423" s="256"/>
      <c r="AN423" s="256"/>
      <c r="AO423" s="256"/>
      <c r="AP423" s="256"/>
      <c r="AQ423" s="408"/>
      <c r="AR423" s="279" t="s">
        <v>2089</v>
      </c>
      <c r="AS423" s="399"/>
      <c r="AT423" s="289" t="s">
        <v>2089</v>
      </c>
      <c r="AU423" s="443"/>
      <c r="AV423" s="397"/>
    </row>
    <row r="424" spans="1:48" s="31" customFormat="1" ht="12.95" customHeight="1" x14ac:dyDescent="0.2">
      <c r="A424" s="206" t="s">
        <v>1522</v>
      </c>
      <c r="B424" s="274"/>
      <c r="C424" s="206" t="s">
        <v>1523</v>
      </c>
      <c r="D424" s="403"/>
      <c r="E424" s="406"/>
      <c r="F424" s="206" t="str">
        <f t="shared" si="100"/>
        <v>unused_PEX_L3_RXN</v>
      </c>
      <c r="G424" s="207"/>
      <c r="H424" s="206" t="s">
        <v>1522</v>
      </c>
      <c r="I424" s="206"/>
      <c r="J424" s="206"/>
      <c r="K424" s="206"/>
      <c r="L424" s="207"/>
      <c r="M424" s="206"/>
      <c r="N424" s="206"/>
      <c r="O424" s="206"/>
      <c r="P424" s="206"/>
      <c r="Q424" s="207"/>
      <c r="R424" s="206"/>
      <c r="S424" s="206"/>
      <c r="T424" s="206"/>
      <c r="U424" s="207"/>
      <c r="V424" s="208"/>
      <c r="W424" s="208"/>
      <c r="X424" s="208"/>
      <c r="Y424" s="208"/>
      <c r="Z424" s="209"/>
      <c r="AA424" s="255"/>
      <c r="AB424" s="234" t="str">
        <f t="shared" si="101"/>
        <v>Unused</v>
      </c>
      <c r="AC424" s="251"/>
      <c r="AD424" s="251"/>
      <c r="AE424" s="251"/>
      <c r="AF424" s="251"/>
      <c r="AG424" s="251"/>
      <c r="AH424" s="251"/>
      <c r="AI424" s="246"/>
      <c r="AJ424" s="191" t="s">
        <v>2090</v>
      </c>
      <c r="AK424" s="256"/>
      <c r="AL424" s="256"/>
      <c r="AM424" s="256"/>
      <c r="AN424" s="256"/>
      <c r="AO424" s="256"/>
      <c r="AP424" s="256"/>
      <c r="AQ424" s="408"/>
      <c r="AR424" s="279" t="s">
        <v>2090</v>
      </c>
      <c r="AS424" s="399"/>
      <c r="AT424" s="289" t="s">
        <v>2090</v>
      </c>
      <c r="AU424" s="443"/>
      <c r="AV424" s="397"/>
    </row>
    <row r="425" spans="1:48" s="31" customFormat="1" ht="12.95" customHeight="1" x14ac:dyDescent="0.2">
      <c r="A425" s="206" t="s">
        <v>1524</v>
      </c>
      <c r="B425" s="274"/>
      <c r="C425" s="206" t="s">
        <v>1525</v>
      </c>
      <c r="D425" s="403"/>
      <c r="E425" s="406"/>
      <c r="F425" s="206" t="str">
        <f t="shared" si="100"/>
        <v>unused_PEX_L3_RXP</v>
      </c>
      <c r="G425" s="207"/>
      <c r="H425" s="206" t="s">
        <v>1524</v>
      </c>
      <c r="I425" s="206"/>
      <c r="J425" s="206"/>
      <c r="K425" s="206"/>
      <c r="L425" s="207"/>
      <c r="M425" s="206"/>
      <c r="N425" s="206"/>
      <c r="O425" s="206"/>
      <c r="P425" s="206"/>
      <c r="Q425" s="207"/>
      <c r="R425" s="206"/>
      <c r="S425" s="206"/>
      <c r="T425" s="206"/>
      <c r="U425" s="207"/>
      <c r="V425" s="208"/>
      <c r="W425" s="208"/>
      <c r="X425" s="208"/>
      <c r="Y425" s="208"/>
      <c r="Z425" s="209"/>
      <c r="AA425" s="255"/>
      <c r="AB425" s="234" t="str">
        <f t="shared" si="101"/>
        <v>Unused</v>
      </c>
      <c r="AC425" s="251"/>
      <c r="AD425" s="251"/>
      <c r="AE425" s="251"/>
      <c r="AF425" s="251"/>
      <c r="AG425" s="251"/>
      <c r="AH425" s="251"/>
      <c r="AI425" s="246"/>
      <c r="AJ425" s="191" t="s">
        <v>2091</v>
      </c>
      <c r="AK425" s="256"/>
      <c r="AL425" s="256"/>
      <c r="AM425" s="256"/>
      <c r="AN425" s="256"/>
      <c r="AO425" s="256"/>
      <c r="AP425" s="256"/>
      <c r="AQ425" s="408"/>
      <c r="AR425" s="279" t="s">
        <v>2091</v>
      </c>
      <c r="AS425" s="399"/>
      <c r="AT425" s="289" t="s">
        <v>2091</v>
      </c>
      <c r="AU425" s="443"/>
      <c r="AV425" s="397"/>
    </row>
    <row r="426" spans="1:48" s="31" customFormat="1" ht="12.95" customHeight="1" x14ac:dyDescent="0.2">
      <c r="A426" s="206" t="s">
        <v>1526</v>
      </c>
      <c r="B426" s="274"/>
      <c r="C426" s="206" t="s">
        <v>1527</v>
      </c>
      <c r="D426" s="403"/>
      <c r="E426" s="406"/>
      <c r="F426" s="206" t="str">
        <f t="shared" si="100"/>
        <v>unused_PEX_L3_TXN</v>
      </c>
      <c r="G426" s="207"/>
      <c r="H426" s="206" t="s">
        <v>1526</v>
      </c>
      <c r="I426" s="206"/>
      <c r="J426" s="206"/>
      <c r="K426" s="206"/>
      <c r="L426" s="207"/>
      <c r="M426" s="206"/>
      <c r="N426" s="206"/>
      <c r="O426" s="206"/>
      <c r="P426" s="206"/>
      <c r="Q426" s="207"/>
      <c r="R426" s="206"/>
      <c r="S426" s="206"/>
      <c r="T426" s="206"/>
      <c r="U426" s="207"/>
      <c r="V426" s="208"/>
      <c r="W426" s="208"/>
      <c r="X426" s="208"/>
      <c r="Y426" s="208"/>
      <c r="Z426" s="209"/>
      <c r="AA426" s="255"/>
      <c r="AB426" s="234" t="str">
        <f t="shared" si="101"/>
        <v>Unused</v>
      </c>
      <c r="AC426" s="251"/>
      <c r="AD426" s="251"/>
      <c r="AE426" s="251"/>
      <c r="AF426" s="251"/>
      <c r="AG426" s="251"/>
      <c r="AH426" s="251"/>
      <c r="AI426" s="246"/>
      <c r="AJ426" s="191" t="s">
        <v>2092</v>
      </c>
      <c r="AK426" s="256"/>
      <c r="AL426" s="256"/>
      <c r="AM426" s="256"/>
      <c r="AN426" s="256"/>
      <c r="AO426" s="256"/>
      <c r="AP426" s="256"/>
      <c r="AQ426" s="408"/>
      <c r="AR426" s="279" t="s">
        <v>2092</v>
      </c>
      <c r="AS426" s="399"/>
      <c r="AT426" s="289" t="s">
        <v>2092</v>
      </c>
      <c r="AU426" s="443"/>
      <c r="AV426" s="397"/>
    </row>
    <row r="427" spans="1:48" s="31" customFormat="1" ht="12.95" customHeight="1" x14ac:dyDescent="0.2">
      <c r="A427" s="206" t="s">
        <v>1528</v>
      </c>
      <c r="B427" s="274"/>
      <c r="C427" s="206" t="s">
        <v>1529</v>
      </c>
      <c r="D427" s="403"/>
      <c r="E427" s="406"/>
      <c r="F427" s="206" t="str">
        <f t="shared" si="100"/>
        <v>unused_PEX_L3_TXP</v>
      </c>
      <c r="G427" s="207"/>
      <c r="H427" s="206" t="s">
        <v>1528</v>
      </c>
      <c r="I427" s="206"/>
      <c r="J427" s="206"/>
      <c r="K427" s="206"/>
      <c r="L427" s="207"/>
      <c r="M427" s="206"/>
      <c r="N427" s="206"/>
      <c r="O427" s="206"/>
      <c r="P427" s="206"/>
      <c r="Q427" s="207"/>
      <c r="R427" s="206"/>
      <c r="S427" s="206"/>
      <c r="T427" s="206"/>
      <c r="U427" s="207"/>
      <c r="V427" s="208"/>
      <c r="W427" s="208"/>
      <c r="X427" s="208"/>
      <c r="Y427" s="208"/>
      <c r="Z427" s="209"/>
      <c r="AA427" s="255"/>
      <c r="AB427" s="234" t="str">
        <f t="shared" si="101"/>
        <v>Unused</v>
      </c>
      <c r="AC427" s="251"/>
      <c r="AD427" s="251"/>
      <c r="AE427" s="251"/>
      <c r="AF427" s="251"/>
      <c r="AG427" s="251"/>
      <c r="AH427" s="251"/>
      <c r="AI427" s="246"/>
      <c r="AJ427" s="191" t="s">
        <v>2093</v>
      </c>
      <c r="AK427" s="256"/>
      <c r="AL427" s="256"/>
      <c r="AM427" s="256"/>
      <c r="AN427" s="256"/>
      <c r="AO427" s="256"/>
      <c r="AP427" s="256"/>
      <c r="AQ427" s="408"/>
      <c r="AR427" s="279" t="s">
        <v>2093</v>
      </c>
      <c r="AS427" s="399"/>
      <c r="AT427" s="289" t="s">
        <v>2093</v>
      </c>
      <c r="AU427" s="443"/>
      <c r="AV427" s="397"/>
    </row>
    <row r="428" spans="1:48" s="31" customFormat="1" ht="12.95" customHeight="1" x14ac:dyDescent="0.2">
      <c r="A428" s="206" t="s">
        <v>1530</v>
      </c>
      <c r="B428" s="274"/>
      <c r="C428" s="206" t="s">
        <v>1531</v>
      </c>
      <c r="D428" s="403"/>
      <c r="E428" s="406"/>
      <c r="F428" s="206" t="str">
        <f t="shared" si="100"/>
        <v>unused_PEX_L4_RXN</v>
      </c>
      <c r="G428" s="207"/>
      <c r="H428" s="206" t="s">
        <v>1530</v>
      </c>
      <c r="I428" s="206"/>
      <c r="J428" s="206"/>
      <c r="K428" s="206"/>
      <c r="L428" s="207"/>
      <c r="M428" s="206"/>
      <c r="N428" s="206"/>
      <c r="O428" s="206"/>
      <c r="P428" s="206"/>
      <c r="Q428" s="207"/>
      <c r="R428" s="206"/>
      <c r="S428" s="206"/>
      <c r="T428" s="206"/>
      <c r="U428" s="207"/>
      <c r="V428" s="208"/>
      <c r="W428" s="208"/>
      <c r="X428" s="208"/>
      <c r="Y428" s="208"/>
      <c r="Z428" s="209"/>
      <c r="AA428" s="255"/>
      <c r="AB428" s="234" t="str">
        <f t="shared" si="101"/>
        <v>Unused</v>
      </c>
      <c r="AC428" s="251"/>
      <c r="AD428" s="251"/>
      <c r="AE428" s="251"/>
      <c r="AF428" s="251"/>
      <c r="AG428" s="251"/>
      <c r="AH428" s="251"/>
      <c r="AI428" s="246"/>
      <c r="AJ428" s="191" t="s">
        <v>2094</v>
      </c>
      <c r="AK428" s="256"/>
      <c r="AL428" s="256"/>
      <c r="AM428" s="256"/>
      <c r="AN428" s="256"/>
      <c r="AO428" s="256"/>
      <c r="AP428" s="256"/>
      <c r="AQ428" s="408"/>
      <c r="AR428" s="279" t="s">
        <v>2094</v>
      </c>
      <c r="AS428" s="399"/>
      <c r="AT428" s="289" t="s">
        <v>2094</v>
      </c>
      <c r="AU428" s="443"/>
      <c r="AV428" s="397"/>
    </row>
    <row r="429" spans="1:48" s="31" customFormat="1" ht="12.95" customHeight="1" x14ac:dyDescent="0.2">
      <c r="A429" s="206" t="s">
        <v>1532</v>
      </c>
      <c r="B429" s="274"/>
      <c r="C429" s="206" t="s">
        <v>1533</v>
      </c>
      <c r="D429" s="403"/>
      <c r="E429" s="406"/>
      <c r="F429" s="206" t="str">
        <f t="shared" si="100"/>
        <v>unused_PEX_L4_RXP</v>
      </c>
      <c r="G429" s="207"/>
      <c r="H429" s="206" t="s">
        <v>1532</v>
      </c>
      <c r="I429" s="206"/>
      <c r="J429" s="206"/>
      <c r="K429" s="206"/>
      <c r="L429" s="207"/>
      <c r="M429" s="206"/>
      <c r="N429" s="206"/>
      <c r="O429" s="206"/>
      <c r="P429" s="206"/>
      <c r="Q429" s="207"/>
      <c r="R429" s="206"/>
      <c r="S429" s="206"/>
      <c r="T429" s="206"/>
      <c r="U429" s="207"/>
      <c r="V429" s="208"/>
      <c r="W429" s="208"/>
      <c r="X429" s="208"/>
      <c r="Y429" s="208"/>
      <c r="Z429" s="209"/>
      <c r="AA429" s="255"/>
      <c r="AB429" s="234" t="str">
        <f t="shared" si="101"/>
        <v>Unused</v>
      </c>
      <c r="AC429" s="251"/>
      <c r="AD429" s="251"/>
      <c r="AE429" s="251"/>
      <c r="AF429" s="251"/>
      <c r="AG429" s="251"/>
      <c r="AH429" s="251"/>
      <c r="AI429" s="246"/>
      <c r="AJ429" s="191" t="s">
        <v>2095</v>
      </c>
      <c r="AK429" s="256"/>
      <c r="AL429" s="256"/>
      <c r="AM429" s="256"/>
      <c r="AN429" s="256"/>
      <c r="AO429" s="256"/>
      <c r="AP429" s="256"/>
      <c r="AQ429" s="408"/>
      <c r="AR429" s="279" t="s">
        <v>2095</v>
      </c>
      <c r="AS429" s="399"/>
      <c r="AT429" s="289" t="s">
        <v>2095</v>
      </c>
      <c r="AU429" s="443"/>
      <c r="AV429" s="397"/>
    </row>
    <row r="430" spans="1:48" s="31" customFormat="1" ht="12.95" customHeight="1" x14ac:dyDescent="0.2">
      <c r="A430" s="206" t="s">
        <v>1534</v>
      </c>
      <c r="B430" s="274"/>
      <c r="C430" s="206" t="s">
        <v>1535</v>
      </c>
      <c r="D430" s="403"/>
      <c r="E430" s="406"/>
      <c r="F430" s="206" t="str">
        <f t="shared" si="100"/>
        <v>unused_PEX_L4_TXN</v>
      </c>
      <c r="G430" s="207"/>
      <c r="H430" s="206" t="s">
        <v>1534</v>
      </c>
      <c r="I430" s="206"/>
      <c r="J430" s="206"/>
      <c r="K430" s="206"/>
      <c r="L430" s="207"/>
      <c r="M430" s="206"/>
      <c r="N430" s="206"/>
      <c r="O430" s="206"/>
      <c r="P430" s="206"/>
      <c r="Q430" s="207"/>
      <c r="R430" s="206"/>
      <c r="S430" s="206"/>
      <c r="T430" s="206"/>
      <c r="U430" s="207"/>
      <c r="V430" s="208"/>
      <c r="W430" s="208"/>
      <c r="X430" s="208"/>
      <c r="Y430" s="208"/>
      <c r="Z430" s="209"/>
      <c r="AA430" s="255"/>
      <c r="AB430" s="234" t="str">
        <f t="shared" si="101"/>
        <v>Unused</v>
      </c>
      <c r="AC430" s="251"/>
      <c r="AD430" s="251"/>
      <c r="AE430" s="251"/>
      <c r="AF430" s="251"/>
      <c r="AG430" s="251"/>
      <c r="AH430" s="251"/>
      <c r="AI430" s="246"/>
      <c r="AJ430" s="191" t="s">
        <v>2096</v>
      </c>
      <c r="AK430" s="256"/>
      <c r="AL430" s="256"/>
      <c r="AM430" s="256"/>
      <c r="AN430" s="256"/>
      <c r="AO430" s="256"/>
      <c r="AP430" s="256"/>
      <c r="AQ430" s="408"/>
      <c r="AR430" s="279" t="s">
        <v>2096</v>
      </c>
      <c r="AS430" s="399"/>
      <c r="AT430" s="289" t="s">
        <v>2096</v>
      </c>
      <c r="AU430" s="443"/>
      <c r="AV430" s="397"/>
    </row>
    <row r="431" spans="1:48" s="31" customFormat="1" ht="12.95" customHeight="1" x14ac:dyDescent="0.2">
      <c r="A431" s="206" t="s">
        <v>1536</v>
      </c>
      <c r="B431" s="274"/>
      <c r="C431" s="206" t="s">
        <v>1537</v>
      </c>
      <c r="D431" s="403"/>
      <c r="E431" s="406"/>
      <c r="F431" s="206" t="str">
        <f t="shared" si="100"/>
        <v>unused_PEX_L4_TXP</v>
      </c>
      <c r="G431" s="207"/>
      <c r="H431" s="206" t="s">
        <v>1536</v>
      </c>
      <c r="I431" s="206"/>
      <c r="J431" s="206"/>
      <c r="K431" s="206"/>
      <c r="L431" s="207"/>
      <c r="M431" s="206"/>
      <c r="N431" s="206"/>
      <c r="O431" s="206"/>
      <c r="P431" s="206"/>
      <c r="Q431" s="207"/>
      <c r="R431" s="206"/>
      <c r="S431" s="206"/>
      <c r="T431" s="206"/>
      <c r="U431" s="207"/>
      <c r="V431" s="208"/>
      <c r="W431" s="208"/>
      <c r="X431" s="208"/>
      <c r="Y431" s="208"/>
      <c r="Z431" s="209"/>
      <c r="AA431" s="255"/>
      <c r="AB431" s="234" t="str">
        <f t="shared" si="101"/>
        <v>Unused</v>
      </c>
      <c r="AC431" s="251"/>
      <c r="AD431" s="251"/>
      <c r="AE431" s="251"/>
      <c r="AF431" s="251"/>
      <c r="AG431" s="251"/>
      <c r="AH431" s="251"/>
      <c r="AI431" s="246"/>
      <c r="AJ431" s="191" t="s">
        <v>2097</v>
      </c>
      <c r="AK431" s="256"/>
      <c r="AL431" s="256"/>
      <c r="AM431" s="256"/>
      <c r="AN431" s="256"/>
      <c r="AO431" s="256"/>
      <c r="AP431" s="256"/>
      <c r="AQ431" s="408"/>
      <c r="AR431" s="279" t="s">
        <v>2097</v>
      </c>
      <c r="AS431" s="400"/>
      <c r="AT431" s="289" t="s">
        <v>2097</v>
      </c>
      <c r="AU431" s="443"/>
      <c r="AV431" s="397"/>
    </row>
    <row r="432" spans="1:48" s="31" customFormat="1" ht="12.95" customHeight="1" x14ac:dyDescent="0.2">
      <c r="A432" s="206" t="s">
        <v>1538</v>
      </c>
      <c r="B432" s="274"/>
      <c r="C432" s="206" t="s">
        <v>1539</v>
      </c>
      <c r="D432" s="403"/>
      <c r="E432" s="406"/>
      <c r="F432" s="206" t="str">
        <f t="shared" si="100"/>
        <v>unused_PEX_L5_RXN</v>
      </c>
      <c r="G432" s="207"/>
      <c r="H432" s="206" t="s">
        <v>1538</v>
      </c>
      <c r="I432" s="206"/>
      <c r="J432" s="206"/>
      <c r="K432" s="206"/>
      <c r="L432" s="207"/>
      <c r="M432" s="206"/>
      <c r="N432" s="206"/>
      <c r="O432" s="206"/>
      <c r="P432" s="206"/>
      <c r="Q432" s="207"/>
      <c r="R432" s="206"/>
      <c r="S432" s="206"/>
      <c r="T432" s="206"/>
      <c r="U432" s="207"/>
      <c r="V432" s="208"/>
      <c r="W432" s="208"/>
      <c r="X432" s="208"/>
      <c r="Y432" s="208"/>
      <c r="Z432" s="209"/>
      <c r="AA432" s="255"/>
      <c r="AB432" s="234" t="str">
        <f t="shared" si="101"/>
        <v>Unused</v>
      </c>
      <c r="AC432" s="251"/>
      <c r="AD432" s="251"/>
      <c r="AE432" s="251"/>
      <c r="AF432" s="251"/>
      <c r="AG432" s="251"/>
      <c r="AH432" s="251"/>
      <c r="AI432" s="246"/>
      <c r="AJ432" s="191" t="s">
        <v>2153</v>
      </c>
      <c r="AK432" s="256"/>
      <c r="AL432" s="256"/>
      <c r="AM432" s="256"/>
      <c r="AN432" s="256"/>
      <c r="AO432" s="256"/>
      <c r="AP432" s="256"/>
      <c r="AQ432" s="408"/>
      <c r="AR432" s="279" t="s">
        <v>2153</v>
      </c>
      <c r="AS432" s="394" t="s">
        <v>2113</v>
      </c>
      <c r="AT432" s="289" t="s">
        <v>1538</v>
      </c>
      <c r="AU432" s="443"/>
      <c r="AV432" s="397"/>
    </row>
    <row r="433" spans="1:48" s="31" customFormat="1" ht="12.95" customHeight="1" x14ac:dyDescent="0.2">
      <c r="A433" s="206" t="s">
        <v>1540</v>
      </c>
      <c r="B433" s="274"/>
      <c r="C433" s="206" t="s">
        <v>1541</v>
      </c>
      <c r="D433" s="403"/>
      <c r="E433" s="406"/>
      <c r="F433" s="206" t="str">
        <f t="shared" si="100"/>
        <v>unused_PEX_L5_RXP</v>
      </c>
      <c r="G433" s="207"/>
      <c r="H433" s="206" t="s">
        <v>1540</v>
      </c>
      <c r="I433" s="206"/>
      <c r="J433" s="206"/>
      <c r="K433" s="206"/>
      <c r="L433" s="207"/>
      <c r="M433" s="206"/>
      <c r="N433" s="206"/>
      <c r="O433" s="206"/>
      <c r="P433" s="206"/>
      <c r="Q433" s="207"/>
      <c r="R433" s="206"/>
      <c r="S433" s="206"/>
      <c r="T433" s="206"/>
      <c r="U433" s="207"/>
      <c r="V433" s="208"/>
      <c r="W433" s="208"/>
      <c r="X433" s="208"/>
      <c r="Y433" s="208"/>
      <c r="Z433" s="209"/>
      <c r="AA433" s="255"/>
      <c r="AB433" s="234" t="str">
        <f t="shared" si="101"/>
        <v>Unused</v>
      </c>
      <c r="AC433" s="251"/>
      <c r="AD433" s="251"/>
      <c r="AE433" s="251"/>
      <c r="AF433" s="251"/>
      <c r="AG433" s="251"/>
      <c r="AH433" s="251"/>
      <c r="AI433" s="246"/>
      <c r="AJ433" s="191" t="s">
        <v>2239</v>
      </c>
      <c r="AK433" s="256"/>
      <c r="AL433" s="256"/>
      <c r="AM433" s="256"/>
      <c r="AN433" s="256"/>
      <c r="AO433" s="256"/>
      <c r="AP433" s="256"/>
      <c r="AQ433" s="408"/>
      <c r="AR433" s="279" t="s">
        <v>2239</v>
      </c>
      <c r="AS433" s="395"/>
      <c r="AT433" s="289" t="s">
        <v>1540</v>
      </c>
      <c r="AU433" s="443"/>
      <c r="AV433" s="397"/>
    </row>
    <row r="434" spans="1:48" s="31" customFormat="1" ht="12.95" customHeight="1" x14ac:dyDescent="0.2">
      <c r="A434" s="206" t="s">
        <v>1542</v>
      </c>
      <c r="B434" s="274"/>
      <c r="C434" s="206" t="s">
        <v>1543</v>
      </c>
      <c r="D434" s="403"/>
      <c r="E434" s="406"/>
      <c r="F434" s="206" t="str">
        <f t="shared" si="100"/>
        <v>unused_PEX_L5_TXN</v>
      </c>
      <c r="G434" s="207"/>
      <c r="H434" s="206" t="s">
        <v>1542</v>
      </c>
      <c r="I434" s="206"/>
      <c r="J434" s="206"/>
      <c r="K434" s="206"/>
      <c r="L434" s="207"/>
      <c r="M434" s="206"/>
      <c r="N434" s="206"/>
      <c r="O434" s="206"/>
      <c r="P434" s="206"/>
      <c r="Q434" s="207"/>
      <c r="R434" s="206"/>
      <c r="S434" s="206"/>
      <c r="T434" s="206"/>
      <c r="U434" s="207"/>
      <c r="V434" s="208"/>
      <c r="W434" s="208"/>
      <c r="X434" s="208"/>
      <c r="Y434" s="208"/>
      <c r="Z434" s="209"/>
      <c r="AA434" s="255"/>
      <c r="AB434" s="234" t="str">
        <f t="shared" si="101"/>
        <v>Unused</v>
      </c>
      <c r="AC434" s="251"/>
      <c r="AD434" s="251"/>
      <c r="AE434" s="251"/>
      <c r="AF434" s="251"/>
      <c r="AG434" s="251"/>
      <c r="AH434" s="251"/>
      <c r="AI434" s="246"/>
      <c r="AJ434" s="191" t="s">
        <v>2154</v>
      </c>
      <c r="AK434" s="256"/>
      <c r="AL434" s="256"/>
      <c r="AM434" s="256"/>
      <c r="AN434" s="256"/>
      <c r="AO434" s="256"/>
      <c r="AP434" s="256"/>
      <c r="AQ434" s="408"/>
      <c r="AR434" s="279" t="s">
        <v>2154</v>
      </c>
      <c r="AS434" s="395"/>
      <c r="AT434" s="289" t="s">
        <v>1542</v>
      </c>
      <c r="AU434" s="443"/>
      <c r="AV434" s="397"/>
    </row>
    <row r="435" spans="1:48" s="31" customFormat="1" ht="12.95" customHeight="1" x14ac:dyDescent="0.2">
      <c r="A435" s="206" t="s">
        <v>1544</v>
      </c>
      <c r="B435" s="274"/>
      <c r="C435" s="206" t="s">
        <v>1545</v>
      </c>
      <c r="D435" s="403"/>
      <c r="E435" s="406"/>
      <c r="F435" s="206" t="str">
        <f t="shared" si="100"/>
        <v>unused_PEX_L5_TXP</v>
      </c>
      <c r="G435" s="207"/>
      <c r="H435" s="206" t="s">
        <v>1544</v>
      </c>
      <c r="I435" s="206"/>
      <c r="J435" s="206"/>
      <c r="K435" s="206"/>
      <c r="L435" s="207"/>
      <c r="M435" s="206"/>
      <c r="N435" s="206"/>
      <c r="O435" s="206"/>
      <c r="P435" s="206"/>
      <c r="Q435" s="207"/>
      <c r="R435" s="206"/>
      <c r="S435" s="206"/>
      <c r="T435" s="206"/>
      <c r="U435" s="207"/>
      <c r="V435" s="208"/>
      <c r="W435" s="208"/>
      <c r="X435" s="208"/>
      <c r="Y435" s="208"/>
      <c r="Z435" s="209"/>
      <c r="AA435" s="255"/>
      <c r="AB435" s="234" t="str">
        <f t="shared" si="101"/>
        <v>Unused</v>
      </c>
      <c r="AC435" s="251"/>
      <c r="AD435" s="251"/>
      <c r="AE435" s="251"/>
      <c r="AF435" s="251"/>
      <c r="AG435" s="251"/>
      <c r="AH435" s="251"/>
      <c r="AI435" s="246"/>
      <c r="AJ435" s="191" t="s">
        <v>2155</v>
      </c>
      <c r="AK435" s="256"/>
      <c r="AL435" s="256"/>
      <c r="AM435" s="256"/>
      <c r="AN435" s="256"/>
      <c r="AO435" s="256"/>
      <c r="AP435" s="256"/>
      <c r="AQ435" s="408"/>
      <c r="AR435" s="279" t="s">
        <v>2155</v>
      </c>
      <c r="AS435" s="396"/>
      <c r="AT435" s="289" t="s">
        <v>1544</v>
      </c>
      <c r="AU435" s="443"/>
      <c r="AV435" s="397"/>
    </row>
    <row r="436" spans="1:48" s="31" customFormat="1" ht="12.95" customHeight="1" x14ac:dyDescent="0.2">
      <c r="A436" s="206" t="s">
        <v>2286</v>
      </c>
      <c r="B436" s="274"/>
      <c r="C436" s="206" t="s">
        <v>2296</v>
      </c>
      <c r="D436" s="403"/>
      <c r="E436" s="406"/>
      <c r="F436" s="206" t="str">
        <f t="shared" si="100"/>
        <v>unused_PEX_REFCLKN</v>
      </c>
      <c r="G436" s="207"/>
      <c r="H436" s="206" t="s">
        <v>2286</v>
      </c>
      <c r="I436" s="206"/>
      <c r="J436" s="206"/>
      <c r="K436" s="206"/>
      <c r="L436" s="207"/>
      <c r="M436" s="206"/>
      <c r="N436" s="206"/>
      <c r="O436" s="206"/>
      <c r="P436" s="206"/>
      <c r="Q436" s="207"/>
      <c r="R436" s="206"/>
      <c r="S436" s="206"/>
      <c r="T436" s="206"/>
      <c r="U436" s="207"/>
      <c r="V436" s="208"/>
      <c r="W436" s="208"/>
      <c r="X436" s="208"/>
      <c r="Y436" s="208"/>
      <c r="Z436" s="209"/>
      <c r="AA436" s="255"/>
      <c r="AB436" s="234" t="str">
        <f t="shared" si="101"/>
        <v>Unused</v>
      </c>
      <c r="AC436" s="251"/>
      <c r="AD436" s="251"/>
      <c r="AE436" s="251"/>
      <c r="AF436" s="251"/>
      <c r="AG436" s="251"/>
      <c r="AH436" s="251"/>
      <c r="AI436" s="246"/>
      <c r="AJ436" s="191" t="s">
        <v>2291</v>
      </c>
      <c r="AK436" s="256"/>
      <c r="AL436" s="256"/>
      <c r="AM436" s="256"/>
      <c r="AN436" s="256"/>
      <c r="AO436" s="256"/>
      <c r="AP436" s="256"/>
      <c r="AQ436" s="408"/>
      <c r="AR436" s="279" t="s">
        <v>2291</v>
      </c>
      <c r="AS436" s="398"/>
      <c r="AT436" s="289" t="s">
        <v>2291</v>
      </c>
      <c r="AU436" s="443"/>
      <c r="AV436" s="397"/>
    </row>
    <row r="437" spans="1:48" s="31" customFormat="1" ht="12.95" customHeight="1" x14ac:dyDescent="0.2">
      <c r="A437" s="206" t="s">
        <v>2287</v>
      </c>
      <c r="B437" s="274"/>
      <c r="C437" s="206" t="s">
        <v>2297</v>
      </c>
      <c r="D437" s="403"/>
      <c r="E437" s="406"/>
      <c r="F437" s="206" t="str">
        <f t="shared" si="100"/>
        <v>unused_PEX_REFCLKP</v>
      </c>
      <c r="G437" s="207"/>
      <c r="H437" s="206" t="s">
        <v>2287</v>
      </c>
      <c r="I437" s="206"/>
      <c r="J437" s="206"/>
      <c r="K437" s="206"/>
      <c r="L437" s="207"/>
      <c r="M437" s="206"/>
      <c r="N437" s="206"/>
      <c r="O437" s="206"/>
      <c r="P437" s="206"/>
      <c r="Q437" s="207"/>
      <c r="R437" s="206"/>
      <c r="S437" s="206"/>
      <c r="T437" s="206"/>
      <c r="U437" s="207"/>
      <c r="V437" s="208"/>
      <c r="W437" s="208"/>
      <c r="X437" s="208"/>
      <c r="Y437" s="208"/>
      <c r="Z437" s="209"/>
      <c r="AA437" s="255"/>
      <c r="AB437" s="234" t="str">
        <f t="shared" si="101"/>
        <v>Unused</v>
      </c>
      <c r="AC437" s="251"/>
      <c r="AD437" s="251"/>
      <c r="AE437" s="251"/>
      <c r="AF437" s="251"/>
      <c r="AG437" s="251"/>
      <c r="AH437" s="251"/>
      <c r="AI437" s="246"/>
      <c r="AJ437" s="191" t="s">
        <v>2292</v>
      </c>
      <c r="AK437" s="256"/>
      <c r="AL437" s="256"/>
      <c r="AM437" s="256"/>
      <c r="AN437" s="256"/>
      <c r="AO437" s="256"/>
      <c r="AP437" s="256"/>
      <c r="AQ437" s="408"/>
      <c r="AR437" s="279" t="s">
        <v>2292</v>
      </c>
      <c r="AS437" s="400"/>
      <c r="AT437" s="289" t="s">
        <v>2292</v>
      </c>
      <c r="AU437" s="443"/>
      <c r="AV437" s="397"/>
    </row>
    <row r="438" spans="1:48" s="31" customFormat="1" ht="12.95" customHeight="1" x14ac:dyDescent="0.2">
      <c r="A438" s="206" t="s">
        <v>2288</v>
      </c>
      <c r="B438" s="274"/>
      <c r="C438" s="206" t="s">
        <v>2298</v>
      </c>
      <c r="D438" s="403"/>
      <c r="E438" s="406"/>
      <c r="F438" s="206" t="str">
        <f t="shared" si="100"/>
        <v>unused_PEX_TERMP</v>
      </c>
      <c r="G438" s="207"/>
      <c r="H438" s="206" t="s">
        <v>2288</v>
      </c>
      <c r="I438" s="206"/>
      <c r="J438" s="206"/>
      <c r="K438" s="206"/>
      <c r="L438" s="207"/>
      <c r="M438" s="206"/>
      <c r="N438" s="206"/>
      <c r="O438" s="206"/>
      <c r="P438" s="206"/>
      <c r="Q438" s="207"/>
      <c r="R438" s="206"/>
      <c r="S438" s="206"/>
      <c r="T438" s="206"/>
      <c r="U438" s="207"/>
      <c r="V438" s="208"/>
      <c r="W438" s="208"/>
      <c r="X438" s="208"/>
      <c r="Y438" s="208"/>
      <c r="Z438" s="209"/>
      <c r="AA438" s="255"/>
      <c r="AB438" s="234" t="str">
        <f t="shared" si="101"/>
        <v>Unused</v>
      </c>
      <c r="AC438" s="251"/>
      <c r="AD438" s="251"/>
      <c r="AE438" s="251"/>
      <c r="AF438" s="251"/>
      <c r="AG438" s="251"/>
      <c r="AH438" s="251"/>
      <c r="AI438" s="246"/>
      <c r="AJ438" s="191" t="s">
        <v>2293</v>
      </c>
      <c r="AK438" s="256"/>
      <c r="AL438" s="256"/>
      <c r="AM438" s="256"/>
      <c r="AN438" s="256"/>
      <c r="AO438" s="256"/>
      <c r="AP438" s="256"/>
      <c r="AQ438" s="408"/>
      <c r="AR438" s="279" t="s">
        <v>2293</v>
      </c>
      <c r="AS438" s="70" t="s">
        <v>2113</v>
      </c>
      <c r="AT438" s="291" t="s">
        <v>2288</v>
      </c>
      <c r="AU438" s="443"/>
      <c r="AV438" s="397"/>
    </row>
    <row r="439" spans="1:48" s="31" customFormat="1" ht="12.95" customHeight="1" x14ac:dyDescent="0.2">
      <c r="A439" s="206" t="s">
        <v>2289</v>
      </c>
      <c r="B439" s="274"/>
      <c r="C439" s="206" t="s">
        <v>2299</v>
      </c>
      <c r="D439" s="403"/>
      <c r="E439" s="406"/>
      <c r="F439" s="206" t="str">
        <f t="shared" si="100"/>
        <v>unused_PEX_TESTCLKN</v>
      </c>
      <c r="G439" s="207"/>
      <c r="H439" s="206" t="s">
        <v>2289</v>
      </c>
      <c r="I439" s="206"/>
      <c r="J439" s="206"/>
      <c r="K439" s="206"/>
      <c r="L439" s="207"/>
      <c r="M439" s="206"/>
      <c r="N439" s="206"/>
      <c r="O439" s="206"/>
      <c r="P439" s="206"/>
      <c r="Q439" s="207"/>
      <c r="R439" s="206"/>
      <c r="S439" s="206"/>
      <c r="T439" s="206"/>
      <c r="U439" s="207"/>
      <c r="V439" s="208"/>
      <c r="W439" s="208"/>
      <c r="X439" s="208"/>
      <c r="Y439" s="208"/>
      <c r="Z439" s="209"/>
      <c r="AA439" s="255"/>
      <c r="AB439" s="234" t="str">
        <f t="shared" si="101"/>
        <v>Unused</v>
      </c>
      <c r="AC439" s="251"/>
      <c r="AD439" s="251"/>
      <c r="AE439" s="251"/>
      <c r="AF439" s="251"/>
      <c r="AG439" s="251"/>
      <c r="AH439" s="251"/>
      <c r="AI439" s="246"/>
      <c r="AJ439" s="191" t="s">
        <v>2294</v>
      </c>
      <c r="AK439" s="256"/>
      <c r="AL439" s="256"/>
      <c r="AM439" s="256"/>
      <c r="AN439" s="256"/>
      <c r="AO439" s="256"/>
      <c r="AP439" s="256"/>
      <c r="AQ439" s="408"/>
      <c r="AR439" s="279" t="s">
        <v>2294</v>
      </c>
      <c r="AS439" s="398"/>
      <c r="AT439" s="289" t="s">
        <v>2294</v>
      </c>
      <c r="AU439" s="443"/>
      <c r="AV439" s="397"/>
    </row>
    <row r="440" spans="1:48" s="31" customFormat="1" ht="12.95" customHeight="1" x14ac:dyDescent="0.2">
      <c r="A440" s="206" t="s">
        <v>2290</v>
      </c>
      <c r="B440" s="274"/>
      <c r="C440" s="206" t="s">
        <v>2300</v>
      </c>
      <c r="D440" s="404"/>
      <c r="E440" s="407"/>
      <c r="F440" s="206" t="str">
        <f t="shared" si="100"/>
        <v>unused_PEX_TESTCLKP</v>
      </c>
      <c r="G440" s="207"/>
      <c r="H440" s="206" t="s">
        <v>2290</v>
      </c>
      <c r="I440" s="206"/>
      <c r="J440" s="206"/>
      <c r="K440" s="206"/>
      <c r="L440" s="207"/>
      <c r="M440" s="206"/>
      <c r="N440" s="206"/>
      <c r="O440" s="206"/>
      <c r="P440" s="206"/>
      <c r="Q440" s="207"/>
      <c r="R440" s="206"/>
      <c r="S440" s="206"/>
      <c r="T440" s="206"/>
      <c r="U440" s="207"/>
      <c r="V440" s="208"/>
      <c r="W440" s="208"/>
      <c r="X440" s="208"/>
      <c r="Y440" s="208"/>
      <c r="Z440" s="209"/>
      <c r="AA440" s="255"/>
      <c r="AB440" s="234" t="str">
        <f t="shared" si="101"/>
        <v>Unused</v>
      </c>
      <c r="AC440" s="251"/>
      <c r="AD440" s="251"/>
      <c r="AE440" s="251"/>
      <c r="AF440" s="251"/>
      <c r="AG440" s="251"/>
      <c r="AH440" s="251"/>
      <c r="AI440" s="246"/>
      <c r="AJ440" s="192" t="s">
        <v>2295</v>
      </c>
      <c r="AK440" s="256"/>
      <c r="AL440" s="256"/>
      <c r="AM440" s="256"/>
      <c r="AN440" s="256"/>
      <c r="AO440" s="256"/>
      <c r="AP440" s="256"/>
      <c r="AQ440" s="393"/>
      <c r="AR440" s="279" t="s">
        <v>2295</v>
      </c>
      <c r="AS440" s="400"/>
      <c r="AT440" s="290" t="s">
        <v>2295</v>
      </c>
      <c r="AU440" s="444"/>
      <c r="AV440" s="378"/>
    </row>
    <row r="441" spans="1:48" s="30" customFormat="1" ht="18" customHeight="1" x14ac:dyDescent="0.25">
      <c r="A441" s="161" t="s">
        <v>1260</v>
      </c>
      <c r="B441" s="275"/>
      <c r="C441" s="161"/>
      <c r="D441" s="161"/>
      <c r="E441" s="222"/>
      <c r="F441" s="161"/>
      <c r="G441" s="204"/>
      <c r="H441" s="161"/>
      <c r="I441" s="161"/>
      <c r="J441" s="161"/>
      <c r="K441" s="161"/>
      <c r="L441" s="204"/>
      <c r="M441" s="161"/>
      <c r="N441" s="161"/>
      <c r="O441" s="161"/>
      <c r="P441" s="161"/>
      <c r="Q441" s="204"/>
      <c r="R441" s="161"/>
      <c r="S441" s="161"/>
      <c r="T441" s="161"/>
      <c r="U441" s="204"/>
      <c r="V441" s="161"/>
      <c r="W441" s="161"/>
      <c r="X441" s="161"/>
      <c r="Y441" s="161"/>
      <c r="Z441" s="205"/>
      <c r="AA441" s="238"/>
      <c r="AB441" s="239"/>
      <c r="AC441" s="239"/>
      <c r="AD441" s="239"/>
      <c r="AE441" s="239"/>
      <c r="AF441" s="239"/>
      <c r="AG441" s="239"/>
      <c r="AH441" s="239"/>
      <c r="AI441" s="240"/>
      <c r="AJ441" s="161"/>
      <c r="AK441" s="174"/>
      <c r="AL441" s="174"/>
      <c r="AM441" s="173"/>
      <c r="AN441" s="174"/>
      <c r="AO441" s="174"/>
      <c r="AP441" s="174"/>
      <c r="AQ441" s="46"/>
      <c r="AR441" s="278"/>
      <c r="AS441" s="46"/>
      <c r="AT441" s="287"/>
      <c r="AU441" s="46"/>
      <c r="AV441" s="46"/>
    </row>
    <row r="442" spans="1:48" s="31" customFormat="1" ht="12.95" customHeight="1" x14ac:dyDescent="0.2">
      <c r="A442" s="206" t="s">
        <v>1546</v>
      </c>
      <c r="B442" s="274"/>
      <c r="C442" s="206" t="s">
        <v>1547</v>
      </c>
      <c r="D442" s="402"/>
      <c r="E442" s="405"/>
      <c r="F442" s="206" t="str">
        <f t="shared" ref="F442:F451" si="102">CONCATENATE("unused_",A442)</f>
        <v>unused_SATA_L0_RXN</v>
      </c>
      <c r="G442" s="207"/>
      <c r="H442" s="206" t="s">
        <v>1546</v>
      </c>
      <c r="I442" s="206"/>
      <c r="J442" s="206"/>
      <c r="K442" s="206"/>
      <c r="L442" s="207"/>
      <c r="M442" s="206"/>
      <c r="N442" s="206"/>
      <c r="O442" s="206"/>
      <c r="P442" s="206"/>
      <c r="Q442" s="207"/>
      <c r="R442" s="206"/>
      <c r="S442" s="206"/>
      <c r="T442" s="206"/>
      <c r="U442" s="207"/>
      <c r="V442" s="208"/>
      <c r="W442" s="208"/>
      <c r="X442" s="208"/>
      <c r="Y442" s="208"/>
      <c r="Z442" s="209"/>
      <c r="AA442" s="255"/>
      <c r="AB442" s="241" t="str">
        <f t="shared" ref="AB442:AB448" si="103">IF((AJ442=H442),"SFIO",IF((AJ442=F442),"Unused"))</f>
        <v>Unused</v>
      </c>
      <c r="AC442" s="251"/>
      <c r="AD442" s="251"/>
      <c r="AE442" s="251"/>
      <c r="AF442" s="251"/>
      <c r="AG442" s="251"/>
      <c r="AH442" s="251"/>
      <c r="AI442" s="246"/>
      <c r="AJ442" s="191" t="s">
        <v>2098</v>
      </c>
      <c r="AK442" s="256"/>
      <c r="AL442" s="256"/>
      <c r="AM442" s="256"/>
      <c r="AN442" s="256"/>
      <c r="AO442" s="256"/>
      <c r="AP442" s="256"/>
      <c r="AQ442" s="392" t="s">
        <v>1229</v>
      </c>
      <c r="AR442" s="279" t="s">
        <v>2098</v>
      </c>
      <c r="AS442" s="377"/>
      <c r="AT442" s="288" t="s">
        <v>2098</v>
      </c>
      <c r="AU442" s="442" t="s">
        <v>2280</v>
      </c>
      <c r="AV442" s="439" t="s">
        <v>2470</v>
      </c>
    </row>
    <row r="443" spans="1:48" s="31" customFormat="1" ht="12.95" customHeight="1" x14ac:dyDescent="0.2">
      <c r="A443" s="206" t="s">
        <v>1548</v>
      </c>
      <c r="B443" s="274"/>
      <c r="C443" s="206" t="s">
        <v>1549</v>
      </c>
      <c r="D443" s="403"/>
      <c r="E443" s="406"/>
      <c r="F443" s="206" t="str">
        <f t="shared" si="102"/>
        <v>unused_SATA_L0_RXP</v>
      </c>
      <c r="G443" s="207"/>
      <c r="H443" s="206" t="s">
        <v>1548</v>
      </c>
      <c r="I443" s="206"/>
      <c r="J443" s="206"/>
      <c r="K443" s="206"/>
      <c r="L443" s="207"/>
      <c r="M443" s="206"/>
      <c r="N443" s="206"/>
      <c r="O443" s="206"/>
      <c r="P443" s="206"/>
      <c r="Q443" s="207"/>
      <c r="R443" s="206"/>
      <c r="S443" s="206"/>
      <c r="T443" s="206"/>
      <c r="U443" s="207"/>
      <c r="V443" s="208"/>
      <c r="W443" s="208"/>
      <c r="X443" s="208"/>
      <c r="Y443" s="208"/>
      <c r="Z443" s="209"/>
      <c r="AA443" s="255"/>
      <c r="AB443" s="234" t="str">
        <f t="shared" si="103"/>
        <v>Unused</v>
      </c>
      <c r="AC443" s="251"/>
      <c r="AD443" s="251"/>
      <c r="AE443" s="251"/>
      <c r="AF443" s="251"/>
      <c r="AG443" s="251"/>
      <c r="AH443" s="251"/>
      <c r="AI443" s="246"/>
      <c r="AJ443" s="191" t="s">
        <v>2099</v>
      </c>
      <c r="AK443" s="256"/>
      <c r="AL443" s="256"/>
      <c r="AM443" s="256"/>
      <c r="AN443" s="256"/>
      <c r="AO443" s="256"/>
      <c r="AP443" s="256"/>
      <c r="AQ443" s="408"/>
      <c r="AR443" s="279" t="s">
        <v>2099</v>
      </c>
      <c r="AS443" s="397"/>
      <c r="AT443" s="289" t="s">
        <v>2099</v>
      </c>
      <c r="AU443" s="443"/>
      <c r="AV443" s="372"/>
    </row>
    <row r="444" spans="1:48" s="31" customFormat="1" ht="12.95" customHeight="1" x14ac:dyDescent="0.2">
      <c r="A444" s="206" t="s">
        <v>1550</v>
      </c>
      <c r="B444" s="274"/>
      <c r="C444" s="206" t="s">
        <v>1551</v>
      </c>
      <c r="D444" s="403"/>
      <c r="E444" s="406"/>
      <c r="F444" s="206" t="str">
        <f t="shared" si="102"/>
        <v>unused_SATA_L0_TXN</v>
      </c>
      <c r="G444" s="207"/>
      <c r="H444" s="206" t="s">
        <v>1550</v>
      </c>
      <c r="I444" s="206"/>
      <c r="J444" s="206"/>
      <c r="K444" s="206"/>
      <c r="L444" s="207"/>
      <c r="M444" s="206"/>
      <c r="N444" s="206"/>
      <c r="O444" s="206"/>
      <c r="P444" s="206"/>
      <c r="Q444" s="207"/>
      <c r="R444" s="206"/>
      <c r="S444" s="206"/>
      <c r="T444" s="206"/>
      <c r="U444" s="207"/>
      <c r="V444" s="208"/>
      <c r="W444" s="208"/>
      <c r="X444" s="208"/>
      <c r="Y444" s="208"/>
      <c r="Z444" s="209"/>
      <c r="AA444" s="255"/>
      <c r="AB444" s="234" t="str">
        <f t="shared" si="103"/>
        <v>Unused</v>
      </c>
      <c r="AC444" s="251"/>
      <c r="AD444" s="251"/>
      <c r="AE444" s="251"/>
      <c r="AF444" s="251"/>
      <c r="AG444" s="251"/>
      <c r="AH444" s="251"/>
      <c r="AI444" s="246"/>
      <c r="AJ444" s="191" t="s">
        <v>2100</v>
      </c>
      <c r="AK444" s="256"/>
      <c r="AL444" s="256"/>
      <c r="AM444" s="256"/>
      <c r="AN444" s="256"/>
      <c r="AO444" s="256"/>
      <c r="AP444" s="256"/>
      <c r="AQ444" s="408"/>
      <c r="AR444" s="279" t="s">
        <v>2100</v>
      </c>
      <c r="AS444" s="397"/>
      <c r="AT444" s="289" t="s">
        <v>2100</v>
      </c>
      <c r="AU444" s="443"/>
      <c r="AV444" s="372"/>
    </row>
    <row r="445" spans="1:48" s="31" customFormat="1" ht="12.95" customHeight="1" x14ac:dyDescent="0.2">
      <c r="A445" s="206" t="s">
        <v>1552</v>
      </c>
      <c r="B445" s="274"/>
      <c r="C445" s="206" t="s">
        <v>1553</v>
      </c>
      <c r="D445" s="403"/>
      <c r="E445" s="406"/>
      <c r="F445" s="206" t="str">
        <f t="shared" si="102"/>
        <v>unused_SATA_L0_TXP</v>
      </c>
      <c r="G445" s="207"/>
      <c r="H445" s="206" t="s">
        <v>1552</v>
      </c>
      <c r="I445" s="206"/>
      <c r="J445" s="206"/>
      <c r="K445" s="206"/>
      <c r="L445" s="207"/>
      <c r="M445" s="206"/>
      <c r="N445" s="206"/>
      <c r="O445" s="206"/>
      <c r="P445" s="206"/>
      <c r="Q445" s="207"/>
      <c r="R445" s="206"/>
      <c r="S445" s="206"/>
      <c r="T445" s="206"/>
      <c r="U445" s="207"/>
      <c r="V445" s="208"/>
      <c r="W445" s="208"/>
      <c r="X445" s="208"/>
      <c r="Y445" s="208"/>
      <c r="Z445" s="209"/>
      <c r="AA445" s="255"/>
      <c r="AB445" s="234" t="str">
        <f t="shared" si="103"/>
        <v>Unused</v>
      </c>
      <c r="AC445" s="251"/>
      <c r="AD445" s="251"/>
      <c r="AE445" s="251"/>
      <c r="AF445" s="251"/>
      <c r="AG445" s="251"/>
      <c r="AH445" s="251"/>
      <c r="AI445" s="246"/>
      <c r="AJ445" s="191" t="s">
        <v>2101</v>
      </c>
      <c r="AK445" s="256"/>
      <c r="AL445" s="256"/>
      <c r="AM445" s="256"/>
      <c r="AN445" s="256"/>
      <c r="AO445" s="256"/>
      <c r="AP445" s="256"/>
      <c r="AQ445" s="408"/>
      <c r="AR445" s="279" t="s">
        <v>2101</v>
      </c>
      <c r="AS445" s="397"/>
      <c r="AT445" s="289" t="s">
        <v>2101</v>
      </c>
      <c r="AU445" s="443"/>
      <c r="AV445" s="372"/>
    </row>
    <row r="446" spans="1:48" s="31" customFormat="1" ht="12.95" customHeight="1" x14ac:dyDescent="0.2">
      <c r="A446" s="206" t="s">
        <v>2301</v>
      </c>
      <c r="B446" s="274"/>
      <c r="C446" s="206" t="s">
        <v>2304</v>
      </c>
      <c r="D446" s="403"/>
      <c r="E446" s="406"/>
      <c r="F446" s="206" t="str">
        <f t="shared" si="102"/>
        <v>unused_SATA_TERMP</v>
      </c>
      <c r="G446" s="207"/>
      <c r="H446" s="206" t="s">
        <v>2301</v>
      </c>
      <c r="I446" s="206"/>
      <c r="J446" s="206"/>
      <c r="K446" s="206"/>
      <c r="L446" s="207"/>
      <c r="M446" s="206"/>
      <c r="N446" s="206"/>
      <c r="O446" s="206"/>
      <c r="P446" s="206"/>
      <c r="Q446" s="207"/>
      <c r="R446" s="206"/>
      <c r="S446" s="206"/>
      <c r="T446" s="206"/>
      <c r="U446" s="207"/>
      <c r="V446" s="208"/>
      <c r="W446" s="208"/>
      <c r="X446" s="208"/>
      <c r="Y446" s="208"/>
      <c r="Z446" s="209"/>
      <c r="AA446" s="255"/>
      <c r="AB446" s="234" t="str">
        <f t="shared" si="103"/>
        <v>Unused</v>
      </c>
      <c r="AC446" s="251"/>
      <c r="AD446" s="251"/>
      <c r="AE446" s="251"/>
      <c r="AF446" s="251"/>
      <c r="AG446" s="251"/>
      <c r="AH446" s="251"/>
      <c r="AI446" s="246"/>
      <c r="AJ446" s="191" t="s">
        <v>2307</v>
      </c>
      <c r="AK446" s="256"/>
      <c r="AL446" s="256"/>
      <c r="AM446" s="256"/>
      <c r="AN446" s="256"/>
      <c r="AO446" s="256"/>
      <c r="AP446" s="256"/>
      <c r="AQ446" s="408"/>
      <c r="AR446" s="279" t="s">
        <v>2307</v>
      </c>
      <c r="AS446" s="397"/>
      <c r="AT446" s="291" t="s">
        <v>2307</v>
      </c>
      <c r="AU446" s="443"/>
      <c r="AV446" s="372"/>
    </row>
    <row r="447" spans="1:48" s="31" customFormat="1" ht="12.95" customHeight="1" x14ac:dyDescent="0.2">
      <c r="A447" s="206" t="s">
        <v>2302</v>
      </c>
      <c r="B447" s="274"/>
      <c r="C447" s="206" t="s">
        <v>2305</v>
      </c>
      <c r="D447" s="403"/>
      <c r="E447" s="406"/>
      <c r="F447" s="206" t="str">
        <f t="shared" si="102"/>
        <v>unused_SATA_TESTCLKP</v>
      </c>
      <c r="G447" s="207"/>
      <c r="H447" s="206" t="s">
        <v>2302</v>
      </c>
      <c r="I447" s="206"/>
      <c r="J447" s="206"/>
      <c r="K447" s="206"/>
      <c r="L447" s="207"/>
      <c r="M447" s="206"/>
      <c r="N447" s="206"/>
      <c r="O447" s="206"/>
      <c r="P447" s="206"/>
      <c r="Q447" s="207"/>
      <c r="R447" s="206"/>
      <c r="S447" s="206"/>
      <c r="T447" s="206"/>
      <c r="U447" s="207"/>
      <c r="V447" s="208"/>
      <c r="W447" s="208"/>
      <c r="X447" s="208"/>
      <c r="Y447" s="208"/>
      <c r="Z447" s="209"/>
      <c r="AA447" s="255"/>
      <c r="AB447" s="234" t="str">
        <f t="shared" si="103"/>
        <v>Unused</v>
      </c>
      <c r="AC447" s="251"/>
      <c r="AD447" s="251"/>
      <c r="AE447" s="251"/>
      <c r="AF447" s="251"/>
      <c r="AG447" s="251"/>
      <c r="AH447" s="251"/>
      <c r="AI447" s="246"/>
      <c r="AJ447" s="191" t="s">
        <v>2308</v>
      </c>
      <c r="AK447" s="256"/>
      <c r="AL447" s="256"/>
      <c r="AM447" s="256"/>
      <c r="AN447" s="256"/>
      <c r="AO447" s="256"/>
      <c r="AP447" s="256"/>
      <c r="AQ447" s="408"/>
      <c r="AR447" s="279" t="s">
        <v>2308</v>
      </c>
      <c r="AS447" s="397"/>
      <c r="AT447" s="291" t="s">
        <v>2308</v>
      </c>
      <c r="AU447" s="443"/>
      <c r="AV447" s="372"/>
    </row>
    <row r="448" spans="1:48" s="31" customFormat="1" ht="12.95" customHeight="1" x14ac:dyDescent="0.2">
      <c r="A448" s="206" t="s">
        <v>2303</v>
      </c>
      <c r="B448" s="274"/>
      <c r="C448" s="206" t="s">
        <v>2306</v>
      </c>
      <c r="D448" s="404"/>
      <c r="E448" s="407"/>
      <c r="F448" s="206" t="str">
        <f t="shared" si="102"/>
        <v>unused_SATA_TESTCLKN</v>
      </c>
      <c r="G448" s="207"/>
      <c r="H448" s="206" t="s">
        <v>2303</v>
      </c>
      <c r="I448" s="206"/>
      <c r="J448" s="206"/>
      <c r="K448" s="206"/>
      <c r="L448" s="207"/>
      <c r="M448" s="206"/>
      <c r="N448" s="206"/>
      <c r="O448" s="206"/>
      <c r="P448" s="206"/>
      <c r="Q448" s="207"/>
      <c r="R448" s="206"/>
      <c r="S448" s="206"/>
      <c r="T448" s="206"/>
      <c r="U448" s="207"/>
      <c r="V448" s="208"/>
      <c r="W448" s="208"/>
      <c r="X448" s="208"/>
      <c r="Y448" s="208"/>
      <c r="Z448" s="209"/>
      <c r="AA448" s="255"/>
      <c r="AB448" s="234" t="str">
        <f t="shared" si="103"/>
        <v>Unused</v>
      </c>
      <c r="AC448" s="251"/>
      <c r="AD448" s="251"/>
      <c r="AE448" s="251"/>
      <c r="AF448" s="251"/>
      <c r="AG448" s="251"/>
      <c r="AH448" s="251"/>
      <c r="AI448" s="246"/>
      <c r="AJ448" s="192" t="s">
        <v>2309</v>
      </c>
      <c r="AK448" s="256"/>
      <c r="AL448" s="256"/>
      <c r="AM448" s="256"/>
      <c r="AN448" s="256"/>
      <c r="AO448" s="256"/>
      <c r="AP448" s="256"/>
      <c r="AQ448" s="393"/>
      <c r="AR448" s="279" t="s">
        <v>2309</v>
      </c>
      <c r="AS448" s="378"/>
      <c r="AT448" s="292" t="s">
        <v>2309</v>
      </c>
      <c r="AU448" s="444"/>
      <c r="AV448" s="373"/>
    </row>
    <row r="449" spans="1:48" s="30" customFormat="1" ht="18" customHeight="1" x14ac:dyDescent="0.25">
      <c r="A449" s="161" t="s">
        <v>2319</v>
      </c>
      <c r="B449" s="275"/>
      <c r="C449" s="161"/>
      <c r="D449" s="161"/>
      <c r="E449" s="222"/>
      <c r="F449" s="161"/>
      <c r="G449" s="204"/>
      <c r="H449" s="161"/>
      <c r="I449" s="161"/>
      <c r="J449" s="161"/>
      <c r="K449" s="161"/>
      <c r="L449" s="204"/>
      <c r="M449" s="161"/>
      <c r="N449" s="161"/>
      <c r="O449" s="161"/>
      <c r="P449" s="161"/>
      <c r="Q449" s="204"/>
      <c r="R449" s="161"/>
      <c r="S449" s="161"/>
      <c r="T449" s="161"/>
      <c r="U449" s="204"/>
      <c r="V449" s="161"/>
      <c r="W449" s="161"/>
      <c r="X449" s="161"/>
      <c r="Y449" s="161"/>
      <c r="Z449" s="205"/>
      <c r="AA449" s="238"/>
      <c r="AB449" s="239"/>
      <c r="AC449" s="239"/>
      <c r="AD449" s="239"/>
      <c r="AE449" s="239"/>
      <c r="AF449" s="239"/>
      <c r="AG449" s="239"/>
      <c r="AH449" s="239"/>
      <c r="AI449" s="240"/>
      <c r="AJ449" s="161"/>
      <c r="AK449" s="174"/>
      <c r="AL449" s="174"/>
      <c r="AM449" s="173"/>
      <c r="AN449" s="174"/>
      <c r="AO449" s="174"/>
      <c r="AP449" s="174"/>
      <c r="AQ449" s="46"/>
      <c r="AR449" s="278"/>
      <c r="AS449" s="46"/>
      <c r="AT449" s="287"/>
      <c r="AU449" s="46"/>
      <c r="AV449" s="46"/>
    </row>
    <row r="450" spans="1:48" s="31" customFormat="1" ht="12.95" customHeight="1" x14ac:dyDescent="0.2">
      <c r="A450" s="206" t="s">
        <v>2325</v>
      </c>
      <c r="B450" s="274"/>
      <c r="C450" s="206" t="s">
        <v>2330</v>
      </c>
      <c r="D450" s="210" t="s">
        <v>2331</v>
      </c>
      <c r="E450" s="224" t="s">
        <v>2331</v>
      </c>
      <c r="F450" s="206" t="str">
        <f t="shared" si="102"/>
        <v>unused_THERM_DP</v>
      </c>
      <c r="G450" s="207"/>
      <c r="H450" s="206" t="s">
        <v>2325</v>
      </c>
      <c r="I450" s="206"/>
      <c r="J450" s="206"/>
      <c r="K450" s="206"/>
      <c r="L450" s="207"/>
      <c r="M450" s="206"/>
      <c r="N450" s="206"/>
      <c r="O450" s="206"/>
      <c r="P450" s="206"/>
      <c r="Q450" s="207"/>
      <c r="R450" s="206"/>
      <c r="S450" s="206"/>
      <c r="T450" s="206"/>
      <c r="U450" s="207"/>
      <c r="V450" s="208"/>
      <c r="W450" s="208"/>
      <c r="X450" s="208"/>
      <c r="Y450" s="208"/>
      <c r="Z450" s="209"/>
      <c r="AA450" s="255"/>
      <c r="AB450" s="241" t="str">
        <f>IF((AJ450=H450),"SFIO",IF((AJ450=F450),"Unused"))</f>
        <v>Unused</v>
      </c>
      <c r="AC450" s="251"/>
      <c r="AD450" s="251"/>
      <c r="AE450" s="251"/>
      <c r="AF450" s="251"/>
      <c r="AG450" s="251"/>
      <c r="AH450" s="251"/>
      <c r="AI450" s="246"/>
      <c r="AJ450" s="194" t="s">
        <v>2327</v>
      </c>
      <c r="AK450" s="256"/>
      <c r="AL450" s="256"/>
      <c r="AM450" s="256"/>
      <c r="AN450" s="256"/>
      <c r="AO450" s="256"/>
      <c r="AP450" s="256"/>
      <c r="AQ450" s="394" t="s">
        <v>2329</v>
      </c>
      <c r="AR450" s="279" t="s">
        <v>2325</v>
      </c>
      <c r="AS450" s="371" t="s">
        <v>2329</v>
      </c>
      <c r="AT450" s="280" t="s">
        <v>2325</v>
      </c>
      <c r="AU450" s="371" t="s">
        <v>2329</v>
      </c>
      <c r="AV450" s="371" t="s">
        <v>2329</v>
      </c>
    </row>
    <row r="451" spans="1:48" s="31" customFormat="1" ht="12.95" customHeight="1" x14ac:dyDescent="0.2">
      <c r="A451" s="206" t="s">
        <v>2326</v>
      </c>
      <c r="B451" s="274"/>
      <c r="C451" s="206" t="s">
        <v>1846</v>
      </c>
      <c r="D451" s="211" t="s">
        <v>2332</v>
      </c>
      <c r="E451" s="225" t="s">
        <v>2332</v>
      </c>
      <c r="F451" s="206" t="str">
        <f t="shared" si="102"/>
        <v>unused_THERM_DN</v>
      </c>
      <c r="G451" s="207"/>
      <c r="H451" s="206" t="s">
        <v>2326</v>
      </c>
      <c r="I451" s="206"/>
      <c r="J451" s="206"/>
      <c r="K451" s="206"/>
      <c r="L451" s="207"/>
      <c r="M451" s="206"/>
      <c r="N451" s="206"/>
      <c r="O451" s="206"/>
      <c r="P451" s="206"/>
      <c r="Q451" s="207"/>
      <c r="R451" s="206"/>
      <c r="S451" s="206"/>
      <c r="T451" s="206"/>
      <c r="U451" s="207"/>
      <c r="V451" s="208"/>
      <c r="W451" s="208"/>
      <c r="X451" s="208"/>
      <c r="Y451" s="208"/>
      <c r="Z451" s="209"/>
      <c r="AA451" s="255"/>
      <c r="AB451" s="234" t="str">
        <f>IF((AJ451=H451),"SFIO",IF((AJ451=F451),"Unused"))</f>
        <v>Unused</v>
      </c>
      <c r="AC451" s="251"/>
      <c r="AD451" s="251"/>
      <c r="AE451" s="251"/>
      <c r="AF451" s="251"/>
      <c r="AG451" s="251"/>
      <c r="AH451" s="251"/>
      <c r="AI451" s="246"/>
      <c r="AJ451" s="195" t="s">
        <v>2328</v>
      </c>
      <c r="AK451" s="256"/>
      <c r="AL451" s="256"/>
      <c r="AM451" s="256"/>
      <c r="AN451" s="256"/>
      <c r="AO451" s="256"/>
      <c r="AP451" s="256"/>
      <c r="AQ451" s="396"/>
      <c r="AR451" s="279" t="s">
        <v>2326</v>
      </c>
      <c r="AS451" s="373"/>
      <c r="AT451" s="280" t="s">
        <v>2326</v>
      </c>
      <c r="AU451" s="373"/>
      <c r="AV451" s="373"/>
    </row>
    <row r="452" spans="1:48" s="30" customFormat="1" ht="18" customHeight="1" x14ac:dyDescent="0.25">
      <c r="A452" s="161" t="s">
        <v>1261</v>
      </c>
      <c r="B452" s="275"/>
      <c r="C452" s="161"/>
      <c r="D452" s="161"/>
      <c r="E452" s="222"/>
      <c r="F452" s="161"/>
      <c r="G452" s="204"/>
      <c r="H452" s="161"/>
      <c r="I452" s="161"/>
      <c r="J452" s="161"/>
      <c r="K452" s="161"/>
      <c r="L452" s="204"/>
      <c r="M452" s="161"/>
      <c r="N452" s="161"/>
      <c r="O452" s="161"/>
      <c r="P452" s="161"/>
      <c r="Q452" s="204"/>
      <c r="R452" s="161"/>
      <c r="S452" s="161"/>
      <c r="T452" s="161"/>
      <c r="U452" s="204"/>
      <c r="V452" s="161"/>
      <c r="W452" s="161"/>
      <c r="X452" s="161"/>
      <c r="Y452" s="161"/>
      <c r="Z452" s="205"/>
      <c r="AA452" s="238"/>
      <c r="AB452" s="239"/>
      <c r="AC452" s="239"/>
      <c r="AD452" s="239"/>
      <c r="AE452" s="239"/>
      <c r="AF452" s="239"/>
      <c r="AG452" s="239"/>
      <c r="AH452" s="239"/>
      <c r="AI452" s="240"/>
      <c r="AJ452" s="161"/>
      <c r="AK452" s="174"/>
      <c r="AL452" s="174"/>
      <c r="AM452" s="173"/>
      <c r="AN452" s="174"/>
      <c r="AO452" s="174"/>
      <c r="AP452" s="174"/>
      <c r="AQ452" s="46"/>
      <c r="AR452" s="278"/>
      <c r="AS452" s="46"/>
      <c r="AT452" s="287"/>
      <c r="AU452" s="46"/>
      <c r="AV452" s="46"/>
    </row>
    <row r="453" spans="1:48" s="31" customFormat="1" ht="12.95" customHeight="1" x14ac:dyDescent="0.2">
      <c r="A453" s="206" t="s">
        <v>1555</v>
      </c>
      <c r="B453" s="274"/>
      <c r="C453" s="206" t="s">
        <v>1556</v>
      </c>
      <c r="D453" s="206" t="s">
        <v>2054</v>
      </c>
      <c r="E453" s="223" t="s">
        <v>2054</v>
      </c>
      <c r="F453" s="206"/>
      <c r="G453" s="207"/>
      <c r="H453" s="206" t="s">
        <v>1555</v>
      </c>
      <c r="I453" s="206"/>
      <c r="J453" s="206"/>
      <c r="K453" s="206"/>
      <c r="L453" s="207"/>
      <c r="M453" s="206"/>
      <c r="N453" s="206"/>
      <c r="O453" s="206"/>
      <c r="P453" s="206"/>
      <c r="Q453" s="207"/>
      <c r="R453" s="206"/>
      <c r="S453" s="206"/>
      <c r="T453" s="206"/>
      <c r="U453" s="207"/>
      <c r="V453" s="208"/>
      <c r="W453" s="208"/>
      <c r="X453" s="208"/>
      <c r="Y453" s="208"/>
      <c r="Z453" s="209"/>
      <c r="AA453" s="255"/>
      <c r="AB453" s="241" t="str">
        <f t="shared" ref="AB453:AB465" si="104">IF((AJ453=H453),"SFIO",IF((AJ453=F453),"Unused"))</f>
        <v>SFIO</v>
      </c>
      <c r="AC453" s="251"/>
      <c r="AD453" s="251"/>
      <c r="AE453" s="251"/>
      <c r="AF453" s="251"/>
      <c r="AG453" s="251"/>
      <c r="AH453" s="251"/>
      <c r="AI453" s="246"/>
      <c r="AJ453" s="194" t="s">
        <v>1555</v>
      </c>
      <c r="AK453" s="256"/>
      <c r="AL453" s="256"/>
      <c r="AM453" s="256"/>
      <c r="AN453" s="256"/>
      <c r="AO453" s="256"/>
      <c r="AP453" s="256"/>
      <c r="AQ453" s="394" t="s">
        <v>2112</v>
      </c>
      <c r="AR453" s="279" t="s">
        <v>1555</v>
      </c>
      <c r="AS453" s="394" t="s">
        <v>2112</v>
      </c>
      <c r="AT453" s="288" t="s">
        <v>1555</v>
      </c>
      <c r="AU453" s="371" t="s">
        <v>2112</v>
      </c>
      <c r="AV453" s="380" t="s">
        <v>2473</v>
      </c>
    </row>
    <row r="454" spans="1:48" s="31" customFormat="1" ht="12.95" customHeight="1" thickBot="1" x14ac:dyDescent="0.25">
      <c r="A454" s="206" t="s">
        <v>1557</v>
      </c>
      <c r="B454" s="274"/>
      <c r="C454" s="206" t="s">
        <v>1558</v>
      </c>
      <c r="D454" s="206" t="s">
        <v>2055</v>
      </c>
      <c r="E454" s="223" t="s">
        <v>2055</v>
      </c>
      <c r="F454" s="206"/>
      <c r="G454" s="207"/>
      <c r="H454" s="206" t="s">
        <v>1557</v>
      </c>
      <c r="I454" s="206"/>
      <c r="J454" s="206"/>
      <c r="K454" s="206"/>
      <c r="L454" s="207"/>
      <c r="M454" s="206"/>
      <c r="N454" s="206"/>
      <c r="O454" s="206"/>
      <c r="P454" s="206"/>
      <c r="Q454" s="207"/>
      <c r="R454" s="206"/>
      <c r="S454" s="206"/>
      <c r="T454" s="206"/>
      <c r="U454" s="207"/>
      <c r="V454" s="208"/>
      <c r="W454" s="208"/>
      <c r="X454" s="208"/>
      <c r="Y454" s="208"/>
      <c r="Z454" s="209"/>
      <c r="AA454" s="255"/>
      <c r="AB454" s="234" t="str">
        <f t="shared" si="104"/>
        <v>SFIO</v>
      </c>
      <c r="AC454" s="251"/>
      <c r="AD454" s="251"/>
      <c r="AE454" s="251"/>
      <c r="AF454" s="251"/>
      <c r="AG454" s="251"/>
      <c r="AH454" s="251"/>
      <c r="AI454" s="246"/>
      <c r="AJ454" s="196" t="s">
        <v>1557</v>
      </c>
      <c r="AK454" s="256"/>
      <c r="AL454" s="256"/>
      <c r="AM454" s="257"/>
      <c r="AN454" s="256"/>
      <c r="AO454" s="256"/>
      <c r="AP454" s="256"/>
      <c r="AQ454" s="395"/>
      <c r="AR454" s="279" t="s">
        <v>1557</v>
      </c>
      <c r="AS454" s="395"/>
      <c r="AT454" s="289" t="s">
        <v>1557</v>
      </c>
      <c r="AU454" s="372"/>
      <c r="AV454" s="395"/>
    </row>
    <row r="455" spans="1:48" s="31" customFormat="1" ht="12.95" customHeight="1" thickBot="1" x14ac:dyDescent="0.3">
      <c r="A455" s="206" t="s">
        <v>1574</v>
      </c>
      <c r="B455" s="274"/>
      <c r="C455" s="206" t="s">
        <v>1559</v>
      </c>
      <c r="D455" s="206" t="s">
        <v>2056</v>
      </c>
      <c r="E455" s="223" t="s">
        <v>2056</v>
      </c>
      <c r="F455" s="206" t="str">
        <f t="shared" ref="F455:F464" si="105">CONCATENATE("unused_",A455)</f>
        <v>unused_ACC1_DETECT</v>
      </c>
      <c r="G455" s="207"/>
      <c r="H455" s="206" t="s">
        <v>1574</v>
      </c>
      <c r="I455" s="206"/>
      <c r="J455" s="206"/>
      <c r="K455" s="206"/>
      <c r="L455" s="207"/>
      <c r="M455" s="206"/>
      <c r="N455" s="206"/>
      <c r="O455" s="206"/>
      <c r="P455" s="206">
        <v>21</v>
      </c>
      <c r="Q455" s="207"/>
      <c r="R455" s="206"/>
      <c r="S455" s="206"/>
      <c r="T455" s="206"/>
      <c r="U455" s="207"/>
      <c r="V455" s="208"/>
      <c r="W455" s="208"/>
      <c r="X455" s="208"/>
      <c r="Y455" s="208"/>
      <c r="Z455" s="209"/>
      <c r="AA455" s="255"/>
      <c r="AB455" s="234" t="str">
        <f t="shared" si="104"/>
        <v>Unused</v>
      </c>
      <c r="AC455" s="251"/>
      <c r="AD455" s="251"/>
      <c r="AE455" s="251"/>
      <c r="AF455" s="251"/>
      <c r="AG455" s="251"/>
      <c r="AH455" s="251"/>
      <c r="AI455" s="246"/>
      <c r="AJ455" s="196" t="s">
        <v>2283</v>
      </c>
      <c r="AK455" s="260"/>
      <c r="AL455" s="256"/>
      <c r="AM455" s="168"/>
      <c r="AN455" s="261"/>
      <c r="AO455" s="256"/>
      <c r="AP455" s="256"/>
      <c r="AQ455" s="395"/>
      <c r="AR455" s="279" t="s">
        <v>1574</v>
      </c>
      <c r="AS455" s="395"/>
      <c r="AT455" s="289" t="s">
        <v>1574</v>
      </c>
      <c r="AU455" s="372"/>
      <c r="AV455" s="395"/>
    </row>
    <row r="456" spans="1:48" s="31" customFormat="1" ht="12.95" customHeight="1" thickBot="1" x14ac:dyDescent="0.3">
      <c r="A456" s="206" t="s">
        <v>1560</v>
      </c>
      <c r="B456" s="274"/>
      <c r="C456" s="206" t="s">
        <v>1561</v>
      </c>
      <c r="D456" s="206" t="s">
        <v>2057</v>
      </c>
      <c r="E456" s="223" t="s">
        <v>2057</v>
      </c>
      <c r="F456" s="206"/>
      <c r="G456" s="207"/>
      <c r="H456" s="206" t="s">
        <v>1560</v>
      </c>
      <c r="I456" s="206"/>
      <c r="J456" s="206"/>
      <c r="K456" s="206"/>
      <c r="L456" s="207"/>
      <c r="M456" s="206"/>
      <c r="N456" s="206"/>
      <c r="O456" s="206"/>
      <c r="P456" s="206">
        <v>19</v>
      </c>
      <c r="Q456" s="207"/>
      <c r="R456" s="206"/>
      <c r="S456" s="206"/>
      <c r="T456" s="206"/>
      <c r="U456" s="207"/>
      <c r="V456" s="208"/>
      <c r="W456" s="208"/>
      <c r="X456" s="208"/>
      <c r="Y456" s="208"/>
      <c r="Z456" s="209"/>
      <c r="AA456" s="255"/>
      <c r="AB456" s="234" t="str">
        <f t="shared" si="104"/>
        <v>SFIO</v>
      </c>
      <c r="AC456" s="251"/>
      <c r="AD456" s="251"/>
      <c r="AE456" s="251"/>
      <c r="AF456" s="251"/>
      <c r="AG456" s="251"/>
      <c r="AH456" s="251"/>
      <c r="AI456" s="246"/>
      <c r="AJ456" s="196" t="s">
        <v>1560</v>
      </c>
      <c r="AK456" s="260"/>
      <c r="AL456" s="256"/>
      <c r="AM456" s="168"/>
      <c r="AN456" s="261"/>
      <c r="AO456" s="256"/>
      <c r="AP456" s="256"/>
      <c r="AQ456" s="396"/>
      <c r="AR456" s="279" t="s">
        <v>1560</v>
      </c>
      <c r="AS456" s="396"/>
      <c r="AT456" s="289" t="s">
        <v>1560</v>
      </c>
      <c r="AU456" s="373"/>
      <c r="AV456" s="396"/>
    </row>
    <row r="457" spans="1:48" s="31" customFormat="1" ht="12.95" customHeight="1" x14ac:dyDescent="0.2">
      <c r="A457" s="206" t="s">
        <v>1562</v>
      </c>
      <c r="B457" s="274" t="s">
        <v>2992</v>
      </c>
      <c r="C457" s="206" t="s">
        <v>1563</v>
      </c>
      <c r="D457" s="206" t="s">
        <v>1424</v>
      </c>
      <c r="E457" s="220" t="s">
        <v>1424</v>
      </c>
      <c r="F457" s="206" t="str">
        <f t="shared" si="105"/>
        <v>unused_USB2_DN</v>
      </c>
      <c r="G457" s="207"/>
      <c r="H457" s="206" t="s">
        <v>1562</v>
      </c>
      <c r="I457" s="206"/>
      <c r="J457" s="206"/>
      <c r="K457" s="206"/>
      <c r="L457" s="207"/>
      <c r="M457" s="206"/>
      <c r="N457" s="206"/>
      <c r="O457" s="206"/>
      <c r="P457" s="206"/>
      <c r="Q457" s="207"/>
      <c r="R457" s="206"/>
      <c r="S457" s="206"/>
      <c r="T457" s="206"/>
      <c r="U457" s="207"/>
      <c r="V457" s="208"/>
      <c r="W457" s="208"/>
      <c r="X457" s="208"/>
      <c r="Y457" s="208"/>
      <c r="Z457" s="209"/>
      <c r="AA457" s="255"/>
      <c r="AB457" s="234" t="str">
        <f t="shared" si="104"/>
        <v>Unused</v>
      </c>
      <c r="AC457" s="251"/>
      <c r="AD457" s="251"/>
      <c r="AE457" s="251"/>
      <c r="AF457" s="251"/>
      <c r="AG457" s="251"/>
      <c r="AH457" s="251"/>
      <c r="AI457" s="246"/>
      <c r="AJ457" s="196" t="s">
        <v>2156</v>
      </c>
      <c r="AK457" s="256"/>
      <c r="AL457" s="256"/>
      <c r="AM457" s="258"/>
      <c r="AN457" s="256"/>
      <c r="AO457" s="256"/>
      <c r="AP457" s="256"/>
      <c r="AQ457" s="392" t="s">
        <v>1229</v>
      </c>
      <c r="AR457" s="279" t="s">
        <v>2156</v>
      </c>
      <c r="AS457" s="394" t="s">
        <v>2110</v>
      </c>
      <c r="AT457" s="289" t="s">
        <v>1562</v>
      </c>
      <c r="AU457" s="371" t="s">
        <v>2110</v>
      </c>
      <c r="AV457" s="394" t="s">
        <v>2472</v>
      </c>
    </row>
    <row r="458" spans="1:48" s="31" customFormat="1" ht="12.95" customHeight="1" x14ac:dyDescent="0.2">
      <c r="A458" s="206" t="s">
        <v>1564</v>
      </c>
      <c r="B458" s="274" t="s">
        <v>2992</v>
      </c>
      <c r="C458" s="206" t="s">
        <v>1565</v>
      </c>
      <c r="D458" s="206" t="s">
        <v>1456</v>
      </c>
      <c r="E458" s="220" t="s">
        <v>1456</v>
      </c>
      <c r="F458" s="206" t="str">
        <f t="shared" si="105"/>
        <v>unused_USB2_DP</v>
      </c>
      <c r="G458" s="207"/>
      <c r="H458" s="206" t="s">
        <v>1564</v>
      </c>
      <c r="I458" s="206"/>
      <c r="J458" s="206"/>
      <c r="K458" s="206"/>
      <c r="L458" s="207"/>
      <c r="M458" s="206"/>
      <c r="N458" s="206"/>
      <c r="O458" s="206"/>
      <c r="P458" s="206"/>
      <c r="Q458" s="207"/>
      <c r="R458" s="206"/>
      <c r="S458" s="206"/>
      <c r="T458" s="206"/>
      <c r="U458" s="207"/>
      <c r="V458" s="208"/>
      <c r="W458" s="208"/>
      <c r="X458" s="208"/>
      <c r="Y458" s="208"/>
      <c r="Z458" s="209"/>
      <c r="AA458" s="255"/>
      <c r="AB458" s="234" t="str">
        <f t="shared" si="104"/>
        <v>Unused</v>
      </c>
      <c r="AC458" s="251"/>
      <c r="AD458" s="251"/>
      <c r="AE458" s="251"/>
      <c r="AF458" s="251"/>
      <c r="AG458" s="251"/>
      <c r="AH458" s="251"/>
      <c r="AI458" s="246"/>
      <c r="AJ458" s="196" t="s">
        <v>2240</v>
      </c>
      <c r="AK458" s="256"/>
      <c r="AL458" s="256"/>
      <c r="AM458" s="256"/>
      <c r="AN458" s="256"/>
      <c r="AO458" s="256"/>
      <c r="AP458" s="256"/>
      <c r="AQ458" s="408"/>
      <c r="AR458" s="279" t="s">
        <v>2240</v>
      </c>
      <c r="AS458" s="396"/>
      <c r="AT458" s="289" t="s">
        <v>1564</v>
      </c>
      <c r="AU458" s="373"/>
      <c r="AV458" s="396"/>
    </row>
    <row r="459" spans="1:48" s="31" customFormat="1" ht="12.95" customHeight="1" x14ac:dyDescent="0.2">
      <c r="A459" s="206" t="s">
        <v>1575</v>
      </c>
      <c r="B459" s="274" t="s">
        <v>2992</v>
      </c>
      <c r="C459" s="121" t="s">
        <v>3003</v>
      </c>
      <c r="D459" s="121" t="s">
        <v>1472</v>
      </c>
      <c r="E459" s="220" t="s">
        <v>1472</v>
      </c>
      <c r="F459" s="206" t="str">
        <f t="shared" si="105"/>
        <v>unused_ACC2_DETECT</v>
      </c>
      <c r="G459" s="207"/>
      <c r="H459" s="206"/>
      <c r="I459" s="206"/>
      <c r="J459" s="206"/>
      <c r="K459" s="206"/>
      <c r="L459" s="207"/>
      <c r="M459" s="206"/>
      <c r="N459" s="206"/>
      <c r="O459" s="206"/>
      <c r="P459" s="206">
        <v>22</v>
      </c>
      <c r="Q459" s="207"/>
      <c r="R459" s="206"/>
      <c r="S459" s="206"/>
      <c r="T459" s="206"/>
      <c r="U459" s="207"/>
      <c r="V459" s="208"/>
      <c r="W459" s="208"/>
      <c r="X459" s="208"/>
      <c r="Y459" s="208"/>
      <c r="Z459" s="209"/>
      <c r="AA459" s="255"/>
      <c r="AB459" s="234" t="str">
        <f t="shared" si="104"/>
        <v>Unused</v>
      </c>
      <c r="AC459" s="251"/>
      <c r="AD459" s="251"/>
      <c r="AE459" s="251"/>
      <c r="AF459" s="251"/>
      <c r="AG459" s="251"/>
      <c r="AH459" s="251"/>
      <c r="AI459" s="246"/>
      <c r="AJ459" s="196" t="s">
        <v>2102</v>
      </c>
      <c r="AK459" s="256"/>
      <c r="AL459" s="256"/>
      <c r="AM459" s="256"/>
      <c r="AN459" s="256"/>
      <c r="AO459" s="256"/>
      <c r="AP459" s="256"/>
      <c r="AQ459" s="408"/>
      <c r="AR459" s="279" t="s">
        <v>2102</v>
      </c>
      <c r="AS459" s="392" t="s">
        <v>2417</v>
      </c>
      <c r="AT459" s="289" t="s">
        <v>2102</v>
      </c>
      <c r="AU459" s="442" t="s">
        <v>2418</v>
      </c>
      <c r="AV459" s="392" t="s">
        <v>2417</v>
      </c>
    </row>
    <row r="460" spans="1:48" s="31" customFormat="1" ht="12.95" customHeight="1" x14ac:dyDescent="0.2">
      <c r="A460" s="206" t="s">
        <v>1566</v>
      </c>
      <c r="B460" s="274" t="s">
        <v>2992</v>
      </c>
      <c r="C460" s="121" t="s">
        <v>3004</v>
      </c>
      <c r="D460" s="121" t="s">
        <v>1466</v>
      </c>
      <c r="E460" s="220" t="s">
        <v>1466</v>
      </c>
      <c r="F460" s="206" t="str">
        <f t="shared" si="105"/>
        <v>unused_USB2_VBUS</v>
      </c>
      <c r="G460" s="207"/>
      <c r="H460" s="206"/>
      <c r="I460" s="206"/>
      <c r="J460" s="206"/>
      <c r="K460" s="206"/>
      <c r="L460" s="207"/>
      <c r="M460" s="206"/>
      <c r="N460" s="206"/>
      <c r="O460" s="206"/>
      <c r="P460" s="206">
        <v>20</v>
      </c>
      <c r="Q460" s="207"/>
      <c r="R460" s="206"/>
      <c r="S460" s="206"/>
      <c r="T460" s="206"/>
      <c r="U460" s="207"/>
      <c r="V460" s="208"/>
      <c r="W460" s="208"/>
      <c r="X460" s="208"/>
      <c r="Y460" s="208"/>
      <c r="Z460" s="209"/>
      <c r="AA460" s="255"/>
      <c r="AB460" s="234" t="str">
        <f t="shared" si="104"/>
        <v>Unused</v>
      </c>
      <c r="AC460" s="251"/>
      <c r="AD460" s="251"/>
      <c r="AE460" s="251"/>
      <c r="AF460" s="251"/>
      <c r="AG460" s="251"/>
      <c r="AH460" s="251"/>
      <c r="AI460" s="246"/>
      <c r="AJ460" s="196" t="s">
        <v>2103</v>
      </c>
      <c r="AK460" s="256"/>
      <c r="AL460" s="256"/>
      <c r="AM460" s="256"/>
      <c r="AN460" s="256"/>
      <c r="AO460" s="256"/>
      <c r="AP460" s="256"/>
      <c r="AQ460" s="393"/>
      <c r="AR460" s="279" t="s">
        <v>2103</v>
      </c>
      <c r="AS460" s="393"/>
      <c r="AT460" s="289" t="s">
        <v>2103</v>
      </c>
      <c r="AU460" s="444"/>
      <c r="AV460" s="393"/>
    </row>
    <row r="461" spans="1:48" s="31" customFormat="1" ht="12.95" customHeight="1" x14ac:dyDescent="0.2">
      <c r="A461" s="206" t="s">
        <v>1567</v>
      </c>
      <c r="B461" s="274"/>
      <c r="C461" s="206" t="s">
        <v>1568</v>
      </c>
      <c r="D461" s="206" t="s">
        <v>2058</v>
      </c>
      <c r="E461" s="223" t="s">
        <v>2058</v>
      </c>
      <c r="F461" s="206" t="str">
        <f t="shared" si="105"/>
        <v>unused_USB3_DN</v>
      </c>
      <c r="G461" s="207"/>
      <c r="H461" s="206" t="s">
        <v>1567</v>
      </c>
      <c r="I461" s="206"/>
      <c r="J461" s="206"/>
      <c r="K461" s="206"/>
      <c r="L461" s="207"/>
      <c r="M461" s="206"/>
      <c r="N461" s="206"/>
      <c r="O461" s="206"/>
      <c r="P461" s="206"/>
      <c r="Q461" s="207"/>
      <c r="R461" s="206"/>
      <c r="S461" s="206"/>
      <c r="T461" s="206"/>
      <c r="U461" s="207"/>
      <c r="V461" s="208"/>
      <c r="W461" s="208"/>
      <c r="X461" s="208"/>
      <c r="Y461" s="208"/>
      <c r="Z461" s="209"/>
      <c r="AA461" s="255"/>
      <c r="AB461" s="234" t="str">
        <f t="shared" si="104"/>
        <v>Unused</v>
      </c>
      <c r="AC461" s="251"/>
      <c r="AD461" s="251"/>
      <c r="AE461" s="251"/>
      <c r="AF461" s="251"/>
      <c r="AG461" s="251"/>
      <c r="AH461" s="251"/>
      <c r="AI461" s="246"/>
      <c r="AJ461" s="196" t="s">
        <v>2157</v>
      </c>
      <c r="AK461" s="256"/>
      <c r="AL461" s="256"/>
      <c r="AM461" s="256"/>
      <c r="AN461" s="256"/>
      <c r="AO461" s="256"/>
      <c r="AP461" s="256"/>
      <c r="AQ461" s="398"/>
      <c r="AR461" s="279" t="s">
        <v>2157</v>
      </c>
      <c r="AS461" s="394" t="s">
        <v>2111</v>
      </c>
      <c r="AT461" s="289" t="s">
        <v>1567</v>
      </c>
      <c r="AU461" s="371" t="s">
        <v>2111</v>
      </c>
      <c r="AV461" s="380" t="s">
        <v>2471</v>
      </c>
    </row>
    <row r="462" spans="1:48" s="31" customFormat="1" ht="12.95" customHeight="1" x14ac:dyDescent="0.2">
      <c r="A462" s="206" t="s">
        <v>1569</v>
      </c>
      <c r="B462" s="274"/>
      <c r="C462" s="206" t="s">
        <v>1570</v>
      </c>
      <c r="D462" s="206" t="s">
        <v>1674</v>
      </c>
      <c r="E462" s="223" t="s">
        <v>1674</v>
      </c>
      <c r="F462" s="206" t="str">
        <f t="shared" si="105"/>
        <v>unused_USB3_DP</v>
      </c>
      <c r="G462" s="207"/>
      <c r="H462" s="206" t="s">
        <v>1569</v>
      </c>
      <c r="I462" s="206"/>
      <c r="J462" s="206"/>
      <c r="K462" s="206"/>
      <c r="L462" s="207"/>
      <c r="M462" s="206"/>
      <c r="N462" s="206"/>
      <c r="O462" s="206"/>
      <c r="P462" s="206"/>
      <c r="Q462" s="207"/>
      <c r="R462" s="206"/>
      <c r="S462" s="206"/>
      <c r="T462" s="206"/>
      <c r="U462" s="207"/>
      <c r="V462" s="208"/>
      <c r="W462" s="208"/>
      <c r="X462" s="208"/>
      <c r="Y462" s="208"/>
      <c r="Z462" s="209"/>
      <c r="AA462" s="255"/>
      <c r="AB462" s="234" t="str">
        <f t="shared" si="104"/>
        <v>Unused</v>
      </c>
      <c r="AC462" s="251"/>
      <c r="AD462" s="251"/>
      <c r="AE462" s="251"/>
      <c r="AF462" s="251"/>
      <c r="AG462" s="251"/>
      <c r="AH462" s="251"/>
      <c r="AI462" s="246"/>
      <c r="AJ462" s="196" t="s">
        <v>2241</v>
      </c>
      <c r="AK462" s="256"/>
      <c r="AL462" s="256"/>
      <c r="AM462" s="256"/>
      <c r="AN462" s="256"/>
      <c r="AO462" s="256"/>
      <c r="AP462" s="256"/>
      <c r="AQ462" s="400"/>
      <c r="AR462" s="279" t="s">
        <v>2241</v>
      </c>
      <c r="AS462" s="396"/>
      <c r="AT462" s="289" t="s">
        <v>1569</v>
      </c>
      <c r="AU462" s="373"/>
      <c r="AV462" s="396"/>
    </row>
    <row r="463" spans="1:48" s="31" customFormat="1" ht="12.95" customHeight="1" x14ac:dyDescent="0.2">
      <c r="A463" s="206" t="s">
        <v>1576</v>
      </c>
      <c r="B463" s="274" t="s">
        <v>2992</v>
      </c>
      <c r="C463" s="121" t="s">
        <v>1571</v>
      </c>
      <c r="D463" s="121" t="s">
        <v>1794</v>
      </c>
      <c r="E463" s="220" t="s">
        <v>1794</v>
      </c>
      <c r="F463" s="206" t="str">
        <f t="shared" si="105"/>
        <v>unused_ACC3_DETECT</v>
      </c>
      <c r="G463" s="207"/>
      <c r="H463" s="206"/>
      <c r="I463" s="206"/>
      <c r="J463" s="206"/>
      <c r="K463" s="206"/>
      <c r="L463" s="207"/>
      <c r="M463" s="206"/>
      <c r="N463" s="206"/>
      <c r="O463" s="206"/>
      <c r="P463" s="206">
        <v>38</v>
      </c>
      <c r="Q463" s="207"/>
      <c r="R463" s="206"/>
      <c r="S463" s="206"/>
      <c r="T463" s="206"/>
      <c r="U463" s="207"/>
      <c r="V463" s="208"/>
      <c r="W463" s="208"/>
      <c r="X463" s="208"/>
      <c r="Y463" s="208"/>
      <c r="Z463" s="209"/>
      <c r="AA463" s="255"/>
      <c r="AB463" s="234" t="str">
        <f t="shared" si="104"/>
        <v>Unused</v>
      </c>
      <c r="AC463" s="251"/>
      <c r="AD463" s="251"/>
      <c r="AE463" s="251"/>
      <c r="AF463" s="251"/>
      <c r="AG463" s="251"/>
      <c r="AH463" s="251"/>
      <c r="AI463" s="246"/>
      <c r="AJ463" s="196" t="s">
        <v>2104</v>
      </c>
      <c r="AK463" s="256"/>
      <c r="AL463" s="256"/>
      <c r="AM463" s="256"/>
      <c r="AN463" s="256"/>
      <c r="AO463" s="256"/>
      <c r="AP463" s="256"/>
      <c r="AQ463" s="392" t="s">
        <v>2419</v>
      </c>
      <c r="AR463" s="279" t="s">
        <v>2104</v>
      </c>
      <c r="AS463" s="392" t="s">
        <v>2417</v>
      </c>
      <c r="AT463" s="289" t="s">
        <v>2104</v>
      </c>
      <c r="AU463" s="442" t="s">
        <v>2418</v>
      </c>
      <c r="AV463" s="392" t="s">
        <v>2417</v>
      </c>
    </row>
    <row r="464" spans="1:48" s="31" customFormat="1" ht="12.95" customHeight="1" x14ac:dyDescent="0.2">
      <c r="A464" s="206" t="s">
        <v>1572</v>
      </c>
      <c r="B464" s="274" t="s">
        <v>2992</v>
      </c>
      <c r="C464" s="121" t="s">
        <v>1573</v>
      </c>
      <c r="D464" s="121" t="s">
        <v>3002</v>
      </c>
      <c r="E464" s="220" t="s">
        <v>3002</v>
      </c>
      <c r="F464" s="206" t="str">
        <f t="shared" si="105"/>
        <v>unused_USB3_VBUS</v>
      </c>
      <c r="G464" s="207"/>
      <c r="H464" s="206"/>
      <c r="I464" s="206"/>
      <c r="J464" s="206"/>
      <c r="K464" s="206"/>
      <c r="L464" s="207"/>
      <c r="M464" s="206"/>
      <c r="N464" s="206"/>
      <c r="O464" s="206"/>
      <c r="P464" s="206">
        <v>37</v>
      </c>
      <c r="Q464" s="207"/>
      <c r="R464" s="206"/>
      <c r="S464" s="206"/>
      <c r="T464" s="206"/>
      <c r="U464" s="207"/>
      <c r="V464" s="208"/>
      <c r="W464" s="208"/>
      <c r="X464" s="208"/>
      <c r="Y464" s="208"/>
      <c r="Z464" s="209"/>
      <c r="AA464" s="255"/>
      <c r="AB464" s="234" t="str">
        <f t="shared" si="104"/>
        <v>Unused</v>
      </c>
      <c r="AC464" s="251"/>
      <c r="AD464" s="251"/>
      <c r="AE464" s="251"/>
      <c r="AF464" s="251"/>
      <c r="AG464" s="251"/>
      <c r="AH464" s="251"/>
      <c r="AI464" s="246"/>
      <c r="AJ464" s="196" t="s">
        <v>2105</v>
      </c>
      <c r="AK464" s="256"/>
      <c r="AL464" s="256"/>
      <c r="AM464" s="256"/>
      <c r="AN464" s="256"/>
      <c r="AO464" s="256"/>
      <c r="AP464" s="256"/>
      <c r="AQ464" s="393"/>
      <c r="AR464" s="279" t="s">
        <v>2105</v>
      </c>
      <c r="AS464" s="393"/>
      <c r="AT464" s="289" t="s">
        <v>2105</v>
      </c>
      <c r="AU464" s="444"/>
      <c r="AV464" s="393"/>
    </row>
    <row r="465" spans="1:48" s="31" customFormat="1" ht="12.95" customHeight="1" x14ac:dyDescent="0.2">
      <c r="A465" s="206" t="s">
        <v>2356</v>
      </c>
      <c r="B465" s="274"/>
      <c r="C465" s="206" t="s">
        <v>1554</v>
      </c>
      <c r="D465" s="206" t="s">
        <v>1774</v>
      </c>
      <c r="E465" s="223" t="s">
        <v>1774</v>
      </c>
      <c r="F465" s="206"/>
      <c r="G465" s="207"/>
      <c r="H465" s="206" t="s">
        <v>2356</v>
      </c>
      <c r="I465" s="206"/>
      <c r="J465" s="206"/>
      <c r="K465" s="206"/>
      <c r="L465" s="207"/>
      <c r="M465" s="206"/>
      <c r="N465" s="206"/>
      <c r="O465" s="206"/>
      <c r="P465" s="206"/>
      <c r="Q465" s="207"/>
      <c r="R465" s="206"/>
      <c r="S465" s="206"/>
      <c r="T465" s="206"/>
      <c r="U465" s="207"/>
      <c r="V465" s="208"/>
      <c r="W465" s="208"/>
      <c r="X465" s="208"/>
      <c r="Y465" s="208"/>
      <c r="Z465" s="209"/>
      <c r="AA465" s="255"/>
      <c r="AB465" s="234" t="str">
        <f t="shared" si="104"/>
        <v>SFIO</v>
      </c>
      <c r="AC465" s="251"/>
      <c r="AD465" s="251"/>
      <c r="AE465" s="251"/>
      <c r="AF465" s="251"/>
      <c r="AG465" s="251"/>
      <c r="AH465" s="251"/>
      <c r="AI465" s="246"/>
      <c r="AJ465" s="195" t="s">
        <v>2356</v>
      </c>
      <c r="AK465" s="256"/>
      <c r="AL465" s="256"/>
      <c r="AM465" s="256"/>
      <c r="AN465" s="256"/>
      <c r="AO465" s="256"/>
      <c r="AP465" s="256"/>
      <c r="AQ465" s="116" t="s">
        <v>1261</v>
      </c>
      <c r="AR465" s="280" t="s">
        <v>2356</v>
      </c>
      <c r="AS465" s="70" t="s">
        <v>1261</v>
      </c>
      <c r="AT465" s="292" t="s">
        <v>2356</v>
      </c>
      <c r="AU465" s="103" t="s">
        <v>1261</v>
      </c>
      <c r="AV465" s="123" t="s">
        <v>1261</v>
      </c>
    </row>
    <row r="466" spans="1:48" s="30" customFormat="1" ht="18" customHeight="1" x14ac:dyDescent="0.25">
      <c r="A466" s="161" t="s">
        <v>1586</v>
      </c>
      <c r="B466" s="275"/>
      <c r="C466" s="161"/>
      <c r="D466" s="161"/>
      <c r="E466" s="222"/>
      <c r="F466" s="161"/>
      <c r="G466" s="204"/>
      <c r="H466" s="161"/>
      <c r="I466" s="161"/>
      <c r="J466" s="161"/>
      <c r="K466" s="161"/>
      <c r="L466" s="204"/>
      <c r="M466" s="161"/>
      <c r="N466" s="161"/>
      <c r="O466" s="161"/>
      <c r="P466" s="161"/>
      <c r="Q466" s="204"/>
      <c r="R466" s="161"/>
      <c r="S466" s="161"/>
      <c r="T466" s="161"/>
      <c r="U466" s="204"/>
      <c r="V466" s="161"/>
      <c r="W466" s="161"/>
      <c r="X466" s="161"/>
      <c r="Y466" s="161"/>
      <c r="Z466" s="205"/>
      <c r="AA466" s="238"/>
      <c r="AB466" s="239"/>
      <c r="AC466" s="239"/>
      <c r="AD466" s="239"/>
      <c r="AE466" s="239"/>
      <c r="AF466" s="239"/>
      <c r="AG466" s="239"/>
      <c r="AH466" s="239"/>
      <c r="AI466" s="240"/>
      <c r="AJ466" s="161"/>
      <c r="AK466" s="174"/>
      <c r="AL466" s="174"/>
      <c r="AM466" s="173"/>
      <c r="AN466" s="174"/>
      <c r="AO466" s="174"/>
      <c r="AP466" s="174"/>
      <c r="AQ466" s="46"/>
      <c r="AR466" s="278"/>
      <c r="AS466" s="46"/>
      <c r="AT466" s="287"/>
      <c r="AU466" s="46"/>
      <c r="AV466" s="46"/>
    </row>
    <row r="467" spans="1:48" s="31" customFormat="1" ht="12.95" customHeight="1" x14ac:dyDescent="0.2">
      <c r="A467" s="206" t="s">
        <v>1587</v>
      </c>
      <c r="B467" s="274" t="s">
        <v>2992</v>
      </c>
      <c r="C467" s="206" t="s">
        <v>1588</v>
      </c>
      <c r="D467" s="206" t="s">
        <v>1816</v>
      </c>
      <c r="E467" s="220" t="s">
        <v>3005</v>
      </c>
      <c r="F467" s="206" t="str">
        <f>CONCATENATE("unused_",A467)</f>
        <v>unused_VDAC_B</v>
      </c>
      <c r="G467" s="207"/>
      <c r="H467" s="206" t="s">
        <v>1587</v>
      </c>
      <c r="I467" s="206"/>
      <c r="J467" s="206"/>
      <c r="K467" s="206"/>
      <c r="L467" s="207"/>
      <c r="M467" s="206"/>
      <c r="N467" s="206"/>
      <c r="O467" s="206"/>
      <c r="P467" s="206"/>
      <c r="Q467" s="207"/>
      <c r="R467" s="206"/>
      <c r="S467" s="206"/>
      <c r="T467" s="206"/>
      <c r="U467" s="207"/>
      <c r="V467" s="208"/>
      <c r="W467" s="208"/>
      <c r="X467" s="208"/>
      <c r="Y467" s="208"/>
      <c r="Z467" s="209"/>
      <c r="AA467" s="255"/>
      <c r="AB467" s="241" t="str">
        <f>IF((AJ467=H467),"SFIO",IF((AJ467=F467),"Unused"))</f>
        <v>Unused</v>
      </c>
      <c r="AC467" s="251"/>
      <c r="AD467" s="251"/>
      <c r="AE467" s="251"/>
      <c r="AF467" s="251"/>
      <c r="AG467" s="251"/>
      <c r="AH467" s="251"/>
      <c r="AI467" s="246"/>
      <c r="AJ467" s="194" t="s">
        <v>2106</v>
      </c>
      <c r="AK467" s="256"/>
      <c r="AL467" s="256"/>
      <c r="AM467" s="256"/>
      <c r="AN467" s="256"/>
      <c r="AO467" s="256"/>
      <c r="AP467" s="256"/>
      <c r="AQ467" s="392" t="s">
        <v>1229</v>
      </c>
      <c r="AR467" s="279" t="s">
        <v>2106</v>
      </c>
      <c r="AS467" s="377"/>
      <c r="AT467" s="288" t="s">
        <v>2106</v>
      </c>
      <c r="AU467" s="377"/>
      <c r="AV467" s="371" t="s">
        <v>2474</v>
      </c>
    </row>
    <row r="468" spans="1:48" s="31" customFormat="1" ht="12.95" customHeight="1" x14ac:dyDescent="0.2">
      <c r="A468" s="206" t="s">
        <v>1589</v>
      </c>
      <c r="B468" s="274" t="s">
        <v>2992</v>
      </c>
      <c r="C468" s="206" t="s">
        <v>1590</v>
      </c>
      <c r="D468" s="206" t="s">
        <v>1821</v>
      </c>
      <c r="E468" s="220" t="s">
        <v>1821</v>
      </c>
      <c r="F468" s="206" t="str">
        <f>CONCATENATE("unused_",A468)</f>
        <v>unused_VDAC_G</v>
      </c>
      <c r="G468" s="207"/>
      <c r="H468" s="206" t="s">
        <v>1589</v>
      </c>
      <c r="I468" s="206"/>
      <c r="J468" s="206"/>
      <c r="K468" s="206"/>
      <c r="L468" s="207"/>
      <c r="M468" s="206"/>
      <c r="N468" s="206"/>
      <c r="O468" s="206"/>
      <c r="P468" s="206"/>
      <c r="Q468" s="207"/>
      <c r="R468" s="206"/>
      <c r="S468" s="206"/>
      <c r="T468" s="206"/>
      <c r="U468" s="207"/>
      <c r="V468" s="208"/>
      <c r="W468" s="208"/>
      <c r="X468" s="208"/>
      <c r="Y468" s="208"/>
      <c r="Z468" s="209"/>
      <c r="AA468" s="255"/>
      <c r="AB468" s="234" t="str">
        <f>IF((AJ468=H468),"SFIO",IF((AJ468=F468),"Unused"))</f>
        <v>Unused</v>
      </c>
      <c r="AC468" s="251"/>
      <c r="AD468" s="251"/>
      <c r="AE468" s="251"/>
      <c r="AF468" s="251"/>
      <c r="AG468" s="251"/>
      <c r="AH468" s="251"/>
      <c r="AI468" s="246"/>
      <c r="AJ468" s="196" t="s">
        <v>2107</v>
      </c>
      <c r="AK468" s="256"/>
      <c r="AL468" s="256"/>
      <c r="AM468" s="256"/>
      <c r="AN468" s="256"/>
      <c r="AO468" s="256"/>
      <c r="AP468" s="256"/>
      <c r="AQ468" s="408"/>
      <c r="AR468" s="279" t="s">
        <v>2107</v>
      </c>
      <c r="AS468" s="397"/>
      <c r="AT468" s="289" t="s">
        <v>2107</v>
      </c>
      <c r="AU468" s="397"/>
      <c r="AV468" s="372"/>
    </row>
    <row r="469" spans="1:48" s="31" customFormat="1" ht="12.95" customHeight="1" x14ac:dyDescent="0.2">
      <c r="A469" s="206" t="s">
        <v>1591</v>
      </c>
      <c r="B469" s="274" t="s">
        <v>2992</v>
      </c>
      <c r="C469" s="206" t="s">
        <v>1592</v>
      </c>
      <c r="D469" s="206" t="s">
        <v>2059</v>
      </c>
      <c r="E469" s="220" t="s">
        <v>2059</v>
      </c>
      <c r="F469" s="206" t="str">
        <f>CONCATENATE("unused_",A469)</f>
        <v>unused_VDAC_R</v>
      </c>
      <c r="G469" s="207"/>
      <c r="H469" s="206" t="s">
        <v>1591</v>
      </c>
      <c r="I469" s="206"/>
      <c r="J469" s="206"/>
      <c r="K469" s="206"/>
      <c r="L469" s="207"/>
      <c r="M469" s="206"/>
      <c r="N469" s="206"/>
      <c r="O469" s="206"/>
      <c r="P469" s="206"/>
      <c r="Q469" s="207"/>
      <c r="R469" s="206"/>
      <c r="S469" s="206"/>
      <c r="T469" s="206"/>
      <c r="U469" s="207"/>
      <c r="V469" s="208"/>
      <c r="W469" s="208"/>
      <c r="X469" s="208"/>
      <c r="Y469" s="208"/>
      <c r="Z469" s="209"/>
      <c r="AA469" s="255"/>
      <c r="AB469" s="234" t="str">
        <f>IF((AJ469=H469),"SFIO",IF((AJ469=F469),"Unused"))</f>
        <v>Unused</v>
      </c>
      <c r="AC469" s="251"/>
      <c r="AD469" s="251"/>
      <c r="AE469" s="251"/>
      <c r="AF469" s="251"/>
      <c r="AG469" s="251"/>
      <c r="AH469" s="251"/>
      <c r="AI469" s="246"/>
      <c r="AJ469" s="196" t="s">
        <v>2108</v>
      </c>
      <c r="AK469" s="256"/>
      <c r="AL469" s="256"/>
      <c r="AM469" s="256"/>
      <c r="AN469" s="256"/>
      <c r="AO469" s="256"/>
      <c r="AP469" s="256"/>
      <c r="AQ469" s="408"/>
      <c r="AR469" s="279" t="s">
        <v>2108</v>
      </c>
      <c r="AS469" s="397"/>
      <c r="AT469" s="289" t="s">
        <v>2108</v>
      </c>
      <c r="AU469" s="397"/>
      <c r="AV469" s="372"/>
    </row>
    <row r="470" spans="1:48" s="31" customFormat="1" ht="12.95" customHeight="1" x14ac:dyDescent="0.2">
      <c r="A470" s="206" t="s">
        <v>2358</v>
      </c>
      <c r="B470" s="274" t="s">
        <v>2992</v>
      </c>
      <c r="C470" s="206" t="s">
        <v>1593</v>
      </c>
      <c r="D470" s="206" t="s">
        <v>2361</v>
      </c>
      <c r="E470" s="218" t="s">
        <v>2361</v>
      </c>
      <c r="F470" s="206" t="str">
        <f>CONCATENATE("unused_",A470)</f>
        <v>unused_VDAC_VREF</v>
      </c>
      <c r="G470" s="207"/>
      <c r="H470" s="206" t="s">
        <v>2358</v>
      </c>
      <c r="I470" s="206"/>
      <c r="J470" s="206"/>
      <c r="K470" s="206"/>
      <c r="L470" s="207"/>
      <c r="M470" s="206"/>
      <c r="N470" s="206"/>
      <c r="O470" s="206"/>
      <c r="P470" s="206"/>
      <c r="Q470" s="207"/>
      <c r="R470" s="206"/>
      <c r="S470" s="206"/>
      <c r="T470" s="206"/>
      <c r="U470" s="207"/>
      <c r="V470" s="208"/>
      <c r="W470" s="208"/>
      <c r="X470" s="208"/>
      <c r="Y470" s="208"/>
      <c r="Z470" s="209"/>
      <c r="AA470" s="255"/>
      <c r="AB470" s="234" t="str">
        <f>IF((AJ470=H470),"SFIO",IF((AJ470=F470),"Unused"))</f>
        <v>Unused</v>
      </c>
      <c r="AC470" s="251"/>
      <c r="AD470" s="251"/>
      <c r="AE470" s="251"/>
      <c r="AF470" s="251"/>
      <c r="AG470" s="251"/>
      <c r="AH470" s="251"/>
      <c r="AI470" s="246"/>
      <c r="AJ470" s="196" t="s">
        <v>2363</v>
      </c>
      <c r="AK470" s="256"/>
      <c r="AL470" s="256"/>
      <c r="AM470" s="256"/>
      <c r="AN470" s="256"/>
      <c r="AO470" s="256"/>
      <c r="AP470" s="256"/>
      <c r="AQ470" s="408"/>
      <c r="AR470" s="279" t="s">
        <v>2363</v>
      </c>
      <c r="AS470" s="397"/>
      <c r="AT470" s="289" t="s">
        <v>2363</v>
      </c>
      <c r="AU470" s="397"/>
      <c r="AV470" s="372"/>
    </row>
    <row r="471" spans="1:48" s="31" customFormat="1" ht="12.95" customHeight="1" x14ac:dyDescent="0.2">
      <c r="A471" s="206" t="s">
        <v>2359</v>
      </c>
      <c r="B471" s="274" t="s">
        <v>2992</v>
      </c>
      <c r="C471" s="206" t="s">
        <v>2360</v>
      </c>
      <c r="D471" s="206" t="s">
        <v>2362</v>
      </c>
      <c r="E471" s="219" t="s">
        <v>2362</v>
      </c>
      <c r="F471" s="206" t="str">
        <f>CONCATENATE("unused_",A471)</f>
        <v>unused_VDAC_RSET</v>
      </c>
      <c r="G471" s="207"/>
      <c r="H471" s="206" t="s">
        <v>2359</v>
      </c>
      <c r="I471" s="206"/>
      <c r="J471" s="206"/>
      <c r="K471" s="206"/>
      <c r="L471" s="207"/>
      <c r="M471" s="206"/>
      <c r="N471" s="206"/>
      <c r="O471" s="206"/>
      <c r="P471" s="206"/>
      <c r="Q471" s="207"/>
      <c r="R471" s="206"/>
      <c r="S471" s="206"/>
      <c r="T471" s="206"/>
      <c r="U471" s="207"/>
      <c r="V471" s="208"/>
      <c r="W471" s="208"/>
      <c r="X471" s="208"/>
      <c r="Y471" s="208"/>
      <c r="Z471" s="209"/>
      <c r="AA471" s="255"/>
      <c r="AB471" s="234" t="str">
        <f>IF((AJ471=H471),"SFIO",IF((AJ471=F471),"Unused"))</f>
        <v>Unused</v>
      </c>
      <c r="AC471" s="251"/>
      <c r="AD471" s="251"/>
      <c r="AE471" s="251"/>
      <c r="AF471" s="251"/>
      <c r="AG471" s="251"/>
      <c r="AH471" s="251"/>
      <c r="AI471" s="246"/>
      <c r="AJ471" s="195" t="s">
        <v>2364</v>
      </c>
      <c r="AK471" s="256"/>
      <c r="AL471" s="256"/>
      <c r="AM471" s="256"/>
      <c r="AN471" s="256"/>
      <c r="AO471" s="256"/>
      <c r="AP471" s="256"/>
      <c r="AQ471" s="393"/>
      <c r="AR471" s="279" t="s">
        <v>2364</v>
      </c>
      <c r="AS471" s="378"/>
      <c r="AT471" s="290" t="s">
        <v>2364</v>
      </c>
      <c r="AU471" s="378"/>
      <c r="AV471" s="373"/>
    </row>
    <row r="472" spans="1:48" s="30" customFormat="1" ht="18" customHeight="1" x14ac:dyDescent="0.25">
      <c r="A472" s="161" t="s">
        <v>1262</v>
      </c>
      <c r="B472" s="275"/>
      <c r="C472" s="161"/>
      <c r="D472" s="161"/>
      <c r="E472" s="222"/>
      <c r="F472" s="161"/>
      <c r="G472" s="204"/>
      <c r="H472" s="161"/>
      <c r="I472" s="161"/>
      <c r="J472" s="161"/>
      <c r="K472" s="161"/>
      <c r="L472" s="204"/>
      <c r="M472" s="161"/>
      <c r="N472" s="161"/>
      <c r="O472" s="161"/>
      <c r="P472" s="161"/>
      <c r="Q472" s="204"/>
      <c r="R472" s="161"/>
      <c r="S472" s="161"/>
      <c r="T472" s="161"/>
      <c r="U472" s="204"/>
      <c r="V472" s="161"/>
      <c r="W472" s="161"/>
      <c r="X472" s="161"/>
      <c r="Y472" s="161"/>
      <c r="Z472" s="205"/>
      <c r="AA472" s="238"/>
      <c r="AB472" s="239"/>
      <c r="AC472" s="239"/>
      <c r="AD472" s="239"/>
      <c r="AE472" s="239"/>
      <c r="AF472" s="239"/>
      <c r="AG472" s="239"/>
      <c r="AH472" s="239"/>
      <c r="AI472" s="240"/>
      <c r="AJ472" s="161"/>
      <c r="AK472" s="174"/>
      <c r="AL472" s="174"/>
      <c r="AM472" s="173"/>
      <c r="AN472" s="174"/>
      <c r="AO472" s="174"/>
      <c r="AP472" s="174"/>
      <c r="AQ472" s="46"/>
      <c r="AR472" s="278"/>
      <c r="AS472" s="46"/>
      <c r="AT472" s="287"/>
      <c r="AU472" s="46"/>
      <c r="AV472" s="46"/>
    </row>
    <row r="473" spans="1:48" s="31" customFormat="1" ht="12.95" customHeight="1" x14ac:dyDescent="0.2">
      <c r="A473" s="206" t="s">
        <v>1583</v>
      </c>
      <c r="B473" s="274"/>
      <c r="C473" s="206" t="s">
        <v>1242</v>
      </c>
      <c r="D473" s="206" t="s">
        <v>2060</v>
      </c>
      <c r="E473" s="223" t="s">
        <v>2060</v>
      </c>
      <c r="F473" s="206" t="str">
        <f>CONCATENATE("unused_",A473)</f>
        <v>unused_XTAL_IN</v>
      </c>
      <c r="G473" s="207"/>
      <c r="H473" s="206" t="s">
        <v>1583</v>
      </c>
      <c r="I473" s="206"/>
      <c r="J473" s="206"/>
      <c r="K473" s="206"/>
      <c r="L473" s="207"/>
      <c r="M473" s="206"/>
      <c r="N473" s="206"/>
      <c r="O473" s="206"/>
      <c r="P473" s="206"/>
      <c r="Q473" s="207"/>
      <c r="R473" s="206"/>
      <c r="S473" s="206"/>
      <c r="T473" s="206"/>
      <c r="U473" s="207"/>
      <c r="V473" s="208"/>
      <c r="W473" s="208"/>
      <c r="X473" s="208"/>
      <c r="Y473" s="208"/>
      <c r="Z473" s="209"/>
      <c r="AA473" s="255"/>
      <c r="AB473" s="241" t="str">
        <f>IF((AJ473=H473),"SFIO",IF((AJ473=F473),"Unused"))</f>
        <v>Unused</v>
      </c>
      <c r="AC473" s="251"/>
      <c r="AD473" s="251"/>
      <c r="AE473" s="251"/>
      <c r="AF473" s="251"/>
      <c r="AG473" s="251"/>
      <c r="AH473" s="251"/>
      <c r="AI473" s="246"/>
      <c r="AJ473" s="194" t="s">
        <v>2242</v>
      </c>
      <c r="AK473" s="256"/>
      <c r="AL473" s="256"/>
      <c r="AM473" s="256"/>
      <c r="AN473" s="256"/>
      <c r="AO473" s="256"/>
      <c r="AP473" s="256"/>
      <c r="AQ473" s="394" t="s">
        <v>1262</v>
      </c>
      <c r="AR473" s="279" t="s">
        <v>1583</v>
      </c>
      <c r="AS473" s="394" t="s">
        <v>1262</v>
      </c>
      <c r="AT473" s="288" t="s">
        <v>1583</v>
      </c>
      <c r="AU473" s="371" t="s">
        <v>1262</v>
      </c>
      <c r="AV473" s="394" t="s">
        <v>1262</v>
      </c>
    </row>
    <row r="474" spans="1:48" s="31" customFormat="1" ht="12.95" customHeight="1" x14ac:dyDescent="0.2">
      <c r="A474" s="206" t="s">
        <v>1584</v>
      </c>
      <c r="B474" s="274"/>
      <c r="C474" s="206" t="s">
        <v>1585</v>
      </c>
      <c r="D474" s="206" t="s">
        <v>2061</v>
      </c>
      <c r="E474" s="223" t="s">
        <v>2061</v>
      </c>
      <c r="F474" s="206"/>
      <c r="G474" s="207"/>
      <c r="H474" s="206" t="s">
        <v>1584</v>
      </c>
      <c r="I474" s="206"/>
      <c r="J474" s="206"/>
      <c r="K474" s="206"/>
      <c r="L474" s="207"/>
      <c r="M474" s="206"/>
      <c r="N474" s="206"/>
      <c r="O474" s="206"/>
      <c r="P474" s="206"/>
      <c r="Q474" s="207"/>
      <c r="R474" s="206"/>
      <c r="S474" s="206"/>
      <c r="T474" s="206"/>
      <c r="U474" s="207"/>
      <c r="V474" s="208"/>
      <c r="W474" s="208"/>
      <c r="X474" s="208"/>
      <c r="Y474" s="208"/>
      <c r="Z474" s="209"/>
      <c r="AA474" s="255"/>
      <c r="AB474" s="234" t="str">
        <f>IF((AJ474=H474),"SFIO",IF((AJ474=F474),"Unused"))</f>
        <v>SFIO</v>
      </c>
      <c r="AC474" s="251"/>
      <c r="AD474" s="251"/>
      <c r="AE474" s="251"/>
      <c r="AF474" s="251"/>
      <c r="AG474" s="251"/>
      <c r="AH474" s="251"/>
      <c r="AI474" s="246"/>
      <c r="AJ474" s="196" t="s">
        <v>1584</v>
      </c>
      <c r="AK474" s="256"/>
      <c r="AL474" s="256"/>
      <c r="AM474" s="256"/>
      <c r="AN474" s="256"/>
      <c r="AO474" s="256"/>
      <c r="AP474" s="256"/>
      <c r="AQ474" s="396"/>
      <c r="AR474" s="279" t="s">
        <v>1584</v>
      </c>
      <c r="AS474" s="396"/>
      <c r="AT474" s="290" t="s">
        <v>1584</v>
      </c>
      <c r="AU474" s="373"/>
      <c r="AV474" s="396"/>
    </row>
    <row r="475" spans="1:48" s="6" customFormat="1" ht="15" x14ac:dyDescent="0.25">
      <c r="A475" s="5"/>
      <c r="B475" s="17"/>
      <c r="C475" s="5"/>
      <c r="D475" s="5"/>
      <c r="E475" s="226"/>
      <c r="F475" s="5"/>
      <c r="G475" s="5"/>
      <c r="H475" s="5"/>
      <c r="I475" s="5"/>
      <c r="J475" s="5"/>
      <c r="K475" s="5"/>
      <c r="L475" s="5"/>
      <c r="M475" s="5"/>
      <c r="N475" s="5"/>
      <c r="O475" s="5"/>
      <c r="P475" s="5"/>
      <c r="Q475" s="5"/>
      <c r="R475" s="5"/>
      <c r="S475" s="5"/>
      <c r="T475" s="5"/>
      <c r="U475" s="5"/>
      <c r="V475" s="5"/>
      <c r="W475" s="5"/>
      <c r="X475" s="5"/>
      <c r="Y475" s="5"/>
      <c r="Z475" s="89"/>
      <c r="AA475" s="242"/>
      <c r="AB475" s="242"/>
      <c r="AC475" s="242"/>
      <c r="AD475" s="242"/>
      <c r="AE475" s="242"/>
      <c r="AF475" s="242"/>
      <c r="AG475" s="242"/>
      <c r="AH475" s="242"/>
      <c r="AI475" s="242"/>
      <c r="AJ475" s="162"/>
      <c r="AK475" s="29"/>
      <c r="AL475" s="29"/>
      <c r="AM475" s="146"/>
      <c r="AN475" s="29"/>
      <c r="AO475" s="29"/>
      <c r="AP475" s="29"/>
      <c r="AQ475" s="27"/>
      <c r="AS475" s="27"/>
      <c r="AT475" s="294"/>
      <c r="AV475" s="27"/>
    </row>
    <row r="476" spans="1:48" s="6" customFormat="1" ht="15" x14ac:dyDescent="0.25">
      <c r="A476" s="5"/>
      <c r="B476" s="17"/>
      <c r="C476" s="5"/>
      <c r="D476" s="5"/>
      <c r="E476" s="226"/>
      <c r="F476" s="5"/>
      <c r="G476" s="5"/>
      <c r="H476" s="5"/>
      <c r="I476" s="5"/>
      <c r="J476" s="5"/>
      <c r="K476" s="5"/>
      <c r="L476" s="5"/>
      <c r="M476" s="5"/>
      <c r="N476" s="5"/>
      <c r="O476" s="5"/>
      <c r="P476" s="5"/>
      <c r="Q476" s="5"/>
      <c r="R476" s="5"/>
      <c r="S476" s="5"/>
      <c r="T476" s="5"/>
      <c r="U476" s="5"/>
      <c r="V476" s="5"/>
      <c r="W476" s="5"/>
      <c r="X476" s="5"/>
      <c r="Y476" s="5"/>
      <c r="Z476" s="89"/>
      <c r="AA476" s="242"/>
      <c r="AB476" s="242"/>
      <c r="AC476" s="242"/>
      <c r="AD476" s="242"/>
      <c r="AE476" s="242"/>
      <c r="AF476" s="242"/>
      <c r="AG476" s="242"/>
      <c r="AH476" s="242"/>
      <c r="AI476" s="242"/>
      <c r="AJ476" s="162"/>
      <c r="AK476" s="29"/>
      <c r="AL476" s="29"/>
      <c r="AM476" s="146"/>
      <c r="AN476" s="29"/>
      <c r="AO476" s="29"/>
      <c r="AP476" s="29"/>
      <c r="AQ476" s="27"/>
      <c r="AS476" s="27"/>
      <c r="AT476" s="294"/>
      <c r="AV476" s="27"/>
    </row>
    <row r="477" spans="1:48" s="97" customFormat="1" ht="15" x14ac:dyDescent="0.25">
      <c r="A477" s="94"/>
      <c r="B477" s="276"/>
      <c r="C477" s="94"/>
      <c r="D477" s="94"/>
      <c r="E477" s="227"/>
      <c r="F477" s="94"/>
      <c r="G477" s="94"/>
      <c r="H477" s="94"/>
      <c r="I477" s="94"/>
      <c r="J477" s="94"/>
      <c r="K477" s="94"/>
      <c r="L477" s="93"/>
      <c r="M477" s="93"/>
      <c r="N477" s="93"/>
      <c r="O477" s="93"/>
      <c r="P477" s="136"/>
      <c r="Q477" s="93"/>
      <c r="R477" s="93"/>
      <c r="S477" s="93"/>
      <c r="T477" s="93"/>
      <c r="U477" s="93"/>
      <c r="V477" s="93"/>
      <c r="W477" s="93"/>
      <c r="X477" s="93"/>
      <c r="Y477" s="144"/>
      <c r="Z477" s="95"/>
      <c r="AA477" s="243"/>
      <c r="AB477" s="243"/>
      <c r="AC477" s="243"/>
      <c r="AD477" s="243"/>
      <c r="AE477" s="243"/>
      <c r="AF477" s="243"/>
      <c r="AG477" s="243"/>
      <c r="AH477" s="243"/>
      <c r="AI477" s="243"/>
      <c r="AJ477" s="163"/>
      <c r="AK477" s="96"/>
      <c r="AL477" s="96"/>
      <c r="AM477" s="147"/>
      <c r="AN477" s="96"/>
      <c r="AO477" s="96"/>
      <c r="AP477" s="96"/>
      <c r="AQ477" s="68"/>
      <c r="AS477" s="68"/>
      <c r="AT477" s="98"/>
      <c r="AV477" s="68"/>
    </row>
    <row r="478" spans="1:48" s="97" customFormat="1" ht="15" x14ac:dyDescent="0.25">
      <c r="A478" s="94"/>
      <c r="B478" s="276"/>
      <c r="C478" s="94"/>
      <c r="D478" s="94"/>
      <c r="E478" s="227"/>
      <c r="F478" s="94"/>
      <c r="G478" s="94"/>
      <c r="H478" s="94"/>
      <c r="I478" s="94"/>
      <c r="J478" s="94"/>
      <c r="K478" s="94"/>
      <c r="L478" s="93"/>
      <c r="M478" s="93"/>
      <c r="N478" s="93"/>
      <c r="O478" s="93"/>
      <c r="P478" s="136"/>
      <c r="Q478" s="93"/>
      <c r="R478" s="93"/>
      <c r="S478" s="93"/>
      <c r="T478" s="93"/>
      <c r="U478" s="93"/>
      <c r="V478" s="93"/>
      <c r="W478" s="93"/>
      <c r="X478" s="93"/>
      <c r="Y478" s="144"/>
      <c r="Z478" s="95"/>
      <c r="AA478" s="243"/>
      <c r="AB478" s="243"/>
      <c r="AC478" s="243"/>
      <c r="AD478" s="243"/>
      <c r="AE478" s="243"/>
      <c r="AF478" s="243"/>
      <c r="AG478" s="243"/>
      <c r="AH478" s="243"/>
      <c r="AI478" s="243"/>
      <c r="AJ478" s="163"/>
      <c r="AK478" s="96"/>
      <c r="AL478" s="96"/>
      <c r="AM478" s="147"/>
      <c r="AN478" s="96"/>
      <c r="AO478" s="96"/>
      <c r="AP478" s="96"/>
      <c r="AQ478" s="68"/>
      <c r="AS478" s="68"/>
      <c r="AT478" s="98"/>
      <c r="AV478" s="68"/>
    </row>
    <row r="479" spans="1:48" s="97" customFormat="1" ht="15" x14ac:dyDescent="0.25">
      <c r="A479" s="94"/>
      <c r="B479" s="276"/>
      <c r="C479" s="94"/>
      <c r="D479" s="94"/>
      <c r="E479" s="227"/>
      <c r="F479" s="94"/>
      <c r="G479" s="94"/>
      <c r="H479" s="94"/>
      <c r="I479" s="94"/>
      <c r="J479" s="94"/>
      <c r="K479" s="94"/>
      <c r="L479" s="93"/>
      <c r="M479" s="93"/>
      <c r="N479" s="93"/>
      <c r="O479" s="93"/>
      <c r="P479" s="136"/>
      <c r="Q479" s="93"/>
      <c r="R479" s="93"/>
      <c r="S479" s="93"/>
      <c r="T479" s="93"/>
      <c r="U479" s="93"/>
      <c r="V479" s="93"/>
      <c r="W479" s="93"/>
      <c r="X479" s="93"/>
      <c r="Y479" s="144"/>
      <c r="Z479" s="95"/>
      <c r="AA479" s="243"/>
      <c r="AB479" s="243"/>
      <c r="AC479" s="243"/>
      <c r="AD479" s="243"/>
      <c r="AE479" s="243"/>
      <c r="AF479" s="243"/>
      <c r="AG479" s="243"/>
      <c r="AH479" s="243"/>
      <c r="AI479" s="243"/>
      <c r="AJ479" s="163"/>
      <c r="AK479" s="96"/>
      <c r="AL479" s="96"/>
      <c r="AM479" s="147"/>
      <c r="AN479" s="96"/>
      <c r="AO479" s="96"/>
      <c r="AP479" s="96"/>
      <c r="AQ479" s="68"/>
      <c r="AS479" s="68"/>
      <c r="AT479" s="98"/>
      <c r="AV479" s="68"/>
    </row>
    <row r="480" spans="1:48" s="6" customFormat="1" ht="15" x14ac:dyDescent="0.25">
      <c r="A480" s="5"/>
      <c r="B480" s="17"/>
      <c r="C480" s="5"/>
      <c r="D480" s="5"/>
      <c r="E480" s="226"/>
      <c r="F480" s="5"/>
      <c r="G480" s="5"/>
      <c r="H480" s="5"/>
      <c r="I480" s="5"/>
      <c r="J480" s="5"/>
      <c r="K480" s="5"/>
      <c r="L480" s="5"/>
      <c r="M480" s="5"/>
      <c r="N480" s="5"/>
      <c r="O480" s="5"/>
      <c r="P480" s="5"/>
      <c r="Q480" s="5"/>
      <c r="R480" s="5"/>
      <c r="S480" s="5"/>
      <c r="T480" s="5"/>
      <c r="U480" s="5"/>
      <c r="V480" s="5"/>
      <c r="W480" s="5"/>
      <c r="X480" s="5"/>
      <c r="Y480" s="5"/>
      <c r="Z480" s="89"/>
      <c r="AA480" s="242"/>
      <c r="AB480" s="242"/>
      <c r="AC480" s="242"/>
      <c r="AD480" s="242"/>
      <c r="AE480" s="242"/>
      <c r="AF480" s="242"/>
      <c r="AG480" s="242"/>
      <c r="AH480" s="242"/>
      <c r="AI480" s="242"/>
      <c r="AJ480" s="162"/>
      <c r="AK480" s="29"/>
      <c r="AL480" s="29"/>
      <c r="AM480" s="146"/>
      <c r="AN480" s="29"/>
      <c r="AO480" s="29"/>
      <c r="AP480" s="29"/>
      <c r="AQ480" s="27"/>
      <c r="AS480" s="27"/>
      <c r="AT480" s="294"/>
      <c r="AV480" s="27"/>
    </row>
    <row r="481" spans="1:48" s="6" customFormat="1" ht="15" x14ac:dyDescent="0.25">
      <c r="A481" s="5"/>
      <c r="B481" s="17"/>
      <c r="C481" s="401"/>
      <c r="D481" s="401"/>
      <c r="E481" s="401"/>
      <c r="F481" s="401"/>
      <c r="G481" s="401"/>
      <c r="H481" s="401"/>
      <c r="I481" s="401"/>
      <c r="J481" s="401"/>
      <c r="K481" s="401"/>
      <c r="L481" s="5"/>
      <c r="M481" s="5"/>
      <c r="N481" s="5"/>
      <c r="O481" s="5"/>
      <c r="P481" s="5"/>
      <c r="Q481" s="5"/>
      <c r="R481" s="5"/>
      <c r="S481" s="5"/>
      <c r="T481" s="5"/>
      <c r="U481" s="5"/>
      <c r="V481" s="5"/>
      <c r="W481" s="5"/>
      <c r="X481" s="5"/>
      <c r="Y481" s="5"/>
      <c r="Z481" s="89"/>
      <c r="AA481" s="242"/>
      <c r="AB481" s="242"/>
      <c r="AC481" s="242"/>
      <c r="AD481" s="242"/>
      <c r="AE481" s="242"/>
      <c r="AF481" s="242"/>
      <c r="AG481" s="242"/>
      <c r="AH481" s="242"/>
      <c r="AI481" s="242"/>
      <c r="AJ481" s="162"/>
      <c r="AK481" s="29"/>
      <c r="AL481" s="29"/>
      <c r="AM481" s="146"/>
      <c r="AN481" s="29"/>
      <c r="AO481" s="29"/>
      <c r="AP481" s="29"/>
      <c r="AQ481" s="27"/>
      <c r="AS481" s="27"/>
      <c r="AT481" s="294"/>
      <c r="AV481" s="27"/>
    </row>
    <row r="482" spans="1:48" s="6" customFormat="1" x14ac:dyDescent="0.2">
      <c r="B482" s="17"/>
      <c r="E482" s="226"/>
      <c r="Z482" s="90"/>
      <c r="AA482" s="242"/>
      <c r="AB482" s="242"/>
      <c r="AC482" s="242"/>
      <c r="AD482" s="242"/>
      <c r="AE482" s="242"/>
      <c r="AF482" s="242"/>
      <c r="AG482" s="242"/>
      <c r="AH482" s="242"/>
      <c r="AI482" s="242"/>
      <c r="AJ482" s="164"/>
      <c r="AM482" s="17"/>
      <c r="AQ482" s="17"/>
      <c r="AS482" s="15"/>
      <c r="AV482" s="15"/>
    </row>
    <row r="483" spans="1:48" s="6" customFormat="1" x14ac:dyDescent="0.2">
      <c r="B483" s="17"/>
      <c r="E483" s="226"/>
      <c r="Z483" s="90"/>
      <c r="AA483" s="242"/>
      <c r="AB483" s="242"/>
      <c r="AC483" s="242"/>
      <c r="AD483" s="242"/>
      <c r="AE483" s="242"/>
      <c r="AF483" s="242"/>
      <c r="AG483" s="242"/>
      <c r="AH483" s="242"/>
      <c r="AI483" s="242"/>
      <c r="AJ483" s="164"/>
      <c r="AM483" s="17"/>
      <c r="AQ483" s="17"/>
      <c r="AS483" s="15"/>
      <c r="AV483" s="15"/>
    </row>
    <row r="484" spans="1:48" s="6" customFormat="1" x14ac:dyDescent="0.2">
      <c r="B484" s="17"/>
      <c r="E484" s="226"/>
      <c r="Z484" s="90"/>
      <c r="AA484" s="242"/>
      <c r="AB484" s="242"/>
      <c r="AC484" s="242"/>
      <c r="AD484" s="242"/>
      <c r="AE484" s="242"/>
      <c r="AF484" s="242"/>
      <c r="AG484" s="242"/>
      <c r="AH484" s="242"/>
      <c r="AI484" s="242"/>
      <c r="AJ484" s="164"/>
      <c r="AM484" s="17"/>
      <c r="AQ484" s="17"/>
      <c r="AS484" s="15"/>
      <c r="AV484" s="15"/>
    </row>
    <row r="485" spans="1:48" s="6" customFormat="1" x14ac:dyDescent="0.2">
      <c r="B485" s="17"/>
      <c r="E485" s="226"/>
      <c r="Z485" s="90"/>
      <c r="AA485" s="242"/>
      <c r="AB485" s="242"/>
      <c r="AC485" s="242"/>
      <c r="AD485" s="242"/>
      <c r="AE485" s="242"/>
      <c r="AF485" s="242"/>
      <c r="AG485" s="242"/>
      <c r="AH485" s="242"/>
      <c r="AI485" s="242"/>
      <c r="AJ485" s="164"/>
      <c r="AM485" s="17"/>
      <c r="AQ485" s="17"/>
      <c r="AS485" s="15"/>
      <c r="AV485" s="15"/>
    </row>
    <row r="486" spans="1:48" s="6" customFormat="1" x14ac:dyDescent="0.2">
      <c r="B486" s="17"/>
      <c r="E486" s="226"/>
      <c r="Z486" s="90"/>
      <c r="AA486" s="242"/>
      <c r="AB486" s="242"/>
      <c r="AC486" s="242"/>
      <c r="AD486" s="242"/>
      <c r="AE486" s="242"/>
      <c r="AF486" s="242"/>
      <c r="AG486" s="242"/>
      <c r="AH486" s="242"/>
      <c r="AI486" s="242"/>
      <c r="AJ486" s="164"/>
      <c r="AM486" s="17"/>
      <c r="AQ486" s="17"/>
      <c r="AS486" s="15"/>
      <c r="AV486" s="15"/>
    </row>
    <row r="487" spans="1:48" s="6" customFormat="1" x14ac:dyDescent="0.2">
      <c r="B487" s="17"/>
      <c r="E487" s="226"/>
      <c r="Z487" s="90"/>
      <c r="AA487" s="242"/>
      <c r="AB487" s="242"/>
      <c r="AC487" s="242"/>
      <c r="AD487" s="242"/>
      <c r="AE487" s="242"/>
      <c r="AF487" s="242"/>
      <c r="AG487" s="242"/>
      <c r="AH487" s="242"/>
      <c r="AI487" s="242"/>
      <c r="AJ487" s="164"/>
      <c r="AM487" s="17"/>
      <c r="AQ487" s="17"/>
      <c r="AS487" s="15"/>
      <c r="AV487" s="15"/>
    </row>
    <row r="488" spans="1:48" s="6" customFormat="1" x14ac:dyDescent="0.2">
      <c r="B488" s="17"/>
      <c r="E488" s="226"/>
      <c r="Z488" s="90"/>
      <c r="AA488" s="242"/>
      <c r="AB488" s="242"/>
      <c r="AC488" s="242"/>
      <c r="AD488" s="242"/>
      <c r="AE488" s="242"/>
      <c r="AF488" s="242"/>
      <c r="AG488" s="242"/>
      <c r="AH488" s="242"/>
      <c r="AI488" s="242"/>
      <c r="AJ488" s="164"/>
      <c r="AM488" s="17"/>
      <c r="AQ488" s="17"/>
      <c r="AS488" s="15"/>
      <c r="AV488" s="15"/>
    </row>
    <row r="489" spans="1:48" s="6" customFormat="1" x14ac:dyDescent="0.2">
      <c r="B489" s="17"/>
      <c r="E489" s="226"/>
      <c r="Z489" s="90"/>
      <c r="AA489" s="242"/>
      <c r="AB489" s="242"/>
      <c r="AC489" s="242"/>
      <c r="AD489" s="242"/>
      <c r="AE489" s="242"/>
      <c r="AF489" s="242"/>
      <c r="AG489" s="242"/>
      <c r="AH489" s="242"/>
      <c r="AI489" s="242"/>
      <c r="AJ489" s="164"/>
      <c r="AM489" s="17"/>
      <c r="AQ489" s="17"/>
      <c r="AS489" s="15"/>
      <c r="AV489" s="15"/>
    </row>
    <row r="490" spans="1:48" s="6" customFormat="1" x14ac:dyDescent="0.2">
      <c r="B490" s="17"/>
      <c r="E490" s="226"/>
      <c r="Z490" s="90"/>
      <c r="AA490" s="242"/>
      <c r="AB490" s="242"/>
      <c r="AC490" s="242"/>
      <c r="AD490" s="242"/>
      <c r="AE490" s="242"/>
      <c r="AF490" s="242"/>
      <c r="AG490" s="242"/>
      <c r="AH490" s="242"/>
      <c r="AI490" s="242"/>
      <c r="AJ490" s="164"/>
      <c r="AM490" s="17"/>
      <c r="AQ490" s="17"/>
      <c r="AS490" s="15"/>
      <c r="AV490" s="15"/>
    </row>
    <row r="491" spans="1:48" s="6" customFormat="1" x14ac:dyDescent="0.2">
      <c r="B491" s="17"/>
      <c r="E491" s="226"/>
      <c r="Z491" s="90"/>
      <c r="AA491" s="242"/>
      <c r="AB491" s="242"/>
      <c r="AC491" s="242"/>
      <c r="AD491" s="242"/>
      <c r="AE491" s="242"/>
      <c r="AF491" s="242"/>
      <c r="AG491" s="242"/>
      <c r="AH491" s="242"/>
      <c r="AI491" s="242"/>
      <c r="AJ491" s="164"/>
      <c r="AM491" s="17"/>
      <c r="AQ491" s="17"/>
      <c r="AS491" s="15"/>
      <c r="AV491" s="15"/>
    </row>
    <row r="492" spans="1:48" s="6" customFormat="1" x14ac:dyDescent="0.2">
      <c r="B492" s="17"/>
      <c r="E492" s="226"/>
      <c r="Z492" s="90"/>
      <c r="AA492" s="242"/>
      <c r="AB492" s="242"/>
      <c r="AC492" s="242"/>
      <c r="AD492" s="242"/>
      <c r="AE492" s="242"/>
      <c r="AF492" s="242"/>
      <c r="AG492" s="242"/>
      <c r="AH492" s="242"/>
      <c r="AI492" s="242"/>
      <c r="AJ492" s="164"/>
      <c r="AM492" s="17"/>
      <c r="AQ492" s="17"/>
      <c r="AS492" s="15"/>
      <c r="AV492" s="15"/>
    </row>
    <row r="493" spans="1:48" s="6" customFormat="1" x14ac:dyDescent="0.2">
      <c r="B493" s="17"/>
      <c r="E493" s="226"/>
      <c r="Z493" s="90"/>
      <c r="AA493" s="242"/>
      <c r="AB493" s="242"/>
      <c r="AC493" s="242"/>
      <c r="AD493" s="242"/>
      <c r="AE493" s="242"/>
      <c r="AF493" s="242"/>
      <c r="AG493" s="242"/>
      <c r="AH493" s="242"/>
      <c r="AI493" s="242"/>
      <c r="AJ493" s="164"/>
      <c r="AM493" s="17"/>
      <c r="AQ493" s="17"/>
      <c r="AS493" s="15"/>
      <c r="AV493" s="15"/>
    </row>
    <row r="494" spans="1:48" s="6" customFormat="1" x14ac:dyDescent="0.2">
      <c r="B494" s="17"/>
      <c r="E494" s="226"/>
      <c r="Z494" s="90"/>
      <c r="AA494" s="242"/>
      <c r="AB494" s="242"/>
      <c r="AC494" s="242"/>
      <c r="AD494" s="242"/>
      <c r="AE494" s="242"/>
      <c r="AF494" s="242"/>
      <c r="AG494" s="242"/>
      <c r="AH494" s="242"/>
      <c r="AI494" s="242"/>
      <c r="AJ494" s="164"/>
      <c r="AM494" s="17"/>
      <c r="AQ494" s="17"/>
      <c r="AS494" s="15"/>
      <c r="AV494" s="15"/>
    </row>
    <row r="495" spans="1:48" s="6" customFormat="1" x14ac:dyDescent="0.2">
      <c r="B495" s="17"/>
      <c r="E495" s="226"/>
      <c r="Z495" s="90"/>
      <c r="AA495" s="242"/>
      <c r="AB495" s="242"/>
      <c r="AC495" s="242"/>
      <c r="AD495" s="242"/>
      <c r="AE495" s="242"/>
      <c r="AF495" s="242"/>
      <c r="AG495" s="242"/>
      <c r="AH495" s="242"/>
      <c r="AI495" s="242"/>
      <c r="AJ495" s="164"/>
      <c r="AM495" s="17"/>
      <c r="AQ495" s="17"/>
      <c r="AS495" s="15"/>
      <c r="AV495" s="15"/>
    </row>
    <row r="496" spans="1:48" s="6" customFormat="1" x14ac:dyDescent="0.2">
      <c r="B496" s="17"/>
      <c r="E496" s="226"/>
      <c r="Z496" s="90"/>
      <c r="AA496" s="242"/>
      <c r="AB496" s="242"/>
      <c r="AC496" s="242"/>
      <c r="AD496" s="242"/>
      <c r="AE496" s="242"/>
      <c r="AF496" s="242"/>
      <c r="AG496" s="242"/>
      <c r="AH496" s="242"/>
      <c r="AI496" s="242"/>
      <c r="AJ496" s="164"/>
      <c r="AM496" s="17"/>
      <c r="AQ496" s="17"/>
      <c r="AS496" s="15"/>
      <c r="AV496" s="15"/>
    </row>
    <row r="497" spans="2:48" s="6" customFormat="1" x14ac:dyDescent="0.2">
      <c r="B497" s="17"/>
      <c r="E497" s="226"/>
      <c r="Z497" s="90"/>
      <c r="AA497" s="242"/>
      <c r="AB497" s="242"/>
      <c r="AC497" s="242"/>
      <c r="AD497" s="242"/>
      <c r="AE497" s="242"/>
      <c r="AF497" s="242"/>
      <c r="AG497" s="242"/>
      <c r="AH497" s="242"/>
      <c r="AI497" s="242"/>
      <c r="AJ497" s="164"/>
      <c r="AM497" s="17"/>
      <c r="AQ497" s="17"/>
      <c r="AS497" s="15"/>
      <c r="AV497" s="15"/>
    </row>
    <row r="498" spans="2:48" s="6" customFormat="1" x14ac:dyDescent="0.2">
      <c r="B498" s="17"/>
      <c r="E498" s="226"/>
      <c r="Z498" s="90"/>
      <c r="AA498" s="242"/>
      <c r="AB498" s="242"/>
      <c r="AC498" s="242"/>
      <c r="AD498" s="242"/>
      <c r="AE498" s="242"/>
      <c r="AF498" s="242"/>
      <c r="AG498" s="242"/>
      <c r="AH498" s="242"/>
      <c r="AI498" s="242"/>
      <c r="AJ498" s="164"/>
      <c r="AM498" s="17"/>
      <c r="AQ498" s="17"/>
      <c r="AS498" s="15"/>
      <c r="AV498" s="15"/>
    </row>
    <row r="499" spans="2:48" s="6" customFormat="1" x14ac:dyDescent="0.2">
      <c r="B499" s="17"/>
      <c r="E499" s="226"/>
      <c r="Z499" s="90"/>
      <c r="AA499" s="242"/>
      <c r="AB499" s="242"/>
      <c r="AC499" s="242"/>
      <c r="AD499" s="242"/>
      <c r="AE499" s="242"/>
      <c r="AF499" s="242"/>
      <c r="AG499" s="242"/>
      <c r="AH499" s="242"/>
      <c r="AI499" s="242"/>
      <c r="AJ499" s="164"/>
      <c r="AM499" s="17"/>
      <c r="AQ499" s="17"/>
      <c r="AS499" s="15"/>
      <c r="AV499" s="15"/>
    </row>
    <row r="500" spans="2:48" s="6" customFormat="1" x14ac:dyDescent="0.2">
      <c r="B500" s="17"/>
      <c r="E500" s="226"/>
      <c r="Z500" s="90"/>
      <c r="AA500" s="242"/>
      <c r="AB500" s="242"/>
      <c r="AC500" s="242"/>
      <c r="AD500" s="242"/>
      <c r="AE500" s="242"/>
      <c r="AF500" s="242"/>
      <c r="AG500" s="242"/>
      <c r="AH500" s="242"/>
      <c r="AI500" s="242"/>
      <c r="AJ500" s="164"/>
      <c r="AM500" s="17"/>
      <c r="AQ500" s="17"/>
      <c r="AS500" s="15"/>
      <c r="AV500" s="15"/>
    </row>
    <row r="501" spans="2:48" s="6" customFormat="1" x14ac:dyDescent="0.2">
      <c r="B501" s="17"/>
      <c r="E501" s="226"/>
      <c r="Z501" s="90"/>
      <c r="AA501" s="242"/>
      <c r="AB501" s="242"/>
      <c r="AC501" s="242"/>
      <c r="AD501" s="242"/>
      <c r="AE501" s="242"/>
      <c r="AF501" s="242"/>
      <c r="AG501" s="242"/>
      <c r="AH501" s="242"/>
      <c r="AI501" s="242"/>
      <c r="AJ501" s="164"/>
      <c r="AM501" s="17"/>
      <c r="AQ501" s="17"/>
      <c r="AS501" s="15"/>
      <c r="AV501" s="15"/>
    </row>
    <row r="502" spans="2:48" s="6" customFormat="1" x14ac:dyDescent="0.2">
      <c r="B502" s="17"/>
      <c r="E502" s="226"/>
      <c r="Z502" s="90"/>
      <c r="AA502" s="242"/>
      <c r="AB502" s="242"/>
      <c r="AC502" s="242"/>
      <c r="AD502" s="242"/>
      <c r="AE502" s="242"/>
      <c r="AF502" s="242"/>
      <c r="AG502" s="242"/>
      <c r="AH502" s="242"/>
      <c r="AI502" s="242"/>
      <c r="AJ502" s="164"/>
      <c r="AM502" s="17"/>
      <c r="AQ502" s="17"/>
      <c r="AS502" s="15"/>
      <c r="AV502" s="15"/>
    </row>
    <row r="503" spans="2:48" s="6" customFormat="1" x14ac:dyDescent="0.2">
      <c r="B503" s="17"/>
      <c r="E503" s="226"/>
      <c r="Z503" s="90"/>
      <c r="AA503" s="242"/>
      <c r="AB503" s="242"/>
      <c r="AC503" s="242"/>
      <c r="AD503" s="242"/>
      <c r="AE503" s="242"/>
      <c r="AF503" s="242"/>
      <c r="AG503" s="242"/>
      <c r="AH503" s="242"/>
      <c r="AI503" s="242"/>
      <c r="AJ503" s="164"/>
      <c r="AM503" s="17"/>
      <c r="AQ503" s="17"/>
      <c r="AS503" s="15"/>
      <c r="AV503" s="15"/>
    </row>
    <row r="504" spans="2:48" s="6" customFormat="1" x14ac:dyDescent="0.2">
      <c r="B504" s="17"/>
      <c r="E504" s="226"/>
      <c r="Z504" s="90"/>
      <c r="AA504" s="242"/>
      <c r="AB504" s="242"/>
      <c r="AC504" s="242"/>
      <c r="AD504" s="242"/>
      <c r="AE504" s="242"/>
      <c r="AF504" s="242"/>
      <c r="AG504" s="242"/>
      <c r="AH504" s="242"/>
      <c r="AI504" s="242"/>
      <c r="AJ504" s="164"/>
      <c r="AM504" s="17"/>
      <c r="AQ504" s="17"/>
      <c r="AS504" s="15"/>
      <c r="AV504" s="15"/>
    </row>
    <row r="505" spans="2:48" s="6" customFormat="1" x14ac:dyDescent="0.2">
      <c r="B505" s="17"/>
      <c r="E505" s="226"/>
      <c r="Z505" s="90"/>
      <c r="AA505" s="242"/>
      <c r="AB505" s="242"/>
      <c r="AC505" s="242"/>
      <c r="AD505" s="242"/>
      <c r="AE505" s="242"/>
      <c r="AF505" s="242"/>
      <c r="AG505" s="242"/>
      <c r="AH505" s="242"/>
      <c r="AI505" s="242"/>
      <c r="AJ505" s="164"/>
      <c r="AM505" s="17"/>
      <c r="AQ505" s="17"/>
      <c r="AS505" s="15"/>
      <c r="AV505" s="15"/>
    </row>
    <row r="506" spans="2:48" s="6" customFormat="1" x14ac:dyDescent="0.2">
      <c r="B506" s="17"/>
      <c r="E506" s="226"/>
      <c r="Z506" s="90"/>
      <c r="AA506" s="242"/>
      <c r="AB506" s="242"/>
      <c r="AC506" s="242"/>
      <c r="AD506" s="242"/>
      <c r="AE506" s="242"/>
      <c r="AF506" s="242"/>
      <c r="AG506" s="242"/>
      <c r="AH506" s="242"/>
      <c r="AI506" s="242"/>
      <c r="AJ506" s="164"/>
      <c r="AM506" s="17"/>
      <c r="AQ506" s="17"/>
      <c r="AS506" s="15"/>
      <c r="AV506" s="15"/>
    </row>
    <row r="507" spans="2:48" s="6" customFormat="1" x14ac:dyDescent="0.2">
      <c r="B507" s="17"/>
      <c r="E507" s="226"/>
      <c r="Z507" s="90"/>
      <c r="AA507" s="242"/>
      <c r="AB507" s="242"/>
      <c r="AC507" s="242"/>
      <c r="AD507" s="242"/>
      <c r="AE507" s="242"/>
      <c r="AF507" s="242"/>
      <c r="AG507" s="242"/>
      <c r="AH507" s="242"/>
      <c r="AI507" s="242"/>
      <c r="AJ507" s="164"/>
      <c r="AM507" s="17"/>
      <c r="AQ507" s="17"/>
      <c r="AS507" s="15"/>
      <c r="AV507" s="15"/>
    </row>
    <row r="508" spans="2:48" s="6" customFormat="1" x14ac:dyDescent="0.2">
      <c r="B508" s="17"/>
      <c r="E508" s="226"/>
      <c r="Z508" s="90"/>
      <c r="AA508" s="242"/>
      <c r="AB508" s="242"/>
      <c r="AC508" s="242"/>
      <c r="AD508" s="242"/>
      <c r="AE508" s="242"/>
      <c r="AF508" s="242"/>
      <c r="AG508" s="242"/>
      <c r="AH508" s="242"/>
      <c r="AI508" s="242"/>
      <c r="AJ508" s="164"/>
      <c r="AM508" s="17"/>
      <c r="AQ508" s="17"/>
      <c r="AS508" s="15"/>
      <c r="AV508" s="15"/>
    </row>
    <row r="509" spans="2:48" s="6" customFormat="1" x14ac:dyDescent="0.2">
      <c r="B509" s="17"/>
      <c r="E509" s="226"/>
      <c r="Z509" s="90"/>
      <c r="AA509" s="242"/>
      <c r="AB509" s="242"/>
      <c r="AC509" s="242"/>
      <c r="AD509" s="242"/>
      <c r="AE509" s="242"/>
      <c r="AF509" s="242"/>
      <c r="AG509" s="242"/>
      <c r="AH509" s="242"/>
      <c r="AI509" s="242"/>
      <c r="AJ509" s="164"/>
      <c r="AM509" s="17"/>
      <c r="AQ509" s="17"/>
      <c r="AS509" s="15"/>
      <c r="AV509" s="15"/>
    </row>
    <row r="510" spans="2:48" s="6" customFormat="1" x14ac:dyDescent="0.2">
      <c r="B510" s="17"/>
      <c r="E510" s="226"/>
      <c r="Z510" s="90"/>
      <c r="AA510" s="242"/>
      <c r="AB510" s="242"/>
      <c r="AC510" s="242"/>
      <c r="AD510" s="242"/>
      <c r="AE510" s="242"/>
      <c r="AF510" s="242"/>
      <c r="AG510" s="242"/>
      <c r="AH510" s="242"/>
      <c r="AI510" s="242"/>
      <c r="AJ510" s="164"/>
      <c r="AM510" s="17"/>
      <c r="AQ510" s="17"/>
      <c r="AS510" s="15"/>
      <c r="AV510" s="15"/>
    </row>
    <row r="511" spans="2:48" s="6" customFormat="1" x14ac:dyDescent="0.2">
      <c r="B511" s="17"/>
      <c r="E511" s="226"/>
      <c r="Z511" s="90"/>
      <c r="AA511" s="242"/>
      <c r="AB511" s="242"/>
      <c r="AC511" s="242"/>
      <c r="AD511" s="242"/>
      <c r="AE511" s="242"/>
      <c r="AF511" s="242"/>
      <c r="AG511" s="242"/>
      <c r="AH511" s="242"/>
      <c r="AI511" s="242"/>
      <c r="AJ511" s="164"/>
      <c r="AM511" s="17"/>
      <c r="AQ511" s="17"/>
      <c r="AS511" s="15"/>
      <c r="AV511" s="15"/>
    </row>
    <row r="512" spans="2:48" s="6" customFormat="1" x14ac:dyDescent="0.2">
      <c r="B512" s="17"/>
      <c r="E512" s="226"/>
      <c r="Z512" s="90"/>
      <c r="AA512" s="242"/>
      <c r="AB512" s="242"/>
      <c r="AC512" s="242"/>
      <c r="AD512" s="242"/>
      <c r="AE512" s="242"/>
      <c r="AF512" s="242"/>
      <c r="AG512" s="242"/>
      <c r="AH512" s="242"/>
      <c r="AI512" s="242"/>
      <c r="AJ512" s="164"/>
      <c r="AM512" s="17"/>
      <c r="AQ512" s="17"/>
      <c r="AS512" s="15"/>
      <c r="AV512" s="15"/>
    </row>
    <row r="513" spans="2:48" s="6" customFormat="1" x14ac:dyDescent="0.2">
      <c r="B513" s="17"/>
      <c r="E513" s="226"/>
      <c r="Z513" s="90"/>
      <c r="AA513" s="242"/>
      <c r="AB513" s="242"/>
      <c r="AC513" s="242"/>
      <c r="AD513" s="242"/>
      <c r="AE513" s="242"/>
      <c r="AF513" s="242"/>
      <c r="AG513" s="242"/>
      <c r="AH513" s="242"/>
      <c r="AI513" s="242"/>
      <c r="AJ513" s="164"/>
      <c r="AM513" s="17"/>
      <c r="AQ513" s="17"/>
      <c r="AS513" s="15"/>
      <c r="AV513" s="15"/>
    </row>
    <row r="514" spans="2:48" s="6" customFormat="1" x14ac:dyDescent="0.2">
      <c r="B514" s="17"/>
      <c r="E514" s="226"/>
      <c r="Z514" s="90"/>
      <c r="AA514" s="242"/>
      <c r="AB514" s="242"/>
      <c r="AC514" s="242"/>
      <c r="AD514" s="242"/>
      <c r="AE514" s="242"/>
      <c r="AF514" s="242"/>
      <c r="AG514" s="242"/>
      <c r="AH514" s="242"/>
      <c r="AI514" s="242"/>
      <c r="AJ514" s="164"/>
      <c r="AM514" s="17"/>
      <c r="AQ514" s="17"/>
      <c r="AS514" s="15"/>
      <c r="AV514" s="15"/>
    </row>
    <row r="515" spans="2:48" s="6" customFormat="1" x14ac:dyDescent="0.2">
      <c r="B515" s="17"/>
      <c r="E515" s="226"/>
      <c r="Z515" s="90"/>
      <c r="AA515" s="242"/>
      <c r="AB515" s="242"/>
      <c r="AC515" s="242"/>
      <c r="AD515" s="242"/>
      <c r="AE515" s="242"/>
      <c r="AF515" s="242"/>
      <c r="AG515" s="242"/>
      <c r="AH515" s="242"/>
      <c r="AI515" s="242"/>
      <c r="AJ515" s="164"/>
      <c r="AM515" s="17"/>
      <c r="AQ515" s="17"/>
      <c r="AS515" s="15"/>
      <c r="AV515" s="15"/>
    </row>
    <row r="516" spans="2:48" s="6" customFormat="1" x14ac:dyDescent="0.2">
      <c r="B516" s="17"/>
      <c r="E516" s="226"/>
      <c r="Z516" s="90"/>
      <c r="AA516" s="242"/>
      <c r="AB516" s="242"/>
      <c r="AC516" s="242"/>
      <c r="AD516" s="242"/>
      <c r="AE516" s="242"/>
      <c r="AF516" s="242"/>
      <c r="AG516" s="242"/>
      <c r="AH516" s="242"/>
      <c r="AI516" s="242"/>
      <c r="AJ516" s="164"/>
      <c r="AM516" s="17"/>
      <c r="AQ516" s="17"/>
      <c r="AS516" s="15"/>
      <c r="AV516" s="15"/>
    </row>
    <row r="517" spans="2:48" s="6" customFormat="1" x14ac:dyDescent="0.2">
      <c r="B517" s="17"/>
      <c r="E517" s="226"/>
      <c r="Z517" s="90"/>
      <c r="AA517" s="242"/>
      <c r="AB517" s="242"/>
      <c r="AC517" s="242"/>
      <c r="AD517" s="242"/>
      <c r="AE517" s="242"/>
      <c r="AF517" s="242"/>
      <c r="AG517" s="242"/>
      <c r="AH517" s="242"/>
      <c r="AI517" s="242"/>
      <c r="AJ517" s="164"/>
      <c r="AM517" s="17"/>
      <c r="AQ517" s="17"/>
      <c r="AS517" s="15"/>
      <c r="AV517" s="15"/>
    </row>
    <row r="518" spans="2:48" s="6" customFormat="1" x14ac:dyDescent="0.2">
      <c r="B518" s="17"/>
      <c r="E518" s="226"/>
      <c r="Z518" s="90"/>
      <c r="AA518" s="242"/>
      <c r="AB518" s="242"/>
      <c r="AC518" s="242"/>
      <c r="AD518" s="242"/>
      <c r="AE518" s="242"/>
      <c r="AF518" s="242"/>
      <c r="AG518" s="242"/>
      <c r="AH518" s="242"/>
      <c r="AI518" s="242"/>
      <c r="AJ518" s="164"/>
      <c r="AM518" s="17"/>
      <c r="AQ518" s="17"/>
      <c r="AS518" s="15"/>
      <c r="AV518" s="15"/>
    </row>
    <row r="519" spans="2:48" s="6" customFormat="1" x14ac:dyDescent="0.2">
      <c r="B519" s="17"/>
      <c r="E519" s="226"/>
      <c r="Z519" s="90"/>
      <c r="AA519" s="242"/>
      <c r="AB519" s="242"/>
      <c r="AC519" s="242"/>
      <c r="AD519" s="242"/>
      <c r="AE519" s="242"/>
      <c r="AF519" s="242"/>
      <c r="AG519" s="242"/>
      <c r="AH519" s="242"/>
      <c r="AI519" s="242"/>
      <c r="AJ519" s="164"/>
      <c r="AM519" s="17"/>
      <c r="AQ519" s="17"/>
      <c r="AS519" s="15"/>
      <c r="AV519" s="15"/>
    </row>
    <row r="520" spans="2:48" s="6" customFormat="1" x14ac:dyDescent="0.2">
      <c r="B520" s="17"/>
      <c r="E520" s="226"/>
      <c r="Z520" s="90"/>
      <c r="AA520" s="242"/>
      <c r="AB520" s="242"/>
      <c r="AC520" s="242"/>
      <c r="AD520" s="242"/>
      <c r="AE520" s="242"/>
      <c r="AF520" s="242"/>
      <c r="AG520" s="242"/>
      <c r="AH520" s="242"/>
      <c r="AI520" s="242"/>
      <c r="AJ520" s="164"/>
      <c r="AM520" s="17"/>
      <c r="AQ520" s="17"/>
      <c r="AS520" s="15"/>
      <c r="AV520" s="15"/>
    </row>
    <row r="521" spans="2:48" s="6" customFormat="1" x14ac:dyDescent="0.2">
      <c r="B521" s="17"/>
      <c r="E521" s="226"/>
      <c r="Z521" s="90"/>
      <c r="AA521" s="242"/>
      <c r="AB521" s="242"/>
      <c r="AC521" s="242"/>
      <c r="AD521" s="242"/>
      <c r="AE521" s="242"/>
      <c r="AF521" s="242"/>
      <c r="AG521" s="242"/>
      <c r="AH521" s="242"/>
      <c r="AI521" s="242"/>
      <c r="AJ521" s="164"/>
      <c r="AM521" s="17"/>
      <c r="AQ521" s="17"/>
      <c r="AS521" s="15"/>
      <c r="AV521" s="15"/>
    </row>
    <row r="522" spans="2:48" s="6" customFormat="1" x14ac:dyDescent="0.2">
      <c r="B522" s="17"/>
      <c r="E522" s="226"/>
      <c r="Z522" s="90"/>
      <c r="AA522" s="242"/>
      <c r="AB522" s="242"/>
      <c r="AC522" s="242"/>
      <c r="AD522" s="242"/>
      <c r="AE522" s="242"/>
      <c r="AF522" s="242"/>
      <c r="AG522" s="242"/>
      <c r="AH522" s="242"/>
      <c r="AI522" s="242"/>
      <c r="AJ522" s="164"/>
      <c r="AM522" s="17"/>
      <c r="AQ522" s="17"/>
      <c r="AS522" s="15"/>
      <c r="AV522" s="15"/>
    </row>
    <row r="523" spans="2:48" s="6" customFormat="1" x14ac:dyDescent="0.2">
      <c r="B523" s="17"/>
      <c r="E523" s="226"/>
      <c r="Z523" s="90"/>
      <c r="AA523" s="242"/>
      <c r="AB523" s="242"/>
      <c r="AC523" s="242"/>
      <c r="AD523" s="242"/>
      <c r="AE523" s="242"/>
      <c r="AF523" s="242"/>
      <c r="AG523" s="242"/>
      <c r="AH523" s="242"/>
      <c r="AI523" s="242"/>
      <c r="AJ523" s="164"/>
      <c r="AM523" s="17"/>
      <c r="AQ523" s="17"/>
      <c r="AS523" s="15"/>
      <c r="AV523" s="15"/>
    </row>
    <row r="524" spans="2:48" s="6" customFormat="1" x14ac:dyDescent="0.2">
      <c r="B524" s="17"/>
      <c r="E524" s="226"/>
      <c r="Z524" s="90"/>
      <c r="AA524" s="242"/>
      <c r="AB524" s="242"/>
      <c r="AC524" s="242"/>
      <c r="AD524" s="242"/>
      <c r="AE524" s="242"/>
      <c r="AF524" s="242"/>
      <c r="AG524" s="242"/>
      <c r="AH524" s="242"/>
      <c r="AI524" s="242"/>
      <c r="AJ524" s="164"/>
      <c r="AM524" s="17"/>
      <c r="AQ524" s="17"/>
      <c r="AS524" s="15"/>
      <c r="AV524" s="15"/>
    </row>
    <row r="525" spans="2:48" s="6" customFormat="1" x14ac:dyDescent="0.2">
      <c r="B525" s="17"/>
      <c r="E525" s="226"/>
      <c r="Z525" s="90"/>
      <c r="AA525" s="242"/>
      <c r="AB525" s="242"/>
      <c r="AC525" s="242"/>
      <c r="AD525" s="242"/>
      <c r="AE525" s="242"/>
      <c r="AF525" s="242"/>
      <c r="AG525" s="242"/>
      <c r="AH525" s="242"/>
      <c r="AI525" s="242"/>
      <c r="AJ525" s="164"/>
      <c r="AM525" s="17"/>
      <c r="AQ525" s="17"/>
      <c r="AS525" s="15"/>
      <c r="AV525" s="15"/>
    </row>
    <row r="526" spans="2:48" s="6" customFormat="1" x14ac:dyDescent="0.2">
      <c r="B526" s="17"/>
      <c r="E526" s="226"/>
      <c r="Z526" s="90"/>
      <c r="AA526" s="242"/>
      <c r="AB526" s="242"/>
      <c r="AC526" s="242"/>
      <c r="AD526" s="242"/>
      <c r="AE526" s="242"/>
      <c r="AF526" s="242"/>
      <c r="AG526" s="242"/>
      <c r="AH526" s="242"/>
      <c r="AI526" s="242"/>
      <c r="AJ526" s="164"/>
      <c r="AM526" s="17"/>
      <c r="AQ526" s="17"/>
      <c r="AS526" s="15"/>
      <c r="AV526" s="15"/>
    </row>
    <row r="527" spans="2:48" s="6" customFormat="1" x14ac:dyDescent="0.2">
      <c r="B527" s="17"/>
      <c r="E527" s="226"/>
      <c r="Z527" s="90"/>
      <c r="AA527" s="242"/>
      <c r="AB527" s="242"/>
      <c r="AC527" s="242"/>
      <c r="AD527" s="242"/>
      <c r="AE527" s="242"/>
      <c r="AF527" s="242"/>
      <c r="AG527" s="242"/>
      <c r="AH527" s="242"/>
      <c r="AI527" s="242"/>
      <c r="AJ527" s="164"/>
      <c r="AM527" s="17"/>
      <c r="AQ527" s="17"/>
      <c r="AS527" s="15"/>
      <c r="AV527" s="15"/>
    </row>
    <row r="528" spans="2:48" s="6" customFormat="1" x14ac:dyDescent="0.2">
      <c r="B528" s="17"/>
      <c r="E528" s="226"/>
      <c r="Z528" s="90"/>
      <c r="AA528" s="242"/>
      <c r="AB528" s="242"/>
      <c r="AC528" s="242"/>
      <c r="AD528" s="242"/>
      <c r="AE528" s="242"/>
      <c r="AF528" s="242"/>
      <c r="AG528" s="242"/>
      <c r="AH528" s="242"/>
      <c r="AI528" s="242"/>
      <c r="AJ528" s="164"/>
      <c r="AM528" s="17"/>
      <c r="AQ528" s="17"/>
      <c r="AS528" s="15"/>
      <c r="AV528" s="15"/>
    </row>
    <row r="529" spans="2:48" s="6" customFormat="1" x14ac:dyDescent="0.2">
      <c r="B529" s="17"/>
      <c r="E529" s="226"/>
      <c r="Z529" s="90"/>
      <c r="AA529" s="242"/>
      <c r="AB529" s="242"/>
      <c r="AC529" s="242"/>
      <c r="AD529" s="242"/>
      <c r="AE529" s="242"/>
      <c r="AF529" s="242"/>
      <c r="AG529" s="242"/>
      <c r="AH529" s="242"/>
      <c r="AI529" s="242"/>
      <c r="AJ529" s="164"/>
      <c r="AM529" s="17"/>
      <c r="AQ529" s="17"/>
      <c r="AS529" s="15"/>
      <c r="AV529" s="15"/>
    </row>
    <row r="530" spans="2:48" s="6" customFormat="1" x14ac:dyDescent="0.2">
      <c r="B530" s="17"/>
      <c r="E530" s="226"/>
      <c r="Z530" s="90"/>
      <c r="AA530" s="242"/>
      <c r="AB530" s="242"/>
      <c r="AC530" s="242"/>
      <c r="AD530" s="242"/>
      <c r="AE530" s="242"/>
      <c r="AF530" s="242"/>
      <c r="AG530" s="242"/>
      <c r="AH530" s="242"/>
      <c r="AI530" s="242"/>
      <c r="AJ530" s="164"/>
      <c r="AM530" s="17"/>
      <c r="AQ530" s="17"/>
      <c r="AS530" s="15"/>
      <c r="AV530" s="15"/>
    </row>
    <row r="531" spans="2:48" s="6" customFormat="1" x14ac:dyDescent="0.2">
      <c r="B531" s="17"/>
      <c r="E531" s="226"/>
      <c r="Z531" s="90"/>
      <c r="AA531" s="242"/>
      <c r="AB531" s="242"/>
      <c r="AC531" s="242"/>
      <c r="AD531" s="242"/>
      <c r="AE531" s="242"/>
      <c r="AF531" s="242"/>
      <c r="AG531" s="242"/>
      <c r="AH531" s="242"/>
      <c r="AI531" s="242"/>
      <c r="AJ531" s="164"/>
      <c r="AM531" s="17"/>
      <c r="AQ531" s="17"/>
      <c r="AS531" s="15"/>
      <c r="AV531" s="15"/>
    </row>
    <row r="532" spans="2:48" s="6" customFormat="1" x14ac:dyDescent="0.2">
      <c r="B532" s="17"/>
      <c r="E532" s="226"/>
      <c r="Z532" s="90"/>
      <c r="AA532" s="242"/>
      <c r="AB532" s="242"/>
      <c r="AC532" s="242"/>
      <c r="AD532" s="242"/>
      <c r="AE532" s="242"/>
      <c r="AF532" s="242"/>
      <c r="AG532" s="242"/>
      <c r="AH532" s="242"/>
      <c r="AI532" s="242"/>
      <c r="AJ532" s="164"/>
      <c r="AM532" s="17"/>
      <c r="AQ532" s="17"/>
      <c r="AS532" s="15"/>
      <c r="AV532" s="15"/>
    </row>
    <row r="533" spans="2:48" s="6" customFormat="1" x14ac:dyDescent="0.2">
      <c r="B533" s="17"/>
      <c r="E533" s="226"/>
      <c r="Z533" s="90"/>
      <c r="AA533" s="242"/>
      <c r="AB533" s="242"/>
      <c r="AC533" s="242"/>
      <c r="AD533" s="242"/>
      <c r="AE533" s="242"/>
      <c r="AF533" s="242"/>
      <c r="AG533" s="242"/>
      <c r="AH533" s="242"/>
      <c r="AI533" s="242"/>
      <c r="AJ533" s="164"/>
      <c r="AM533" s="17"/>
      <c r="AQ533" s="17"/>
      <c r="AS533" s="15"/>
      <c r="AV533" s="15"/>
    </row>
    <row r="534" spans="2:48" s="6" customFormat="1" x14ac:dyDescent="0.2">
      <c r="B534" s="17"/>
      <c r="E534" s="226"/>
      <c r="Z534" s="90"/>
      <c r="AA534" s="242"/>
      <c r="AB534" s="242"/>
      <c r="AC534" s="242"/>
      <c r="AD534" s="242"/>
      <c r="AE534" s="242"/>
      <c r="AF534" s="242"/>
      <c r="AG534" s="242"/>
      <c r="AH534" s="242"/>
      <c r="AI534" s="242"/>
      <c r="AJ534" s="164"/>
      <c r="AM534" s="17"/>
      <c r="AQ534" s="17"/>
      <c r="AS534" s="15"/>
      <c r="AV534" s="15"/>
    </row>
    <row r="535" spans="2:48" s="6" customFormat="1" x14ac:dyDescent="0.2">
      <c r="B535" s="17"/>
      <c r="E535" s="226"/>
      <c r="Z535" s="90"/>
      <c r="AA535" s="242"/>
      <c r="AB535" s="242"/>
      <c r="AC535" s="242"/>
      <c r="AD535" s="242"/>
      <c r="AE535" s="242"/>
      <c r="AF535" s="242"/>
      <c r="AG535" s="242"/>
      <c r="AH535" s="242"/>
      <c r="AI535" s="242"/>
      <c r="AJ535" s="164"/>
      <c r="AM535" s="17"/>
      <c r="AQ535" s="17"/>
      <c r="AS535" s="15"/>
      <c r="AV535" s="15"/>
    </row>
    <row r="536" spans="2:48" s="6" customFormat="1" x14ac:dyDescent="0.2">
      <c r="B536" s="17"/>
      <c r="E536" s="226"/>
      <c r="Z536" s="90"/>
      <c r="AA536" s="242"/>
      <c r="AB536" s="242"/>
      <c r="AC536" s="242"/>
      <c r="AD536" s="242"/>
      <c r="AE536" s="242"/>
      <c r="AF536" s="242"/>
      <c r="AG536" s="242"/>
      <c r="AH536" s="242"/>
      <c r="AI536" s="242"/>
      <c r="AJ536" s="164"/>
      <c r="AM536" s="17"/>
      <c r="AQ536" s="17"/>
      <c r="AS536" s="15"/>
      <c r="AV536" s="15"/>
    </row>
    <row r="537" spans="2:48" s="6" customFormat="1" x14ac:dyDescent="0.2">
      <c r="B537" s="17"/>
      <c r="E537" s="226"/>
      <c r="Z537" s="90"/>
      <c r="AA537" s="242"/>
      <c r="AB537" s="242"/>
      <c r="AC537" s="242"/>
      <c r="AD537" s="242"/>
      <c r="AE537" s="242"/>
      <c r="AF537" s="242"/>
      <c r="AG537" s="242"/>
      <c r="AH537" s="242"/>
      <c r="AI537" s="242"/>
      <c r="AJ537" s="164"/>
      <c r="AM537" s="17"/>
      <c r="AQ537" s="17"/>
      <c r="AS537" s="15"/>
      <c r="AV537" s="15"/>
    </row>
    <row r="538" spans="2:48" s="6" customFormat="1" x14ac:dyDescent="0.2">
      <c r="B538" s="17"/>
      <c r="E538" s="226"/>
      <c r="Z538" s="90"/>
      <c r="AA538" s="242"/>
      <c r="AB538" s="242"/>
      <c r="AC538" s="242"/>
      <c r="AD538" s="242"/>
      <c r="AE538" s="242"/>
      <c r="AF538" s="242"/>
      <c r="AG538" s="242"/>
      <c r="AH538" s="242"/>
      <c r="AI538" s="242"/>
      <c r="AJ538" s="164"/>
      <c r="AM538" s="17"/>
      <c r="AQ538" s="17"/>
      <c r="AS538" s="15"/>
      <c r="AV538" s="15"/>
    </row>
    <row r="539" spans="2:48" s="6" customFormat="1" x14ac:dyDescent="0.2">
      <c r="B539" s="17"/>
      <c r="E539" s="226"/>
      <c r="Z539" s="90"/>
      <c r="AA539" s="242"/>
      <c r="AB539" s="242"/>
      <c r="AC539" s="242"/>
      <c r="AD539" s="242"/>
      <c r="AE539" s="242"/>
      <c r="AF539" s="242"/>
      <c r="AG539" s="242"/>
      <c r="AH539" s="242"/>
      <c r="AI539" s="242"/>
      <c r="AJ539" s="164"/>
      <c r="AM539" s="17"/>
      <c r="AQ539" s="17"/>
      <c r="AS539" s="15"/>
      <c r="AV539" s="15"/>
    </row>
    <row r="540" spans="2:48" s="6" customFormat="1" x14ac:dyDescent="0.2">
      <c r="B540" s="17"/>
      <c r="E540" s="226"/>
      <c r="Z540" s="90"/>
      <c r="AA540" s="242"/>
      <c r="AB540" s="242"/>
      <c r="AC540" s="242"/>
      <c r="AD540" s="242"/>
      <c r="AE540" s="242"/>
      <c r="AF540" s="242"/>
      <c r="AG540" s="242"/>
      <c r="AH540" s="242"/>
      <c r="AI540" s="242"/>
      <c r="AJ540" s="164"/>
      <c r="AM540" s="17"/>
      <c r="AQ540" s="17"/>
      <c r="AS540" s="15"/>
      <c r="AV540" s="15"/>
    </row>
    <row r="541" spans="2:48" s="6" customFormat="1" x14ac:dyDescent="0.2">
      <c r="B541" s="17"/>
      <c r="E541" s="226"/>
      <c r="Z541" s="90"/>
      <c r="AA541" s="242"/>
      <c r="AB541" s="242"/>
      <c r="AC541" s="242"/>
      <c r="AD541" s="242"/>
      <c r="AE541" s="242"/>
      <c r="AF541" s="242"/>
      <c r="AG541" s="242"/>
      <c r="AH541" s="242"/>
      <c r="AI541" s="242"/>
      <c r="AJ541" s="164"/>
      <c r="AM541" s="17"/>
      <c r="AQ541" s="17"/>
      <c r="AS541" s="15"/>
      <c r="AV541" s="15"/>
    </row>
    <row r="542" spans="2:48" s="6" customFormat="1" x14ac:dyDescent="0.2">
      <c r="B542" s="17"/>
      <c r="E542" s="226"/>
      <c r="Z542" s="90"/>
      <c r="AA542" s="242"/>
      <c r="AB542" s="242"/>
      <c r="AC542" s="242"/>
      <c r="AD542" s="242"/>
      <c r="AE542" s="242"/>
      <c r="AF542" s="242"/>
      <c r="AG542" s="242"/>
      <c r="AH542" s="242"/>
      <c r="AI542" s="242"/>
      <c r="AJ542" s="164"/>
      <c r="AM542" s="17"/>
      <c r="AQ542" s="17"/>
      <c r="AS542" s="15"/>
      <c r="AV542" s="15"/>
    </row>
    <row r="543" spans="2:48" s="6" customFormat="1" x14ac:dyDescent="0.2">
      <c r="B543" s="17"/>
      <c r="E543" s="226"/>
      <c r="Z543" s="90"/>
      <c r="AA543" s="242"/>
      <c r="AB543" s="242"/>
      <c r="AC543" s="242"/>
      <c r="AD543" s="242"/>
      <c r="AE543" s="242"/>
      <c r="AF543" s="242"/>
      <c r="AG543" s="242"/>
      <c r="AH543" s="242"/>
      <c r="AI543" s="242"/>
      <c r="AJ543" s="164"/>
      <c r="AM543" s="17"/>
      <c r="AQ543" s="17"/>
      <c r="AS543" s="15"/>
      <c r="AV543" s="15"/>
    </row>
    <row r="544" spans="2:48" s="6" customFormat="1" x14ac:dyDescent="0.2">
      <c r="B544" s="17"/>
      <c r="E544" s="226"/>
      <c r="Z544" s="90"/>
      <c r="AA544" s="242"/>
      <c r="AB544" s="242"/>
      <c r="AC544" s="242"/>
      <c r="AD544" s="242"/>
      <c r="AE544" s="242"/>
      <c r="AF544" s="242"/>
      <c r="AG544" s="242"/>
      <c r="AH544" s="242"/>
      <c r="AI544" s="242"/>
      <c r="AJ544" s="164"/>
      <c r="AM544" s="17"/>
      <c r="AQ544" s="17"/>
      <c r="AS544" s="15"/>
      <c r="AV544" s="15"/>
    </row>
    <row r="545" spans="2:48" s="6" customFormat="1" x14ac:dyDescent="0.2">
      <c r="B545" s="17"/>
      <c r="E545" s="226"/>
      <c r="Z545" s="90"/>
      <c r="AA545" s="242"/>
      <c r="AB545" s="242"/>
      <c r="AC545" s="242"/>
      <c r="AD545" s="242"/>
      <c r="AE545" s="242"/>
      <c r="AF545" s="242"/>
      <c r="AG545" s="242"/>
      <c r="AH545" s="242"/>
      <c r="AI545" s="242"/>
      <c r="AJ545" s="164"/>
      <c r="AM545" s="17"/>
      <c r="AQ545" s="17"/>
      <c r="AS545" s="15"/>
      <c r="AV545" s="15"/>
    </row>
    <row r="546" spans="2:48" s="6" customFormat="1" x14ac:dyDescent="0.2">
      <c r="B546" s="17"/>
      <c r="E546" s="226"/>
      <c r="Z546" s="90"/>
      <c r="AA546" s="242"/>
      <c r="AB546" s="242"/>
      <c r="AC546" s="242"/>
      <c r="AD546" s="242"/>
      <c r="AE546" s="242"/>
      <c r="AF546" s="242"/>
      <c r="AG546" s="242"/>
      <c r="AH546" s="242"/>
      <c r="AI546" s="242"/>
      <c r="AJ546" s="164"/>
      <c r="AM546" s="17"/>
      <c r="AQ546" s="17"/>
      <c r="AS546" s="15"/>
      <c r="AV546" s="15"/>
    </row>
    <row r="547" spans="2:48" s="6" customFormat="1" x14ac:dyDescent="0.2">
      <c r="B547" s="17"/>
      <c r="E547" s="226"/>
      <c r="Z547" s="90"/>
      <c r="AA547" s="242"/>
      <c r="AB547" s="242"/>
      <c r="AC547" s="242"/>
      <c r="AD547" s="242"/>
      <c r="AE547" s="242"/>
      <c r="AF547" s="242"/>
      <c r="AG547" s="242"/>
      <c r="AH547" s="242"/>
      <c r="AI547" s="242"/>
      <c r="AJ547" s="164"/>
      <c r="AM547" s="17"/>
      <c r="AQ547" s="17"/>
      <c r="AS547" s="15"/>
      <c r="AV547" s="15"/>
    </row>
    <row r="548" spans="2:48" s="6" customFormat="1" x14ac:dyDescent="0.2">
      <c r="B548" s="17"/>
      <c r="E548" s="226"/>
      <c r="Z548" s="90"/>
      <c r="AA548" s="242"/>
      <c r="AB548" s="242"/>
      <c r="AC548" s="242"/>
      <c r="AD548" s="242"/>
      <c r="AE548" s="242"/>
      <c r="AF548" s="242"/>
      <c r="AG548" s="242"/>
      <c r="AH548" s="242"/>
      <c r="AI548" s="242"/>
      <c r="AJ548" s="164"/>
      <c r="AM548" s="17"/>
      <c r="AQ548" s="17"/>
      <c r="AS548" s="15"/>
      <c r="AV548" s="15"/>
    </row>
    <row r="549" spans="2:48" s="6" customFormat="1" x14ac:dyDescent="0.2">
      <c r="B549" s="17"/>
      <c r="E549" s="226"/>
      <c r="Z549" s="90"/>
      <c r="AA549" s="242"/>
      <c r="AB549" s="242"/>
      <c r="AC549" s="242"/>
      <c r="AD549" s="242"/>
      <c r="AE549" s="242"/>
      <c r="AF549" s="242"/>
      <c r="AG549" s="242"/>
      <c r="AH549" s="242"/>
      <c r="AI549" s="242"/>
      <c r="AJ549" s="164"/>
      <c r="AM549" s="17"/>
      <c r="AQ549" s="17"/>
      <c r="AS549" s="15"/>
      <c r="AV549" s="15"/>
    </row>
    <row r="550" spans="2:48" s="6" customFormat="1" x14ac:dyDescent="0.2">
      <c r="B550" s="17"/>
      <c r="E550" s="226"/>
      <c r="Z550" s="90"/>
      <c r="AA550" s="242"/>
      <c r="AB550" s="242"/>
      <c r="AC550" s="242"/>
      <c r="AD550" s="242"/>
      <c r="AE550" s="242"/>
      <c r="AF550" s="242"/>
      <c r="AG550" s="242"/>
      <c r="AH550" s="242"/>
      <c r="AI550" s="242"/>
      <c r="AJ550" s="164"/>
      <c r="AM550" s="17"/>
      <c r="AQ550" s="17"/>
      <c r="AS550" s="15"/>
      <c r="AV550" s="15"/>
    </row>
    <row r="551" spans="2:48" s="6" customFormat="1" x14ac:dyDescent="0.2">
      <c r="B551" s="17"/>
      <c r="E551" s="226"/>
      <c r="Z551" s="90"/>
      <c r="AA551" s="242"/>
      <c r="AB551" s="242"/>
      <c r="AC551" s="242"/>
      <c r="AD551" s="242"/>
      <c r="AE551" s="242"/>
      <c r="AF551" s="242"/>
      <c r="AG551" s="242"/>
      <c r="AH551" s="242"/>
      <c r="AI551" s="242"/>
      <c r="AJ551" s="164"/>
      <c r="AM551" s="17"/>
      <c r="AQ551" s="17"/>
      <c r="AS551" s="15"/>
      <c r="AV551" s="15"/>
    </row>
    <row r="552" spans="2:48" s="6" customFormat="1" x14ac:dyDescent="0.2">
      <c r="B552" s="17"/>
      <c r="E552" s="226"/>
      <c r="Z552" s="90"/>
      <c r="AA552" s="242"/>
      <c r="AB552" s="242"/>
      <c r="AC552" s="242"/>
      <c r="AD552" s="242"/>
      <c r="AE552" s="242"/>
      <c r="AF552" s="242"/>
      <c r="AG552" s="242"/>
      <c r="AH552" s="242"/>
      <c r="AI552" s="242"/>
      <c r="AJ552" s="164"/>
      <c r="AM552" s="17"/>
      <c r="AQ552" s="17"/>
      <c r="AS552" s="15"/>
      <c r="AV552" s="15"/>
    </row>
    <row r="553" spans="2:48" s="6" customFormat="1" x14ac:dyDescent="0.2">
      <c r="B553" s="17"/>
      <c r="E553" s="226"/>
      <c r="Z553" s="90"/>
      <c r="AA553" s="242"/>
      <c r="AB553" s="242"/>
      <c r="AC553" s="242"/>
      <c r="AD553" s="242"/>
      <c r="AE553" s="242"/>
      <c r="AF553" s="242"/>
      <c r="AG553" s="242"/>
      <c r="AH553" s="242"/>
      <c r="AI553" s="242"/>
      <c r="AJ553" s="164"/>
      <c r="AM553" s="17"/>
      <c r="AQ553" s="17"/>
      <c r="AS553" s="15"/>
      <c r="AV553" s="15"/>
    </row>
    <row r="554" spans="2:48" s="6" customFormat="1" x14ac:dyDescent="0.2">
      <c r="B554" s="17"/>
      <c r="E554" s="226"/>
      <c r="Z554" s="90"/>
      <c r="AA554" s="242"/>
      <c r="AB554" s="242"/>
      <c r="AC554" s="242"/>
      <c r="AD554" s="242"/>
      <c r="AE554" s="242"/>
      <c r="AF554" s="242"/>
      <c r="AG554" s="242"/>
      <c r="AH554" s="242"/>
      <c r="AI554" s="242"/>
      <c r="AJ554" s="164"/>
      <c r="AM554" s="17"/>
      <c r="AQ554" s="17"/>
      <c r="AS554" s="15"/>
      <c r="AV554" s="15"/>
    </row>
    <row r="555" spans="2:48" s="6" customFormat="1" x14ac:dyDescent="0.2">
      <c r="B555" s="17"/>
      <c r="E555" s="226"/>
      <c r="Z555" s="90"/>
      <c r="AA555" s="242"/>
      <c r="AB555" s="242"/>
      <c r="AC555" s="242"/>
      <c r="AD555" s="242"/>
      <c r="AE555" s="242"/>
      <c r="AF555" s="242"/>
      <c r="AG555" s="242"/>
      <c r="AH555" s="242"/>
      <c r="AI555" s="242"/>
      <c r="AJ555" s="164"/>
      <c r="AM555" s="17"/>
      <c r="AQ555" s="17"/>
      <c r="AS555" s="15"/>
      <c r="AV555" s="15"/>
    </row>
    <row r="556" spans="2:48" s="6" customFormat="1" x14ac:dyDescent="0.2">
      <c r="B556" s="17"/>
      <c r="E556" s="226"/>
      <c r="Z556" s="90"/>
      <c r="AA556" s="242"/>
      <c r="AB556" s="242"/>
      <c r="AC556" s="242"/>
      <c r="AD556" s="242"/>
      <c r="AE556" s="242"/>
      <c r="AF556" s="242"/>
      <c r="AG556" s="242"/>
      <c r="AH556" s="242"/>
      <c r="AI556" s="242"/>
      <c r="AJ556" s="164"/>
      <c r="AM556" s="17"/>
      <c r="AQ556" s="17"/>
      <c r="AS556" s="15"/>
      <c r="AV556" s="15"/>
    </row>
    <row r="557" spans="2:48" s="6" customFormat="1" x14ac:dyDescent="0.2">
      <c r="B557" s="17"/>
      <c r="E557" s="226"/>
      <c r="Z557" s="90"/>
      <c r="AA557" s="242"/>
      <c r="AB557" s="242"/>
      <c r="AC557" s="242"/>
      <c r="AD557" s="242"/>
      <c r="AE557" s="242"/>
      <c r="AF557" s="242"/>
      <c r="AG557" s="242"/>
      <c r="AH557" s="242"/>
      <c r="AI557" s="242"/>
      <c r="AJ557" s="164"/>
      <c r="AM557" s="17"/>
      <c r="AQ557" s="17"/>
      <c r="AS557" s="15"/>
      <c r="AV557" s="15"/>
    </row>
    <row r="558" spans="2:48" s="6" customFormat="1" x14ac:dyDescent="0.2">
      <c r="B558" s="17"/>
      <c r="E558" s="226"/>
      <c r="Z558" s="90"/>
      <c r="AA558" s="242"/>
      <c r="AB558" s="242"/>
      <c r="AC558" s="242"/>
      <c r="AD558" s="242"/>
      <c r="AE558" s="242"/>
      <c r="AF558" s="242"/>
      <c r="AG558" s="242"/>
      <c r="AH558" s="242"/>
      <c r="AI558" s="242"/>
      <c r="AJ558" s="164"/>
      <c r="AM558" s="17"/>
      <c r="AQ558" s="17"/>
      <c r="AS558" s="15"/>
      <c r="AV558" s="15"/>
    </row>
    <row r="559" spans="2:48" s="6" customFormat="1" x14ac:dyDescent="0.2">
      <c r="B559" s="17"/>
      <c r="E559" s="226"/>
      <c r="Z559" s="90"/>
      <c r="AA559" s="242"/>
      <c r="AB559" s="242"/>
      <c r="AC559" s="242"/>
      <c r="AD559" s="242"/>
      <c r="AE559" s="242"/>
      <c r="AF559" s="242"/>
      <c r="AG559" s="242"/>
      <c r="AH559" s="242"/>
      <c r="AI559" s="242"/>
      <c r="AJ559" s="164"/>
      <c r="AM559" s="17"/>
      <c r="AQ559" s="17"/>
      <c r="AS559" s="15"/>
      <c r="AV559" s="15"/>
    </row>
    <row r="560" spans="2:48" s="6" customFormat="1" x14ac:dyDescent="0.2">
      <c r="B560" s="17"/>
      <c r="E560" s="226"/>
      <c r="Z560" s="90"/>
      <c r="AA560" s="242"/>
      <c r="AB560" s="242"/>
      <c r="AC560" s="242"/>
      <c r="AD560" s="242"/>
      <c r="AE560" s="242"/>
      <c r="AF560" s="242"/>
      <c r="AG560" s="242"/>
      <c r="AH560" s="242"/>
      <c r="AI560" s="242"/>
      <c r="AJ560" s="164"/>
      <c r="AM560" s="17"/>
      <c r="AQ560" s="17"/>
      <c r="AS560" s="15"/>
      <c r="AV560" s="15"/>
    </row>
    <row r="561" spans="2:48" s="6" customFormat="1" x14ac:dyDescent="0.2">
      <c r="B561" s="17"/>
      <c r="E561" s="226"/>
      <c r="Z561" s="90"/>
      <c r="AA561" s="242"/>
      <c r="AB561" s="242"/>
      <c r="AC561" s="242"/>
      <c r="AD561" s="242"/>
      <c r="AE561" s="242"/>
      <c r="AF561" s="242"/>
      <c r="AG561" s="242"/>
      <c r="AH561" s="242"/>
      <c r="AI561" s="242"/>
      <c r="AJ561" s="164"/>
      <c r="AM561" s="17"/>
      <c r="AQ561" s="17"/>
      <c r="AS561" s="15"/>
      <c r="AV561" s="15"/>
    </row>
    <row r="562" spans="2:48" s="6" customFormat="1" x14ac:dyDescent="0.2">
      <c r="B562" s="17"/>
      <c r="E562" s="226"/>
      <c r="Z562" s="90"/>
      <c r="AA562" s="242"/>
      <c r="AB562" s="242"/>
      <c r="AC562" s="242"/>
      <c r="AD562" s="242"/>
      <c r="AE562" s="242"/>
      <c r="AF562" s="242"/>
      <c r="AG562" s="242"/>
      <c r="AH562" s="242"/>
      <c r="AI562" s="242"/>
      <c r="AJ562" s="164"/>
      <c r="AM562" s="17"/>
      <c r="AQ562" s="17"/>
      <c r="AS562" s="15"/>
      <c r="AV562" s="15"/>
    </row>
    <row r="563" spans="2:48" s="6" customFormat="1" x14ac:dyDescent="0.2">
      <c r="B563" s="17"/>
      <c r="E563" s="226"/>
      <c r="Z563" s="90"/>
      <c r="AA563" s="242"/>
      <c r="AB563" s="242"/>
      <c r="AC563" s="242"/>
      <c r="AD563" s="242"/>
      <c r="AE563" s="242"/>
      <c r="AF563" s="242"/>
      <c r="AG563" s="242"/>
      <c r="AH563" s="242"/>
      <c r="AI563" s="242"/>
      <c r="AJ563" s="164"/>
      <c r="AM563" s="17"/>
      <c r="AQ563" s="17"/>
      <c r="AS563" s="15"/>
      <c r="AV563" s="15"/>
    </row>
    <row r="564" spans="2:48" s="6" customFormat="1" x14ac:dyDescent="0.2">
      <c r="B564" s="17"/>
      <c r="E564" s="226"/>
      <c r="Z564" s="90"/>
      <c r="AA564" s="242"/>
      <c r="AB564" s="242"/>
      <c r="AC564" s="242"/>
      <c r="AD564" s="242"/>
      <c r="AE564" s="242"/>
      <c r="AF564" s="242"/>
      <c r="AG564" s="242"/>
      <c r="AH564" s="242"/>
      <c r="AI564" s="242"/>
      <c r="AJ564" s="164"/>
      <c r="AM564" s="17"/>
      <c r="AQ564" s="17"/>
      <c r="AS564" s="15"/>
      <c r="AV564" s="15"/>
    </row>
    <row r="565" spans="2:48" s="6" customFormat="1" x14ac:dyDescent="0.2">
      <c r="B565" s="17"/>
      <c r="E565" s="226"/>
      <c r="Z565" s="90"/>
      <c r="AA565" s="242"/>
      <c r="AB565" s="242"/>
      <c r="AC565" s="242"/>
      <c r="AD565" s="242"/>
      <c r="AE565" s="242"/>
      <c r="AF565" s="242"/>
      <c r="AG565" s="242"/>
      <c r="AH565" s="242"/>
      <c r="AI565" s="242"/>
      <c r="AJ565" s="164"/>
      <c r="AM565" s="17"/>
      <c r="AQ565" s="17"/>
      <c r="AS565" s="15"/>
      <c r="AV565" s="15"/>
    </row>
    <row r="566" spans="2:48" s="6" customFormat="1" x14ac:dyDescent="0.2">
      <c r="B566" s="17"/>
      <c r="E566" s="226"/>
      <c r="Z566" s="90"/>
      <c r="AA566" s="242"/>
      <c r="AB566" s="242"/>
      <c r="AC566" s="242"/>
      <c r="AD566" s="242"/>
      <c r="AE566" s="242"/>
      <c r="AF566" s="242"/>
      <c r="AG566" s="242"/>
      <c r="AH566" s="242"/>
      <c r="AI566" s="242"/>
      <c r="AJ566" s="164"/>
      <c r="AM566" s="17"/>
      <c r="AQ566" s="17"/>
      <c r="AS566" s="15"/>
      <c r="AV566" s="15"/>
    </row>
    <row r="567" spans="2:48" s="6" customFormat="1" x14ac:dyDescent="0.2">
      <c r="B567" s="17"/>
      <c r="E567" s="226"/>
      <c r="Z567" s="90"/>
      <c r="AA567" s="242"/>
      <c r="AB567" s="242"/>
      <c r="AC567" s="242"/>
      <c r="AD567" s="242"/>
      <c r="AE567" s="242"/>
      <c r="AF567" s="242"/>
      <c r="AG567" s="242"/>
      <c r="AH567" s="242"/>
      <c r="AI567" s="242"/>
      <c r="AJ567" s="164"/>
      <c r="AM567" s="17"/>
      <c r="AQ567" s="17"/>
      <c r="AS567" s="15"/>
      <c r="AV567" s="15"/>
    </row>
    <row r="568" spans="2:48" s="6" customFormat="1" x14ac:dyDescent="0.2">
      <c r="B568" s="17"/>
      <c r="E568" s="226"/>
      <c r="Z568" s="90"/>
      <c r="AA568" s="242"/>
      <c r="AB568" s="242"/>
      <c r="AC568" s="242"/>
      <c r="AD568" s="242"/>
      <c r="AE568" s="242"/>
      <c r="AF568" s="242"/>
      <c r="AG568" s="242"/>
      <c r="AH568" s="242"/>
      <c r="AI568" s="242"/>
      <c r="AJ568" s="164"/>
      <c r="AM568" s="17"/>
      <c r="AQ568" s="17"/>
      <c r="AS568" s="15"/>
      <c r="AV568" s="15"/>
    </row>
    <row r="569" spans="2:48" s="6" customFormat="1" x14ac:dyDescent="0.2">
      <c r="B569" s="17"/>
      <c r="E569" s="226"/>
      <c r="Z569" s="90"/>
      <c r="AA569" s="242"/>
      <c r="AB569" s="242"/>
      <c r="AC569" s="242"/>
      <c r="AD569" s="242"/>
      <c r="AE569" s="242"/>
      <c r="AF569" s="242"/>
      <c r="AG569" s="242"/>
      <c r="AH569" s="242"/>
      <c r="AI569" s="242"/>
      <c r="AJ569" s="164"/>
      <c r="AM569" s="17"/>
      <c r="AQ569" s="17"/>
      <c r="AS569" s="15"/>
      <c r="AV569" s="15"/>
    </row>
    <row r="570" spans="2:48" s="6" customFormat="1" x14ac:dyDescent="0.2">
      <c r="B570" s="17"/>
      <c r="E570" s="226"/>
      <c r="Z570" s="90"/>
      <c r="AA570" s="242"/>
      <c r="AB570" s="242"/>
      <c r="AC570" s="242"/>
      <c r="AD570" s="242"/>
      <c r="AE570" s="242"/>
      <c r="AF570" s="242"/>
      <c r="AG570" s="242"/>
      <c r="AH570" s="242"/>
      <c r="AI570" s="242"/>
      <c r="AJ570" s="164"/>
      <c r="AM570" s="17"/>
      <c r="AQ570" s="17"/>
      <c r="AS570" s="15"/>
      <c r="AV570" s="15"/>
    </row>
    <row r="571" spans="2:48" s="6" customFormat="1" x14ac:dyDescent="0.2">
      <c r="B571" s="17"/>
      <c r="E571" s="226"/>
      <c r="Z571" s="90"/>
      <c r="AA571" s="242"/>
      <c r="AB571" s="242"/>
      <c r="AC571" s="242"/>
      <c r="AD571" s="242"/>
      <c r="AE571" s="242"/>
      <c r="AF571" s="242"/>
      <c r="AG571" s="242"/>
      <c r="AH571" s="242"/>
      <c r="AI571" s="242"/>
      <c r="AJ571" s="164"/>
      <c r="AM571" s="17"/>
      <c r="AQ571" s="17"/>
      <c r="AS571" s="15"/>
      <c r="AV571" s="15"/>
    </row>
    <row r="572" spans="2:48" s="6" customFormat="1" x14ac:dyDescent="0.2">
      <c r="B572" s="17"/>
      <c r="E572" s="226"/>
      <c r="Z572" s="90"/>
      <c r="AA572" s="242"/>
      <c r="AB572" s="242"/>
      <c r="AC572" s="242"/>
      <c r="AD572" s="242"/>
      <c r="AE572" s="242"/>
      <c r="AF572" s="242"/>
      <c r="AG572" s="242"/>
      <c r="AH572" s="242"/>
      <c r="AI572" s="242"/>
      <c r="AJ572" s="164"/>
      <c r="AM572" s="17"/>
      <c r="AQ572" s="17"/>
      <c r="AS572" s="15"/>
      <c r="AV572" s="15"/>
    </row>
    <row r="573" spans="2:48" s="6" customFormat="1" x14ac:dyDescent="0.2">
      <c r="B573" s="17"/>
      <c r="E573" s="226"/>
      <c r="Z573" s="90"/>
      <c r="AA573" s="242"/>
      <c r="AB573" s="242"/>
      <c r="AC573" s="242"/>
      <c r="AD573" s="242"/>
      <c r="AE573" s="242"/>
      <c r="AF573" s="242"/>
      <c r="AG573" s="242"/>
      <c r="AH573" s="242"/>
      <c r="AI573" s="242"/>
      <c r="AJ573" s="164"/>
      <c r="AM573" s="17"/>
      <c r="AQ573" s="17"/>
      <c r="AS573" s="15"/>
      <c r="AV573" s="15"/>
    </row>
    <row r="574" spans="2:48" s="6" customFormat="1" x14ac:dyDescent="0.2">
      <c r="B574" s="17"/>
      <c r="E574" s="226"/>
      <c r="Z574" s="90"/>
      <c r="AA574" s="242"/>
      <c r="AB574" s="242"/>
      <c r="AC574" s="242"/>
      <c r="AD574" s="242"/>
      <c r="AE574" s="242"/>
      <c r="AF574" s="242"/>
      <c r="AG574" s="242"/>
      <c r="AH574" s="242"/>
      <c r="AI574" s="242"/>
      <c r="AJ574" s="164"/>
      <c r="AM574" s="17"/>
      <c r="AQ574" s="17"/>
      <c r="AS574" s="15"/>
      <c r="AV574" s="15"/>
    </row>
    <row r="575" spans="2:48" s="6" customFormat="1" x14ac:dyDescent="0.2">
      <c r="B575" s="17"/>
      <c r="E575" s="226"/>
      <c r="Z575" s="90"/>
      <c r="AA575" s="242"/>
      <c r="AB575" s="242"/>
      <c r="AC575" s="242"/>
      <c r="AD575" s="242"/>
      <c r="AE575" s="242"/>
      <c r="AF575" s="242"/>
      <c r="AG575" s="242"/>
      <c r="AH575" s="242"/>
      <c r="AI575" s="242"/>
      <c r="AJ575" s="164"/>
      <c r="AM575" s="17"/>
      <c r="AQ575" s="17"/>
      <c r="AS575" s="15"/>
      <c r="AV575" s="15"/>
    </row>
    <row r="576" spans="2:48" s="6" customFormat="1" x14ac:dyDescent="0.2">
      <c r="B576" s="17"/>
      <c r="E576" s="226"/>
      <c r="Z576" s="90"/>
      <c r="AA576" s="242"/>
      <c r="AB576" s="242"/>
      <c r="AC576" s="242"/>
      <c r="AD576" s="242"/>
      <c r="AE576" s="242"/>
      <c r="AF576" s="242"/>
      <c r="AG576" s="242"/>
      <c r="AH576" s="242"/>
      <c r="AI576" s="242"/>
      <c r="AJ576" s="164"/>
      <c r="AM576" s="17"/>
      <c r="AQ576" s="17"/>
      <c r="AS576" s="15"/>
      <c r="AV576" s="15"/>
    </row>
    <row r="577" spans="2:48" s="6" customFormat="1" x14ac:dyDescent="0.2">
      <c r="B577" s="17"/>
      <c r="E577" s="226"/>
      <c r="Z577" s="90"/>
      <c r="AA577" s="242"/>
      <c r="AB577" s="242"/>
      <c r="AC577" s="242"/>
      <c r="AD577" s="242"/>
      <c r="AE577" s="242"/>
      <c r="AF577" s="242"/>
      <c r="AG577" s="242"/>
      <c r="AH577" s="242"/>
      <c r="AI577" s="242"/>
      <c r="AJ577" s="164"/>
      <c r="AM577" s="17"/>
      <c r="AQ577" s="17"/>
      <c r="AS577" s="15"/>
      <c r="AV577" s="15"/>
    </row>
    <row r="578" spans="2:48" s="6" customFormat="1" x14ac:dyDescent="0.2">
      <c r="B578" s="17"/>
      <c r="E578" s="226"/>
      <c r="Z578" s="90"/>
      <c r="AA578" s="242"/>
      <c r="AB578" s="242"/>
      <c r="AC578" s="242"/>
      <c r="AD578" s="242"/>
      <c r="AE578" s="242"/>
      <c r="AF578" s="242"/>
      <c r="AG578" s="242"/>
      <c r="AH578" s="242"/>
      <c r="AI578" s="242"/>
      <c r="AJ578" s="164"/>
      <c r="AM578" s="17"/>
      <c r="AQ578" s="17"/>
      <c r="AS578" s="15"/>
      <c r="AV578" s="15"/>
    </row>
    <row r="579" spans="2:48" s="6" customFormat="1" x14ac:dyDescent="0.2">
      <c r="B579" s="17"/>
      <c r="E579" s="226"/>
      <c r="Z579" s="90"/>
      <c r="AA579" s="242"/>
      <c r="AB579" s="242"/>
      <c r="AC579" s="242"/>
      <c r="AD579" s="242"/>
      <c r="AE579" s="242"/>
      <c r="AF579" s="242"/>
      <c r="AG579" s="242"/>
      <c r="AH579" s="242"/>
      <c r="AI579" s="242"/>
      <c r="AJ579" s="164"/>
      <c r="AM579" s="17"/>
      <c r="AQ579" s="17"/>
      <c r="AS579" s="15"/>
      <c r="AV579" s="15"/>
    </row>
    <row r="580" spans="2:48" s="6" customFormat="1" x14ac:dyDescent="0.2">
      <c r="B580" s="17"/>
      <c r="E580" s="226"/>
      <c r="Z580" s="90"/>
      <c r="AA580" s="242"/>
      <c r="AB580" s="242"/>
      <c r="AC580" s="242"/>
      <c r="AD580" s="242"/>
      <c r="AE580" s="242"/>
      <c r="AF580" s="242"/>
      <c r="AG580" s="242"/>
      <c r="AH580" s="242"/>
      <c r="AI580" s="242"/>
      <c r="AJ580" s="164"/>
      <c r="AM580" s="17"/>
      <c r="AQ580" s="17"/>
      <c r="AS580" s="15"/>
      <c r="AV580" s="15"/>
    </row>
    <row r="581" spans="2:48" s="6" customFormat="1" x14ac:dyDescent="0.2">
      <c r="B581" s="17"/>
      <c r="E581" s="226"/>
      <c r="Z581" s="90"/>
      <c r="AA581" s="242"/>
      <c r="AB581" s="242"/>
      <c r="AC581" s="242"/>
      <c r="AD581" s="242"/>
      <c r="AE581" s="242"/>
      <c r="AF581" s="242"/>
      <c r="AG581" s="242"/>
      <c r="AH581" s="242"/>
      <c r="AI581" s="242"/>
      <c r="AJ581" s="164"/>
      <c r="AM581" s="17"/>
      <c r="AQ581" s="17"/>
      <c r="AS581" s="15"/>
      <c r="AV581" s="15"/>
    </row>
    <row r="582" spans="2:48" s="6" customFormat="1" x14ac:dyDescent="0.2">
      <c r="B582" s="17"/>
      <c r="E582" s="226"/>
      <c r="Z582" s="90"/>
      <c r="AA582" s="242"/>
      <c r="AB582" s="242"/>
      <c r="AC582" s="242"/>
      <c r="AD582" s="242"/>
      <c r="AE582" s="242"/>
      <c r="AF582" s="242"/>
      <c r="AG582" s="242"/>
      <c r="AH582" s="242"/>
      <c r="AI582" s="242"/>
      <c r="AJ582" s="164"/>
      <c r="AM582" s="17"/>
      <c r="AQ582" s="17"/>
      <c r="AS582" s="15"/>
      <c r="AV582" s="15"/>
    </row>
    <row r="583" spans="2:48" s="6" customFormat="1" x14ac:dyDescent="0.2">
      <c r="B583" s="17"/>
      <c r="E583" s="226"/>
      <c r="Z583" s="90"/>
      <c r="AA583" s="242"/>
      <c r="AB583" s="242"/>
      <c r="AC583" s="242"/>
      <c r="AD583" s="242"/>
      <c r="AE583" s="242"/>
      <c r="AF583" s="242"/>
      <c r="AG583" s="242"/>
      <c r="AH583" s="242"/>
      <c r="AI583" s="242"/>
      <c r="AJ583" s="164"/>
      <c r="AM583" s="17"/>
      <c r="AQ583" s="17"/>
      <c r="AS583" s="15"/>
      <c r="AV583" s="15"/>
    </row>
    <row r="584" spans="2:48" s="6" customFormat="1" x14ac:dyDescent="0.2">
      <c r="B584" s="17"/>
      <c r="E584" s="226"/>
      <c r="Z584" s="90"/>
      <c r="AA584" s="242"/>
      <c r="AB584" s="242"/>
      <c r="AC584" s="242"/>
      <c r="AD584" s="242"/>
      <c r="AE584" s="242"/>
      <c r="AF584" s="242"/>
      <c r="AG584" s="242"/>
      <c r="AH584" s="242"/>
      <c r="AI584" s="242"/>
      <c r="AJ584" s="164"/>
      <c r="AM584" s="17"/>
      <c r="AQ584" s="17"/>
      <c r="AS584" s="15"/>
      <c r="AV584" s="15"/>
    </row>
    <row r="585" spans="2:48" s="6" customFormat="1" x14ac:dyDescent="0.2">
      <c r="B585" s="17"/>
      <c r="E585" s="226"/>
      <c r="Z585" s="90"/>
      <c r="AA585" s="242"/>
      <c r="AB585" s="242"/>
      <c r="AC585" s="242"/>
      <c r="AD585" s="242"/>
      <c r="AE585" s="242"/>
      <c r="AF585" s="242"/>
      <c r="AG585" s="242"/>
      <c r="AH585" s="242"/>
      <c r="AI585" s="242"/>
      <c r="AJ585" s="164"/>
      <c r="AM585" s="17"/>
      <c r="AQ585" s="17"/>
      <c r="AS585" s="15"/>
      <c r="AV585" s="15"/>
    </row>
    <row r="586" spans="2:48" s="6" customFormat="1" x14ac:dyDescent="0.2">
      <c r="B586" s="17"/>
      <c r="E586" s="226"/>
      <c r="Z586" s="90"/>
      <c r="AA586" s="242"/>
      <c r="AB586" s="242"/>
      <c r="AC586" s="242"/>
      <c r="AD586" s="242"/>
      <c r="AE586" s="242"/>
      <c r="AF586" s="242"/>
      <c r="AG586" s="242"/>
      <c r="AH586" s="242"/>
      <c r="AI586" s="242"/>
      <c r="AJ586" s="164"/>
      <c r="AM586" s="17"/>
      <c r="AQ586" s="17"/>
      <c r="AS586" s="15"/>
      <c r="AV586" s="15"/>
    </row>
    <row r="587" spans="2:48" s="6" customFormat="1" x14ac:dyDescent="0.2">
      <c r="B587" s="17"/>
      <c r="E587" s="226"/>
      <c r="Z587" s="90"/>
      <c r="AA587" s="242"/>
      <c r="AB587" s="242"/>
      <c r="AC587" s="242"/>
      <c r="AD587" s="242"/>
      <c r="AE587" s="242"/>
      <c r="AF587" s="242"/>
      <c r="AG587" s="242"/>
      <c r="AH587" s="242"/>
      <c r="AI587" s="242"/>
      <c r="AJ587" s="164"/>
      <c r="AM587" s="17"/>
      <c r="AQ587" s="17"/>
      <c r="AS587" s="15"/>
      <c r="AV587" s="15"/>
    </row>
    <row r="588" spans="2:48" s="6" customFormat="1" x14ac:dyDescent="0.2">
      <c r="B588" s="17"/>
      <c r="E588" s="226"/>
      <c r="Z588" s="90"/>
      <c r="AA588" s="242"/>
      <c r="AB588" s="242"/>
      <c r="AC588" s="242"/>
      <c r="AD588" s="242"/>
      <c r="AE588" s="242"/>
      <c r="AF588" s="242"/>
      <c r="AG588" s="242"/>
      <c r="AH588" s="242"/>
      <c r="AI588" s="242"/>
      <c r="AJ588" s="164"/>
      <c r="AM588" s="17"/>
      <c r="AQ588" s="17"/>
      <c r="AS588" s="15"/>
      <c r="AV588" s="15"/>
    </row>
    <row r="589" spans="2:48" s="6" customFormat="1" x14ac:dyDescent="0.2">
      <c r="B589" s="17"/>
      <c r="E589" s="226"/>
      <c r="Z589" s="90"/>
      <c r="AA589" s="242"/>
      <c r="AB589" s="242"/>
      <c r="AC589" s="242"/>
      <c r="AD589" s="242"/>
      <c r="AE589" s="242"/>
      <c r="AF589" s="242"/>
      <c r="AG589" s="242"/>
      <c r="AH589" s="242"/>
      <c r="AI589" s="242"/>
      <c r="AJ589" s="164"/>
      <c r="AM589" s="17"/>
      <c r="AQ589" s="17"/>
      <c r="AS589" s="15"/>
      <c r="AV589" s="15"/>
    </row>
    <row r="590" spans="2:48" s="6" customFormat="1" x14ac:dyDescent="0.2">
      <c r="B590" s="17"/>
      <c r="E590" s="226"/>
      <c r="Z590" s="90"/>
      <c r="AA590" s="242"/>
      <c r="AB590" s="242"/>
      <c r="AC590" s="242"/>
      <c r="AD590" s="242"/>
      <c r="AE590" s="242"/>
      <c r="AF590" s="242"/>
      <c r="AG590" s="242"/>
      <c r="AH590" s="242"/>
      <c r="AI590" s="242"/>
      <c r="AJ590" s="164"/>
      <c r="AM590" s="17"/>
      <c r="AQ590" s="17"/>
      <c r="AS590" s="15"/>
      <c r="AV590" s="15"/>
    </row>
    <row r="591" spans="2:48" s="6" customFormat="1" x14ac:dyDescent="0.2">
      <c r="B591" s="17"/>
      <c r="E591" s="226"/>
      <c r="Z591" s="90"/>
      <c r="AA591" s="242"/>
      <c r="AB591" s="242"/>
      <c r="AC591" s="242"/>
      <c r="AD591" s="242"/>
      <c r="AE591" s="242"/>
      <c r="AF591" s="242"/>
      <c r="AG591" s="242"/>
      <c r="AH591" s="242"/>
      <c r="AI591" s="242"/>
      <c r="AJ591" s="164"/>
      <c r="AM591" s="17"/>
      <c r="AQ591" s="17"/>
      <c r="AS591" s="15"/>
      <c r="AV591" s="15"/>
    </row>
    <row r="592" spans="2:48" s="6" customFormat="1" x14ac:dyDescent="0.2">
      <c r="B592" s="17"/>
      <c r="E592" s="226"/>
      <c r="Z592" s="90"/>
      <c r="AA592" s="242"/>
      <c r="AB592" s="242"/>
      <c r="AC592" s="242"/>
      <c r="AD592" s="242"/>
      <c r="AE592" s="242"/>
      <c r="AF592" s="242"/>
      <c r="AG592" s="242"/>
      <c r="AH592" s="242"/>
      <c r="AI592" s="242"/>
      <c r="AJ592" s="164"/>
      <c r="AM592" s="17"/>
      <c r="AQ592" s="17"/>
      <c r="AS592" s="15"/>
      <c r="AV592" s="15"/>
    </row>
    <row r="593" spans="2:48" s="6" customFormat="1" x14ac:dyDescent="0.2">
      <c r="B593" s="17"/>
      <c r="E593" s="226"/>
      <c r="Z593" s="90"/>
      <c r="AA593" s="242"/>
      <c r="AB593" s="242"/>
      <c r="AC593" s="242"/>
      <c r="AD593" s="242"/>
      <c r="AE593" s="242"/>
      <c r="AF593" s="242"/>
      <c r="AG593" s="242"/>
      <c r="AH593" s="242"/>
      <c r="AI593" s="242"/>
      <c r="AJ593" s="164"/>
      <c r="AM593" s="17"/>
      <c r="AQ593" s="17"/>
      <c r="AS593" s="15"/>
      <c r="AV593" s="15"/>
    </row>
    <row r="594" spans="2:48" s="6" customFormat="1" x14ac:dyDescent="0.2">
      <c r="B594" s="17"/>
      <c r="E594" s="226"/>
      <c r="Z594" s="90"/>
      <c r="AA594" s="242"/>
      <c r="AB594" s="242"/>
      <c r="AC594" s="242"/>
      <c r="AD594" s="242"/>
      <c r="AE594" s="242"/>
      <c r="AF594" s="242"/>
      <c r="AG594" s="242"/>
      <c r="AH594" s="242"/>
      <c r="AI594" s="242"/>
      <c r="AJ594" s="164"/>
      <c r="AM594" s="17"/>
      <c r="AQ594" s="17"/>
      <c r="AS594" s="15"/>
      <c r="AV594" s="15"/>
    </row>
    <row r="595" spans="2:48" s="6" customFormat="1" x14ac:dyDescent="0.2">
      <c r="B595" s="17"/>
      <c r="E595" s="226"/>
      <c r="Z595" s="90"/>
      <c r="AA595" s="242"/>
      <c r="AB595" s="242"/>
      <c r="AC595" s="242"/>
      <c r="AD595" s="242"/>
      <c r="AE595" s="242"/>
      <c r="AF595" s="242"/>
      <c r="AG595" s="242"/>
      <c r="AH595" s="242"/>
      <c r="AI595" s="242"/>
      <c r="AJ595" s="164"/>
      <c r="AM595" s="17"/>
      <c r="AQ595" s="17"/>
      <c r="AS595" s="15"/>
      <c r="AV595" s="15"/>
    </row>
    <row r="596" spans="2:48" s="6" customFormat="1" x14ac:dyDescent="0.2">
      <c r="B596" s="17"/>
      <c r="E596" s="226"/>
      <c r="Z596" s="90"/>
      <c r="AA596" s="242"/>
      <c r="AB596" s="242"/>
      <c r="AC596" s="242"/>
      <c r="AD596" s="242"/>
      <c r="AE596" s="242"/>
      <c r="AF596" s="242"/>
      <c r="AG596" s="242"/>
      <c r="AH596" s="242"/>
      <c r="AI596" s="242"/>
      <c r="AJ596" s="164"/>
      <c r="AM596" s="17"/>
      <c r="AQ596" s="17"/>
      <c r="AS596" s="15"/>
      <c r="AV596" s="15"/>
    </row>
    <row r="597" spans="2:48" s="6" customFormat="1" x14ac:dyDescent="0.2">
      <c r="B597" s="17"/>
      <c r="E597" s="226"/>
      <c r="Z597" s="90"/>
      <c r="AA597" s="242"/>
      <c r="AB597" s="242"/>
      <c r="AC597" s="242"/>
      <c r="AD597" s="242"/>
      <c r="AE597" s="242"/>
      <c r="AF597" s="242"/>
      <c r="AG597" s="242"/>
      <c r="AH597" s="242"/>
      <c r="AI597" s="242"/>
      <c r="AJ597" s="164"/>
      <c r="AM597" s="17"/>
      <c r="AQ597" s="17"/>
      <c r="AS597" s="15"/>
      <c r="AV597" s="15"/>
    </row>
    <row r="598" spans="2:48" s="6" customFormat="1" x14ac:dyDescent="0.2">
      <c r="B598" s="17"/>
      <c r="E598" s="226"/>
      <c r="Z598" s="90"/>
      <c r="AA598" s="242"/>
      <c r="AB598" s="242"/>
      <c r="AC598" s="242"/>
      <c r="AD598" s="242"/>
      <c r="AE598" s="242"/>
      <c r="AF598" s="242"/>
      <c r="AG598" s="242"/>
      <c r="AH598" s="242"/>
      <c r="AI598" s="242"/>
      <c r="AJ598" s="164"/>
      <c r="AM598" s="17"/>
      <c r="AQ598" s="17"/>
      <c r="AS598" s="15"/>
      <c r="AV598" s="15"/>
    </row>
    <row r="599" spans="2:48" s="6" customFormat="1" x14ac:dyDescent="0.2">
      <c r="B599" s="17"/>
      <c r="E599" s="226"/>
      <c r="Z599" s="90"/>
      <c r="AA599" s="242"/>
      <c r="AB599" s="242"/>
      <c r="AC599" s="242"/>
      <c r="AD599" s="242"/>
      <c r="AE599" s="242"/>
      <c r="AF599" s="242"/>
      <c r="AG599" s="242"/>
      <c r="AH599" s="242"/>
      <c r="AI599" s="242"/>
      <c r="AJ599" s="164"/>
      <c r="AM599" s="17"/>
      <c r="AQ599" s="17"/>
      <c r="AS599" s="15"/>
      <c r="AV599" s="15"/>
    </row>
    <row r="600" spans="2:48" s="6" customFormat="1" x14ac:dyDescent="0.2">
      <c r="B600" s="17"/>
      <c r="E600" s="226"/>
      <c r="Z600" s="90"/>
      <c r="AA600" s="242"/>
      <c r="AB600" s="242"/>
      <c r="AC600" s="242"/>
      <c r="AD600" s="242"/>
      <c r="AE600" s="242"/>
      <c r="AF600" s="242"/>
      <c r="AG600" s="242"/>
      <c r="AH600" s="242"/>
      <c r="AI600" s="242"/>
      <c r="AJ600" s="164"/>
      <c r="AM600" s="17"/>
      <c r="AQ600" s="17"/>
      <c r="AS600" s="15"/>
      <c r="AV600" s="15"/>
    </row>
    <row r="601" spans="2:48" s="6" customFormat="1" x14ac:dyDescent="0.2">
      <c r="B601" s="17"/>
      <c r="E601" s="226"/>
      <c r="Z601" s="90"/>
      <c r="AA601" s="242"/>
      <c r="AB601" s="242"/>
      <c r="AC601" s="242"/>
      <c r="AD601" s="242"/>
      <c r="AE601" s="242"/>
      <c r="AF601" s="242"/>
      <c r="AG601" s="242"/>
      <c r="AH601" s="242"/>
      <c r="AI601" s="242"/>
      <c r="AJ601" s="164"/>
      <c r="AM601" s="17"/>
      <c r="AQ601" s="17"/>
      <c r="AS601" s="15"/>
      <c r="AV601" s="15"/>
    </row>
    <row r="602" spans="2:48" s="6" customFormat="1" x14ac:dyDescent="0.2">
      <c r="B602" s="17"/>
      <c r="E602" s="226"/>
      <c r="Z602" s="90"/>
      <c r="AA602" s="242"/>
      <c r="AB602" s="242"/>
      <c r="AC602" s="242"/>
      <c r="AD602" s="242"/>
      <c r="AE602" s="242"/>
      <c r="AF602" s="242"/>
      <c r="AG602" s="242"/>
      <c r="AH602" s="242"/>
      <c r="AI602" s="242"/>
      <c r="AJ602" s="164"/>
      <c r="AM602" s="17"/>
      <c r="AQ602" s="17"/>
      <c r="AS602" s="15"/>
      <c r="AV602" s="15"/>
    </row>
    <row r="603" spans="2:48" s="6" customFormat="1" x14ac:dyDescent="0.2">
      <c r="B603" s="17"/>
      <c r="E603" s="226"/>
      <c r="Z603" s="90"/>
      <c r="AA603" s="242"/>
      <c r="AB603" s="242"/>
      <c r="AC603" s="242"/>
      <c r="AD603" s="242"/>
      <c r="AE603" s="242"/>
      <c r="AF603" s="242"/>
      <c r="AG603" s="242"/>
      <c r="AH603" s="242"/>
      <c r="AI603" s="242"/>
      <c r="AJ603" s="164"/>
      <c r="AM603" s="17"/>
      <c r="AQ603" s="17"/>
      <c r="AS603" s="15"/>
      <c r="AV603" s="15"/>
    </row>
    <row r="604" spans="2:48" s="6" customFormat="1" x14ac:dyDescent="0.2">
      <c r="B604" s="17"/>
      <c r="E604" s="226"/>
      <c r="Z604" s="90"/>
      <c r="AA604" s="242"/>
      <c r="AB604" s="242"/>
      <c r="AC604" s="242"/>
      <c r="AD604" s="242"/>
      <c r="AE604" s="242"/>
      <c r="AF604" s="242"/>
      <c r="AG604" s="242"/>
      <c r="AH604" s="242"/>
      <c r="AI604" s="242"/>
      <c r="AJ604" s="164"/>
      <c r="AM604" s="17"/>
      <c r="AQ604" s="17"/>
      <c r="AS604" s="15"/>
      <c r="AV604" s="15"/>
    </row>
    <row r="605" spans="2:48" s="6" customFormat="1" x14ac:dyDescent="0.2">
      <c r="B605" s="17"/>
      <c r="E605" s="226"/>
      <c r="Z605" s="90"/>
      <c r="AA605" s="242"/>
      <c r="AB605" s="242"/>
      <c r="AC605" s="242"/>
      <c r="AD605" s="242"/>
      <c r="AE605" s="242"/>
      <c r="AF605" s="242"/>
      <c r="AG605" s="242"/>
      <c r="AH605" s="242"/>
      <c r="AI605" s="242"/>
      <c r="AJ605" s="164"/>
      <c r="AM605" s="17"/>
      <c r="AQ605" s="17"/>
      <c r="AS605" s="15"/>
      <c r="AV605" s="15"/>
    </row>
  </sheetData>
  <protectedRanges>
    <protectedRange sqref="AJ171:AJ172 AJ184:AJ185 AJ284:AJ363 AJ467:AJ471 AJ453:AJ465 AJ406:AJ440 AJ365:AJ385 AJ387:AJ396 AJ398:AJ400 AJ402:AJ404 AJ450:AJ451 AJ442:AJ448 AJ473:AJ474 AM14 AM28:AM29 AM38:AM39 AM44:AM45 AM89:AM90 AM93 AM97 AM95 AM101 AM108 AM159 AM168 AM177 AM220 AM222:AM225 AM232 AM255:AM256 AM271 AM235 AM455:AM456 AJ239:AJ240 AJ200:AJ209 AJ475:AP704 AP11:AP32 AP34:AP51 AP53:AP63 AP65:AP102 AP104:AP148 AP150:AP159 AP161:AP170 AP174:AP183 AP187:AP197 AP199 AP203:AP204 AP210:AP233 AP236:AP238 AP242:AP264 AP266:AP281 AJ174:AL183 AJ199:AL199 AK203:AL204 AJ210:AL210 AJ266:AL281 AJ11:AL32 AJ34:AL51 AJ53:AL63 AJ65:AL102 AJ104:AL148 AJ150:AL159 AJ161:AL170 AJ187:AL197 AJ211:AK238 AL211:AL233 AL236:AL238 AJ242:AL264" name="Usage"/>
  </protectedRanges>
  <mergeCells count="233">
    <mergeCell ref="B1:K1"/>
    <mergeCell ref="B2:K2"/>
    <mergeCell ref="B3:K3"/>
    <mergeCell ref="B4:K4"/>
    <mergeCell ref="B5:K5"/>
    <mergeCell ref="AV450:AV451"/>
    <mergeCell ref="AV453:AV456"/>
    <mergeCell ref="AV457:AV458"/>
    <mergeCell ref="AV459:AV460"/>
    <mergeCell ref="AV210:AV233"/>
    <mergeCell ref="AV156:AV159"/>
    <mergeCell ref="AV161:AV164"/>
    <mergeCell ref="AV165:AV170"/>
    <mergeCell ref="AV174:AV179"/>
    <mergeCell ref="AV187:AV197"/>
    <mergeCell ref="AV171:AV172"/>
    <mergeCell ref="AV71:AV72"/>
    <mergeCell ref="AV79:AV80"/>
    <mergeCell ref="AV87:AV88"/>
    <mergeCell ref="AV106:AV107"/>
    <mergeCell ref="AV109:AV110"/>
    <mergeCell ref="AV111:AV134"/>
    <mergeCell ref="AV135:AV136"/>
    <mergeCell ref="AV81:AV84"/>
    <mergeCell ref="AV461:AV462"/>
    <mergeCell ref="AV463:AV464"/>
    <mergeCell ref="AV467:AV471"/>
    <mergeCell ref="AV473:AV474"/>
    <mergeCell ref="AV402:AV404"/>
    <mergeCell ref="AV442:AV448"/>
    <mergeCell ref="AV406:AV440"/>
    <mergeCell ref="AV398:AV400"/>
    <mergeCell ref="AV236:AV237"/>
    <mergeCell ref="AV242:AV243"/>
    <mergeCell ref="AV244:AV247"/>
    <mergeCell ref="AV248:AV249"/>
    <mergeCell ref="AV257:AV260"/>
    <mergeCell ref="AV261:AV264"/>
    <mergeCell ref="AV284:AV303"/>
    <mergeCell ref="AV305:AV353"/>
    <mergeCell ref="AV355:AV363"/>
    <mergeCell ref="AV365:AV370"/>
    <mergeCell ref="AV371:AV376"/>
    <mergeCell ref="AV377:AV382"/>
    <mergeCell ref="AV383:AV385"/>
    <mergeCell ref="AV387:AV396"/>
    <mergeCell ref="AV13:AV16"/>
    <mergeCell ref="AV17:AV20"/>
    <mergeCell ref="AV21:AV22"/>
    <mergeCell ref="AV23:AV26"/>
    <mergeCell ref="AV45:AV48"/>
    <mergeCell ref="AV49:AV51"/>
    <mergeCell ref="AV53:AV54"/>
    <mergeCell ref="AV65:AV66"/>
    <mergeCell ref="AV67:AV70"/>
    <mergeCell ref="AU365:AU370"/>
    <mergeCell ref="AU371:AU376"/>
    <mergeCell ref="AU210:AU213"/>
    <mergeCell ref="AU218:AU219"/>
    <mergeCell ref="AU214:AU217"/>
    <mergeCell ref="AU222:AU225"/>
    <mergeCell ref="AU227:AU229"/>
    <mergeCell ref="AU233:AU234"/>
    <mergeCell ref="AU236:AU237"/>
    <mergeCell ref="AU242:AU243"/>
    <mergeCell ref="AQ266:AQ281"/>
    <mergeCell ref="AQ286:AQ290"/>
    <mergeCell ref="AQ299:AQ302"/>
    <mergeCell ref="AQ353:AQ354"/>
    <mergeCell ref="AQ359:AQ361"/>
    <mergeCell ref="AQ377:AQ382"/>
    <mergeCell ref="AQ383:AQ384"/>
    <mergeCell ref="AQ365:AQ366"/>
    <mergeCell ref="AQ367:AQ368"/>
    <mergeCell ref="AQ371:AQ372"/>
    <mergeCell ref="AU450:AU451"/>
    <mergeCell ref="AU453:AU456"/>
    <mergeCell ref="AU457:AU458"/>
    <mergeCell ref="AU459:AU460"/>
    <mergeCell ref="AU461:AU462"/>
    <mergeCell ref="AU463:AU464"/>
    <mergeCell ref="AU467:AU471"/>
    <mergeCell ref="AU473:AU474"/>
    <mergeCell ref="AU383:AU384"/>
    <mergeCell ref="AU387:AU396"/>
    <mergeCell ref="AU398:AU400"/>
    <mergeCell ref="AU402:AU404"/>
    <mergeCell ref="AU406:AU440"/>
    <mergeCell ref="AU442:AU448"/>
    <mergeCell ref="AU13:AU16"/>
    <mergeCell ref="AU17:AU20"/>
    <mergeCell ref="AU23:AU26"/>
    <mergeCell ref="AU49:AU51"/>
    <mergeCell ref="AU53:AU54"/>
    <mergeCell ref="AU65:AU66"/>
    <mergeCell ref="AU67:AU70"/>
    <mergeCell ref="AU71:AU72"/>
    <mergeCell ref="AU79:AU80"/>
    <mergeCell ref="AS284:AS363"/>
    <mergeCell ref="AS236:AS237"/>
    <mergeCell ref="AS244:AS247"/>
    <mergeCell ref="AU81:AU84"/>
    <mergeCell ref="AU106:AU107"/>
    <mergeCell ref="AU104:AU105"/>
    <mergeCell ref="AU111:AU134"/>
    <mergeCell ref="AU150:AU155"/>
    <mergeCell ref="AU161:AU164"/>
    <mergeCell ref="AU165:AU170"/>
    <mergeCell ref="AU174:AU179"/>
    <mergeCell ref="AU187:AU197"/>
    <mergeCell ref="AU284:AU303"/>
    <mergeCell ref="AU305:AU353"/>
    <mergeCell ref="AU355:AU363"/>
    <mergeCell ref="AU171:AU172"/>
    <mergeCell ref="AU244:AU247"/>
    <mergeCell ref="AU248:AU249"/>
    <mergeCell ref="AU257:AU260"/>
    <mergeCell ref="AU261:AU264"/>
    <mergeCell ref="AU266:AU281"/>
    <mergeCell ref="AU184:AU185"/>
    <mergeCell ref="AS184:AS185"/>
    <mergeCell ref="AS204:AS209"/>
    <mergeCell ref="AQ261:AQ264"/>
    <mergeCell ref="AQ244:AQ247"/>
    <mergeCell ref="AQ257:AQ260"/>
    <mergeCell ref="AQ248:AQ249"/>
    <mergeCell ref="AS242:AS243"/>
    <mergeCell ref="AQ53:AQ54"/>
    <mergeCell ref="AQ65:AQ66"/>
    <mergeCell ref="AQ67:AQ70"/>
    <mergeCell ref="AQ106:AQ107"/>
    <mergeCell ref="AQ204:AQ209"/>
    <mergeCell ref="AQ111:AQ134"/>
    <mergeCell ref="AQ187:AQ197"/>
    <mergeCell ref="AS99:AS100"/>
    <mergeCell ref="AS124:AS127"/>
    <mergeCell ref="AS135:AS136"/>
    <mergeCell ref="G6:K6"/>
    <mergeCell ref="Q6:T6"/>
    <mergeCell ref="U6:Z6"/>
    <mergeCell ref="AS13:AS16"/>
    <mergeCell ref="C6:E6"/>
    <mergeCell ref="AS17:AS20"/>
    <mergeCell ref="AS21:AS22"/>
    <mergeCell ref="AS23:AS26"/>
    <mergeCell ref="AQ13:AQ16"/>
    <mergeCell ref="AQ17:AQ20"/>
    <mergeCell ref="L6:P6"/>
    <mergeCell ref="AJ6:AP6"/>
    <mergeCell ref="AA6:AG6"/>
    <mergeCell ref="D266:D281"/>
    <mergeCell ref="E150:E155"/>
    <mergeCell ref="AS67:AS70"/>
    <mergeCell ref="AS79:AS80"/>
    <mergeCell ref="AS53:AS54"/>
    <mergeCell ref="AS71:AS72"/>
    <mergeCell ref="AS257:AS260"/>
    <mergeCell ref="AS261:AS264"/>
    <mergeCell ref="AS109:AS110"/>
    <mergeCell ref="AS121:AS122"/>
    <mergeCell ref="AS156:AS159"/>
    <mergeCell ref="AS161:AS164"/>
    <mergeCell ref="D150:D155"/>
    <mergeCell ref="AS218:AS219"/>
    <mergeCell ref="AS233:AS234"/>
    <mergeCell ref="AS165:AS170"/>
    <mergeCell ref="AS210:AS213"/>
    <mergeCell ref="AS222:AS225"/>
    <mergeCell ref="AS214:AS217"/>
    <mergeCell ref="AS187:AS197"/>
    <mergeCell ref="AS174:AS179"/>
    <mergeCell ref="E266:E281"/>
    <mergeCell ref="AS248:AS249"/>
    <mergeCell ref="AQ236:AQ237"/>
    <mergeCell ref="C481:K481"/>
    <mergeCell ref="D406:D440"/>
    <mergeCell ref="E406:E440"/>
    <mergeCell ref="D442:D448"/>
    <mergeCell ref="E442:E448"/>
    <mergeCell ref="AS439:AS440"/>
    <mergeCell ref="AS436:AS437"/>
    <mergeCell ref="AS432:AS435"/>
    <mergeCell ref="AS410:AS411"/>
    <mergeCell ref="AS412:AS431"/>
    <mergeCell ref="AS453:AS456"/>
    <mergeCell ref="AQ463:AQ464"/>
    <mergeCell ref="AQ467:AQ471"/>
    <mergeCell ref="AQ473:AQ474"/>
    <mergeCell ref="AS406:AS409"/>
    <mergeCell ref="AQ442:AQ448"/>
    <mergeCell ref="AQ450:AQ451"/>
    <mergeCell ref="AQ453:AQ456"/>
    <mergeCell ref="AQ457:AQ460"/>
    <mergeCell ref="AQ461:AQ462"/>
    <mergeCell ref="AQ406:AQ440"/>
    <mergeCell ref="AS467:AS471"/>
    <mergeCell ref="AS473:AS474"/>
    <mergeCell ref="AS461:AS462"/>
    <mergeCell ref="AS463:AS464"/>
    <mergeCell ref="AQ369:AQ370"/>
    <mergeCell ref="AQ387:AQ395"/>
    <mergeCell ref="AS457:AS458"/>
    <mergeCell ref="AS459:AS460"/>
    <mergeCell ref="AS387:AS396"/>
    <mergeCell ref="AS398:AS400"/>
    <mergeCell ref="AS402:AS404"/>
    <mergeCell ref="AS450:AS451"/>
    <mergeCell ref="AS442:AS448"/>
    <mergeCell ref="AQ402:AQ404"/>
    <mergeCell ref="AS377:AS382"/>
    <mergeCell ref="AQ398:AQ400"/>
    <mergeCell ref="AS383:AS385"/>
    <mergeCell ref="AS365:AS370"/>
    <mergeCell ref="AS371:AS376"/>
    <mergeCell ref="AU204:AU209"/>
    <mergeCell ref="AV204:AV209"/>
    <mergeCell ref="AS81:AS84"/>
    <mergeCell ref="AU21:AU22"/>
    <mergeCell ref="AS106:AS107"/>
    <mergeCell ref="AS111:AS120"/>
    <mergeCell ref="AS128:AS134"/>
    <mergeCell ref="AS91:AS92"/>
    <mergeCell ref="AQ165:AQ170"/>
    <mergeCell ref="AQ174:AQ179"/>
    <mergeCell ref="AV184:AV185"/>
    <mergeCell ref="AQ21:AQ22"/>
    <mergeCell ref="AQ23:AQ26"/>
    <mergeCell ref="AS49:AS51"/>
    <mergeCell ref="AS45:AS48"/>
    <mergeCell ref="AS65:AS66"/>
    <mergeCell ref="AS141:AS146"/>
    <mergeCell ref="AS104:AS105"/>
    <mergeCell ref="AS87:AS88"/>
  </mergeCells>
  <conditionalFormatting sqref="AJ34:AJ51 AJ53:AJ63 AJ65:AJ102 AJ150:AJ159 AJ187:AJ197 AJ242:AJ264 AJ266:AJ281 AJ104:AJ148 AJ11:AJ32 AM235 AJ199:AJ240 AJ161:AJ172 AJ174:AJ185 AJ485:AK702 AM485:AP702">
    <cfRule type="expression" dxfId="306" priority="51">
      <formula>REPLACE($AJ11,8,LEN($AJ11),"")="unused_"</formula>
    </cfRule>
  </conditionalFormatting>
  <conditionalFormatting sqref="AS485:AS65738 AS266:AS281 AS250:AS264 AS187:AS197 AS214:AS218 AS220:AS234 AS40:AS51 AS161:AS165 AS53:AS63 AS11:AS32 AS65:AS80 AS104:AS148 AS150:AS151 AS6:AS7 AU108:AU148 AU226:AU233 AU236 AU171 AU39:AU49 AS93:AS98 AS101:AS102 AU27:AU32 AU55:AU63 AU11:AU13 AU17 AU21 AU53 AU65 AU67 AU187 AS156 AU106 AU218 AU104 AU161 AU214 AU220:AU222 AU238 AU248 AU242 AU244 AU250:AU257 AU261 AS199 AU71:AU80 AU165 AU174 AU23 AS85:AS91 AS236:AS238 AS203:AS204 AS210 AS34:AS37 AS174:AS184 AS242:AS248 AU34:AU37 AU180:AU184 AU210 AU203:AU204 AU85:AU91 AU199 AU156 AU101:AU102 AU93:AU98">
    <cfRule type="expression" dxfId="305" priority="848" stopIfTrue="1">
      <formula>"($R($C-2))=-2"</formula>
    </cfRule>
  </conditionalFormatting>
  <conditionalFormatting sqref="A485:AI702 A242:X264 A53:AD63 A65:AD102 Z242:AD264 AF11:AI32 AF34:AI51 AF53:AI63 AF65:AI102 AF104:AI148 AF150:AI159 AF161:AI172 AF174:AI185 AF187:AI197 AF199:AI240 AF242:AI264 AF266:AI281 A11:AD32 A104:AD148 A150:AD159 A174:AD185 A161:AD172 A199:AD240 A266:AD281 A187:AD197 A34:AD51">
    <cfRule type="expression" dxfId="304" priority="853" stopIfTrue="1">
      <formula>AND(LEN($A11),NOT(LEN($AJ11)))</formula>
    </cfRule>
  </conditionalFormatting>
  <conditionalFormatting sqref="AQ396">
    <cfRule type="expression" dxfId="303" priority="596" stopIfTrue="1">
      <formula>"($R($C-2))=-2"</formula>
    </cfRule>
  </conditionalFormatting>
  <conditionalFormatting sqref="AV485:AV65738 AV250:AV264 AV242:AV248 AV187:AV197 AV174:AV184 AV101:AV102 AV40:AV51 AV161:AV165 AV156 AV11:AV20 AV93:AV98 AV65:AV73 AV36 AV104:AV120 AV6:AV7 AV63 AV75:AV80 AV87:AV91 AV234 AV85 AV23:AV32 AV53:AV58 AV60 AV135:AV148 AV150:AV151 AV266:AV273 AV276:AV281 AV199 AV236:AV238 AV210 AV203:AV204">
    <cfRule type="expression" dxfId="302" priority="582" stopIfTrue="1">
      <formula>"($R($C-2))=-2"</formula>
    </cfRule>
  </conditionalFormatting>
  <conditionalFormatting sqref="AV61">
    <cfRule type="expression" dxfId="301" priority="580" stopIfTrue="1">
      <formula>"($R($C-2))=-2"</formula>
    </cfRule>
  </conditionalFormatting>
  <conditionalFormatting sqref="AV62">
    <cfRule type="expression" dxfId="300" priority="579" stopIfTrue="1">
      <formula>"($R($C-2))=-2"</formula>
    </cfRule>
  </conditionalFormatting>
  <conditionalFormatting sqref="AV74">
    <cfRule type="expression" dxfId="299" priority="578" stopIfTrue="1">
      <formula>"($R($C-2))=-2"</formula>
    </cfRule>
  </conditionalFormatting>
  <conditionalFormatting sqref="AV86">
    <cfRule type="expression" dxfId="298" priority="577" stopIfTrue="1">
      <formula>"($R($C-2))=-2"</formula>
    </cfRule>
  </conditionalFormatting>
  <conditionalFormatting sqref="AV21">
    <cfRule type="expression" dxfId="297" priority="571" stopIfTrue="1">
      <formula>"($R($C-2))=-2"</formula>
    </cfRule>
  </conditionalFormatting>
  <conditionalFormatting sqref="AV34:AV35">
    <cfRule type="expression" dxfId="296" priority="570" stopIfTrue="1">
      <formula>"($R($C-2))=-2"</formula>
    </cfRule>
  </conditionalFormatting>
  <conditionalFormatting sqref="AV39">
    <cfRule type="expression" dxfId="295" priority="569" stopIfTrue="1">
      <formula>"($R($C-2))=-2"</formula>
    </cfRule>
  </conditionalFormatting>
  <conditionalFormatting sqref="AV59">
    <cfRule type="expression" dxfId="294" priority="568" stopIfTrue="1">
      <formula>"($R($C-2))=-2"</formula>
    </cfRule>
  </conditionalFormatting>
  <conditionalFormatting sqref="AV99">
    <cfRule type="expression" dxfId="293" priority="567" stopIfTrue="1">
      <formula>"($R($C-2))=-2"</formula>
    </cfRule>
  </conditionalFormatting>
  <conditionalFormatting sqref="AV100">
    <cfRule type="expression" dxfId="292" priority="566" stopIfTrue="1">
      <formula>"($R($C-2))=-2"</formula>
    </cfRule>
  </conditionalFormatting>
  <conditionalFormatting sqref="AV274:AV275">
    <cfRule type="expression" dxfId="291" priority="565" stopIfTrue="1">
      <formula>"($R($C-2))=-2"</formula>
    </cfRule>
  </conditionalFormatting>
  <conditionalFormatting sqref="AM159">
    <cfRule type="expression" dxfId="290" priority="550" stopIfTrue="1">
      <formula>REPLACE($AJ159,8,LEN($AJ159),"")="unused_"</formula>
    </cfRule>
  </conditionalFormatting>
  <conditionalFormatting sqref="AM14">
    <cfRule type="expression" dxfId="289" priority="560" stopIfTrue="1">
      <formula>REPLACE($AJ14,8,LEN($AJ14),"")="unused_"</formula>
    </cfRule>
  </conditionalFormatting>
  <conditionalFormatting sqref="AM28:AM29">
    <cfRule type="expression" dxfId="288" priority="559" stopIfTrue="1">
      <formula>REPLACE($AJ28,8,LEN($AJ28),"")="unused_"</formula>
    </cfRule>
  </conditionalFormatting>
  <conditionalFormatting sqref="AM38:AM39">
    <cfRule type="expression" dxfId="287" priority="558" stopIfTrue="1">
      <formula>REPLACE($AJ38,8,LEN($AJ38),"")="unused_"</formula>
    </cfRule>
  </conditionalFormatting>
  <conditionalFormatting sqref="AM44:AM45">
    <cfRule type="expression" dxfId="286" priority="557" stopIfTrue="1">
      <formula>REPLACE($AJ44,8,LEN($AJ44),"")="unused_"</formula>
    </cfRule>
  </conditionalFormatting>
  <conditionalFormatting sqref="AM89:AM90">
    <cfRule type="expression" dxfId="285" priority="556" stopIfTrue="1">
      <formula>REPLACE($AJ89,8,LEN($AJ89),"")="unused_"</formula>
    </cfRule>
  </conditionalFormatting>
  <conditionalFormatting sqref="AM93">
    <cfRule type="expression" dxfId="284" priority="555" stopIfTrue="1">
      <formula>REPLACE($AJ93,8,LEN($AJ93),"")="unused_"</formula>
    </cfRule>
  </conditionalFormatting>
  <conditionalFormatting sqref="AM97">
    <cfRule type="expression" dxfId="283" priority="554" stopIfTrue="1">
      <formula>REPLACE($AJ97,8,LEN($AJ97),"")="unused_"</formula>
    </cfRule>
  </conditionalFormatting>
  <conditionalFormatting sqref="AM95">
    <cfRule type="expression" dxfId="282" priority="553" stopIfTrue="1">
      <formula>REPLACE($AJ95,8,LEN($AJ95),"")="unused_"</formula>
    </cfRule>
  </conditionalFormatting>
  <conditionalFormatting sqref="AM101">
    <cfRule type="expression" dxfId="281" priority="552" stopIfTrue="1">
      <formula>REPLACE($AJ101,8,LEN($AJ101),"")="unused_"</formula>
    </cfRule>
  </conditionalFormatting>
  <conditionalFormatting sqref="AM108">
    <cfRule type="expression" dxfId="280" priority="551" stopIfTrue="1">
      <formula>REPLACE($AJ108,8,LEN($AJ108),"")="unused_"</formula>
    </cfRule>
  </conditionalFormatting>
  <conditionalFormatting sqref="AM168">
    <cfRule type="expression" dxfId="279" priority="549" stopIfTrue="1">
      <formula>REPLACE($AJ168,8,LEN($AJ168),"")="unused_"</formula>
    </cfRule>
  </conditionalFormatting>
  <conditionalFormatting sqref="AM177">
    <cfRule type="expression" dxfId="278" priority="548" stopIfTrue="1">
      <formula>REPLACE($AJ177,8,LEN($AJ177),"")="unused_"</formula>
    </cfRule>
  </conditionalFormatting>
  <conditionalFormatting sqref="AM220">
    <cfRule type="expression" dxfId="277" priority="547" stopIfTrue="1">
      <formula>REPLACE($AJ220,8,LEN($AJ220),"")="unused_"</formula>
    </cfRule>
  </conditionalFormatting>
  <conditionalFormatting sqref="AM222:AM225">
    <cfRule type="expression" dxfId="276" priority="546" stopIfTrue="1">
      <formula>REPLACE($AJ222,8,LEN($AJ222),"")="unused_"</formula>
    </cfRule>
  </conditionalFormatting>
  <conditionalFormatting sqref="AM232">
    <cfRule type="expression" dxfId="275" priority="545" stopIfTrue="1">
      <formula>REPLACE($AJ232,8,LEN($AJ232),"")="unused_"</formula>
    </cfRule>
  </conditionalFormatting>
  <conditionalFormatting sqref="AM255:AM256">
    <cfRule type="expression" dxfId="274" priority="544" stopIfTrue="1">
      <formula>REPLACE($AJ255,8,LEN($AJ255),"")="unused_"</formula>
    </cfRule>
  </conditionalFormatting>
  <conditionalFormatting sqref="AM271">
    <cfRule type="expression" dxfId="273" priority="543" stopIfTrue="1">
      <formula>REPLACE($AJ271,8,LEN($AJ271),"")="unused_"</formula>
    </cfRule>
  </conditionalFormatting>
  <conditionalFormatting sqref="AM455:AM456">
    <cfRule type="expression" dxfId="272" priority="541" stopIfTrue="1">
      <formula>REPLACE($AJ455,8,LEN($AJ455),"")="unused_"</formula>
    </cfRule>
  </conditionalFormatting>
  <conditionalFormatting sqref="AA284:AI363">
    <cfRule type="expression" dxfId="271" priority="524" stopIfTrue="1">
      <formula>AND(LEN($A284),NOT(LEN($AJ284)))</formula>
    </cfRule>
  </conditionalFormatting>
  <conditionalFormatting sqref="AL485:AL702">
    <cfRule type="expression" dxfId="270" priority="521" stopIfTrue="1">
      <formula>REPLACE($AJ485,8,LEN($AJ485),"")="unused_"</formula>
    </cfRule>
  </conditionalFormatting>
  <conditionalFormatting sqref="AB365:AB385">
    <cfRule type="expression" dxfId="269" priority="520" stopIfTrue="1">
      <formula>AND(LEN($A365),NOT(LEN($AJ365)))</formula>
    </cfRule>
  </conditionalFormatting>
  <conditionalFormatting sqref="AB387:AB396">
    <cfRule type="expression" dxfId="268" priority="519" stopIfTrue="1">
      <formula>AND(LEN($A387),NOT(LEN($AJ387)))</formula>
    </cfRule>
  </conditionalFormatting>
  <conditionalFormatting sqref="AB398:AB400">
    <cfRule type="expression" dxfId="267" priority="518" stopIfTrue="1">
      <formula>AND(LEN($A398),NOT(LEN($AJ398)))</formula>
    </cfRule>
  </conditionalFormatting>
  <conditionalFormatting sqref="AB402:AB404">
    <cfRule type="expression" dxfId="266" priority="517" stopIfTrue="1">
      <formula>AND(LEN($A402),NOT(LEN($AJ402)))</formula>
    </cfRule>
  </conditionalFormatting>
  <conditionalFormatting sqref="AB406:AB440">
    <cfRule type="expression" dxfId="265" priority="516" stopIfTrue="1">
      <formula>AND(LEN($A406),NOT(LEN($AJ406)))</formula>
    </cfRule>
  </conditionalFormatting>
  <conditionalFormatting sqref="AB442:AB448">
    <cfRule type="expression" dxfId="264" priority="515" stopIfTrue="1">
      <formula>AND(LEN($A442),NOT(LEN($AJ442)))</formula>
    </cfRule>
  </conditionalFormatting>
  <conditionalFormatting sqref="AB450:AB451">
    <cfRule type="expression" dxfId="263" priority="514" stopIfTrue="1">
      <formula>AND(LEN($A450),NOT(LEN($AJ450)))</formula>
    </cfRule>
  </conditionalFormatting>
  <conditionalFormatting sqref="AB453:AB465">
    <cfRule type="expression" dxfId="262" priority="513" stopIfTrue="1">
      <formula>AND(LEN($A453),NOT(LEN($AJ453)))</formula>
    </cfRule>
  </conditionalFormatting>
  <conditionalFormatting sqref="AB467:AB471">
    <cfRule type="expression" dxfId="261" priority="512" stopIfTrue="1">
      <formula>AND(LEN($A467),NOT(LEN($AJ467)))</formula>
    </cfRule>
  </conditionalFormatting>
  <conditionalFormatting sqref="AB473:AB474">
    <cfRule type="expression" dxfId="260" priority="511" stopIfTrue="1">
      <formula>AND(LEN($A473),NOT(LEN($AJ473)))</formula>
    </cfRule>
  </conditionalFormatting>
  <conditionalFormatting sqref="AN11">
    <cfRule type="expression" dxfId="259" priority="370">
      <formula>OR(AND($AN11&lt;&gt;"",$Z11="0"),AND($AN11&lt;&gt;"",$Z11="pd"))</formula>
    </cfRule>
  </conditionalFormatting>
  <conditionalFormatting sqref="AO11">
    <cfRule type="expression" dxfId="258" priority="369">
      <formula>OR(AND($AO11&lt;&gt;"",$Z11="1"),AND($AO11&lt;&gt;"",$Z11="pu"))</formula>
    </cfRule>
    <cfRule type="expression" dxfId="257" priority="429">
      <formula>AND($AK11="Out",$AO11&lt;&gt;"")</formula>
    </cfRule>
  </conditionalFormatting>
  <conditionalFormatting sqref="Y242:Y264">
    <cfRule type="expression" dxfId="256" priority="500" stopIfTrue="1">
      <formula>AND(LEN($A242),NOT(LEN($AJ242)))</formula>
    </cfRule>
  </conditionalFormatting>
  <conditionalFormatting sqref="AK11:AK32">
    <cfRule type="expression" dxfId="255" priority="499">
      <formula>OR(AND($AK11="In",$Z11="0"),AND($AK11="In",$Z11="1"),AND($AK11="In",$Z11="Toggle"))</formula>
    </cfRule>
  </conditionalFormatting>
  <conditionalFormatting sqref="AL11">
    <cfRule type="expression" dxfId="254" priority="482">
      <formula>OR(AND($Z11="1",$AL11="Drive 0"),AND($Z11="1",$AL11="Int PD"),AND($Z11="pu",$AL11="Drive 0"),AND($Z11="pu",$AL11="Int PD"))</formula>
    </cfRule>
    <cfRule type="expression" dxfId="253" priority="483">
      <formula>OR(AND($Z11="0",$AL11="Drive 1"),AND($Z11="0",$AL11="Int PU"),AND($Z11="pd",$AL11="Drive 1"),AND($Z11="pd",$AL11="Int PU"))</formula>
    </cfRule>
  </conditionalFormatting>
  <conditionalFormatting sqref="AL34:AL51">
    <cfRule type="expression" dxfId="252" priority="462">
      <formula>OR(AND($Z34="1",$AL34="Drive 0"),AND($Z34="1",$AL34="Int PD"),AND($Z34="pu",$AL34="Drive 0"),AND($Z34="pu",$AL34="Int PD"))</formula>
    </cfRule>
    <cfRule type="expression" dxfId="251" priority="463">
      <formula>OR(AND($Z34="0",$AL34="Drive 1"),AND($Z34="0",$AL34="Int PU"),AND($Z34="pd",$AL34="Drive 1"),AND($Z34="pd",$AL34="Int PU"))</formula>
    </cfRule>
  </conditionalFormatting>
  <conditionalFormatting sqref="AL53:AL63">
    <cfRule type="expression" dxfId="250" priority="460">
      <formula>OR(AND($Z53="1",$AL53="Drive 0"),AND($Z53="1",$AL53="Int PD"),AND($Z53="pu",$AL53="Drive 0"),AND($Z53="pu",$AL53="Int PD"))</formula>
    </cfRule>
    <cfRule type="expression" dxfId="249" priority="461">
      <formula>OR(AND($Z53="0",$AL53="Drive 1"),AND($Z53="0",$AL53="Int PU"),AND($Z53="pd",$AL53="Drive 1"),AND($Z53="pd",$AL53="Int PU"))</formula>
    </cfRule>
  </conditionalFormatting>
  <conditionalFormatting sqref="AL65:AL102">
    <cfRule type="expression" dxfId="248" priority="458">
      <formula>OR(AND($Z65="1",$AL65="Drive 0"),AND($Z65="1",$AL65="Int PD"),AND($Z65="pu",$AL65="Drive 0"),AND($Z65="pu",$AL65="Int PD"))</formula>
    </cfRule>
    <cfRule type="expression" dxfId="247" priority="459">
      <formula>OR(AND($Z65="0",$AL65="Drive 1"),AND($Z65="0",$AL65="Int PU"),AND($Z65="pd",$AL65="Drive 1"),AND($Z65="pd",$AL65="Int PU"))</formula>
    </cfRule>
  </conditionalFormatting>
  <conditionalFormatting sqref="AL104:AL148">
    <cfRule type="expression" dxfId="246" priority="456">
      <formula>OR(AND($Z104="1",$AL104="Drive 0"),AND($Z104="1",$AL104="Int PD"),AND($Z104="pu",$AL104="Drive 0"),AND($Z104="pu",$AL104="Int PD"))</formula>
    </cfRule>
    <cfRule type="expression" dxfId="245" priority="457">
      <formula>OR(AND($Z104="0",$AL104="Drive 1"),AND($Z104="0",$AL104="Int PU"),AND($Z104="pd",$AL104="Drive 1"),AND($Z104="pd",$AL104="Int PU"))</formula>
    </cfRule>
  </conditionalFormatting>
  <conditionalFormatting sqref="AL150:AL159">
    <cfRule type="expression" dxfId="244" priority="454">
      <formula>OR(AND($Z150="1",$AL150="Drive 0"),AND($Z150="1",$AL150="Int PD"),AND($Z150="pu",$AL150="Drive 0"),AND($Z150="pu",$AL150="Int PD"))</formula>
    </cfRule>
    <cfRule type="expression" dxfId="243" priority="455">
      <formula>OR(AND($Z150="0",$AL150="Drive 1"),AND($Z150="0",$AL150="Int PU"),AND($Z150="pd",$AL150="Drive 1"),AND($Z150="pd",$AL150="Int PU"))</formula>
    </cfRule>
  </conditionalFormatting>
  <conditionalFormatting sqref="AL161:AL170">
    <cfRule type="expression" dxfId="242" priority="452">
      <formula>OR(AND($Z161="1",$AL161="Drive 0"),AND($Z161="1",$AL161="Int PD"),AND($Z161="pu",$AL161="Drive 0"),AND($Z161="pu",$AL161="Int PD"))</formula>
    </cfRule>
    <cfRule type="expression" dxfId="241" priority="453">
      <formula>OR(AND($Z161="0",$AL161="Drive 1"),AND($Z161="0",$AL161="Int PU"),AND($Z161="pd",$AL161="Drive 1"),AND($Z161="pd",$AL161="Int PU"))</formula>
    </cfRule>
  </conditionalFormatting>
  <conditionalFormatting sqref="AL174:AL183">
    <cfRule type="expression" dxfId="240" priority="450">
      <formula>OR(AND($Z174="1",$AL174="Drive 0"),AND($Z174="1",$AL174="Int PD"),AND($Z174="pu",$AL174="Drive 0"),AND($Z174="pu",$AL174="Int PD"))</formula>
    </cfRule>
    <cfRule type="expression" dxfId="239" priority="451">
      <formula>OR(AND($Z174="0",$AL174="Drive 1"),AND($Z174="0",$AL174="Int PU"),AND($Z174="pd",$AL174="Drive 1"),AND($Z174="pd",$AL174="Int PU"))</formula>
    </cfRule>
  </conditionalFormatting>
  <conditionalFormatting sqref="AL187:AL197">
    <cfRule type="expression" dxfId="238" priority="448">
      <formula>OR(AND($Z187="1",$AL187="Drive 0"),AND($Z187="1",$AL187="Int PD"),AND($Z187="pu",$AL187="Drive 0"),AND($Z187="pu",$AL187="Int PD"))</formula>
    </cfRule>
    <cfRule type="expression" dxfId="237" priority="449">
      <formula>OR(AND($Z187="0",$AL187="Drive 1"),AND($Z187="0",$AL187="Int PU"),AND($Z187="pd",$AL187="Drive 1"),AND($Z187="pd",$AL187="Int PU"))</formula>
    </cfRule>
  </conditionalFormatting>
  <conditionalFormatting sqref="AL199">
    <cfRule type="expression" dxfId="236" priority="446">
      <formula>OR(AND($Z199="1",$AL199="Drive 0"),AND($Z199="1",$AL199="Int PD"),AND($Z199="pu",$AL199="Drive 0"),AND($Z199="pu",$AL199="Int PD"))</formula>
    </cfRule>
    <cfRule type="expression" dxfId="235" priority="447">
      <formula>OR(AND($Z199="0",$AL199="Drive 1"),AND($Z199="0",$AL199="Int PU"),AND($Z199="pd",$AL199="Drive 1"),AND($Z199="pd",$AL199="Int PU"))</formula>
    </cfRule>
  </conditionalFormatting>
  <conditionalFormatting sqref="AL203:AL204">
    <cfRule type="expression" dxfId="234" priority="444">
      <formula>OR(AND($Z203="1",$AL203="Drive 0"),AND($Z203="1",$AL203="Int PD"),AND($Z203="pu",$AL203="Drive 0"),AND($Z203="pu",$AL203="Int PD"))</formula>
    </cfRule>
    <cfRule type="expression" dxfId="233" priority="445">
      <formula>OR(AND($Z203="0",$AL203="Drive 1"),AND($Z203="0",$AL203="Int PU"),AND($Z203="pd",$AL203="Drive 1"),AND($Z203="pd",$AL203="Int PU"))</formula>
    </cfRule>
  </conditionalFormatting>
  <conditionalFormatting sqref="AL210:AL233">
    <cfRule type="expression" dxfId="232" priority="442">
      <formula>OR(AND($Z210="1",$AL210="Drive 0"),AND($Z210="1",$AL210="Int PD"),AND($Z210="pu",$AL210="Drive 0"),AND($Z210="pu",$AL210="Int PD"))</formula>
    </cfRule>
    <cfRule type="expression" dxfId="231" priority="443">
      <formula>OR(AND($Z210="0",$AL210="Drive 1"),AND($Z210="0",$AL210="Int PU"),AND($Z210="pd",$AL210="Drive 1"),AND($Z210="pd",$AL210="Int PU"))</formula>
    </cfRule>
  </conditionalFormatting>
  <conditionalFormatting sqref="AL236:AL238">
    <cfRule type="expression" dxfId="230" priority="440">
      <formula>OR(AND($Z236="1",$AL236="Drive 0"),AND($Z236="1",$AL236="Int PD"),AND($Z236="pu",$AL236="Drive 0"),AND($Z236="pu",$AL236="Int PD"))</formula>
    </cfRule>
    <cfRule type="expression" dxfId="229" priority="441">
      <formula>OR(AND($Z236="0",$AL236="Drive 1"),AND($Z236="0",$AL236="Int PU"),AND($Z236="pd",$AL236="Drive 1"),AND($Z236="pd",$AL236="Int PU"))</formula>
    </cfRule>
  </conditionalFormatting>
  <conditionalFormatting sqref="AL242:AL264">
    <cfRule type="expression" dxfId="228" priority="438">
      <formula>OR(AND($Z242="1",$AL242="Drive 0"),AND($Z242="1",$AL242="Int PD"),AND($Z242="pu",$AL242="Drive 0"),AND($Z242="pu",$AL242="Int PD"))</formula>
    </cfRule>
    <cfRule type="expression" dxfId="227" priority="439">
      <formula>OR(AND($Z242="0",$AL242="Drive 1"),AND($Z242="0",$AL242="Int PU"),AND($Z242="pd",$AL242="Drive 1"),AND($Z242="pd",$AL242="Int PU"))</formula>
    </cfRule>
  </conditionalFormatting>
  <conditionalFormatting sqref="AL266:AL281">
    <cfRule type="expression" dxfId="226" priority="436">
      <formula>OR(AND($Z266="1",$AL266="Drive 0"),AND($Z266="1",$AL266="Int PD"),AND($Z266="pu",$AL266="Drive 0"),AND($Z266="pu",$AL266="Int PD"))</formula>
    </cfRule>
    <cfRule type="expression" dxfId="225" priority="437">
      <formula>OR(AND($Z266="0",$AL266="Drive 1"),AND($Z266="0",$AL266="Int PU"),AND($Z266="pd",$AL266="Drive 1"),AND($Z266="pd",$AL266="Int PU"))</formula>
    </cfRule>
  </conditionalFormatting>
  <conditionalFormatting sqref="AN11">
    <cfRule type="expression" dxfId="224" priority="435">
      <formula>AND($AK11="Out",$AN11&lt;&gt;"")</formula>
    </cfRule>
  </conditionalFormatting>
  <conditionalFormatting sqref="AP11">
    <cfRule type="expression" dxfId="223" priority="250">
      <formula>OR(AND($N11="disabled",$AP11="Int PU"),AND($N11="disabled",$AP11="Int PD"))</formula>
    </cfRule>
    <cfRule type="expression" dxfId="222" priority="272">
      <formula>AND($O11="reset",$Z11&lt;&gt;"z",$AP11="z")</formula>
    </cfRule>
    <cfRule type="expression" dxfId="221" priority="273">
      <formula>AND(AND($O11="reset",$Z11&lt;&gt;"1",$AP11="Int PU"),AND($O11="reset",$Z11&lt;&gt;"pu",$AP11="Int PU"))</formula>
    </cfRule>
    <cfRule type="expression" dxfId="220" priority="274">
      <formula>AND(AND($O11="reset",$Z11&lt;&gt;"0",$AP11="Int PD"),AND($O11="reset",$Z11&lt;&gt;"pd",$AP11="Int PD"))</formula>
    </cfRule>
    <cfRule type="expression" dxfId="219" priority="275">
      <formula>AND(AND($O11="reset",$Z11&lt;&gt;"1",$AP11="Drive 1"),AND($O11="reset",$Z11&lt;&gt;"pu",$AP11="Drive 1"))</formula>
    </cfRule>
    <cfRule type="expression" dxfId="218" priority="278">
      <formula>AND(AND($O11="reset",$Z11&lt;&gt;"0",$AP11="Drive 0"),AND($O11="reset",$Z11&lt;&gt;"pd",$AP11="Drive 0"))</formula>
    </cfRule>
  </conditionalFormatting>
  <conditionalFormatting sqref="AP12:AP32">
    <cfRule type="expression" dxfId="217" priority="214">
      <formula>OR(AND($N12="disabled",$AP12="Int PU"),AND($N12="disabled",$AP12="Int PD"))</formula>
    </cfRule>
    <cfRule type="expression" dxfId="216" priority="215">
      <formula>AND($O12="reset",$Z12&lt;&gt;"z",$AP12="z")</formula>
    </cfRule>
    <cfRule type="expression" dxfId="215" priority="216">
      <formula>AND(AND($O12="reset",$Z12&lt;&gt;"1",$AP12="Int PU"),AND($O12="reset",$Z12&lt;&gt;"pu",$AP12="Int PU"))</formula>
    </cfRule>
    <cfRule type="expression" dxfId="214" priority="217">
      <formula>AND(AND($O12="reset",$Z12&lt;&gt;"0",$AP12="Int PD"),AND($O12="reset",$Z12&lt;&gt;"pd",$AP12="Int PD"))</formula>
    </cfRule>
    <cfRule type="expression" dxfId="213" priority="218">
      <formula>AND(AND($O12="reset",$Z12&lt;&gt;"1",$AP12="Drive 1"),AND($O12="reset",$Z12&lt;&gt;"pu",$AP12="Drive 1"))</formula>
    </cfRule>
    <cfRule type="expression" dxfId="212" priority="219">
      <formula>AND(AND($O12="reset",$Z12&lt;&gt;"0",$AP12="Drive 0"),AND($O12="reset",$Z12&lt;&gt;"pd",$AP12="Drive 0"))</formula>
    </cfRule>
  </conditionalFormatting>
  <conditionalFormatting sqref="AP34:AP51">
    <cfRule type="expression" dxfId="211" priority="208">
      <formula>OR(AND($N34="disabled",$AP34="Int PU"),AND($N34="disabled",$AP34="Int PD"))</formula>
    </cfRule>
    <cfRule type="expression" dxfId="210" priority="209">
      <formula>AND($O34="reset",$Z34&lt;&gt;"z",$AP34="z")</formula>
    </cfRule>
    <cfRule type="expression" dxfId="209" priority="210">
      <formula>AND(AND($O34="reset",$Z34&lt;&gt;"1",$AP34="Int PU"),AND($O34="reset",$Z34&lt;&gt;"pu",$AP34="Int PU"))</formula>
    </cfRule>
    <cfRule type="expression" dxfId="208" priority="211">
      <formula>AND(AND($O34="reset",$Z34&lt;&gt;"0",$AP34="Int PD"),AND($O34="reset",$Z34&lt;&gt;"pd",$AP34="Int PD"))</formula>
    </cfRule>
    <cfRule type="expression" dxfId="207" priority="212">
      <formula>AND(AND($O34="reset",$Z34&lt;&gt;"1",$AP34="Drive 1"),AND($O34="reset",$Z34&lt;&gt;"pu",$AP34="Drive 1"))</formula>
    </cfRule>
    <cfRule type="expression" dxfId="206" priority="213">
      <formula>AND(AND($O34="reset",$Z34&lt;&gt;"0",$AP34="Drive 0"),AND($O34="reset",$Z34&lt;&gt;"pd",$AP34="Drive 0"))</formula>
    </cfRule>
  </conditionalFormatting>
  <conditionalFormatting sqref="AP53:AP63">
    <cfRule type="expression" dxfId="205" priority="202">
      <formula>OR(AND($N53="disabled",$AP53="Int PU"),AND($N53="disabled",$AP53="Int PD"))</formula>
    </cfRule>
    <cfRule type="expression" dxfId="204" priority="203">
      <formula>AND($O53="reset",$Z53&lt;&gt;"z",$AP53="z")</formula>
    </cfRule>
    <cfRule type="expression" dxfId="203" priority="204">
      <formula>AND(AND($O53="reset",$Z53&lt;&gt;"1",$AP53="Int PU"),AND($O53="reset",$Z53&lt;&gt;"pu",$AP53="Int PU"))</formula>
    </cfRule>
    <cfRule type="expression" dxfId="202" priority="205">
      <formula>AND(AND($O53="reset",$Z53&lt;&gt;"0",$AP53="Int PD"),AND($O53="reset",$Z53&lt;&gt;"pd",$AP53="Int PD"))</formula>
    </cfRule>
    <cfRule type="expression" dxfId="201" priority="206">
      <formula>AND(AND($O53="reset",$Z53&lt;&gt;"1",$AP53="Drive 1"),AND($O53="reset",$Z53&lt;&gt;"pu",$AP53="Drive 1"))</formula>
    </cfRule>
    <cfRule type="expression" dxfId="200" priority="207">
      <formula>AND(AND($O53="reset",$Z53&lt;&gt;"0",$AP53="Drive 0"),AND($O53="reset",$Z53&lt;&gt;"pd",$AP53="Drive 0"))</formula>
    </cfRule>
  </conditionalFormatting>
  <conditionalFormatting sqref="AP65:AP102">
    <cfRule type="expression" dxfId="199" priority="196">
      <formula>OR(AND($N65="disabled",$AP65="Int PU"),AND($N65="disabled",$AP65="Int PD"))</formula>
    </cfRule>
    <cfRule type="expression" dxfId="198" priority="197">
      <formula>AND($O65="reset",$Z65&lt;&gt;"z",$AP65="z")</formula>
    </cfRule>
    <cfRule type="expression" dxfId="197" priority="198">
      <formula>AND(AND($O65="reset",$Z65&lt;&gt;"1",$AP65="Int PU"),AND($O65="reset",$Z65&lt;&gt;"pu",$AP65="Int PU"))</formula>
    </cfRule>
    <cfRule type="expression" dxfId="196" priority="199">
      <formula>AND(AND($O65="reset",$Z65&lt;&gt;"0",$AP65="Int PD"),AND($O65="reset",$Z65&lt;&gt;"pd",$AP65="Int PD"))</formula>
    </cfRule>
    <cfRule type="expression" dxfId="195" priority="200">
      <formula>AND(AND($O65="reset",$Z65&lt;&gt;"1",$AP65="Drive 1"),AND($O65="reset",$Z65&lt;&gt;"pu",$AP65="Drive 1"))</formula>
    </cfRule>
    <cfRule type="expression" dxfId="194" priority="201">
      <formula>AND(AND($O65="reset",$Z65&lt;&gt;"0",$AP65="Drive 0"),AND($O65="reset",$Z65&lt;&gt;"pd",$AP65="Drive 0"))</formula>
    </cfRule>
  </conditionalFormatting>
  <conditionalFormatting sqref="AP104:AP148">
    <cfRule type="expression" dxfId="193" priority="190">
      <formula>OR(AND($N104="disabled",$AP104="Int PU"),AND($N104="disabled",$AP104="Int PD"))</formula>
    </cfRule>
    <cfRule type="expression" dxfId="192" priority="191">
      <formula>AND($O104="reset",$Z104&lt;&gt;"z",$AP104="z")</formula>
    </cfRule>
    <cfRule type="expression" dxfId="191" priority="192">
      <formula>AND(AND($O104="reset",$Z104&lt;&gt;"1",$AP104="Int PU"),AND($O104="reset",$Z104&lt;&gt;"pu",$AP104="Int PU"))</formula>
    </cfRule>
    <cfRule type="expression" dxfId="190" priority="193">
      <formula>AND(AND($O104="reset",$Z104&lt;&gt;"0",$AP104="Int PD"),AND($O104="reset",$Z104&lt;&gt;"pd",$AP104="Int PD"))</formula>
    </cfRule>
    <cfRule type="expression" dxfId="189" priority="194">
      <formula>AND(AND($O104="reset",$Z104&lt;&gt;"1",$AP104="Drive 1"),AND($O104="reset",$Z104&lt;&gt;"pu",$AP104="Drive 1"))</formula>
    </cfRule>
    <cfRule type="expression" dxfId="188" priority="195">
      <formula>AND(AND($O104="reset",$Z104&lt;&gt;"0",$AP104="Drive 0"),AND($O104="reset",$Z104&lt;&gt;"pd",$AP104="Drive 0"))</formula>
    </cfRule>
  </conditionalFormatting>
  <conditionalFormatting sqref="AP150:AP159">
    <cfRule type="expression" dxfId="187" priority="184">
      <formula>OR(AND($N150="disabled",$AP150="Int PU"),AND($N150="disabled",$AP150="Int PD"))</formula>
    </cfRule>
    <cfRule type="expression" dxfId="186" priority="185">
      <formula>AND($O150="reset",$Z150&lt;&gt;"z",$AP150="z")</formula>
    </cfRule>
    <cfRule type="expression" dxfId="185" priority="186">
      <formula>AND(AND($O150="reset",$Z150&lt;&gt;"1",$AP150="Int PU"),AND($O150="reset",$Z150&lt;&gt;"pu",$AP150="Int PU"))</formula>
    </cfRule>
    <cfRule type="expression" dxfId="184" priority="187">
      <formula>AND(AND($O150="reset",$Z150&lt;&gt;"0",$AP150="Int PD"),AND($O150="reset",$Z150&lt;&gt;"pd",$AP150="Int PD"))</formula>
    </cfRule>
    <cfRule type="expression" dxfId="183" priority="188">
      <formula>AND(AND($O150="reset",$Z150&lt;&gt;"1",$AP150="Drive 1"),AND($O150="reset",$Z150&lt;&gt;"pu",$AP150="Drive 1"))</formula>
    </cfRule>
    <cfRule type="expression" dxfId="182" priority="189">
      <formula>AND(AND($O150="reset",$Z150&lt;&gt;"0",$AP150="Drive 0"),AND($O150="reset",$Z150&lt;&gt;"pd",$AP150="Drive 0"))</formula>
    </cfRule>
  </conditionalFormatting>
  <conditionalFormatting sqref="AP161:AP170">
    <cfRule type="expression" dxfId="181" priority="178">
      <formula>OR(AND($N161="disabled",$AP161="Int PU"),AND($N161="disabled",$AP161="Int PD"))</formula>
    </cfRule>
    <cfRule type="expression" dxfId="180" priority="179">
      <formula>AND($O161="reset",$Z161&lt;&gt;"z",$AP161="z")</formula>
    </cfRule>
    <cfRule type="expression" dxfId="179" priority="180">
      <formula>AND(AND($O161="reset",$Z161&lt;&gt;"1",$AP161="Int PU"),AND($O161="reset",$Z161&lt;&gt;"pu",$AP161="Int PU"))</formula>
    </cfRule>
    <cfRule type="expression" dxfId="178" priority="181">
      <formula>AND(AND($O161="reset",$Z161&lt;&gt;"0",$AP161="Int PD"),AND($O161="reset",$Z161&lt;&gt;"pd",$AP161="Int PD"))</formula>
    </cfRule>
    <cfRule type="expression" dxfId="177" priority="182">
      <formula>AND(AND($O161="reset",$Z161&lt;&gt;"1",$AP161="Drive 1"),AND($O161="reset",$Z161&lt;&gt;"pu",$AP161="Drive 1"))</formula>
    </cfRule>
    <cfRule type="expression" dxfId="176" priority="183">
      <formula>AND(AND($O161="reset",$Z161&lt;&gt;"0",$AP161="Drive 0"),AND($O161="reset",$Z161&lt;&gt;"pd",$AP161="Drive 0"))</formula>
    </cfRule>
  </conditionalFormatting>
  <conditionalFormatting sqref="AP174:AP183">
    <cfRule type="expression" dxfId="175" priority="172">
      <formula>OR(AND($N174="disabled",$AP174="Int PU"),AND($N174="disabled",$AP174="Int PD"))</formula>
    </cfRule>
    <cfRule type="expression" dxfId="174" priority="173">
      <formula>AND($O174="reset",$Z174&lt;&gt;"z",$AP174="z")</formula>
    </cfRule>
    <cfRule type="expression" dxfId="173" priority="174">
      <formula>AND(AND($O174="reset",$Z174&lt;&gt;"1",$AP174="Int PU"),AND($O174="reset",$Z174&lt;&gt;"pu",$AP174="Int PU"))</formula>
    </cfRule>
    <cfRule type="expression" dxfId="172" priority="175">
      <formula>AND(AND($O174="reset",$Z174&lt;&gt;"0",$AP174="Int PD"),AND($O174="reset",$Z174&lt;&gt;"pd",$AP174="Int PD"))</formula>
    </cfRule>
    <cfRule type="expression" dxfId="171" priority="176">
      <formula>AND(AND($O174="reset",$Z174&lt;&gt;"1",$AP174="Drive 1"),AND($O174="reset",$Z174&lt;&gt;"pu",$AP174="Drive 1"))</formula>
    </cfRule>
    <cfRule type="expression" dxfId="170" priority="177">
      <formula>AND(AND($O174="reset",$Z174&lt;&gt;"0",$AP174="Drive 0"),AND($O174="reset",$Z174&lt;&gt;"pd",$AP174="Drive 0"))</formula>
    </cfRule>
  </conditionalFormatting>
  <conditionalFormatting sqref="AP187:AP197">
    <cfRule type="expression" dxfId="169" priority="166">
      <formula>OR(AND($N187="disabled",$AP187="Int PU"),AND($N187="disabled",$AP187="Int PD"))</formula>
    </cfRule>
    <cfRule type="expression" dxfId="168" priority="167">
      <formula>AND($O187="reset",$Z187&lt;&gt;"z",$AP187="z")</formula>
    </cfRule>
    <cfRule type="expression" dxfId="167" priority="168">
      <formula>AND(AND($O187="reset",$Z187&lt;&gt;"1",$AP187="Int PU"),AND($O187="reset",$Z187&lt;&gt;"pu",$AP187="Int PU"))</formula>
    </cfRule>
    <cfRule type="expression" dxfId="166" priority="169">
      <formula>AND(AND($O187="reset",$Z187&lt;&gt;"0",$AP187="Int PD"),AND($O187="reset",$Z187&lt;&gt;"pd",$AP187="Int PD"))</formula>
    </cfRule>
    <cfRule type="expression" dxfId="165" priority="170">
      <formula>AND(AND($O187="reset",$Z187&lt;&gt;"1",$AP187="Drive 1"),AND($O187="reset",$Z187&lt;&gt;"pu",$AP187="Drive 1"))</formula>
    </cfRule>
    <cfRule type="expression" dxfId="164" priority="171">
      <formula>AND(AND($O187="reset",$Z187&lt;&gt;"0",$AP187="Drive 0"),AND($O187="reset",$Z187&lt;&gt;"pd",$AP187="Drive 0"))</formula>
    </cfRule>
  </conditionalFormatting>
  <conditionalFormatting sqref="AP199">
    <cfRule type="expression" dxfId="163" priority="160">
      <formula>OR(AND($N199="disabled",$AP199="Int PU"),AND($N199="disabled",$AP199="Int PD"))</formula>
    </cfRule>
    <cfRule type="expression" dxfId="162" priority="161">
      <formula>AND($O199="reset",$Z199&lt;&gt;"z",$AP199="z")</formula>
    </cfRule>
    <cfRule type="expression" dxfId="161" priority="162">
      <formula>AND(AND($O199="reset",$Z199&lt;&gt;"1",$AP199="Int PU"),AND($O199="reset",$Z199&lt;&gt;"pu",$AP199="Int PU"))</formula>
    </cfRule>
    <cfRule type="expression" dxfId="160" priority="163">
      <formula>AND(AND($O199="reset",$Z199&lt;&gt;"0",$AP199="Int PD"),AND($O199="reset",$Z199&lt;&gt;"pd",$AP199="Int PD"))</formula>
    </cfRule>
    <cfRule type="expression" dxfId="159" priority="164">
      <formula>AND(AND($O199="reset",$Z199&lt;&gt;"1",$AP199="Drive 1"),AND($O199="reset",$Z199&lt;&gt;"pu",$AP199="Drive 1"))</formula>
    </cfRule>
    <cfRule type="expression" dxfId="158" priority="165">
      <formula>AND(AND($O199="reset",$Z199&lt;&gt;"0",$AP199="Drive 0"),AND($O199="reset",$Z199&lt;&gt;"pd",$AP199="Drive 0"))</formula>
    </cfRule>
  </conditionalFormatting>
  <conditionalFormatting sqref="AP203:AP204">
    <cfRule type="expression" dxfId="157" priority="154">
      <formula>OR(AND($N203="disabled",$AP203="Int PU"),AND($N203="disabled",$AP203="Int PD"))</formula>
    </cfRule>
    <cfRule type="expression" dxfId="156" priority="155">
      <formula>AND($O203="reset",$Z203&lt;&gt;"z",$AP203="z")</formula>
    </cfRule>
    <cfRule type="expression" dxfId="155" priority="156">
      <formula>AND(AND($O203="reset",$Z203&lt;&gt;"1",$AP203="Int PU"),AND($O203="reset",$Z203&lt;&gt;"pu",$AP203="Int PU"))</formula>
    </cfRule>
    <cfRule type="expression" dxfId="154" priority="157">
      <formula>AND(AND($O203="reset",$Z203&lt;&gt;"0",$AP203="Int PD"),AND($O203="reset",$Z203&lt;&gt;"pd",$AP203="Int PD"))</formula>
    </cfRule>
    <cfRule type="expression" dxfId="153" priority="158">
      <formula>AND(AND($O203="reset",$Z203&lt;&gt;"1",$AP203="Drive 1"),AND($O203="reset",$Z203&lt;&gt;"pu",$AP203="Drive 1"))</formula>
    </cfRule>
    <cfRule type="expression" dxfId="152" priority="159">
      <formula>AND(AND($O203="reset",$Z203&lt;&gt;"0",$AP203="Drive 0"),AND($O203="reset",$Z203&lt;&gt;"pd",$AP203="Drive 0"))</formula>
    </cfRule>
  </conditionalFormatting>
  <conditionalFormatting sqref="AP210:AP233">
    <cfRule type="expression" dxfId="151" priority="148">
      <formula>OR(AND($N210="disabled",$AP210="Int PU"),AND($N210="disabled",$AP210="Int PD"))</formula>
    </cfRule>
    <cfRule type="expression" dxfId="150" priority="149">
      <formula>AND($O210="reset",$Z210&lt;&gt;"z",$AP210="z")</formula>
    </cfRule>
    <cfRule type="expression" dxfId="149" priority="150">
      <formula>AND(AND($O210="reset",$Z210&lt;&gt;"1",$AP210="Int PU"),AND($O210="reset",$Z210&lt;&gt;"pu",$AP210="Int PU"))</formula>
    </cfRule>
    <cfRule type="expression" dxfId="148" priority="151">
      <formula>AND(AND($O210="reset",$Z210&lt;&gt;"0",$AP210="Int PD"),AND($O210="reset",$Z210&lt;&gt;"pd",$AP210="Int PD"))</formula>
    </cfRule>
    <cfRule type="expression" dxfId="147" priority="152">
      <formula>AND(AND($O210="reset",$Z210&lt;&gt;"1",$AP210="Drive 1"),AND($O210="reset",$Z210&lt;&gt;"pu",$AP210="Drive 1"))</formula>
    </cfRule>
    <cfRule type="expression" dxfId="146" priority="153">
      <formula>AND(AND($O210="reset",$Z210&lt;&gt;"0",$AP210="Drive 0"),AND($O210="reset",$Z210&lt;&gt;"pd",$AP210="Drive 0"))</formula>
    </cfRule>
  </conditionalFormatting>
  <conditionalFormatting sqref="AP236:AP238">
    <cfRule type="expression" dxfId="145" priority="142">
      <formula>OR(AND($N236="disabled",$AP236="Int PU"),AND($N236="disabled",$AP236="Int PD"))</formula>
    </cfRule>
    <cfRule type="expression" dxfId="144" priority="143">
      <formula>AND($O236="reset",$Z236&lt;&gt;"z",$AP236="z")</formula>
    </cfRule>
    <cfRule type="expression" dxfId="143" priority="144">
      <formula>AND(AND($O236="reset",$Z236&lt;&gt;"1",$AP236="Int PU"),AND($O236="reset",$Z236&lt;&gt;"pu",$AP236="Int PU"))</formula>
    </cfRule>
    <cfRule type="expression" dxfId="142" priority="145">
      <formula>AND(AND($O236="reset",$Z236&lt;&gt;"0",$AP236="Int PD"),AND($O236="reset",$Z236&lt;&gt;"pd",$AP236="Int PD"))</formula>
    </cfRule>
    <cfRule type="expression" dxfId="141" priority="146">
      <formula>AND(AND($O236="reset",$Z236&lt;&gt;"1",$AP236="Drive 1"),AND($O236="reset",$Z236&lt;&gt;"pu",$AP236="Drive 1"))</formula>
    </cfRule>
    <cfRule type="expression" dxfId="140" priority="147">
      <formula>AND(AND($O236="reset",$Z236&lt;&gt;"0",$AP236="Drive 0"),AND($O236="reset",$Z236&lt;&gt;"pd",$AP236="Drive 0"))</formula>
    </cfRule>
  </conditionalFormatting>
  <conditionalFormatting sqref="AP242:AP264">
    <cfRule type="expression" dxfId="139" priority="136">
      <formula>OR(AND($N242="disabled",$AP242="Int PU"),AND($N242="disabled",$AP242="Int PD"))</formula>
    </cfRule>
    <cfRule type="expression" dxfId="138" priority="137">
      <formula>AND($O242="reset",$Z242&lt;&gt;"z",$AP242="z")</formula>
    </cfRule>
    <cfRule type="expression" dxfId="137" priority="138">
      <formula>AND(AND($O242="reset",$Z242&lt;&gt;"1",$AP242="Int PU"),AND($O242="reset",$Z242&lt;&gt;"pu",$AP242="Int PU"))</formula>
    </cfRule>
    <cfRule type="expression" dxfId="136" priority="139">
      <formula>AND(AND($O242="reset",$Z242&lt;&gt;"0",$AP242="Int PD"),AND($O242="reset",$Z242&lt;&gt;"pd",$AP242="Int PD"))</formula>
    </cfRule>
    <cfRule type="expression" dxfId="135" priority="140">
      <formula>AND(AND($O242="reset",$Z242&lt;&gt;"1",$AP242="Drive 1"),AND($O242="reset",$Z242&lt;&gt;"pu",$AP242="Drive 1"))</formula>
    </cfRule>
    <cfRule type="expression" dxfId="134" priority="141">
      <formula>AND(AND($O242="reset",$Z242&lt;&gt;"0",$AP242="Drive 0"),AND($O242="reset",$Z242&lt;&gt;"pd",$AP242="Drive 0"))</formula>
    </cfRule>
  </conditionalFormatting>
  <conditionalFormatting sqref="AP266:AP281">
    <cfRule type="expression" dxfId="133" priority="130">
      <formula>OR(AND($N266="disabled",$AP266="Int PU"),AND($N266="disabled",$AP266="Int PD"))</formula>
    </cfRule>
    <cfRule type="expression" dxfId="132" priority="131">
      <formula>AND($O266="reset",$Z266&lt;&gt;"z",$AP266="z")</formula>
    </cfRule>
    <cfRule type="expression" dxfId="131" priority="132">
      <formula>AND(AND($O266="reset",$Z266&lt;&gt;"1",$AP266="Int PU"),AND($O266="reset",$Z266&lt;&gt;"pu",$AP266="Int PU"))</formula>
    </cfRule>
    <cfRule type="expression" dxfId="130" priority="133">
      <formula>AND(AND($O266="reset",$Z266&lt;&gt;"0",$AP266="Int PD"),AND($O266="reset",$Z266&lt;&gt;"pd",$AP266="Int PD"))</formula>
    </cfRule>
    <cfRule type="expression" dxfId="129" priority="134">
      <formula>AND(AND($O266="reset",$Z266&lt;&gt;"1",$AP266="Drive 1"),AND($O266="reset",$Z266&lt;&gt;"pu",$AP266="Drive 1"))</formula>
    </cfRule>
    <cfRule type="expression" dxfId="128" priority="135">
      <formula>AND(AND($O266="reset",$Z266&lt;&gt;"0",$AP266="Drive 0"),AND($O266="reset",$Z266&lt;&gt;"pd",$AP266="Drive 0"))</formula>
    </cfRule>
  </conditionalFormatting>
  <conditionalFormatting sqref="AN12:AN32">
    <cfRule type="expression" dxfId="127" priority="121">
      <formula>OR(AND($AN12&lt;&gt;"",$Z12="0"),AND($AN12&lt;&gt;"",$Z12="pd"))</formula>
    </cfRule>
  </conditionalFormatting>
  <conditionalFormatting sqref="AO12:AO32">
    <cfRule type="expression" dxfId="126" priority="120">
      <formula>OR(AND($AO12&lt;&gt;"",$Z12="1"),AND($AO12&lt;&gt;"",$Z12="pu"))</formula>
    </cfRule>
    <cfRule type="expression" dxfId="125" priority="122">
      <formula>AND($AK12="Out",$AO12&lt;&gt;"")</formula>
    </cfRule>
  </conditionalFormatting>
  <conditionalFormatting sqref="AN12:AN32">
    <cfRule type="expression" dxfId="124" priority="123">
      <formula>AND($AK12="Out",$AN12&lt;&gt;"")</formula>
    </cfRule>
  </conditionalFormatting>
  <conditionalFormatting sqref="AN34:AN51">
    <cfRule type="expression" dxfId="123" priority="117">
      <formula>OR(AND($AN34&lt;&gt;"",$Z34="0"),AND($AN34&lt;&gt;"",$Z34="pd"))</formula>
    </cfRule>
  </conditionalFormatting>
  <conditionalFormatting sqref="AO34:AO51">
    <cfRule type="expression" dxfId="122" priority="116">
      <formula>OR(AND($AO34&lt;&gt;"",$Z34="1"),AND($AO34&lt;&gt;"",$Z34="pu"))</formula>
    </cfRule>
    <cfRule type="expression" dxfId="121" priority="118">
      <formula>AND($AK34="Out",$AO34&lt;&gt;"")</formula>
    </cfRule>
  </conditionalFormatting>
  <conditionalFormatting sqref="AN34:AN51">
    <cfRule type="expression" dxfId="120" priority="119">
      <formula>AND($AK34="Out",$AN34&lt;&gt;"")</formula>
    </cfRule>
  </conditionalFormatting>
  <conditionalFormatting sqref="AN53:AN63">
    <cfRule type="expression" dxfId="119" priority="113">
      <formula>OR(AND($AN53&lt;&gt;"",$Z53="0"),AND($AN53&lt;&gt;"",$Z53="pd"))</formula>
    </cfRule>
  </conditionalFormatting>
  <conditionalFormatting sqref="AO53:AO63">
    <cfRule type="expression" dxfId="118" priority="112">
      <formula>OR(AND($AO53&lt;&gt;"",$Z53="1"),AND($AO53&lt;&gt;"",$Z53="pu"))</formula>
    </cfRule>
    <cfRule type="expression" dxfId="117" priority="114">
      <formula>AND($AK53="Out",$AO53&lt;&gt;"")</formula>
    </cfRule>
  </conditionalFormatting>
  <conditionalFormatting sqref="AN53:AN63">
    <cfRule type="expression" dxfId="116" priority="115">
      <formula>AND($AK53="Out",$AN53&lt;&gt;"")</formula>
    </cfRule>
  </conditionalFormatting>
  <conditionalFormatting sqref="AN65:AN102">
    <cfRule type="expression" dxfId="115" priority="109">
      <formula>OR(AND($AN65&lt;&gt;"",$Z65="0"),AND($AN65&lt;&gt;"",$Z65="pd"))</formula>
    </cfRule>
  </conditionalFormatting>
  <conditionalFormatting sqref="AO65:AO102">
    <cfRule type="expression" dxfId="114" priority="108">
      <formula>OR(AND($AO65&lt;&gt;"",$Z65="1"),AND($AO65&lt;&gt;"",$Z65="pu"))</formula>
    </cfRule>
    <cfRule type="expression" dxfId="113" priority="110">
      <formula>AND($AK65="Out",$AO65&lt;&gt;"")</formula>
    </cfRule>
  </conditionalFormatting>
  <conditionalFormatting sqref="AN65:AN102">
    <cfRule type="expression" dxfId="112" priority="111">
      <formula>AND($AK65="Out",$AN65&lt;&gt;"")</formula>
    </cfRule>
  </conditionalFormatting>
  <conditionalFormatting sqref="AN104:AN148">
    <cfRule type="expression" dxfId="111" priority="105">
      <formula>OR(AND($AN104&lt;&gt;"",$Z104="0"),AND($AN104&lt;&gt;"",$Z104="pd"))</formula>
    </cfRule>
  </conditionalFormatting>
  <conditionalFormatting sqref="AO104:AO148">
    <cfRule type="expression" dxfId="110" priority="104">
      <formula>OR(AND($AO104&lt;&gt;"",$Z104="1"),AND($AO104&lt;&gt;"",$Z104="pu"))</formula>
    </cfRule>
    <cfRule type="expression" dxfId="109" priority="106">
      <formula>AND($AK104="Out",$AO104&lt;&gt;"")</formula>
    </cfRule>
  </conditionalFormatting>
  <conditionalFormatting sqref="AN104:AN148">
    <cfRule type="expression" dxfId="108" priority="107">
      <formula>AND($AK104="Out",$AN104&lt;&gt;"")</formula>
    </cfRule>
  </conditionalFormatting>
  <conditionalFormatting sqref="AN150:AN159">
    <cfRule type="expression" dxfId="107" priority="101">
      <formula>OR(AND($AN150&lt;&gt;"",$Z150="0"),AND($AN150&lt;&gt;"",$Z150="pd"))</formula>
    </cfRule>
  </conditionalFormatting>
  <conditionalFormatting sqref="AO150:AO159">
    <cfRule type="expression" dxfId="106" priority="100">
      <formula>OR(AND($AO150&lt;&gt;"",$Z150="1"),AND($AO150&lt;&gt;"",$Z150="pu"))</formula>
    </cfRule>
    <cfRule type="expression" dxfId="105" priority="102">
      <formula>AND($AK150="Out",$AO150&lt;&gt;"")</formula>
    </cfRule>
  </conditionalFormatting>
  <conditionalFormatting sqref="AN150:AN159">
    <cfRule type="expression" dxfId="104" priority="103">
      <formula>AND($AK150="Out",$AN150&lt;&gt;"")</formula>
    </cfRule>
  </conditionalFormatting>
  <conditionalFormatting sqref="AN161:AN170">
    <cfRule type="expression" dxfId="103" priority="97">
      <formula>OR(AND($AN161&lt;&gt;"",$Z161="0"),AND($AN161&lt;&gt;"",$Z161="pd"))</formula>
    </cfRule>
  </conditionalFormatting>
  <conditionalFormatting sqref="AO161:AO170">
    <cfRule type="expression" dxfId="102" priority="96">
      <formula>OR(AND($AO161&lt;&gt;"",$Z161="1"),AND($AO161&lt;&gt;"",$Z161="pu"))</formula>
    </cfRule>
    <cfRule type="expression" dxfId="101" priority="98">
      <formula>AND($AK161="Out",$AO161&lt;&gt;"")</formula>
    </cfRule>
  </conditionalFormatting>
  <conditionalFormatting sqref="AN161:AN170">
    <cfRule type="expression" dxfId="100" priority="99">
      <formula>AND($AK161="Out",$AN161&lt;&gt;"")</formula>
    </cfRule>
  </conditionalFormatting>
  <conditionalFormatting sqref="AN174:AN183">
    <cfRule type="expression" dxfId="99" priority="93">
      <formula>OR(AND($AN174&lt;&gt;"",$Z174="0"),AND($AN174&lt;&gt;"",$Z174="pd"))</formula>
    </cfRule>
  </conditionalFormatting>
  <conditionalFormatting sqref="AO174:AO183">
    <cfRule type="expression" dxfId="98" priority="92">
      <formula>OR(AND($AO174&lt;&gt;"",$Z174="1"),AND($AO174&lt;&gt;"",$Z174="pu"))</formula>
    </cfRule>
    <cfRule type="expression" dxfId="97" priority="94">
      <formula>AND($AK174="Out",$AO174&lt;&gt;"")</formula>
    </cfRule>
  </conditionalFormatting>
  <conditionalFormatting sqref="AN174:AN183">
    <cfRule type="expression" dxfId="96" priority="95">
      <formula>AND($AK174="Out",$AN174&lt;&gt;"")</formula>
    </cfRule>
  </conditionalFormatting>
  <conditionalFormatting sqref="AN187:AN197">
    <cfRule type="expression" dxfId="95" priority="89">
      <formula>OR(AND($AN187&lt;&gt;"",$Z187="0"),AND($AN187&lt;&gt;"",$Z187="pd"))</formula>
    </cfRule>
  </conditionalFormatting>
  <conditionalFormatting sqref="AO187:AO197">
    <cfRule type="expression" dxfId="94" priority="88">
      <formula>OR(AND($AO187&lt;&gt;"",$Z187="1"),AND($AO187&lt;&gt;"",$Z187="pu"))</formula>
    </cfRule>
    <cfRule type="expression" dxfId="93" priority="90">
      <formula>AND($AK187="Out",$AO187&lt;&gt;"")</formula>
    </cfRule>
  </conditionalFormatting>
  <conditionalFormatting sqref="AN187:AN197">
    <cfRule type="expression" dxfId="92" priority="91">
      <formula>AND($AK187="Out",$AN187&lt;&gt;"")</formula>
    </cfRule>
  </conditionalFormatting>
  <conditionalFormatting sqref="AN199">
    <cfRule type="expression" dxfId="91" priority="85">
      <formula>OR(AND($AN199&lt;&gt;"",$Z199="0"),AND($AN199&lt;&gt;"",$Z199="pd"))</formula>
    </cfRule>
  </conditionalFormatting>
  <conditionalFormatting sqref="AO199">
    <cfRule type="expression" dxfId="90" priority="84">
      <formula>OR(AND($AO199&lt;&gt;"",$Z199="1"),AND($AO199&lt;&gt;"",$Z199="pu"))</formula>
    </cfRule>
    <cfRule type="expression" dxfId="89" priority="86">
      <formula>AND($AK199="Out",$AO199&lt;&gt;"")</formula>
    </cfRule>
  </conditionalFormatting>
  <conditionalFormatting sqref="AN199">
    <cfRule type="expression" dxfId="88" priority="87">
      <formula>AND($AK199="Out",$AN199&lt;&gt;"")</formula>
    </cfRule>
  </conditionalFormatting>
  <conditionalFormatting sqref="AN203:AN204">
    <cfRule type="expression" dxfId="87" priority="81">
      <formula>OR(AND($AN203&lt;&gt;"",$Z203="0"),AND($AN203&lt;&gt;"",$Z203="pd"))</formula>
    </cfRule>
  </conditionalFormatting>
  <conditionalFormatting sqref="AO203:AO204">
    <cfRule type="expression" dxfId="86" priority="80">
      <formula>OR(AND($AO203&lt;&gt;"",$Z203="1"),AND($AO203&lt;&gt;"",$Z203="pu"))</formula>
    </cfRule>
    <cfRule type="expression" dxfId="85" priority="82">
      <formula>AND($AK203="Out",$AO203&lt;&gt;"")</formula>
    </cfRule>
  </conditionalFormatting>
  <conditionalFormatting sqref="AN203:AN204">
    <cfRule type="expression" dxfId="84" priority="83">
      <formula>AND($AK203="Out",$AN203&lt;&gt;"")</formula>
    </cfRule>
  </conditionalFormatting>
  <conditionalFormatting sqref="AN210:AN233">
    <cfRule type="expression" dxfId="83" priority="77">
      <formula>OR(AND($AN210&lt;&gt;"",$Z210="0"),AND($AN210&lt;&gt;"",$Z210="pd"))</formula>
    </cfRule>
  </conditionalFormatting>
  <conditionalFormatting sqref="AO210:AO233">
    <cfRule type="expression" dxfId="82" priority="76">
      <formula>OR(AND($AO210&lt;&gt;"",$Z210="1"),AND($AO210&lt;&gt;"",$Z210="pu"))</formula>
    </cfRule>
    <cfRule type="expression" dxfId="81" priority="78">
      <formula>AND($AK210="Out",$AO210&lt;&gt;"")</formula>
    </cfRule>
  </conditionalFormatting>
  <conditionalFormatting sqref="AN210:AN233">
    <cfRule type="expression" dxfId="80" priority="79">
      <formula>AND($AK210="Out",$AN210&lt;&gt;"")</formula>
    </cfRule>
  </conditionalFormatting>
  <conditionalFormatting sqref="AN236:AN238">
    <cfRule type="expression" dxfId="79" priority="73">
      <formula>OR(AND($AN236&lt;&gt;"",$Z236="0"),AND($AN236&lt;&gt;"",$Z236="pd"))</formula>
    </cfRule>
  </conditionalFormatting>
  <conditionalFormatting sqref="AO236:AO238">
    <cfRule type="expression" dxfId="78" priority="72">
      <formula>OR(AND($AO236&lt;&gt;"",$Z236="1"),AND($AO236&lt;&gt;"",$Z236="pu"))</formula>
    </cfRule>
    <cfRule type="expression" dxfId="77" priority="74">
      <formula>AND($AK236="Out",$AO236&lt;&gt;"")</formula>
    </cfRule>
  </conditionalFormatting>
  <conditionalFormatting sqref="AN236:AN238">
    <cfRule type="expression" dxfId="76" priority="75">
      <formula>AND($AK236="Out",$AN236&lt;&gt;"")</formula>
    </cfRule>
  </conditionalFormatting>
  <conditionalFormatting sqref="AN242:AN264">
    <cfRule type="expression" dxfId="75" priority="69">
      <formula>OR(AND($AN242&lt;&gt;"",$Z242="0"),AND($AN242&lt;&gt;"",$Z242="pd"))</formula>
    </cfRule>
  </conditionalFormatting>
  <conditionalFormatting sqref="AO242:AO264">
    <cfRule type="expression" dxfId="74" priority="68">
      <formula>OR(AND($AO242&lt;&gt;"",$Z242="1"),AND($AO242&lt;&gt;"",$Z242="pu"))</formula>
    </cfRule>
    <cfRule type="expression" dxfId="73" priority="70">
      <formula>AND($AK242="Out",$AO242&lt;&gt;"")</formula>
    </cfRule>
  </conditionalFormatting>
  <conditionalFormatting sqref="AN242:AN264">
    <cfRule type="expression" dxfId="72" priority="71">
      <formula>AND($AK242="Out",$AN242&lt;&gt;"")</formula>
    </cfRule>
  </conditionalFormatting>
  <conditionalFormatting sqref="AN266:AN281">
    <cfRule type="expression" dxfId="71" priority="65">
      <formula>OR(AND($AN266&lt;&gt;"",$Z266="0"),AND($AN266&lt;&gt;"",$Z266="pd"))</formula>
    </cfRule>
  </conditionalFormatting>
  <conditionalFormatting sqref="AO266:AO281">
    <cfRule type="expression" dxfId="70" priority="64">
      <formula>OR(AND($AO266&lt;&gt;"",$Z266="1"),AND($AO266&lt;&gt;"",$Z266="pu"))</formula>
    </cfRule>
    <cfRule type="expression" dxfId="69" priority="66">
      <formula>AND($AK266="Out",$AO266&lt;&gt;"")</formula>
    </cfRule>
  </conditionalFormatting>
  <conditionalFormatting sqref="AN266:AN281">
    <cfRule type="expression" dxfId="68" priority="67">
      <formula>AND($AK266="Out",$AN266&lt;&gt;"")</formula>
    </cfRule>
  </conditionalFormatting>
  <conditionalFormatting sqref="AR214:AR217">
    <cfRule type="expression" dxfId="67" priority="63" stopIfTrue="1">
      <formula>AND(LEN($A201),NOT(LEN($X201)))</formula>
    </cfRule>
  </conditionalFormatting>
  <conditionalFormatting sqref="AR214:AR217">
    <cfRule type="expression" dxfId="66" priority="62" stopIfTrue="1">
      <formula>AND(LEN($A201),NOT(LEN($X201)))</formula>
    </cfRule>
  </conditionalFormatting>
  <conditionalFormatting sqref="AL12:AL32">
    <cfRule type="expression" dxfId="65" priority="58">
      <formula>OR(AND($Z12="1",$AL12="Drive 0"),AND($Z12="1",$AL12="Int PD"),AND($Z12="pu",$AL12="Drive 0"),AND($Z12="pu",$AL12="Int PD"))</formula>
    </cfRule>
    <cfRule type="expression" dxfId="64" priority="59">
      <formula>OR(AND($Z12="0",$AL12="Drive 1"),AND($Z12="0",$AL12="Int PU"),AND($Z12="pd",$AL12="Drive 1"),AND($Z12="pd",$AL12="Int PU"))</formula>
    </cfRule>
  </conditionalFormatting>
  <conditionalFormatting sqref="AJ106">
    <cfRule type="expression" dxfId="63" priority="54">
      <formula>($AB106="GPIO")</formula>
    </cfRule>
  </conditionalFormatting>
  <conditionalFormatting sqref="AJ107">
    <cfRule type="expression" dxfId="62" priority="52">
      <formula>($AB107="GPIO")</formula>
    </cfRule>
  </conditionalFormatting>
  <conditionalFormatting sqref="AJ108">
    <cfRule type="expression" dxfId="61" priority="50">
      <formula>($AB108="GPIO")</formula>
    </cfRule>
  </conditionalFormatting>
  <conditionalFormatting sqref="AQ11:AQ31">
    <cfRule type="expression" dxfId="60" priority="49" stopIfTrue="1">
      <formula>"($R($C-2))=-2"</formula>
    </cfRule>
  </conditionalFormatting>
  <conditionalFormatting sqref="AQ32">
    <cfRule type="expression" dxfId="59" priority="48" stopIfTrue="1">
      <formula>"($R($C-2))=-2"</formula>
    </cfRule>
  </conditionalFormatting>
  <conditionalFormatting sqref="AQ39">
    <cfRule type="expression" dxfId="58" priority="47" stopIfTrue="1">
      <formula>"($R($C-2))=-2"</formula>
    </cfRule>
  </conditionalFormatting>
  <conditionalFormatting sqref="AQ36">
    <cfRule type="expression" dxfId="57" priority="46" stopIfTrue="1">
      <formula>"($R($C-2))=-2"</formula>
    </cfRule>
  </conditionalFormatting>
  <conditionalFormatting sqref="AQ53:AQ57 AQ59:AQ62">
    <cfRule type="expression" dxfId="56" priority="45" stopIfTrue="1">
      <formula>"($R($C-2))=-2"</formula>
    </cfRule>
  </conditionalFormatting>
  <conditionalFormatting sqref="AQ87:AQ102 AQ65:AQ85">
    <cfRule type="expression" dxfId="55" priority="44" stopIfTrue="1">
      <formula>"($R($C-2))=-2"</formula>
    </cfRule>
  </conditionalFormatting>
  <conditionalFormatting sqref="AQ86">
    <cfRule type="expression" dxfId="54" priority="43" stopIfTrue="1">
      <formula>"($R($C-2))=-2"</formula>
    </cfRule>
  </conditionalFormatting>
  <conditionalFormatting sqref="AQ146 AQ148 AQ143 AQ141 AQ136 AQ106:AQ111">
    <cfRule type="expression" dxfId="53" priority="42" stopIfTrue="1">
      <formula>"($R($C-2))=-2"</formula>
    </cfRule>
  </conditionalFormatting>
  <conditionalFormatting sqref="AQ135 AQ147 AQ142 AQ144:AQ145 AQ137:AQ140">
    <cfRule type="expression" dxfId="52" priority="41" stopIfTrue="1">
      <formula>"($R($C-2))=-2"</formula>
    </cfRule>
  </conditionalFormatting>
  <conditionalFormatting sqref="AQ104">
    <cfRule type="expression" dxfId="51" priority="40" stopIfTrue="1">
      <formula>"($R($C-2))=-2"</formula>
    </cfRule>
  </conditionalFormatting>
  <conditionalFormatting sqref="AQ105">
    <cfRule type="expression" dxfId="50" priority="39" stopIfTrue="1">
      <formula>"($R($C-2))=-2"</formula>
    </cfRule>
  </conditionalFormatting>
  <conditionalFormatting sqref="AQ150:AQ159">
    <cfRule type="expression" dxfId="49" priority="38" stopIfTrue="1">
      <formula>"($R($C-2))=-2"</formula>
    </cfRule>
  </conditionalFormatting>
  <conditionalFormatting sqref="AQ161:AQ170">
    <cfRule type="expression" dxfId="48" priority="37" stopIfTrue="1">
      <formula>"($R($C-2))=-2"</formula>
    </cfRule>
  </conditionalFormatting>
  <conditionalFormatting sqref="AQ171:AQ172">
    <cfRule type="expression" dxfId="47" priority="36" stopIfTrue="1">
      <formula>"($R($C-2))=-2"</formula>
    </cfRule>
  </conditionalFormatting>
  <conditionalFormatting sqref="AQ174:AQ183">
    <cfRule type="expression" dxfId="46" priority="35" stopIfTrue="1">
      <formula>"($R($C-2))=-2"</formula>
    </cfRule>
  </conditionalFormatting>
  <conditionalFormatting sqref="AQ184:AQ185">
    <cfRule type="expression" dxfId="45" priority="34" stopIfTrue="1">
      <formula>"($R($C-2))=-2"</formula>
    </cfRule>
  </conditionalFormatting>
  <conditionalFormatting sqref="AQ187:AQ197">
    <cfRule type="expression" dxfId="44" priority="33" stopIfTrue="1">
      <formula>"($R($C-2))=-2"</formula>
    </cfRule>
  </conditionalFormatting>
  <conditionalFormatting sqref="AQ199">
    <cfRule type="expression" dxfId="43" priority="32" stopIfTrue="1">
      <formula>"($R($C-2))=-2"</formula>
    </cfRule>
  </conditionalFormatting>
  <conditionalFormatting sqref="AQ203">
    <cfRule type="expression" dxfId="42" priority="31" stopIfTrue="1">
      <formula>"($R($C-2))=-2"</formula>
    </cfRule>
  </conditionalFormatting>
  <conditionalFormatting sqref="AQ214:AQ215">
    <cfRule type="expression" dxfId="41" priority="30" stopIfTrue="1">
      <formula>"($R($C-2))=-2"</formula>
    </cfRule>
  </conditionalFormatting>
  <conditionalFormatting sqref="AQ210:AQ213">
    <cfRule type="expression" dxfId="40" priority="29" stopIfTrue="1">
      <formula>"($R($C-2))=-2"</formula>
    </cfRule>
  </conditionalFormatting>
  <conditionalFormatting sqref="AQ216">
    <cfRule type="expression" dxfId="39" priority="28" stopIfTrue="1">
      <formula>"($R($C-2))=-2"</formula>
    </cfRule>
  </conditionalFormatting>
  <conditionalFormatting sqref="AQ217">
    <cfRule type="expression" dxfId="38" priority="27" stopIfTrue="1">
      <formula>"($R($C-2))=-2"</formula>
    </cfRule>
  </conditionalFormatting>
  <conditionalFormatting sqref="AQ228:AQ229 AQ232 AQ220:AQ224">
    <cfRule type="expression" dxfId="37" priority="26" stopIfTrue="1">
      <formula>"($R($C-2))=-2"</formula>
    </cfRule>
  </conditionalFormatting>
  <conditionalFormatting sqref="AQ226 AQ230:AQ231 AQ233:AQ234">
    <cfRule type="expression" dxfId="36" priority="25" stopIfTrue="1">
      <formula>"($R($C-2))=-2"</formula>
    </cfRule>
  </conditionalFormatting>
  <conditionalFormatting sqref="AQ225">
    <cfRule type="expression" dxfId="35" priority="24" stopIfTrue="1">
      <formula>"($R($C-2))=-2"</formula>
    </cfRule>
  </conditionalFormatting>
  <conditionalFormatting sqref="AQ227">
    <cfRule type="expression" dxfId="34" priority="23" stopIfTrue="1">
      <formula>"($R($C-2))=-2"</formula>
    </cfRule>
  </conditionalFormatting>
  <conditionalFormatting sqref="AQ218:AQ219">
    <cfRule type="expression" dxfId="33" priority="22" stopIfTrue="1">
      <formula>"($R($C-2))=-2"</formula>
    </cfRule>
  </conditionalFormatting>
  <conditionalFormatting sqref="AQ235:AQ238">
    <cfRule type="expression" dxfId="32" priority="21" stopIfTrue="1">
      <formula>"($R($C-2))=-2"</formula>
    </cfRule>
  </conditionalFormatting>
  <conditionalFormatting sqref="AQ239:AQ240">
    <cfRule type="expression" dxfId="31" priority="20" stopIfTrue="1">
      <formula>"($R($C-2))=-2"</formula>
    </cfRule>
  </conditionalFormatting>
  <conditionalFormatting sqref="AQ250:AQ264 AQ242:AQ248">
    <cfRule type="expression" dxfId="30" priority="19" stopIfTrue="1">
      <formula>"($R($C-2))=-2"</formula>
    </cfRule>
  </conditionalFormatting>
  <conditionalFormatting sqref="AE34:AE35 AE11:AE32 AE53:AE63 AE65:AE102 AE104:AE148 AE150:AE159 AE161:AE172 AE174:AE185 AE187:AE197 AE199:AE240 AE242:AE264 AE266:AE281">
    <cfRule type="expression" dxfId="29" priority="18" stopIfTrue="1">
      <formula>AND(LEN($A11),NOT(LEN($AH11)))</formula>
    </cfRule>
  </conditionalFormatting>
  <conditionalFormatting sqref="AE36:AE51">
    <cfRule type="expression" dxfId="28" priority="17" stopIfTrue="1">
      <formula>AND(LEN($A36),NOT(LEN($AH36)))</formula>
    </cfRule>
  </conditionalFormatting>
  <conditionalFormatting sqref="AK34:AK51">
    <cfRule type="expression" dxfId="27" priority="16">
      <formula>OR(AND($AK34="In",$Z34="0"),AND($AK34="In",$Z34="1"),AND($AK34="In",$Z34="Toggle"))</formula>
    </cfRule>
  </conditionalFormatting>
  <conditionalFormatting sqref="AK53:AK63">
    <cfRule type="expression" dxfId="26" priority="15">
      <formula>OR(AND($AK53="In",$Z53="0"),AND($AK53="In",$Z53="1"),AND($AK53="In",$Z53="Toggle"))</formula>
    </cfRule>
  </conditionalFormatting>
  <conditionalFormatting sqref="AK65:AK102">
    <cfRule type="expression" dxfId="25" priority="14">
      <formula>OR(AND($AK65="In",$Z65="0"),AND($AK65="In",$Z65="1"),AND($AK65="In",$Z65="Toggle"))</formula>
    </cfRule>
  </conditionalFormatting>
  <conditionalFormatting sqref="AK104:AK148">
    <cfRule type="expression" dxfId="24" priority="13">
      <formula>OR(AND($AK104="In",$Z104="0"),AND($AK104="In",$Z104="1"),AND($AK104="In",$Z104="Toggle"))</formula>
    </cfRule>
  </conditionalFormatting>
  <conditionalFormatting sqref="AK150:AK159">
    <cfRule type="expression" dxfId="23" priority="12">
      <formula>OR(AND($AK150="In",$Z150="0"),AND($AK150="In",$Z150="1"),AND($AK150="In",$Z150="Toggle"))</formula>
    </cfRule>
  </conditionalFormatting>
  <conditionalFormatting sqref="AK161:AK170">
    <cfRule type="expression" dxfId="22" priority="11">
      <formula>OR(AND($AK161="In",$Z161="0"),AND($AK161="In",$Z161="1"),AND($AK161="In",$Z161="Toggle"))</formula>
    </cfRule>
  </conditionalFormatting>
  <conditionalFormatting sqref="AK174:AK183">
    <cfRule type="expression" dxfId="21" priority="10">
      <formula>OR(AND($AK174="In",$Z174="0"),AND($AK174="In",$Z174="1"),AND($AK174="In",$Z174="Toggle"))</formula>
    </cfRule>
  </conditionalFormatting>
  <conditionalFormatting sqref="AK187:AK197">
    <cfRule type="expression" dxfId="20" priority="9">
      <formula>OR(AND($AK187="In",$Z187="0"),AND($AK187="In",$Z187="1"),AND($AK187="In",$Z187="Toggle"))</formula>
    </cfRule>
  </conditionalFormatting>
  <conditionalFormatting sqref="AK199">
    <cfRule type="expression" dxfId="19" priority="8">
      <formula>OR(AND($AK199="In",$Z199="0"),AND($AK199="In",$Z199="1"),AND($AK199="In",$Z199="Toggle"))</formula>
    </cfRule>
  </conditionalFormatting>
  <conditionalFormatting sqref="AK203:AK204">
    <cfRule type="expression" dxfId="18" priority="7">
      <formula>OR(AND($AK203="In",$Z203="0"),AND($AK203="In",$Z203="1"),AND($AK203="In",$Z203="Toggle"))</formula>
    </cfRule>
  </conditionalFormatting>
  <conditionalFormatting sqref="AK210:AK238">
    <cfRule type="expression" dxfId="17" priority="6">
      <formula>OR(AND($AK210="In",$Z210="0"),AND($AK210="In",$Z210="1"),AND($AK210="In",$Z210="Toggle"))</formula>
    </cfRule>
  </conditionalFormatting>
  <conditionalFormatting sqref="AK242:AK264">
    <cfRule type="expression" dxfId="16" priority="4">
      <formula>OR(AND($AK242="In",$Z242="0"),AND($AK242="In",$Z242="1"),AND($AK242="In",$Z242="Toggle"))</formula>
    </cfRule>
  </conditionalFormatting>
  <conditionalFormatting sqref="AK266:AK281">
    <cfRule type="expression" dxfId="15" priority="3">
      <formula>OR(AND($AK266="In",$Z266="0"),AND($AK266="In",$Z266="1"),AND($AK266="In",$Z266="Toggle"))</formula>
    </cfRule>
  </conditionalFormatting>
  <dataValidations count="5">
    <dataValidation type="list" showInputMessage="1" showErrorMessage="1" sqref="AJ242:AJ264 AK475:AP481 AJ174:AJ185 AJ473:AJ481 AJ406:AJ440 AJ150:AJ159 AJ402:AJ404 AJ187:AJ197 AJ398:AJ400 AJ199:AJ240 AJ65:AJ102 AJ284:AJ363 AJ365:AJ385 AJ387:AJ396 AJ442:AJ448 AJ450:AJ451 AJ453:AJ465 AJ467:AJ471 AJ11:AJ32 AJ34:AJ51 AJ53:AJ63 AJ266:AJ281 AJ104:AJ148 AJ161:AJ172">
      <formula1>$F11:$K11</formula1>
    </dataValidation>
    <dataValidation type="list" showInputMessage="1" showErrorMessage="1" sqref="AM455:AM456 AM14 AM28:AM29 AM38:AM39 AM44:AM45 AM89:AM90 AM93 AM97 AM95 AM101 AM108 AM159 AM168 AM177 AM220 AM222:AM225 AM232 AM255:AM256 AM271 AM235">
      <formula1>"Yes, No"</formula1>
    </dataValidation>
    <dataValidation type="list" showInputMessage="1" showErrorMessage="1" sqref="AL242:AL264 AL266:AL281 AL11:AL32 AL34:AL51 AL53:AL63 AL104:AL148 AL150:AL159 AL161:AL170 AL174:AL183 AL187:AL197 AL199 AL203:AL204 AL210:AL233 AL236:AL238 AL65:AL102">
      <formula1>"Z, Int PU, Int PD, Drive 1, Drive 0, na"</formula1>
    </dataValidation>
    <dataValidation type="list" showInputMessage="1" showErrorMessage="1" sqref="AP11:AP32 AP34:AP51 AP53:AP63 AP65:AP102 AP104:AP148 AP150:AP159 AP161:AP170 AP174:AP183 AP187:AP197 AP199 AP203:AP204 AP210:AP233 AP236:AP238 AP242:AP264 AP266:AP281">
      <formula1>"Z, Int PU, Int PD, Drive1, Drive 0, na"</formula1>
    </dataValidation>
    <dataValidation type="list" showInputMessage="1" showErrorMessage="1" sqref="AK11:AK32 AK34:AK51 AK53:AK63 AK266:AK281 AK65:AK102 AK104:AK148 AK150:AK159 AK174:AK183 AK161:AK170 AK199 AK203:AK204 AK187:AK197 AK210:AK238 AK242:AK264">
      <formula1>"In, Out, Bidir, 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3" r:id="rId4" name="Button 25">
              <controlPr defaultSize="0" print="0" autoFill="0" autoPict="0" macro="[0]!GeneratePinmuxTable">
                <anchor moveWithCells="1">
                  <from>
                    <xdr:col>36</xdr:col>
                    <xdr:colOff>361950</xdr:colOff>
                    <xdr:row>2</xdr:row>
                    <xdr:rowOff>9525</xdr:rowOff>
                  </from>
                  <to>
                    <xdr:col>39</xdr:col>
                    <xdr:colOff>123825</xdr:colOff>
                    <xdr:row>4</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462"/>
  <sheetViews>
    <sheetView topLeftCell="D1" workbookViewId="0">
      <pane ySplit="2" topLeftCell="A3" activePane="bottomLeft" state="frozenSplit"/>
      <selection pane="bottomLeft"/>
    </sheetView>
  </sheetViews>
  <sheetFormatPr defaultColWidth="12.42578125" defaultRowHeight="15" x14ac:dyDescent="0.25"/>
  <cols>
    <col min="1" max="1" width="14.7109375" hidden="1" customWidth="1"/>
    <col min="2" max="3" width="12.42578125" hidden="1" customWidth="1"/>
    <col min="6" max="6" width="24.7109375" customWidth="1"/>
    <col min="7" max="7" width="24.7109375" style="9" hidden="1" customWidth="1"/>
    <col min="8" max="8" width="24.7109375" style="9" customWidth="1"/>
    <col min="13" max="27" width="0" hidden="1" customWidth="1"/>
  </cols>
  <sheetData>
    <row r="1" spans="1:27" ht="20.25" thickBot="1" x14ac:dyDescent="0.35">
      <c r="A1" t="s">
        <v>1020</v>
      </c>
      <c r="B1" t="s">
        <v>1032</v>
      </c>
      <c r="C1" t="s">
        <v>1024</v>
      </c>
      <c r="D1" s="4" t="s">
        <v>1022</v>
      </c>
      <c r="E1" s="4" t="s">
        <v>1025</v>
      </c>
      <c r="F1" s="4" t="s">
        <v>1023</v>
      </c>
      <c r="G1" s="10" t="s">
        <v>774</v>
      </c>
      <c r="H1" s="132" t="s">
        <v>1033</v>
      </c>
      <c r="I1" s="133"/>
      <c r="J1" s="133"/>
      <c r="K1" s="133"/>
      <c r="L1" s="133"/>
      <c r="M1" s="455" t="s">
        <v>1018</v>
      </c>
      <c r="N1" s="455"/>
      <c r="O1" s="455"/>
      <c r="P1" s="455"/>
      <c r="Q1" s="455"/>
      <c r="R1" s="455" t="s">
        <v>1019</v>
      </c>
      <c r="S1" s="455"/>
      <c r="T1" s="455"/>
      <c r="U1" s="455"/>
      <c r="V1" s="455"/>
      <c r="W1" s="455" t="s">
        <v>1021</v>
      </c>
      <c r="X1" s="455"/>
      <c r="Y1" s="455"/>
      <c r="Z1" s="455"/>
      <c r="AA1" s="455"/>
    </row>
    <row r="2" spans="1:27" ht="8.25" hidden="1" customHeight="1" thickTop="1" x14ac:dyDescent="0.25">
      <c r="A2">
        <f t="shared" ref="A2:A10" ca="1" si="0">SUM($W2:$AA2)</f>
        <v>0</v>
      </c>
      <c r="B2" t="str">
        <f t="shared" ref="B2:B10" ca="1" si="1">IF(A2&lt;&gt;0,REPLACE(G2,FIND("-",G2),LEN(G2),""),"")</f>
        <v/>
      </c>
      <c r="C2" t="str">
        <f>REPLACE(G2,FIND(".",CONCATENATE(REPLACE(G2,FIND("-",CONCATENATE(G2,"-")),LEN(G2),""),".")),LEN(G2),"")</f>
        <v/>
      </c>
      <c r="D2" t="s">
        <v>253</v>
      </c>
      <c r="E2" t="s">
        <v>253</v>
      </c>
      <c r="F2" t="e">
        <v>#REF!</v>
      </c>
      <c r="G2" s="11" t="s">
        <v>253</v>
      </c>
      <c r="H2" s="11" t="s">
        <v>253</v>
      </c>
      <c r="I2" s="3" t="s">
        <v>253</v>
      </c>
      <c r="J2" s="3" t="s">
        <v>253</v>
      </c>
      <c r="K2" s="3" t="s">
        <v>253</v>
      </c>
      <c r="L2" s="3" t="s">
        <v>253</v>
      </c>
      <c r="M2" t="str">
        <f>IF(LEN(H2),MATCH(H2,'MPIO_SFIO Table'!$A$11:$A$65525,0)-1,"")</f>
        <v/>
      </c>
      <c r="N2" t="str">
        <f>IF(LEN(I2),MATCH(I2,'MPIO_SFIO Table'!$A$11:$A$65525,0)-1,"")</f>
        <v/>
      </c>
      <c r="O2" t="str">
        <f>IF(LEN(J2),MATCH(J2,'MPIO_SFIO Table'!$A$11:$A$65525,0)-1,"")</f>
        <v/>
      </c>
      <c r="P2" t="str">
        <f>IF(LEN(K2),MATCH(K2,'MPIO_SFIO Table'!$A$11:$A$65525,0)-1,"")</f>
        <v/>
      </c>
      <c r="Q2" t="str">
        <f>IF(LEN(L2),MATCH(L2,'MPIO_SFIO Table'!$A$11:$A$65525,0)-1,"")</f>
        <v/>
      </c>
      <c r="R2" t="str">
        <f ca="1">IF(ISNUMBER(M2),OFFSET('MPIO_SFIO Table'!$AJ$11,M2,0),"")</f>
        <v/>
      </c>
      <c r="S2" t="str">
        <f ca="1">IF(ISNUMBER(N2),OFFSET('MPIO_SFIO Table'!$AJ$11,N2,0),"")</f>
        <v/>
      </c>
      <c r="T2" t="str">
        <f ca="1">IF(ISNUMBER(O2),OFFSET('MPIO_SFIO Table'!$AJ$11,O2,0),"")</f>
        <v/>
      </c>
      <c r="U2" t="str">
        <f ca="1">IF(ISNUMBER(P2),OFFSET('MPIO_SFIO Table'!$AJ$11,P2,0),"")</f>
        <v/>
      </c>
      <c r="V2" t="str">
        <f ca="1">IF(ISNUMBER(Q2),OFFSET('MPIO_SFIO Table'!$AJ$11,Q2,0),"")</f>
        <v/>
      </c>
      <c r="W2">
        <f ca="1">1*AND(ISTEXT(R2),LEN(R2),R2=$G2)</f>
        <v>0</v>
      </c>
      <c r="X2">
        <f ca="1">1*AND(ISTEXT(S2),LEN(S2),S2=$G2)</f>
        <v>0</v>
      </c>
      <c r="Y2">
        <f ca="1">1*AND(ISTEXT(T2),LEN(T2),T2=$G2)</f>
        <v>0</v>
      </c>
      <c r="Z2">
        <f ca="1">1*AND(ISTEXT(U2),LEN(U2),U2=$G2)</f>
        <v>0</v>
      </c>
      <c r="AA2">
        <f ca="1">1*AND(ISTEXT(V2),LEN(V2),V2=$G2)</f>
        <v>0</v>
      </c>
    </row>
    <row r="3" spans="1:27" ht="15.75" thickTop="1" x14ac:dyDescent="0.25">
      <c r="A3">
        <f t="shared" ca="1" si="0"/>
        <v>0</v>
      </c>
      <c r="B3" t="str">
        <f t="shared" ca="1" si="1"/>
        <v/>
      </c>
      <c r="C3" t="str">
        <f t="shared" ref="C3:C10" si="2">REPLACE(G3,FIND(".",CONCATENATE(REPLACE(G3,FIND("-",CONCATENATE(G3,"-")),LEN(G3),""),".")),LEN(G3),"")</f>
        <v/>
      </c>
      <c r="D3" t="s">
        <v>2478</v>
      </c>
      <c r="E3" t="s">
        <v>1046</v>
      </c>
      <c r="F3" s="3" t="s">
        <v>253</v>
      </c>
      <c r="G3" s="11" t="s">
        <v>253</v>
      </c>
      <c r="H3" s="11" t="s">
        <v>253</v>
      </c>
      <c r="I3" s="3" t="s">
        <v>253</v>
      </c>
      <c r="J3" s="3" t="s">
        <v>253</v>
      </c>
      <c r="K3" s="3" t="s">
        <v>253</v>
      </c>
      <c r="L3" s="3" t="s">
        <v>253</v>
      </c>
      <c r="M3" t="str">
        <f>IF(LEN(H3),MATCH(H3,'MPIO_SFIO Table'!$A$11:$A$65525,0)-1,"")</f>
        <v/>
      </c>
      <c r="N3" t="str">
        <f>IF(LEN(I3),MATCH(I3,'MPIO_SFIO Table'!$A$11:$A$65525,0)-1,"")</f>
        <v/>
      </c>
      <c r="O3" t="str">
        <f>IF(LEN(J3),MATCH(J3,'MPIO_SFIO Table'!$A$11:$A$65525,0)-1,"")</f>
        <v/>
      </c>
      <c r="P3" t="str">
        <f>IF(LEN(K3),MATCH(K3,'MPIO_SFIO Table'!$A$11:$A$65525,0)-1,"")</f>
        <v/>
      </c>
      <c r="Q3" t="str">
        <f>IF(LEN(L3),MATCH(L3,'MPIO_SFIO Table'!$A$11:$A$65525,0)-1,"")</f>
        <v/>
      </c>
      <c r="R3" t="str">
        <f ca="1">IF(ISNUMBER(M3),OFFSET('MPIO_SFIO Table'!$AJ$11,M3,0),"")</f>
        <v/>
      </c>
      <c r="S3" t="str">
        <f ca="1">IF(ISNUMBER(N3),OFFSET('MPIO_SFIO Table'!$AJ$11,N3,0),"")</f>
        <v/>
      </c>
      <c r="T3" t="str">
        <f ca="1">IF(ISNUMBER(O3),OFFSET('MPIO_SFIO Table'!$AJ$11,O3,0),"")</f>
        <v/>
      </c>
      <c r="U3" t="str">
        <f ca="1">IF(ISNUMBER(P3),OFFSET('MPIO_SFIO Table'!$AJ$11,P3,0),"")</f>
        <v/>
      </c>
      <c r="V3" t="str">
        <f ca="1">IF(ISNUMBER(Q3),OFFSET('MPIO_SFIO Table'!$AJ$11,Q3,0),"")</f>
        <v/>
      </c>
      <c r="W3">
        <f t="shared" ref="W3:W10" ca="1" si="3">1*AND(ISTEXT(R3),LEN(R3),R3=$G3)</f>
        <v>0</v>
      </c>
      <c r="X3">
        <f t="shared" ref="X3:X10" ca="1" si="4">1*AND(ISTEXT(S3),LEN(S3),S3=$G3)</f>
        <v>0</v>
      </c>
      <c r="Y3">
        <f t="shared" ref="Y3:Y10" ca="1" si="5">1*AND(ISTEXT(T3),LEN(T3),T3=$G3)</f>
        <v>0</v>
      </c>
      <c r="Z3">
        <f t="shared" ref="Z3:Z10" ca="1" si="6">1*AND(ISTEXT(U3),LEN(U3),U3=$G3)</f>
        <v>0</v>
      </c>
      <c r="AA3">
        <f t="shared" ref="AA3:AA10" ca="1" si="7">1*AND(ISTEXT(V3),LEN(V3),V3=$G3)</f>
        <v>0</v>
      </c>
    </row>
    <row r="4" spans="1:27" x14ac:dyDescent="0.25">
      <c r="A4">
        <f t="shared" ca="1" si="0"/>
        <v>0</v>
      </c>
      <c r="B4" t="str">
        <f t="shared" ca="1" si="1"/>
        <v/>
      </c>
      <c r="C4" t="str">
        <f t="shared" si="2"/>
        <v>CLK</v>
      </c>
      <c r="D4" t="s">
        <v>253</v>
      </c>
      <c r="E4" t="s">
        <v>253</v>
      </c>
      <c r="F4" s="3" t="s">
        <v>2520</v>
      </c>
      <c r="G4" s="11" t="s">
        <v>261</v>
      </c>
      <c r="H4" s="11" t="s">
        <v>9</v>
      </c>
      <c r="I4" s="3" t="s">
        <v>253</v>
      </c>
      <c r="J4" s="3" t="s">
        <v>253</v>
      </c>
      <c r="K4" s="3" t="s">
        <v>253</v>
      </c>
      <c r="L4" s="3" t="s">
        <v>253</v>
      </c>
      <c r="M4">
        <f>IF(LEN(H4),MATCH(H4,'MPIO_SFIO Table'!$A$11:$A$65525,0)-1,"")</f>
        <v>1</v>
      </c>
      <c r="N4" t="str">
        <f>IF(LEN(I4),MATCH(I4,'MPIO_SFIO Table'!$A$11:$A$65525,0)-1,"")</f>
        <v/>
      </c>
      <c r="O4" t="str">
        <f>IF(LEN(J4),MATCH(J4,'MPIO_SFIO Table'!$A$11:$A$65525,0)-1,"")</f>
        <v/>
      </c>
      <c r="P4" t="str">
        <f>IF(LEN(K4),MATCH(K4,'MPIO_SFIO Table'!$A$11:$A$65525,0)-1,"")</f>
        <v/>
      </c>
      <c r="Q4" t="str">
        <f>IF(LEN(L4),MATCH(L4,'MPIO_SFIO Table'!$A$11:$A$65525,0)-1,"")</f>
        <v/>
      </c>
      <c r="R4" t="str">
        <f ca="1">IF(ISNUMBER(M4),OFFSET('MPIO_SFIO Table'!$AJ$11,M4,0),"")</f>
        <v>unused_CLK1_REQ</v>
      </c>
      <c r="S4" t="str">
        <f ca="1">IF(ISNUMBER(N4),OFFSET('MPIO_SFIO Table'!$AJ$11,N4,0),"")</f>
        <v/>
      </c>
      <c r="T4" t="str">
        <f ca="1">IF(ISNUMBER(O4),OFFSET('MPIO_SFIO Table'!$AJ$11,O4,0),"")</f>
        <v/>
      </c>
      <c r="U4" t="str">
        <f ca="1">IF(ISNUMBER(P4),OFFSET('MPIO_SFIO Table'!$AJ$11,P4,0),"")</f>
        <v/>
      </c>
      <c r="V4" t="str">
        <f ca="1">IF(ISNUMBER(Q4),OFFSET('MPIO_SFIO Table'!$AJ$11,Q4,0),"")</f>
        <v/>
      </c>
      <c r="W4">
        <f t="shared" ca="1" si="3"/>
        <v>0</v>
      </c>
      <c r="X4">
        <f t="shared" ca="1" si="4"/>
        <v>0</v>
      </c>
      <c r="Y4">
        <f t="shared" ca="1" si="5"/>
        <v>0</v>
      </c>
      <c r="Z4">
        <f t="shared" ca="1" si="6"/>
        <v>0</v>
      </c>
      <c r="AA4">
        <f t="shared" ca="1" si="7"/>
        <v>0</v>
      </c>
    </row>
    <row r="5" spans="1:27" x14ac:dyDescent="0.25">
      <c r="A5">
        <f t="shared" ca="1" si="0"/>
        <v>0</v>
      </c>
      <c r="B5" t="str">
        <f t="shared" ca="1" si="1"/>
        <v/>
      </c>
      <c r="C5" t="str">
        <f t="shared" si="2"/>
        <v>CLK</v>
      </c>
      <c r="D5" t="s">
        <v>253</v>
      </c>
      <c r="E5" t="s">
        <v>253</v>
      </c>
      <c r="F5" s="3" t="s">
        <v>2521</v>
      </c>
      <c r="G5" s="11" t="s">
        <v>582</v>
      </c>
      <c r="H5" s="11" t="s">
        <v>153</v>
      </c>
      <c r="I5" s="3" t="s">
        <v>253</v>
      </c>
      <c r="J5" s="3" t="s">
        <v>253</v>
      </c>
      <c r="K5" s="3" t="s">
        <v>253</v>
      </c>
      <c r="L5" s="3" t="s">
        <v>253</v>
      </c>
      <c r="M5">
        <f>IF(LEN(H5),MATCH(H5,'MPIO_SFIO Table'!$A$11:$A$65525,0)-1,"")</f>
        <v>151</v>
      </c>
      <c r="N5" t="str">
        <f>IF(LEN(I5),MATCH(I5,'MPIO_SFIO Table'!$A$11:$A$65525,0)-1,"")</f>
        <v/>
      </c>
      <c r="O5" t="str">
        <f>IF(LEN(J5),MATCH(J5,'MPIO_SFIO Table'!$A$11:$A$65525,0)-1,"")</f>
        <v/>
      </c>
      <c r="P5" t="str">
        <f>IF(LEN(K5),MATCH(K5,'MPIO_SFIO Table'!$A$11:$A$65525,0)-1,"")</f>
        <v/>
      </c>
      <c r="Q5" t="str">
        <f>IF(LEN(L5),MATCH(L5,'MPIO_SFIO Table'!$A$11:$A$65525,0)-1,"")</f>
        <v/>
      </c>
      <c r="R5" t="str">
        <f ca="1">IF(ISNUMBER(M5),OFFSET('MPIO_SFIO Table'!$AJ$11,M5,0),"")</f>
        <v>unused_CLK2_REQ</v>
      </c>
      <c r="S5" t="str">
        <f ca="1">IF(ISNUMBER(N5),OFFSET('MPIO_SFIO Table'!$AJ$11,N5,0),"")</f>
        <v/>
      </c>
      <c r="T5" t="str">
        <f ca="1">IF(ISNUMBER(O5),OFFSET('MPIO_SFIO Table'!$AJ$11,O5,0),"")</f>
        <v/>
      </c>
      <c r="U5" t="str">
        <f ca="1">IF(ISNUMBER(P5),OFFSET('MPIO_SFIO Table'!$AJ$11,P5,0),"")</f>
        <v/>
      </c>
      <c r="V5" t="str">
        <f ca="1">IF(ISNUMBER(Q5),OFFSET('MPIO_SFIO Table'!$AJ$11,Q5,0),"")</f>
        <v/>
      </c>
      <c r="W5">
        <f t="shared" ca="1" si="3"/>
        <v>0</v>
      </c>
      <c r="X5">
        <f t="shared" ca="1" si="4"/>
        <v>0</v>
      </c>
      <c r="Y5">
        <f t="shared" ca="1" si="5"/>
        <v>0</v>
      </c>
      <c r="Z5">
        <f t="shared" ca="1" si="6"/>
        <v>0</v>
      </c>
      <c r="AA5">
        <f t="shared" ca="1" si="7"/>
        <v>0</v>
      </c>
    </row>
    <row r="6" spans="1:27" x14ac:dyDescent="0.25">
      <c r="A6">
        <f t="shared" ca="1" si="0"/>
        <v>0</v>
      </c>
      <c r="B6" t="str">
        <f t="shared" ca="1" si="1"/>
        <v/>
      </c>
      <c r="C6" t="str">
        <f t="shared" si="2"/>
        <v>CLK</v>
      </c>
      <c r="D6" t="s">
        <v>253</v>
      </c>
      <c r="E6" t="s">
        <v>253</v>
      </c>
      <c r="F6" s="3" t="s">
        <v>2522</v>
      </c>
      <c r="G6" s="11" t="s">
        <v>252</v>
      </c>
      <c r="H6" s="11" t="s">
        <v>8</v>
      </c>
      <c r="I6" s="3" t="s">
        <v>253</v>
      </c>
      <c r="J6" s="3" t="s">
        <v>253</v>
      </c>
      <c r="K6" s="3" t="s">
        <v>253</v>
      </c>
      <c r="L6" s="3" t="s">
        <v>253</v>
      </c>
      <c r="M6">
        <f>IF(LEN(H6),MATCH(H6,'MPIO_SFIO Table'!$A$11:$A$65525,0)-1,"")</f>
        <v>0</v>
      </c>
      <c r="N6" t="str">
        <f>IF(LEN(I6),MATCH(I6,'MPIO_SFIO Table'!$A$11:$A$65525,0)-1,"")</f>
        <v/>
      </c>
      <c r="O6" t="str">
        <f>IF(LEN(J6),MATCH(J6,'MPIO_SFIO Table'!$A$11:$A$65525,0)-1,"")</f>
        <v/>
      </c>
      <c r="P6" t="str">
        <f>IF(LEN(K6),MATCH(K6,'MPIO_SFIO Table'!$A$11:$A$65525,0)-1,"")</f>
        <v/>
      </c>
      <c r="Q6" t="str">
        <f>IF(LEN(L6),MATCH(L6,'MPIO_SFIO Table'!$A$11:$A$65525,0)-1,"")</f>
        <v/>
      </c>
      <c r="R6" t="str">
        <f ca="1">IF(ISNUMBER(M6),OFFSET('MPIO_SFIO Table'!$AJ$11,M6,0),"")</f>
        <v>unused_CLK1_OUT</v>
      </c>
      <c r="S6" t="str">
        <f ca="1">IF(ISNUMBER(N6),OFFSET('MPIO_SFIO Table'!$AJ$11,N6,0),"")</f>
        <v/>
      </c>
      <c r="T6" t="str">
        <f ca="1">IF(ISNUMBER(O6),OFFSET('MPIO_SFIO Table'!$AJ$11,O6,0),"")</f>
        <v/>
      </c>
      <c r="U6" t="str">
        <f ca="1">IF(ISNUMBER(P6),OFFSET('MPIO_SFIO Table'!$AJ$11,P6,0),"")</f>
        <v/>
      </c>
      <c r="V6" t="str">
        <f ca="1">IF(ISNUMBER(Q6),OFFSET('MPIO_SFIO Table'!$AJ$11,Q6,0),"")</f>
        <v/>
      </c>
      <c r="W6">
        <f t="shared" ca="1" si="3"/>
        <v>0</v>
      </c>
      <c r="X6">
        <f t="shared" ca="1" si="4"/>
        <v>0</v>
      </c>
      <c r="Y6">
        <f t="shared" ca="1" si="5"/>
        <v>0</v>
      </c>
      <c r="Z6">
        <f t="shared" ca="1" si="6"/>
        <v>0</v>
      </c>
      <c r="AA6">
        <f t="shared" ca="1" si="7"/>
        <v>0</v>
      </c>
    </row>
    <row r="7" spans="1:27" x14ac:dyDescent="0.25">
      <c r="A7">
        <f t="shared" ca="1" si="0"/>
        <v>0</v>
      </c>
      <c r="B7" t="str">
        <f t="shared" ca="1" si="1"/>
        <v/>
      </c>
      <c r="C7" t="str">
        <f t="shared" si="2"/>
        <v>CLK</v>
      </c>
      <c r="D7" t="s">
        <v>253</v>
      </c>
      <c r="E7" t="s">
        <v>253</v>
      </c>
      <c r="F7" s="3" t="s">
        <v>2523</v>
      </c>
      <c r="G7" s="11" t="s">
        <v>579</v>
      </c>
      <c r="H7" s="11" t="s">
        <v>152</v>
      </c>
      <c r="I7" s="3" t="s">
        <v>253</v>
      </c>
      <c r="J7" s="3" t="s">
        <v>253</v>
      </c>
      <c r="K7" s="3" t="s">
        <v>253</v>
      </c>
      <c r="L7" s="3" t="s">
        <v>253</v>
      </c>
      <c r="M7">
        <f>IF(LEN(H7),MATCH(H7,'MPIO_SFIO Table'!$A$11:$A$65525,0)-1,"")</f>
        <v>150</v>
      </c>
      <c r="N7" t="str">
        <f>IF(LEN(I7),MATCH(I7,'MPIO_SFIO Table'!$A$11:$A$65525,0)-1,"")</f>
        <v/>
      </c>
      <c r="O7" t="str">
        <f>IF(LEN(J7),MATCH(J7,'MPIO_SFIO Table'!$A$11:$A$65525,0)-1,"")</f>
        <v/>
      </c>
      <c r="P7" t="str">
        <f>IF(LEN(K7),MATCH(K7,'MPIO_SFIO Table'!$A$11:$A$65525,0)-1,"")</f>
        <v/>
      </c>
      <c r="Q7" t="str">
        <f>IF(LEN(L7),MATCH(L7,'MPIO_SFIO Table'!$A$11:$A$65525,0)-1,"")</f>
        <v/>
      </c>
      <c r="R7" t="str">
        <f ca="1">IF(ISNUMBER(M7),OFFSET('MPIO_SFIO Table'!$AJ$11,M7,0),"")</f>
        <v>unused_CLK2_OUT</v>
      </c>
      <c r="S7" t="str">
        <f ca="1">IF(ISNUMBER(N7),OFFSET('MPIO_SFIO Table'!$AJ$11,N7,0),"")</f>
        <v/>
      </c>
      <c r="T7" t="str">
        <f ca="1">IF(ISNUMBER(O7),OFFSET('MPIO_SFIO Table'!$AJ$11,O7,0),"")</f>
        <v/>
      </c>
      <c r="U7" t="str">
        <f ca="1">IF(ISNUMBER(P7),OFFSET('MPIO_SFIO Table'!$AJ$11,P7,0),"")</f>
        <v/>
      </c>
      <c r="V7" t="str">
        <f ca="1">IF(ISNUMBER(Q7),OFFSET('MPIO_SFIO Table'!$AJ$11,Q7,0),"")</f>
        <v/>
      </c>
      <c r="W7">
        <f t="shared" ca="1" si="3"/>
        <v>0</v>
      </c>
      <c r="X7">
        <f t="shared" ca="1" si="4"/>
        <v>0</v>
      </c>
      <c r="Y7">
        <f t="shared" ca="1" si="5"/>
        <v>0</v>
      </c>
      <c r="Z7">
        <f t="shared" ca="1" si="6"/>
        <v>0</v>
      </c>
      <c r="AA7">
        <f t="shared" ca="1" si="7"/>
        <v>0</v>
      </c>
    </row>
    <row r="8" spans="1:27" x14ac:dyDescent="0.25">
      <c r="A8">
        <f t="shared" ca="1" si="0"/>
        <v>0</v>
      </c>
      <c r="B8" t="str">
        <f t="shared" ca="1" si="1"/>
        <v/>
      </c>
      <c r="C8" t="str">
        <f t="shared" si="2"/>
        <v>CLK</v>
      </c>
      <c r="D8" t="s">
        <v>253</v>
      </c>
      <c r="E8" t="s">
        <v>253</v>
      </c>
      <c r="F8" s="3" t="s">
        <v>2524</v>
      </c>
      <c r="G8" s="11" t="s">
        <v>703</v>
      </c>
      <c r="H8" s="11" t="s">
        <v>213</v>
      </c>
      <c r="I8" s="3" t="s">
        <v>253</v>
      </c>
      <c r="J8" s="3" t="s">
        <v>253</v>
      </c>
      <c r="K8" s="3" t="s">
        <v>253</v>
      </c>
      <c r="L8" s="3" t="s">
        <v>253</v>
      </c>
      <c r="M8">
        <f>IF(LEN(H8),MATCH(H8,'MPIO_SFIO Table'!$A$11:$A$65525,0)-1,"")</f>
        <v>231</v>
      </c>
      <c r="N8" t="str">
        <f>IF(LEN(I8),MATCH(I8,'MPIO_SFIO Table'!$A$11:$A$65525,0)-1,"")</f>
        <v/>
      </c>
      <c r="O8" t="str">
        <f>IF(LEN(J8),MATCH(J8,'MPIO_SFIO Table'!$A$11:$A$65525,0)-1,"")</f>
        <v/>
      </c>
      <c r="P8" t="str">
        <f>IF(LEN(K8),MATCH(K8,'MPIO_SFIO Table'!$A$11:$A$65525,0)-1,"")</f>
        <v/>
      </c>
      <c r="Q8" t="str">
        <f>IF(LEN(L8),MATCH(L8,'MPIO_SFIO Table'!$A$11:$A$65525,0)-1,"")</f>
        <v/>
      </c>
      <c r="R8" t="str">
        <f ca="1">IF(ISNUMBER(M8),OFFSET('MPIO_SFIO Table'!$AJ$11,M8,0),"")</f>
        <v>unused_CLK3_OUT</v>
      </c>
      <c r="S8" t="str">
        <f ca="1">IF(ISNUMBER(N8),OFFSET('MPIO_SFIO Table'!$AJ$11,N8,0),"")</f>
        <v/>
      </c>
      <c r="T8" t="str">
        <f ca="1">IF(ISNUMBER(O8),OFFSET('MPIO_SFIO Table'!$AJ$11,O8,0),"")</f>
        <v/>
      </c>
      <c r="U8" t="str">
        <f ca="1">IF(ISNUMBER(P8),OFFSET('MPIO_SFIO Table'!$AJ$11,P8,0),"")</f>
        <v/>
      </c>
      <c r="V8" t="str">
        <f ca="1">IF(ISNUMBER(Q8),OFFSET('MPIO_SFIO Table'!$AJ$11,Q8,0),"")</f>
        <v/>
      </c>
      <c r="W8">
        <f t="shared" ca="1" si="3"/>
        <v>0</v>
      </c>
      <c r="X8">
        <f t="shared" ca="1" si="4"/>
        <v>0</v>
      </c>
      <c r="Y8">
        <f t="shared" ca="1" si="5"/>
        <v>0</v>
      </c>
      <c r="Z8">
        <f t="shared" ca="1" si="6"/>
        <v>0</v>
      </c>
      <c r="AA8">
        <f t="shared" ca="1" si="7"/>
        <v>0</v>
      </c>
    </row>
    <row r="9" spans="1:27" x14ac:dyDescent="0.25">
      <c r="A9">
        <f t="shared" ca="1" si="0"/>
        <v>0</v>
      </c>
      <c r="B9" t="str">
        <f t="shared" ca="1" si="1"/>
        <v/>
      </c>
      <c r="C9" t="str">
        <f t="shared" si="2"/>
        <v>CLK</v>
      </c>
      <c r="D9" t="s">
        <v>253</v>
      </c>
      <c r="E9" t="s">
        <v>253</v>
      </c>
      <c r="F9" s="3" t="s">
        <v>2525</v>
      </c>
      <c r="G9" s="11" t="s">
        <v>706</v>
      </c>
      <c r="H9" s="11" t="s">
        <v>214</v>
      </c>
      <c r="I9" s="3" t="s">
        <v>253</v>
      </c>
      <c r="J9" s="3" t="s">
        <v>253</v>
      </c>
      <c r="K9" s="3" t="s">
        <v>253</v>
      </c>
      <c r="L9" s="3" t="s">
        <v>253</v>
      </c>
      <c r="M9">
        <f>IF(LEN(H9),MATCH(H9,'MPIO_SFIO Table'!$A$11:$A$65525,0)-1,"")</f>
        <v>232</v>
      </c>
      <c r="N9" t="str">
        <f>IF(LEN(I9),MATCH(I9,'MPIO_SFIO Table'!$A$11:$A$65525,0)-1,"")</f>
        <v/>
      </c>
      <c r="O9" t="str">
        <f>IF(LEN(J9),MATCH(J9,'MPIO_SFIO Table'!$A$11:$A$65525,0)-1,"")</f>
        <v/>
      </c>
      <c r="P9" t="str">
        <f>IF(LEN(K9),MATCH(K9,'MPIO_SFIO Table'!$A$11:$A$65525,0)-1,"")</f>
        <v/>
      </c>
      <c r="Q9" t="str">
        <f>IF(LEN(L9),MATCH(L9,'MPIO_SFIO Table'!$A$11:$A$65525,0)-1,"")</f>
        <v/>
      </c>
      <c r="R9" t="str">
        <f ca="1">IF(ISNUMBER(M9),OFFSET('MPIO_SFIO Table'!$AJ$11,M9,0),"")</f>
        <v>unused_CLK3_REQ</v>
      </c>
      <c r="S9" t="str">
        <f ca="1">IF(ISNUMBER(N9),OFFSET('MPIO_SFIO Table'!$AJ$11,N9,0),"")</f>
        <v/>
      </c>
      <c r="T9" t="str">
        <f ca="1">IF(ISNUMBER(O9),OFFSET('MPIO_SFIO Table'!$AJ$11,O9,0),"")</f>
        <v/>
      </c>
      <c r="U9" t="str">
        <f ca="1">IF(ISNUMBER(P9),OFFSET('MPIO_SFIO Table'!$AJ$11,P9,0),"")</f>
        <v/>
      </c>
      <c r="V9" t="str">
        <f ca="1">IF(ISNUMBER(Q9),OFFSET('MPIO_SFIO Table'!$AJ$11,Q9,0),"")</f>
        <v/>
      </c>
      <c r="W9">
        <f t="shared" ca="1" si="3"/>
        <v>0</v>
      </c>
      <c r="X9">
        <f t="shared" ca="1" si="4"/>
        <v>0</v>
      </c>
      <c r="Y9">
        <f t="shared" ca="1" si="5"/>
        <v>0</v>
      </c>
      <c r="Z9">
        <f t="shared" ca="1" si="6"/>
        <v>0</v>
      </c>
      <c r="AA9">
        <f t="shared" ca="1" si="7"/>
        <v>0</v>
      </c>
    </row>
    <row r="10" spans="1:27" x14ac:dyDescent="0.25">
      <c r="A10">
        <f t="shared" ca="1" si="0"/>
        <v>0</v>
      </c>
      <c r="B10" t="str">
        <f t="shared" ca="1" si="1"/>
        <v/>
      </c>
      <c r="C10" t="str">
        <f t="shared" si="2"/>
        <v>CLK</v>
      </c>
      <c r="D10" t="s">
        <v>253</v>
      </c>
      <c r="E10" t="s">
        <v>253</v>
      </c>
      <c r="F10" s="3" t="s">
        <v>249</v>
      </c>
      <c r="G10" s="11" t="s">
        <v>371</v>
      </c>
      <c r="H10" s="11" t="s">
        <v>50</v>
      </c>
      <c r="I10" s="3" t="s">
        <v>249</v>
      </c>
      <c r="J10" s="3" t="s">
        <v>253</v>
      </c>
      <c r="K10" s="3" t="s">
        <v>253</v>
      </c>
      <c r="L10" s="3" t="s">
        <v>253</v>
      </c>
      <c r="M10">
        <f>IF(LEN(H10),MATCH(H10,'MPIO_SFIO Table'!$A$11:$A$65525,0)-1,"")</f>
        <v>44</v>
      </c>
      <c r="N10">
        <f>IF(LEN(I10),MATCH(I10,'MPIO_SFIO Table'!$A$11:$A$65525,0)-1,"")</f>
        <v>268</v>
      </c>
      <c r="O10" t="str">
        <f>IF(LEN(J10),MATCH(J10,'MPIO_SFIO Table'!$A$11:$A$65525,0)-1,"")</f>
        <v/>
      </c>
      <c r="P10" t="str">
        <f>IF(LEN(K10),MATCH(K10,'MPIO_SFIO Table'!$A$11:$A$65525,0)-1,"")</f>
        <v/>
      </c>
      <c r="Q10" t="str">
        <f>IF(LEN(L10),MATCH(L10,'MPIO_SFIO Table'!$A$11:$A$65525,0)-1,"")</f>
        <v/>
      </c>
      <c r="R10" t="str">
        <f ca="1">IF(ISNUMBER(M10),OFFSET('MPIO_SFIO Table'!$AJ$11,M10,0),"")</f>
        <v>unused_CAM_MCLK</v>
      </c>
      <c r="S10" t="str">
        <f ca="1">IF(ISNUMBER(N10),OFFSET('MPIO_SFIO Table'!$AJ$11,N10,0),"")</f>
        <v>unused_VI_MCLK</v>
      </c>
      <c r="T10" t="str">
        <f ca="1">IF(ISNUMBER(O10),OFFSET('MPIO_SFIO Table'!$AJ$11,O10,0),"")</f>
        <v/>
      </c>
      <c r="U10" t="str">
        <f ca="1">IF(ISNUMBER(P10),OFFSET('MPIO_SFIO Table'!$AJ$11,P10,0),"")</f>
        <v/>
      </c>
      <c r="V10" t="str">
        <f ca="1">IF(ISNUMBER(Q10),OFFSET('MPIO_SFIO Table'!$AJ$11,Q10,0),"")</f>
        <v/>
      </c>
      <c r="W10">
        <f t="shared" ca="1" si="3"/>
        <v>0</v>
      </c>
      <c r="X10">
        <f t="shared" ca="1" si="4"/>
        <v>0</v>
      </c>
      <c r="Y10">
        <f t="shared" ca="1" si="5"/>
        <v>0</v>
      </c>
      <c r="Z10">
        <f t="shared" ca="1" si="6"/>
        <v>0</v>
      </c>
      <c r="AA10">
        <f t="shared" ca="1" si="7"/>
        <v>0</v>
      </c>
    </row>
    <row r="11" spans="1:27" x14ac:dyDescent="0.25">
      <c r="A11">
        <f t="shared" ref="A11:A71" ca="1" si="8">SUM($W11:$AA11)</f>
        <v>0</v>
      </c>
      <c r="B11" t="str">
        <f t="shared" ref="B11:B71" ca="1" si="9">IF(A11&lt;&gt;0,REPLACE(G11,FIND("-",G11),LEN(G11),""),"")</f>
        <v/>
      </c>
      <c r="C11" t="str">
        <f t="shared" ref="C11:C72" si="10">REPLACE(G11,FIND(".",CONCATENATE(REPLACE(G11,FIND("-",CONCATENATE(G11,"-")),LEN(G11),""),".")),LEN(G11),"")</f>
        <v/>
      </c>
      <c r="D11" t="s">
        <v>2479</v>
      </c>
      <c r="E11" t="s">
        <v>1046</v>
      </c>
      <c r="F11" s="3" t="s">
        <v>253</v>
      </c>
      <c r="G11" s="11" t="s">
        <v>253</v>
      </c>
      <c r="H11" s="11" t="s">
        <v>253</v>
      </c>
      <c r="I11" s="3" t="s">
        <v>253</v>
      </c>
      <c r="J11" s="3" t="s">
        <v>253</v>
      </c>
      <c r="K11" s="3" t="s">
        <v>253</v>
      </c>
      <c r="L11" s="3" t="s">
        <v>253</v>
      </c>
      <c r="M11" t="str">
        <f>IF(LEN(H11),MATCH(H11,'MPIO_SFIO Table'!$A$11:$A$65525,0)-1,"")</f>
        <v/>
      </c>
      <c r="N11" t="str">
        <f>IF(LEN(I11),MATCH(I11,'MPIO_SFIO Table'!$A$11:$A$65525,0)-1,"")</f>
        <v/>
      </c>
      <c r="O11" t="str">
        <f>IF(LEN(J11),MATCH(J11,'MPIO_SFIO Table'!$A$11:$A$65525,0)-1,"")</f>
        <v/>
      </c>
      <c r="P11" t="str">
        <f>IF(LEN(K11),MATCH(K11,'MPIO_SFIO Table'!$A$11:$A$65525,0)-1,"")</f>
        <v/>
      </c>
      <c r="Q11" t="str">
        <f>IF(LEN(L11),MATCH(L11,'MPIO_SFIO Table'!$A$11:$A$65525,0)-1,"")</f>
        <v/>
      </c>
      <c r="R11" t="str">
        <f ca="1">IF(ISNUMBER(M11),OFFSET('MPIO_SFIO Table'!$AJ$11,M11,0),"")</f>
        <v/>
      </c>
      <c r="S11" t="str">
        <f ca="1">IF(ISNUMBER(N11),OFFSET('MPIO_SFIO Table'!$AJ$11,N11,0),"")</f>
        <v/>
      </c>
      <c r="T11" t="str">
        <f ca="1">IF(ISNUMBER(O11),OFFSET('MPIO_SFIO Table'!$AJ$11,O11,0),"")</f>
        <v/>
      </c>
      <c r="U11" t="str">
        <f ca="1">IF(ISNUMBER(P11),OFFSET('MPIO_SFIO Table'!$AJ$11,P11,0),"")</f>
        <v/>
      </c>
      <c r="V11" t="str">
        <f ca="1">IF(ISNUMBER(Q11),OFFSET('MPIO_SFIO Table'!$AJ$11,Q11,0),"")</f>
        <v/>
      </c>
      <c r="W11">
        <f t="shared" ref="W11:W72" ca="1" si="11">1*AND(ISTEXT(R11),LEN(R11),R11=$G11)</f>
        <v>0</v>
      </c>
      <c r="X11">
        <f t="shared" ref="X11:X72" ca="1" si="12">1*AND(ISTEXT(S11),LEN(S11),S11=$G11)</f>
        <v>0</v>
      </c>
      <c r="Y11">
        <f t="shared" ref="Y11:Y72" ca="1" si="13">1*AND(ISTEXT(T11),LEN(T11),T11=$G11)</f>
        <v>0</v>
      </c>
      <c r="Z11">
        <f t="shared" ref="Z11:Z72" ca="1" si="14">1*AND(ISTEXT(U11),LEN(U11),U11=$G11)</f>
        <v>0</v>
      </c>
      <c r="AA11">
        <f t="shared" ref="AA11:AA72" ca="1" si="15">1*AND(ISTEXT(V11),LEN(V11),V11=$G11)</f>
        <v>0</v>
      </c>
    </row>
    <row r="12" spans="1:27" x14ac:dyDescent="0.25">
      <c r="A12">
        <f t="shared" ca="1" si="8"/>
        <v>0</v>
      </c>
      <c r="B12" t="str">
        <f t="shared" ca="1" si="9"/>
        <v/>
      </c>
      <c r="C12" t="str">
        <f t="shared" si="10"/>
        <v>DTV</v>
      </c>
      <c r="D12" t="s">
        <v>253</v>
      </c>
      <c r="E12" t="s">
        <v>253</v>
      </c>
      <c r="F12" s="3" t="s">
        <v>2478</v>
      </c>
      <c r="G12" s="11" t="s">
        <v>458</v>
      </c>
      <c r="H12" s="11" t="s">
        <v>84</v>
      </c>
      <c r="I12" s="3" t="s">
        <v>253</v>
      </c>
      <c r="J12" s="3" t="s">
        <v>253</v>
      </c>
      <c r="K12" s="3" t="s">
        <v>253</v>
      </c>
      <c r="L12" s="3" t="s">
        <v>253</v>
      </c>
      <c r="M12">
        <f>IF(LEN(H12),MATCH(H12,'MPIO_SFIO Table'!$A$11:$A$65525,0)-1,"")</f>
        <v>79</v>
      </c>
      <c r="N12" t="str">
        <f>IF(LEN(I12),MATCH(I12,'MPIO_SFIO Table'!$A$11:$A$65525,0)-1,"")</f>
        <v/>
      </c>
      <c r="O12" t="str">
        <f>IF(LEN(J12),MATCH(J12,'MPIO_SFIO Table'!$A$11:$A$65525,0)-1,"")</f>
        <v/>
      </c>
      <c r="P12" t="str">
        <f>IF(LEN(K12),MATCH(K12,'MPIO_SFIO Table'!$A$11:$A$65525,0)-1,"")</f>
        <v/>
      </c>
      <c r="Q12" t="str">
        <f>IF(LEN(L12),MATCH(L12,'MPIO_SFIO Table'!$A$11:$A$65525,0)-1,"")</f>
        <v/>
      </c>
      <c r="R12" t="str">
        <f ca="1">IF(ISNUMBER(M12),OFFSET('MPIO_SFIO Table'!$AJ$11,M12,0),"")</f>
        <v>unused_GMI_CS1_N</v>
      </c>
      <c r="S12" t="str">
        <f ca="1">IF(ISNUMBER(N12),OFFSET('MPIO_SFIO Table'!$AJ$11,N12,0),"")</f>
        <v/>
      </c>
      <c r="T12" t="str">
        <f ca="1">IF(ISNUMBER(O12),OFFSET('MPIO_SFIO Table'!$AJ$11,O12,0),"")</f>
        <v/>
      </c>
      <c r="U12" t="str">
        <f ca="1">IF(ISNUMBER(P12),OFFSET('MPIO_SFIO Table'!$AJ$11,P12,0),"")</f>
        <v/>
      </c>
      <c r="V12" t="str">
        <f ca="1">IF(ISNUMBER(Q12),OFFSET('MPIO_SFIO Table'!$AJ$11,Q12,0),"")</f>
        <v/>
      </c>
      <c r="W12">
        <f t="shared" ca="1" si="11"/>
        <v>0</v>
      </c>
      <c r="X12">
        <f t="shared" ca="1" si="12"/>
        <v>0</v>
      </c>
      <c r="Y12">
        <f t="shared" ca="1" si="13"/>
        <v>0</v>
      </c>
      <c r="Z12">
        <f t="shared" ca="1" si="14"/>
        <v>0</v>
      </c>
      <c r="AA12">
        <f t="shared" ca="1" si="15"/>
        <v>0</v>
      </c>
    </row>
    <row r="13" spans="1:27" x14ac:dyDescent="0.25">
      <c r="A13">
        <f t="shared" ca="1" si="8"/>
        <v>0</v>
      </c>
      <c r="B13" t="str">
        <f t="shared" ca="1" si="9"/>
        <v/>
      </c>
      <c r="C13" t="str">
        <f t="shared" si="10"/>
        <v>DTV</v>
      </c>
      <c r="D13" t="s">
        <v>253</v>
      </c>
      <c r="E13" t="s">
        <v>253</v>
      </c>
      <c r="F13" s="3" t="s">
        <v>2526</v>
      </c>
      <c r="G13" s="11" t="s">
        <v>2276</v>
      </c>
      <c r="H13" s="11" t="s">
        <v>63</v>
      </c>
      <c r="I13" s="3" t="s">
        <v>253</v>
      </c>
      <c r="J13" s="3" t="s">
        <v>253</v>
      </c>
      <c r="K13" s="3" t="s">
        <v>253</v>
      </c>
      <c r="L13" s="3" t="s">
        <v>253</v>
      </c>
      <c r="M13">
        <f>IF(LEN(H13),MATCH(H13,'MPIO_SFIO Table'!$A$11:$A$65525,0)-1,"")</f>
        <v>58</v>
      </c>
      <c r="N13" t="str">
        <f>IF(LEN(I13),MATCH(I13,'MPIO_SFIO Table'!$A$11:$A$65525,0)-1,"")</f>
        <v/>
      </c>
      <c r="O13" t="str">
        <f>IF(LEN(J13),MATCH(J13,'MPIO_SFIO Table'!$A$11:$A$65525,0)-1,"")</f>
        <v/>
      </c>
      <c r="P13" t="str">
        <f>IF(LEN(K13),MATCH(K13,'MPIO_SFIO Table'!$A$11:$A$65525,0)-1,"")</f>
        <v/>
      </c>
      <c r="Q13" t="str">
        <f>IF(LEN(L13),MATCH(L13,'MPIO_SFIO Table'!$A$11:$A$65525,0)-1,"")</f>
        <v/>
      </c>
      <c r="R13" t="str">
        <f ca="1">IF(ISNUMBER(M13),OFFSET('MPIO_SFIO Table'!$AJ$11,M13,0),"")</f>
        <v>unused_GMI_A18</v>
      </c>
      <c r="S13" t="str">
        <f ca="1">IF(ISNUMBER(N13),OFFSET('MPIO_SFIO Table'!$AJ$11,N13,0),"")</f>
        <v/>
      </c>
      <c r="T13" t="str">
        <f ca="1">IF(ISNUMBER(O13),OFFSET('MPIO_SFIO Table'!$AJ$11,O13,0),"")</f>
        <v/>
      </c>
      <c r="U13" t="str">
        <f ca="1">IF(ISNUMBER(P13),OFFSET('MPIO_SFIO Table'!$AJ$11,P13,0),"")</f>
        <v/>
      </c>
      <c r="V13" t="str">
        <f ca="1">IF(ISNUMBER(Q13),OFFSET('MPIO_SFIO Table'!$AJ$11,Q13,0),"")</f>
        <v/>
      </c>
      <c r="W13">
        <f t="shared" ca="1" si="11"/>
        <v>0</v>
      </c>
      <c r="X13">
        <f t="shared" ca="1" si="12"/>
        <v>0</v>
      </c>
      <c r="Y13">
        <f t="shared" ca="1" si="13"/>
        <v>0</v>
      </c>
      <c r="Z13">
        <f t="shared" ca="1" si="14"/>
        <v>0</v>
      </c>
      <c r="AA13">
        <f t="shared" ca="1" si="15"/>
        <v>0</v>
      </c>
    </row>
    <row r="14" spans="1:27" x14ac:dyDescent="0.25">
      <c r="A14">
        <f t="shared" ca="1" si="8"/>
        <v>0</v>
      </c>
      <c r="B14" t="str">
        <f t="shared" ca="1" si="9"/>
        <v/>
      </c>
      <c r="C14" t="str">
        <f t="shared" si="10"/>
        <v>DTV</v>
      </c>
      <c r="D14" t="s">
        <v>253</v>
      </c>
      <c r="E14" t="s">
        <v>253</v>
      </c>
      <c r="F14" s="3" t="s">
        <v>2527</v>
      </c>
      <c r="G14" s="11" t="s">
        <v>2274</v>
      </c>
      <c r="H14" s="11" t="s">
        <v>83</v>
      </c>
      <c r="I14" s="3" t="s">
        <v>253</v>
      </c>
      <c r="J14" s="3" t="s">
        <v>253</v>
      </c>
      <c r="K14" s="3" t="s">
        <v>253</v>
      </c>
      <c r="L14" s="3" t="s">
        <v>253</v>
      </c>
      <c r="M14">
        <f>IF(LEN(H14),MATCH(H14,'MPIO_SFIO Table'!$A$11:$A$65525,0)-1,"")</f>
        <v>78</v>
      </c>
      <c r="N14" t="str">
        <f>IF(LEN(I14),MATCH(I14,'MPIO_SFIO Table'!$A$11:$A$65525,0)-1,"")</f>
        <v/>
      </c>
      <c r="O14" t="str">
        <f>IF(LEN(J14),MATCH(J14,'MPIO_SFIO Table'!$A$11:$A$65525,0)-1,"")</f>
        <v/>
      </c>
      <c r="P14" t="str">
        <f>IF(LEN(K14),MATCH(K14,'MPIO_SFIO Table'!$A$11:$A$65525,0)-1,"")</f>
        <v/>
      </c>
      <c r="Q14" t="str">
        <f>IF(LEN(L14),MATCH(L14,'MPIO_SFIO Table'!$A$11:$A$65525,0)-1,"")</f>
        <v/>
      </c>
      <c r="R14" t="str">
        <f ca="1">IF(ISNUMBER(M14),OFFSET('MPIO_SFIO Table'!$AJ$11,M14,0),"")</f>
        <v>unused_GMI_CS0_N</v>
      </c>
      <c r="S14" t="str">
        <f ca="1">IF(ISNUMBER(N14),OFFSET('MPIO_SFIO Table'!$AJ$11,N14,0),"")</f>
        <v/>
      </c>
      <c r="T14" t="str">
        <f ca="1">IF(ISNUMBER(O14),OFFSET('MPIO_SFIO Table'!$AJ$11,O14,0),"")</f>
        <v/>
      </c>
      <c r="U14" t="str">
        <f ca="1">IF(ISNUMBER(P14),OFFSET('MPIO_SFIO Table'!$AJ$11,P14,0),"")</f>
        <v/>
      </c>
      <c r="V14" t="str">
        <f ca="1">IF(ISNUMBER(Q14),OFFSET('MPIO_SFIO Table'!$AJ$11,Q14,0),"")</f>
        <v/>
      </c>
      <c r="W14">
        <f t="shared" ca="1" si="11"/>
        <v>0</v>
      </c>
      <c r="X14">
        <f t="shared" ca="1" si="12"/>
        <v>0</v>
      </c>
      <c r="Y14">
        <f t="shared" ca="1" si="13"/>
        <v>0</v>
      </c>
      <c r="Z14">
        <f t="shared" ca="1" si="14"/>
        <v>0</v>
      </c>
      <c r="AA14">
        <f t="shared" ca="1" si="15"/>
        <v>0</v>
      </c>
    </row>
    <row r="15" spans="1:27" x14ac:dyDescent="0.25">
      <c r="A15">
        <f t="shared" ca="1" si="8"/>
        <v>0</v>
      </c>
      <c r="B15" t="str">
        <f t="shared" ca="1" si="9"/>
        <v/>
      </c>
      <c r="C15" t="str">
        <f t="shared" si="10"/>
        <v>DTV</v>
      </c>
      <c r="D15" t="s">
        <v>253</v>
      </c>
      <c r="E15" t="s">
        <v>253</v>
      </c>
      <c r="F15" s="3" t="s">
        <v>2528</v>
      </c>
      <c r="G15" s="11" t="s">
        <v>2275</v>
      </c>
      <c r="H15" s="11" t="s">
        <v>62</v>
      </c>
      <c r="I15" s="3" t="s">
        <v>253</v>
      </c>
      <c r="J15" s="3" t="s">
        <v>253</v>
      </c>
      <c r="K15" s="3" t="s">
        <v>253</v>
      </c>
      <c r="L15" s="3" t="s">
        <v>253</v>
      </c>
      <c r="M15">
        <f>IF(LEN(H15),MATCH(H15,'MPIO_SFIO Table'!$A$11:$A$65525,0)-1,"")</f>
        <v>57</v>
      </c>
      <c r="N15" t="str">
        <f>IF(LEN(I15),MATCH(I15,'MPIO_SFIO Table'!$A$11:$A$65525,0)-1,"")</f>
        <v/>
      </c>
      <c r="O15" t="str">
        <f>IF(LEN(J15),MATCH(J15,'MPIO_SFIO Table'!$A$11:$A$65525,0)-1,"")</f>
        <v/>
      </c>
      <c r="P15" t="str">
        <f>IF(LEN(K15),MATCH(K15,'MPIO_SFIO Table'!$A$11:$A$65525,0)-1,"")</f>
        <v/>
      </c>
      <c r="Q15" t="str">
        <f>IF(LEN(L15),MATCH(L15,'MPIO_SFIO Table'!$A$11:$A$65525,0)-1,"")</f>
        <v/>
      </c>
      <c r="R15" t="str">
        <f ca="1">IF(ISNUMBER(M15),OFFSET('MPIO_SFIO Table'!$AJ$11,M15,0),"")</f>
        <v>unused_GMI_A17</v>
      </c>
      <c r="S15" t="str">
        <f ca="1">IF(ISNUMBER(N15),OFFSET('MPIO_SFIO Table'!$AJ$11,N15,0),"")</f>
        <v/>
      </c>
      <c r="T15" t="str">
        <f ca="1">IF(ISNUMBER(O15),OFFSET('MPIO_SFIO Table'!$AJ$11,O15,0),"")</f>
        <v/>
      </c>
      <c r="U15" t="str">
        <f ca="1">IF(ISNUMBER(P15),OFFSET('MPIO_SFIO Table'!$AJ$11,P15,0),"")</f>
        <v/>
      </c>
      <c r="V15" t="str">
        <f ca="1">IF(ISNUMBER(Q15),OFFSET('MPIO_SFIO Table'!$AJ$11,Q15,0),"")</f>
        <v/>
      </c>
      <c r="W15">
        <f t="shared" ca="1" si="11"/>
        <v>0</v>
      </c>
      <c r="X15">
        <f t="shared" ca="1" si="12"/>
        <v>0</v>
      </c>
      <c r="Y15">
        <f t="shared" ca="1" si="13"/>
        <v>0</v>
      </c>
      <c r="Z15">
        <f t="shared" ca="1" si="14"/>
        <v>0</v>
      </c>
      <c r="AA15">
        <f t="shared" ca="1" si="15"/>
        <v>0</v>
      </c>
    </row>
    <row r="16" spans="1:27" x14ac:dyDescent="0.25">
      <c r="A16">
        <f t="shared" ca="1" si="8"/>
        <v>0</v>
      </c>
      <c r="B16" t="str">
        <f t="shared" ca="1" si="9"/>
        <v/>
      </c>
      <c r="C16" t="str">
        <f t="shared" si="10"/>
        <v/>
      </c>
      <c r="D16" t="s">
        <v>1233</v>
      </c>
      <c r="E16" t="s">
        <v>1046</v>
      </c>
      <c r="F16" s="3" t="s">
        <v>253</v>
      </c>
      <c r="G16" s="11" t="s">
        <v>253</v>
      </c>
      <c r="H16" s="11" t="s">
        <v>253</v>
      </c>
      <c r="I16" s="3" t="s">
        <v>253</v>
      </c>
      <c r="J16" s="3" t="s">
        <v>253</v>
      </c>
      <c r="K16" s="3" t="s">
        <v>253</v>
      </c>
      <c r="L16" s="3" t="s">
        <v>253</v>
      </c>
      <c r="M16" t="str">
        <f>IF(LEN(H16),MATCH(H16,'MPIO_SFIO Table'!$A$11:$A$65525,0)-1,"")</f>
        <v/>
      </c>
      <c r="N16" t="str">
        <f>IF(LEN(I16),MATCH(I16,'MPIO_SFIO Table'!$A$11:$A$65525,0)-1,"")</f>
        <v/>
      </c>
      <c r="O16" t="str">
        <f>IF(LEN(J16),MATCH(J16,'MPIO_SFIO Table'!$A$11:$A$65525,0)-1,"")</f>
        <v/>
      </c>
      <c r="P16" t="str">
        <f>IF(LEN(K16),MATCH(K16,'MPIO_SFIO Table'!$A$11:$A$65525,0)-1,"")</f>
        <v/>
      </c>
      <c r="Q16" t="str">
        <f>IF(LEN(L16),MATCH(L16,'MPIO_SFIO Table'!$A$11:$A$65525,0)-1,"")</f>
        <v/>
      </c>
      <c r="R16" t="str">
        <f ca="1">IF(ISNUMBER(M16),OFFSET('MPIO_SFIO Table'!$AJ$11,M16,0),"")</f>
        <v/>
      </c>
      <c r="S16" t="str">
        <f ca="1">IF(ISNUMBER(N16),OFFSET('MPIO_SFIO Table'!$AJ$11,N16,0),"")</f>
        <v/>
      </c>
      <c r="T16" t="str">
        <f ca="1">IF(ISNUMBER(O16),OFFSET('MPIO_SFIO Table'!$AJ$11,O16,0),"")</f>
        <v/>
      </c>
      <c r="U16" t="str">
        <f ca="1">IF(ISNUMBER(P16),OFFSET('MPIO_SFIO Table'!$AJ$11,P16,0),"")</f>
        <v/>
      </c>
      <c r="V16" t="str">
        <f ca="1">IF(ISNUMBER(Q16),OFFSET('MPIO_SFIO Table'!$AJ$11,Q16,0),"")</f>
        <v/>
      </c>
      <c r="W16">
        <f t="shared" ca="1" si="11"/>
        <v>0</v>
      </c>
      <c r="X16">
        <f t="shared" ca="1" si="12"/>
        <v>0</v>
      </c>
      <c r="Y16">
        <f t="shared" ca="1" si="13"/>
        <v>0</v>
      </c>
      <c r="Z16">
        <f t="shared" ca="1" si="14"/>
        <v>0</v>
      </c>
      <c r="AA16">
        <f t="shared" ca="1" si="15"/>
        <v>0</v>
      </c>
    </row>
    <row r="17" spans="1:27" x14ac:dyDescent="0.25">
      <c r="A17">
        <f t="shared" ca="1" si="8"/>
        <v>0</v>
      </c>
      <c r="B17" t="str">
        <f t="shared" ca="1" si="9"/>
        <v/>
      </c>
      <c r="C17" t="str">
        <f t="shared" si="10"/>
        <v>GMI</v>
      </c>
      <c r="D17" t="s">
        <v>253</v>
      </c>
      <c r="E17" t="s">
        <v>253</v>
      </c>
      <c r="F17" s="3" t="s">
        <v>2529</v>
      </c>
      <c r="G17" s="11" t="s">
        <v>731</v>
      </c>
      <c r="H17" s="11" t="s">
        <v>229</v>
      </c>
      <c r="I17" s="3" t="s">
        <v>253</v>
      </c>
      <c r="J17" s="3" t="s">
        <v>253</v>
      </c>
      <c r="K17" s="3" t="s">
        <v>253</v>
      </c>
      <c r="L17" s="3" t="s">
        <v>253</v>
      </c>
      <c r="M17">
        <f>IF(LEN(H17),MATCH(H17,'MPIO_SFIO Table'!$A$11:$A$65525,0)-1,"")</f>
        <v>247</v>
      </c>
      <c r="N17" t="str">
        <f>IF(LEN(I17),MATCH(I17,'MPIO_SFIO Table'!$A$11:$A$65525,0)-1,"")</f>
        <v/>
      </c>
      <c r="O17" t="str">
        <f>IF(LEN(J17),MATCH(J17,'MPIO_SFIO Table'!$A$11:$A$65525,0)-1,"")</f>
        <v/>
      </c>
      <c r="P17" t="str">
        <f>IF(LEN(K17),MATCH(K17,'MPIO_SFIO Table'!$A$11:$A$65525,0)-1,"")</f>
        <v/>
      </c>
      <c r="Q17" t="str">
        <f>IF(LEN(L17),MATCH(L17,'MPIO_SFIO Table'!$A$11:$A$65525,0)-1,"")</f>
        <v/>
      </c>
      <c r="R17" t="str">
        <f ca="1">IF(ISNUMBER(M17),OFFSET('MPIO_SFIO Table'!$AJ$11,M17,0),"")</f>
        <v>unused_UART2_RTS_N</v>
      </c>
      <c r="S17" t="str">
        <f ca="1">IF(ISNUMBER(N17),OFFSET('MPIO_SFIO Table'!$AJ$11,N17,0),"")</f>
        <v/>
      </c>
      <c r="T17" t="str">
        <f ca="1">IF(ISNUMBER(O17),OFFSET('MPIO_SFIO Table'!$AJ$11,O17,0),"")</f>
        <v/>
      </c>
      <c r="U17" t="str">
        <f ca="1">IF(ISNUMBER(P17),OFFSET('MPIO_SFIO Table'!$AJ$11,P17,0),"")</f>
        <v/>
      </c>
      <c r="V17" t="str">
        <f ca="1">IF(ISNUMBER(Q17),OFFSET('MPIO_SFIO Table'!$AJ$11,Q17,0),"")</f>
        <v/>
      </c>
      <c r="W17">
        <f t="shared" ca="1" si="11"/>
        <v>0</v>
      </c>
      <c r="X17">
        <f t="shared" ca="1" si="12"/>
        <v>0</v>
      </c>
      <c r="Y17">
        <f t="shared" ca="1" si="13"/>
        <v>0</v>
      </c>
      <c r="Z17">
        <f t="shared" ca="1" si="14"/>
        <v>0</v>
      </c>
      <c r="AA17">
        <f t="shared" ca="1" si="15"/>
        <v>0</v>
      </c>
    </row>
    <row r="18" spans="1:27" x14ac:dyDescent="0.25">
      <c r="A18">
        <f t="shared" ca="1" si="8"/>
        <v>0</v>
      </c>
      <c r="B18" t="str">
        <f t="shared" ca="1" si="9"/>
        <v/>
      </c>
      <c r="C18" t="str">
        <f t="shared" si="10"/>
        <v>GMI</v>
      </c>
      <c r="D18" t="s">
        <v>253</v>
      </c>
      <c r="E18" t="s">
        <v>253</v>
      </c>
      <c r="F18" s="3" t="s">
        <v>2530</v>
      </c>
      <c r="G18" s="11" t="s">
        <v>728</v>
      </c>
      <c r="H18" s="11" t="s">
        <v>228</v>
      </c>
      <c r="I18" s="3" t="s">
        <v>253</v>
      </c>
      <c r="J18" s="3" t="s">
        <v>253</v>
      </c>
      <c r="K18" s="3" t="s">
        <v>253</v>
      </c>
      <c r="L18" s="3" t="s">
        <v>253</v>
      </c>
      <c r="M18">
        <f>IF(LEN(H18),MATCH(H18,'MPIO_SFIO Table'!$A$11:$A$65525,0)-1,"")</f>
        <v>246</v>
      </c>
      <c r="N18" t="str">
        <f>IF(LEN(I18),MATCH(I18,'MPIO_SFIO Table'!$A$11:$A$65525,0)-1,"")</f>
        <v/>
      </c>
      <c r="O18" t="str">
        <f>IF(LEN(J18),MATCH(J18,'MPIO_SFIO Table'!$A$11:$A$65525,0)-1,"")</f>
        <v/>
      </c>
      <c r="P18" t="str">
        <f>IF(LEN(K18),MATCH(K18,'MPIO_SFIO Table'!$A$11:$A$65525,0)-1,"")</f>
        <v/>
      </c>
      <c r="Q18" t="str">
        <f>IF(LEN(L18),MATCH(L18,'MPIO_SFIO Table'!$A$11:$A$65525,0)-1,"")</f>
        <v/>
      </c>
      <c r="R18" t="str">
        <f ca="1">IF(ISNUMBER(M18),OFFSET('MPIO_SFIO Table'!$AJ$11,M18,0),"")</f>
        <v>unused_UART2_CTS_N</v>
      </c>
      <c r="S18" t="str">
        <f ca="1">IF(ISNUMBER(N18),OFFSET('MPIO_SFIO Table'!$AJ$11,N18,0),"")</f>
        <v/>
      </c>
      <c r="T18" t="str">
        <f ca="1">IF(ISNUMBER(O18),OFFSET('MPIO_SFIO Table'!$AJ$11,O18,0),"")</f>
        <v/>
      </c>
      <c r="U18" t="str">
        <f ca="1">IF(ISNUMBER(P18),OFFSET('MPIO_SFIO Table'!$AJ$11,P18,0),"")</f>
        <v/>
      </c>
      <c r="V18" t="str">
        <f ca="1">IF(ISNUMBER(Q18),OFFSET('MPIO_SFIO Table'!$AJ$11,Q18,0),"")</f>
        <v/>
      </c>
      <c r="W18">
        <f t="shared" ca="1" si="11"/>
        <v>0</v>
      </c>
      <c r="X18">
        <f t="shared" ca="1" si="12"/>
        <v>0</v>
      </c>
      <c r="Y18">
        <f t="shared" ca="1" si="13"/>
        <v>0</v>
      </c>
      <c r="Z18">
        <f t="shared" ca="1" si="14"/>
        <v>0</v>
      </c>
      <c r="AA18">
        <f t="shared" ca="1" si="15"/>
        <v>0</v>
      </c>
    </row>
    <row r="19" spans="1:27" x14ac:dyDescent="0.25">
      <c r="A19">
        <f t="shared" ca="1" si="8"/>
        <v>0</v>
      </c>
      <c r="B19" t="str">
        <f t="shared" ca="1" si="9"/>
        <v/>
      </c>
      <c r="C19" t="str">
        <f t="shared" si="10"/>
        <v>GMI</v>
      </c>
      <c r="D19" t="s">
        <v>253</v>
      </c>
      <c r="E19" t="s">
        <v>253</v>
      </c>
      <c r="F19" s="3" t="s">
        <v>1375</v>
      </c>
      <c r="G19" s="11" t="s">
        <v>724</v>
      </c>
      <c r="H19" s="11" t="s">
        <v>225</v>
      </c>
      <c r="I19" s="3" t="s">
        <v>253</v>
      </c>
      <c r="J19" s="3" t="s">
        <v>253</v>
      </c>
      <c r="K19" s="3" t="s">
        <v>253</v>
      </c>
      <c r="L19" s="3" t="s">
        <v>253</v>
      </c>
      <c r="M19">
        <f>IF(LEN(H19),MATCH(H19,'MPIO_SFIO Table'!$A$11:$A$65525,0)-1,"")</f>
        <v>243</v>
      </c>
      <c r="N19" t="str">
        <f>IF(LEN(I19),MATCH(I19,'MPIO_SFIO Table'!$A$11:$A$65525,0)-1,"")</f>
        <v/>
      </c>
      <c r="O19" t="str">
        <f>IF(LEN(J19),MATCH(J19,'MPIO_SFIO Table'!$A$11:$A$65525,0)-1,"")</f>
        <v/>
      </c>
      <c r="P19" t="str">
        <f>IF(LEN(K19),MATCH(K19,'MPIO_SFIO Table'!$A$11:$A$65525,0)-1,"")</f>
        <v/>
      </c>
      <c r="Q19" t="str">
        <f>IF(LEN(L19),MATCH(L19,'MPIO_SFIO Table'!$A$11:$A$65525,0)-1,"")</f>
        <v/>
      </c>
      <c r="R19" t="str">
        <f ca="1">IF(ISNUMBER(M19),OFFSET('MPIO_SFIO Table'!$AJ$11,M19,0),"")</f>
        <v>unused_GPIO_PU4</v>
      </c>
      <c r="S19" t="str">
        <f ca="1">IF(ISNUMBER(N19),OFFSET('MPIO_SFIO Table'!$AJ$11,N19,0),"")</f>
        <v/>
      </c>
      <c r="T19" t="str">
        <f ca="1">IF(ISNUMBER(O19),OFFSET('MPIO_SFIO Table'!$AJ$11,O19,0),"")</f>
        <v/>
      </c>
      <c r="U19" t="str">
        <f ca="1">IF(ISNUMBER(P19),OFFSET('MPIO_SFIO Table'!$AJ$11,P19,0),"")</f>
        <v/>
      </c>
      <c r="V19" t="str">
        <f ca="1">IF(ISNUMBER(Q19),OFFSET('MPIO_SFIO Table'!$AJ$11,Q19,0),"")</f>
        <v/>
      </c>
      <c r="W19">
        <f t="shared" ca="1" si="11"/>
        <v>0</v>
      </c>
      <c r="X19">
        <f t="shared" ca="1" si="12"/>
        <v>0</v>
      </c>
      <c r="Y19">
        <f t="shared" ca="1" si="13"/>
        <v>0</v>
      </c>
      <c r="Z19">
        <f t="shared" ca="1" si="14"/>
        <v>0</v>
      </c>
      <c r="AA19">
        <f t="shared" ca="1" si="15"/>
        <v>0</v>
      </c>
    </row>
    <row r="20" spans="1:27" x14ac:dyDescent="0.25">
      <c r="A20">
        <f t="shared" ca="1" si="8"/>
        <v>0</v>
      </c>
      <c r="B20" t="str">
        <f t="shared" ca="1" si="9"/>
        <v/>
      </c>
      <c r="C20" t="str">
        <f t="shared" si="10"/>
        <v>GMI</v>
      </c>
      <c r="D20" t="s">
        <v>253</v>
      </c>
      <c r="E20" t="s">
        <v>253</v>
      </c>
      <c r="F20" s="3" t="s">
        <v>2022</v>
      </c>
      <c r="G20" s="11" t="s">
        <v>725</v>
      </c>
      <c r="H20" s="11" t="s">
        <v>226</v>
      </c>
      <c r="I20" s="3" t="s">
        <v>253</v>
      </c>
      <c r="J20" s="3" t="s">
        <v>253</v>
      </c>
      <c r="K20" s="3" t="s">
        <v>253</v>
      </c>
      <c r="L20" s="3" t="s">
        <v>253</v>
      </c>
      <c r="M20">
        <f>IF(LEN(H20),MATCH(H20,'MPIO_SFIO Table'!$A$11:$A$65525,0)-1,"")</f>
        <v>244</v>
      </c>
      <c r="N20" t="str">
        <f>IF(LEN(I20),MATCH(I20,'MPIO_SFIO Table'!$A$11:$A$65525,0)-1,"")</f>
        <v/>
      </c>
      <c r="O20" t="str">
        <f>IF(LEN(J20),MATCH(J20,'MPIO_SFIO Table'!$A$11:$A$65525,0)-1,"")</f>
        <v/>
      </c>
      <c r="P20" t="str">
        <f>IF(LEN(K20),MATCH(K20,'MPIO_SFIO Table'!$A$11:$A$65525,0)-1,"")</f>
        <v/>
      </c>
      <c r="Q20" t="str">
        <f>IF(LEN(L20),MATCH(L20,'MPIO_SFIO Table'!$A$11:$A$65525,0)-1,"")</f>
        <v/>
      </c>
      <c r="R20" t="str">
        <f ca="1">IF(ISNUMBER(M20),OFFSET('MPIO_SFIO Table'!$AJ$11,M20,0),"")</f>
        <v>unused_GPIO_PU5</v>
      </c>
      <c r="S20" t="str">
        <f ca="1">IF(ISNUMBER(N20),OFFSET('MPIO_SFIO Table'!$AJ$11,N20,0),"")</f>
        <v/>
      </c>
      <c r="T20" t="str">
        <f ca="1">IF(ISNUMBER(O20),OFFSET('MPIO_SFIO Table'!$AJ$11,O20,0),"")</f>
        <v/>
      </c>
      <c r="U20" t="str">
        <f ca="1">IF(ISNUMBER(P20),OFFSET('MPIO_SFIO Table'!$AJ$11,P20,0),"")</f>
        <v/>
      </c>
      <c r="V20" t="str">
        <f ca="1">IF(ISNUMBER(Q20),OFFSET('MPIO_SFIO Table'!$AJ$11,Q20,0),"")</f>
        <v/>
      </c>
      <c r="W20">
        <f t="shared" ca="1" si="11"/>
        <v>0</v>
      </c>
      <c r="X20">
        <f t="shared" ca="1" si="12"/>
        <v>0</v>
      </c>
      <c r="Y20">
        <f t="shared" ca="1" si="13"/>
        <v>0</v>
      </c>
      <c r="Z20">
        <f t="shared" ca="1" si="14"/>
        <v>0</v>
      </c>
      <c r="AA20">
        <f t="shared" ca="1" si="15"/>
        <v>0</v>
      </c>
    </row>
    <row r="21" spans="1:27" x14ac:dyDescent="0.25">
      <c r="A21">
        <f t="shared" ca="1" si="8"/>
        <v>0</v>
      </c>
      <c r="B21" t="str">
        <f t="shared" ca="1" si="9"/>
        <v/>
      </c>
      <c r="C21" t="str">
        <f t="shared" si="10"/>
        <v>GMI</v>
      </c>
      <c r="D21" t="s">
        <v>253</v>
      </c>
      <c r="E21" t="s">
        <v>253</v>
      </c>
      <c r="F21" s="3" t="s">
        <v>1405</v>
      </c>
      <c r="G21" s="11" t="s">
        <v>726</v>
      </c>
      <c r="H21" s="11" t="s">
        <v>227</v>
      </c>
      <c r="I21" s="3" t="s">
        <v>253</v>
      </c>
      <c r="J21" s="3" t="s">
        <v>253</v>
      </c>
      <c r="K21" s="3" t="s">
        <v>253</v>
      </c>
      <c r="L21" s="3" t="s">
        <v>253</v>
      </c>
      <c r="M21">
        <f>IF(LEN(H21),MATCH(H21,'MPIO_SFIO Table'!$A$11:$A$65525,0)-1,"")</f>
        <v>245</v>
      </c>
      <c r="N21" t="str">
        <f>IF(LEN(I21),MATCH(I21,'MPIO_SFIO Table'!$A$11:$A$65525,0)-1,"")</f>
        <v/>
      </c>
      <c r="O21" t="str">
        <f>IF(LEN(J21),MATCH(J21,'MPIO_SFIO Table'!$A$11:$A$65525,0)-1,"")</f>
        <v/>
      </c>
      <c r="P21" t="str">
        <f>IF(LEN(K21),MATCH(K21,'MPIO_SFIO Table'!$A$11:$A$65525,0)-1,"")</f>
        <v/>
      </c>
      <c r="Q21" t="str">
        <f>IF(LEN(L21),MATCH(L21,'MPIO_SFIO Table'!$A$11:$A$65525,0)-1,"")</f>
        <v/>
      </c>
      <c r="R21" t="str">
        <f ca="1">IF(ISNUMBER(M21),OFFSET('MPIO_SFIO Table'!$AJ$11,M21,0),"")</f>
        <v>unused_GPIO_PU6</v>
      </c>
      <c r="S21" t="str">
        <f ca="1">IF(ISNUMBER(N21),OFFSET('MPIO_SFIO Table'!$AJ$11,N21,0),"")</f>
        <v/>
      </c>
      <c r="T21" t="str">
        <f ca="1">IF(ISNUMBER(O21),OFFSET('MPIO_SFIO Table'!$AJ$11,O21,0),"")</f>
        <v/>
      </c>
      <c r="U21" t="str">
        <f ca="1">IF(ISNUMBER(P21),OFFSET('MPIO_SFIO Table'!$AJ$11,P21,0),"")</f>
        <v/>
      </c>
      <c r="V21" t="str">
        <f ca="1">IF(ISNUMBER(Q21),OFFSET('MPIO_SFIO Table'!$AJ$11,Q21,0),"")</f>
        <v/>
      </c>
      <c r="W21">
        <f t="shared" ca="1" si="11"/>
        <v>0</v>
      </c>
      <c r="X21">
        <f t="shared" ca="1" si="12"/>
        <v>0</v>
      </c>
      <c r="Y21">
        <f t="shared" ca="1" si="13"/>
        <v>0</v>
      </c>
      <c r="Z21">
        <f t="shared" ca="1" si="14"/>
        <v>0</v>
      </c>
      <c r="AA21">
        <f t="shared" ca="1" si="15"/>
        <v>0</v>
      </c>
    </row>
    <row r="22" spans="1:27" x14ac:dyDescent="0.25">
      <c r="A22">
        <f t="shared" ca="1" si="8"/>
        <v>0</v>
      </c>
      <c r="B22" t="str">
        <f t="shared" ca="1" si="9"/>
        <v/>
      </c>
      <c r="C22" t="str">
        <f t="shared" si="10"/>
        <v>GMI</v>
      </c>
      <c r="D22" t="s">
        <v>253</v>
      </c>
      <c r="E22" t="s">
        <v>253</v>
      </c>
      <c r="F22" s="3" t="s">
        <v>1401</v>
      </c>
      <c r="G22" s="11" t="s">
        <v>713</v>
      </c>
      <c r="H22" s="11" t="s">
        <v>217</v>
      </c>
      <c r="I22" s="3" t="s">
        <v>253</v>
      </c>
      <c r="J22" s="3" t="s">
        <v>253</v>
      </c>
      <c r="K22" s="3" t="s">
        <v>253</v>
      </c>
      <c r="L22" s="3" t="s">
        <v>253</v>
      </c>
      <c r="M22">
        <f>IF(LEN(H22),MATCH(H22,'MPIO_SFIO Table'!$A$11:$A$65525,0)-1,"")</f>
        <v>235</v>
      </c>
      <c r="N22" t="str">
        <f>IF(LEN(I22),MATCH(I22,'MPIO_SFIO Table'!$A$11:$A$65525,0)-1,"")</f>
        <v/>
      </c>
      <c r="O22" t="str">
        <f>IF(LEN(J22),MATCH(J22,'MPIO_SFIO Table'!$A$11:$A$65525,0)-1,"")</f>
        <v/>
      </c>
      <c r="P22" t="str">
        <f>IF(LEN(K22),MATCH(K22,'MPIO_SFIO Table'!$A$11:$A$65525,0)-1,"")</f>
        <v/>
      </c>
      <c r="Q22" t="str">
        <f>IF(LEN(L22),MATCH(L22,'MPIO_SFIO Table'!$A$11:$A$65525,0)-1,"")</f>
        <v/>
      </c>
      <c r="R22" t="str">
        <f ca="1">IF(ISNUMBER(M22),OFFSET('MPIO_SFIO Table'!$AJ$11,M22,0),"")</f>
        <v>unused_DAP4_FS</v>
      </c>
      <c r="S22" t="str">
        <f ca="1">IF(ISNUMBER(N22),OFFSET('MPIO_SFIO Table'!$AJ$11,N22,0),"")</f>
        <v/>
      </c>
      <c r="T22" t="str">
        <f ca="1">IF(ISNUMBER(O22),OFFSET('MPIO_SFIO Table'!$AJ$11,O22,0),"")</f>
        <v/>
      </c>
      <c r="U22" t="str">
        <f ca="1">IF(ISNUMBER(P22),OFFSET('MPIO_SFIO Table'!$AJ$11,P22,0),"")</f>
        <v/>
      </c>
      <c r="V22" t="str">
        <f ca="1">IF(ISNUMBER(Q22),OFFSET('MPIO_SFIO Table'!$AJ$11,Q22,0),"")</f>
        <v/>
      </c>
      <c r="W22">
        <f t="shared" ca="1" si="11"/>
        <v>0</v>
      </c>
      <c r="X22">
        <f t="shared" ca="1" si="12"/>
        <v>0</v>
      </c>
      <c r="Y22">
        <f t="shared" ca="1" si="13"/>
        <v>0</v>
      </c>
      <c r="Z22">
        <f t="shared" ca="1" si="14"/>
        <v>0</v>
      </c>
      <c r="AA22">
        <f t="shared" ca="1" si="15"/>
        <v>0</v>
      </c>
    </row>
    <row r="23" spans="1:27" x14ac:dyDescent="0.25">
      <c r="A23">
        <f t="shared" ca="1" si="8"/>
        <v>0</v>
      </c>
      <c r="B23" t="str">
        <f t="shared" ca="1" si="9"/>
        <v/>
      </c>
      <c r="C23" t="str">
        <f t="shared" si="10"/>
        <v>GMI</v>
      </c>
      <c r="D23" t="s">
        <v>253</v>
      </c>
      <c r="E23" t="s">
        <v>253</v>
      </c>
      <c r="F23" s="3" t="s">
        <v>2531</v>
      </c>
      <c r="G23" s="11" t="s">
        <v>708</v>
      </c>
      <c r="H23" s="11" t="s">
        <v>215</v>
      </c>
      <c r="I23" s="3" t="s">
        <v>253</v>
      </c>
      <c r="J23" s="3" t="s">
        <v>253</v>
      </c>
      <c r="K23" s="3" t="s">
        <v>253</v>
      </c>
      <c r="L23" s="3" t="s">
        <v>253</v>
      </c>
      <c r="M23">
        <f>IF(LEN(H23),MATCH(H23,'MPIO_SFIO Table'!$A$11:$A$65525,0)-1,"")</f>
        <v>233</v>
      </c>
      <c r="N23" t="str">
        <f>IF(LEN(I23),MATCH(I23,'MPIO_SFIO Table'!$A$11:$A$65525,0)-1,"")</f>
        <v/>
      </c>
      <c r="O23" t="str">
        <f>IF(LEN(J23),MATCH(J23,'MPIO_SFIO Table'!$A$11:$A$65525,0)-1,"")</f>
        <v/>
      </c>
      <c r="P23" t="str">
        <f>IF(LEN(K23),MATCH(K23,'MPIO_SFIO Table'!$A$11:$A$65525,0)-1,"")</f>
        <v/>
      </c>
      <c r="Q23" t="str">
        <f>IF(LEN(L23),MATCH(L23,'MPIO_SFIO Table'!$A$11:$A$65525,0)-1,"")</f>
        <v/>
      </c>
      <c r="R23" t="str">
        <f ca="1">IF(ISNUMBER(M23),OFFSET('MPIO_SFIO Table'!$AJ$11,M23,0),"")</f>
        <v>unused_DAP4_DIN</v>
      </c>
      <c r="S23" t="str">
        <f ca="1">IF(ISNUMBER(N23),OFFSET('MPIO_SFIO Table'!$AJ$11,N23,0),"")</f>
        <v/>
      </c>
      <c r="T23" t="str">
        <f ca="1">IF(ISNUMBER(O23),OFFSET('MPIO_SFIO Table'!$AJ$11,O23,0),"")</f>
        <v/>
      </c>
      <c r="U23" t="str">
        <f ca="1">IF(ISNUMBER(P23),OFFSET('MPIO_SFIO Table'!$AJ$11,P23,0),"")</f>
        <v/>
      </c>
      <c r="V23" t="str">
        <f ca="1">IF(ISNUMBER(Q23),OFFSET('MPIO_SFIO Table'!$AJ$11,Q23,0),"")</f>
        <v/>
      </c>
      <c r="W23">
        <f t="shared" ca="1" si="11"/>
        <v>0</v>
      </c>
      <c r="X23">
        <f t="shared" ca="1" si="12"/>
        <v>0</v>
      </c>
      <c r="Y23">
        <f t="shared" ca="1" si="13"/>
        <v>0</v>
      </c>
      <c r="Z23">
        <f t="shared" ca="1" si="14"/>
        <v>0</v>
      </c>
      <c r="AA23">
        <f t="shared" ca="1" si="15"/>
        <v>0</v>
      </c>
    </row>
    <row r="24" spans="1:27" x14ac:dyDescent="0.25">
      <c r="A24">
        <f t="shared" ca="1" si="8"/>
        <v>0</v>
      </c>
      <c r="B24" t="str">
        <f t="shared" ca="1" si="9"/>
        <v/>
      </c>
      <c r="C24" t="str">
        <f t="shared" si="10"/>
        <v>GMI</v>
      </c>
      <c r="D24" t="s">
        <v>253</v>
      </c>
      <c r="E24" t="s">
        <v>253</v>
      </c>
      <c r="F24" s="3" t="s">
        <v>1353</v>
      </c>
      <c r="G24" s="11" t="s">
        <v>711</v>
      </c>
      <c r="H24" s="11" t="s">
        <v>216</v>
      </c>
      <c r="I24" s="3" t="s">
        <v>253</v>
      </c>
      <c r="J24" s="3" t="s">
        <v>253</v>
      </c>
      <c r="K24" s="3" t="s">
        <v>253</v>
      </c>
      <c r="L24" s="3" t="s">
        <v>253</v>
      </c>
      <c r="M24">
        <f>IF(LEN(H24),MATCH(H24,'MPIO_SFIO Table'!$A$11:$A$65525,0)-1,"")</f>
        <v>234</v>
      </c>
      <c r="N24" t="str">
        <f>IF(LEN(I24),MATCH(I24,'MPIO_SFIO Table'!$A$11:$A$65525,0)-1,"")</f>
        <v/>
      </c>
      <c r="O24" t="str">
        <f>IF(LEN(J24),MATCH(J24,'MPIO_SFIO Table'!$A$11:$A$65525,0)-1,"")</f>
        <v/>
      </c>
      <c r="P24" t="str">
        <f>IF(LEN(K24),MATCH(K24,'MPIO_SFIO Table'!$A$11:$A$65525,0)-1,"")</f>
        <v/>
      </c>
      <c r="Q24" t="str">
        <f>IF(LEN(L24),MATCH(L24,'MPIO_SFIO Table'!$A$11:$A$65525,0)-1,"")</f>
        <v/>
      </c>
      <c r="R24" t="str">
        <f ca="1">IF(ISNUMBER(M24),OFFSET('MPIO_SFIO Table'!$AJ$11,M24,0),"")</f>
        <v>unused_DAP4_DOUT</v>
      </c>
      <c r="S24" t="str">
        <f ca="1">IF(ISNUMBER(N24),OFFSET('MPIO_SFIO Table'!$AJ$11,N24,0),"")</f>
        <v/>
      </c>
      <c r="T24" t="str">
        <f ca="1">IF(ISNUMBER(O24),OFFSET('MPIO_SFIO Table'!$AJ$11,O24,0),"")</f>
        <v/>
      </c>
      <c r="U24" t="str">
        <f ca="1">IF(ISNUMBER(P24),OFFSET('MPIO_SFIO Table'!$AJ$11,P24,0),"")</f>
        <v/>
      </c>
      <c r="V24" t="str">
        <f ca="1">IF(ISNUMBER(Q24),OFFSET('MPIO_SFIO Table'!$AJ$11,Q24,0),"")</f>
        <v/>
      </c>
      <c r="W24">
        <f t="shared" ca="1" si="11"/>
        <v>0</v>
      </c>
      <c r="X24">
        <f t="shared" ca="1" si="12"/>
        <v>0</v>
      </c>
      <c r="Y24">
        <f t="shared" ca="1" si="13"/>
        <v>0</v>
      </c>
      <c r="Z24">
        <f t="shared" ca="1" si="14"/>
        <v>0</v>
      </c>
      <c r="AA24">
        <f t="shared" ca="1" si="15"/>
        <v>0</v>
      </c>
    </row>
    <row r="25" spans="1:27" x14ac:dyDescent="0.25">
      <c r="A25">
        <f t="shared" ca="1" si="8"/>
        <v>0</v>
      </c>
      <c r="B25" t="str">
        <f t="shared" ca="1" si="9"/>
        <v/>
      </c>
      <c r="C25" t="str">
        <f t="shared" si="10"/>
        <v>GMI</v>
      </c>
      <c r="D25" t="s">
        <v>253</v>
      </c>
      <c r="E25" t="s">
        <v>253</v>
      </c>
      <c r="F25" s="3" t="s">
        <v>1351</v>
      </c>
      <c r="G25" s="11" t="s">
        <v>715</v>
      </c>
      <c r="H25" s="11" t="s">
        <v>218</v>
      </c>
      <c r="I25" s="3" t="s">
        <v>253</v>
      </c>
      <c r="J25" s="3" t="s">
        <v>253</v>
      </c>
      <c r="K25" s="3" t="s">
        <v>253</v>
      </c>
      <c r="L25" s="3" t="s">
        <v>253</v>
      </c>
      <c r="M25">
        <f>IF(LEN(H25),MATCH(H25,'MPIO_SFIO Table'!$A$11:$A$65525,0)-1,"")</f>
        <v>236</v>
      </c>
      <c r="N25" t="str">
        <f>IF(LEN(I25),MATCH(I25,'MPIO_SFIO Table'!$A$11:$A$65525,0)-1,"")</f>
        <v/>
      </c>
      <c r="O25" t="str">
        <f>IF(LEN(J25),MATCH(J25,'MPIO_SFIO Table'!$A$11:$A$65525,0)-1,"")</f>
        <v/>
      </c>
      <c r="P25" t="str">
        <f>IF(LEN(K25),MATCH(K25,'MPIO_SFIO Table'!$A$11:$A$65525,0)-1,"")</f>
        <v/>
      </c>
      <c r="Q25" t="str">
        <f>IF(LEN(L25),MATCH(L25,'MPIO_SFIO Table'!$A$11:$A$65525,0)-1,"")</f>
        <v/>
      </c>
      <c r="R25" t="str">
        <f ca="1">IF(ISNUMBER(M25),OFFSET('MPIO_SFIO Table'!$AJ$11,M25,0),"")</f>
        <v>unused_DAP4_SCLK</v>
      </c>
      <c r="S25" t="str">
        <f ca="1">IF(ISNUMBER(N25),OFFSET('MPIO_SFIO Table'!$AJ$11,N25,0),"")</f>
        <v/>
      </c>
      <c r="T25" t="str">
        <f ca="1">IF(ISNUMBER(O25),OFFSET('MPIO_SFIO Table'!$AJ$11,O25,0),"")</f>
        <v/>
      </c>
      <c r="U25" t="str">
        <f ca="1">IF(ISNUMBER(P25),OFFSET('MPIO_SFIO Table'!$AJ$11,P25,0),"")</f>
        <v/>
      </c>
      <c r="V25" t="str">
        <f ca="1">IF(ISNUMBER(Q25),OFFSET('MPIO_SFIO Table'!$AJ$11,Q25,0),"")</f>
        <v/>
      </c>
      <c r="W25">
        <f t="shared" ca="1" si="11"/>
        <v>0</v>
      </c>
      <c r="X25">
        <f t="shared" ca="1" si="12"/>
        <v>0</v>
      </c>
      <c r="Y25">
        <f t="shared" ca="1" si="13"/>
        <v>0</v>
      </c>
      <c r="Z25">
        <f t="shared" ca="1" si="14"/>
        <v>0</v>
      </c>
      <c r="AA25">
        <f t="shared" ca="1" si="15"/>
        <v>0</v>
      </c>
    </row>
    <row r="26" spans="1:27" x14ac:dyDescent="0.25">
      <c r="A26">
        <f t="shared" ca="1" si="8"/>
        <v>0</v>
      </c>
      <c r="B26" t="str">
        <f t="shared" ca="1" si="9"/>
        <v/>
      </c>
      <c r="C26" t="str">
        <f t="shared" si="10"/>
        <v>GMI</v>
      </c>
      <c r="D26" t="s">
        <v>253</v>
      </c>
      <c r="E26" t="s">
        <v>253</v>
      </c>
      <c r="F26" s="3" t="s">
        <v>1997</v>
      </c>
      <c r="G26" s="11" t="s">
        <v>293</v>
      </c>
      <c r="H26" s="11" t="s">
        <v>16</v>
      </c>
      <c r="I26" s="3" t="s">
        <v>253</v>
      </c>
      <c r="J26" s="3" t="s">
        <v>253</v>
      </c>
      <c r="K26" s="3" t="s">
        <v>253</v>
      </c>
      <c r="L26" s="3" t="s">
        <v>253</v>
      </c>
      <c r="M26">
        <f>IF(LEN(H26),MATCH(H26,'MPIO_SFIO Table'!$A$11:$A$65525,0)-1,"")</f>
        <v>8</v>
      </c>
      <c r="N26" t="str">
        <f>IF(LEN(I26),MATCH(I26,'MPIO_SFIO Table'!$A$11:$A$65525,0)-1,"")</f>
        <v/>
      </c>
      <c r="O26" t="str">
        <f>IF(LEN(J26),MATCH(J26,'MPIO_SFIO Table'!$A$11:$A$65525,0)-1,"")</f>
        <v/>
      </c>
      <c r="P26" t="str">
        <f>IF(LEN(K26),MATCH(K26,'MPIO_SFIO Table'!$A$11:$A$65525,0)-1,"")</f>
        <v/>
      </c>
      <c r="Q26" t="str">
        <f>IF(LEN(L26),MATCH(L26,'MPIO_SFIO Table'!$A$11:$A$65525,0)-1,"")</f>
        <v/>
      </c>
      <c r="R26" t="str">
        <f ca="1">IF(ISNUMBER(M26),OFFSET('MPIO_SFIO Table'!$AJ$11,M26,0),"")</f>
        <v>unused_DAP2_FS</v>
      </c>
      <c r="S26" t="str">
        <f ca="1">IF(ISNUMBER(N26),OFFSET('MPIO_SFIO Table'!$AJ$11,N26,0),"")</f>
        <v/>
      </c>
      <c r="T26" t="str">
        <f ca="1">IF(ISNUMBER(O26),OFFSET('MPIO_SFIO Table'!$AJ$11,O26,0),"")</f>
        <v/>
      </c>
      <c r="U26" t="str">
        <f ca="1">IF(ISNUMBER(P26),OFFSET('MPIO_SFIO Table'!$AJ$11,P26,0),"")</f>
        <v/>
      </c>
      <c r="V26" t="str">
        <f ca="1">IF(ISNUMBER(Q26),OFFSET('MPIO_SFIO Table'!$AJ$11,Q26,0),"")</f>
        <v/>
      </c>
      <c r="W26">
        <f t="shared" ca="1" si="11"/>
        <v>0</v>
      </c>
      <c r="X26">
        <f t="shared" ca="1" si="12"/>
        <v>0</v>
      </c>
      <c r="Y26">
        <f t="shared" ca="1" si="13"/>
        <v>0</v>
      </c>
      <c r="Z26">
        <f t="shared" ca="1" si="14"/>
        <v>0</v>
      </c>
      <c r="AA26">
        <f t="shared" ca="1" si="15"/>
        <v>0</v>
      </c>
    </row>
    <row r="27" spans="1:27" x14ac:dyDescent="0.25">
      <c r="A27">
        <f t="shared" ca="1" si="8"/>
        <v>0</v>
      </c>
      <c r="B27" t="str">
        <f t="shared" ca="1" si="9"/>
        <v/>
      </c>
      <c r="C27" t="str">
        <f t="shared" si="10"/>
        <v>GMI</v>
      </c>
      <c r="D27" t="s">
        <v>253</v>
      </c>
      <c r="E27" t="s">
        <v>253</v>
      </c>
      <c r="F27" s="3" t="s">
        <v>1348</v>
      </c>
      <c r="G27" s="11" t="s">
        <v>296</v>
      </c>
      <c r="H27" s="11" t="s">
        <v>17</v>
      </c>
      <c r="I27" s="3" t="s">
        <v>253</v>
      </c>
      <c r="J27" s="3" t="s">
        <v>253</v>
      </c>
      <c r="K27" s="3" t="s">
        <v>253</v>
      </c>
      <c r="L27" s="3" t="s">
        <v>253</v>
      </c>
      <c r="M27">
        <f>IF(LEN(H27),MATCH(H27,'MPIO_SFIO Table'!$A$11:$A$65525,0)-1,"")</f>
        <v>9</v>
      </c>
      <c r="N27" t="str">
        <f>IF(LEN(I27),MATCH(I27,'MPIO_SFIO Table'!$A$11:$A$65525,0)-1,"")</f>
        <v/>
      </c>
      <c r="O27" t="str">
        <f>IF(LEN(J27),MATCH(J27,'MPIO_SFIO Table'!$A$11:$A$65525,0)-1,"")</f>
        <v/>
      </c>
      <c r="P27" t="str">
        <f>IF(LEN(K27),MATCH(K27,'MPIO_SFIO Table'!$A$11:$A$65525,0)-1,"")</f>
        <v/>
      </c>
      <c r="Q27" t="str">
        <f>IF(LEN(L27),MATCH(L27,'MPIO_SFIO Table'!$A$11:$A$65525,0)-1,"")</f>
        <v/>
      </c>
      <c r="R27" t="str">
        <f ca="1">IF(ISNUMBER(M27),OFFSET('MPIO_SFIO Table'!$AJ$11,M27,0),"")</f>
        <v>unused_DAP2_SCLK</v>
      </c>
      <c r="S27" t="str">
        <f ca="1">IF(ISNUMBER(N27),OFFSET('MPIO_SFIO Table'!$AJ$11,N27,0),"")</f>
        <v/>
      </c>
      <c r="T27" t="str">
        <f ca="1">IF(ISNUMBER(O27),OFFSET('MPIO_SFIO Table'!$AJ$11,O27,0),"")</f>
        <v/>
      </c>
      <c r="U27" t="str">
        <f ca="1">IF(ISNUMBER(P27),OFFSET('MPIO_SFIO Table'!$AJ$11,P27,0),"")</f>
        <v/>
      </c>
      <c r="V27" t="str">
        <f ca="1">IF(ISNUMBER(Q27),OFFSET('MPIO_SFIO Table'!$AJ$11,Q27,0),"")</f>
        <v/>
      </c>
      <c r="W27">
        <f t="shared" ca="1" si="11"/>
        <v>0</v>
      </c>
      <c r="X27">
        <f t="shared" ca="1" si="12"/>
        <v>0</v>
      </c>
      <c r="Y27">
        <f t="shared" ca="1" si="13"/>
        <v>0</v>
      </c>
      <c r="Z27">
        <f t="shared" ca="1" si="14"/>
        <v>0</v>
      </c>
      <c r="AA27">
        <f t="shared" ca="1" si="15"/>
        <v>0</v>
      </c>
    </row>
    <row r="28" spans="1:27" x14ac:dyDescent="0.25">
      <c r="A28">
        <f t="shared" ca="1" si="8"/>
        <v>0</v>
      </c>
      <c r="B28" t="str">
        <f t="shared" ca="1" si="9"/>
        <v/>
      </c>
      <c r="C28" t="str">
        <f t="shared" si="10"/>
        <v>GMI</v>
      </c>
      <c r="D28" t="s">
        <v>253</v>
      </c>
      <c r="E28" t="s">
        <v>253</v>
      </c>
      <c r="F28" s="3" t="s">
        <v>1346</v>
      </c>
      <c r="G28" s="11" t="s">
        <v>286</v>
      </c>
      <c r="H28" s="11" t="s">
        <v>14</v>
      </c>
      <c r="I28" s="3" t="s">
        <v>253</v>
      </c>
      <c r="J28" s="3" t="s">
        <v>253</v>
      </c>
      <c r="K28" s="3" t="s">
        <v>253</v>
      </c>
      <c r="L28" s="3" t="s">
        <v>253</v>
      </c>
      <c r="M28">
        <f>IF(LEN(H28),MATCH(H28,'MPIO_SFIO Table'!$A$11:$A$65525,0)-1,"")</f>
        <v>6</v>
      </c>
      <c r="N28" t="str">
        <f>IF(LEN(I28),MATCH(I28,'MPIO_SFIO Table'!$A$11:$A$65525,0)-1,"")</f>
        <v/>
      </c>
      <c r="O28" t="str">
        <f>IF(LEN(J28),MATCH(J28,'MPIO_SFIO Table'!$A$11:$A$65525,0)-1,"")</f>
        <v/>
      </c>
      <c r="P28" t="str">
        <f>IF(LEN(K28),MATCH(K28,'MPIO_SFIO Table'!$A$11:$A$65525,0)-1,"")</f>
        <v/>
      </c>
      <c r="Q28" t="str">
        <f>IF(LEN(L28),MATCH(L28,'MPIO_SFIO Table'!$A$11:$A$65525,0)-1,"")</f>
        <v/>
      </c>
      <c r="R28" t="str">
        <f ca="1">IF(ISNUMBER(M28),OFFSET('MPIO_SFIO Table'!$AJ$11,M28,0),"")</f>
        <v>unused_DAP2_DIN</v>
      </c>
      <c r="S28" t="str">
        <f ca="1">IF(ISNUMBER(N28),OFFSET('MPIO_SFIO Table'!$AJ$11,N28,0),"")</f>
        <v/>
      </c>
      <c r="T28" t="str">
        <f ca="1">IF(ISNUMBER(O28),OFFSET('MPIO_SFIO Table'!$AJ$11,O28,0),"")</f>
        <v/>
      </c>
      <c r="U28" t="str">
        <f ca="1">IF(ISNUMBER(P28),OFFSET('MPIO_SFIO Table'!$AJ$11,P28,0),"")</f>
        <v/>
      </c>
      <c r="V28" t="str">
        <f ca="1">IF(ISNUMBER(Q28),OFFSET('MPIO_SFIO Table'!$AJ$11,Q28,0),"")</f>
        <v/>
      </c>
      <c r="W28">
        <f t="shared" ca="1" si="11"/>
        <v>0</v>
      </c>
      <c r="X28">
        <f t="shared" ca="1" si="12"/>
        <v>0</v>
      </c>
      <c r="Y28">
        <f t="shared" ca="1" si="13"/>
        <v>0</v>
      </c>
      <c r="Z28">
        <f t="shared" ca="1" si="14"/>
        <v>0</v>
      </c>
      <c r="AA28">
        <f t="shared" ca="1" si="15"/>
        <v>0</v>
      </c>
    </row>
    <row r="29" spans="1:27" x14ac:dyDescent="0.25">
      <c r="A29">
        <f t="shared" ca="1" si="8"/>
        <v>0</v>
      </c>
      <c r="B29" t="str">
        <f t="shared" ca="1" si="9"/>
        <v/>
      </c>
      <c r="C29" t="str">
        <f t="shared" si="10"/>
        <v>GMI</v>
      </c>
      <c r="D29" t="s">
        <v>253</v>
      </c>
      <c r="E29" t="s">
        <v>253</v>
      </c>
      <c r="F29" s="3" t="s">
        <v>2532</v>
      </c>
      <c r="G29" s="11" t="s">
        <v>745</v>
      </c>
      <c r="H29" s="11" t="s">
        <v>235</v>
      </c>
      <c r="I29" s="3" t="s">
        <v>253</v>
      </c>
      <c r="J29" s="3" t="s">
        <v>253</v>
      </c>
      <c r="K29" s="3" t="s">
        <v>253</v>
      </c>
      <c r="L29" s="3" t="s">
        <v>253</v>
      </c>
      <c r="M29">
        <f>IF(LEN(H29),MATCH(H29,'MPIO_SFIO Table'!$A$11:$A$65525,0)-1,"")</f>
        <v>253</v>
      </c>
      <c r="N29" t="str">
        <f>IF(LEN(I29),MATCH(I29,'MPIO_SFIO Table'!$A$11:$A$65525,0)-1,"")</f>
        <v/>
      </c>
      <c r="O29" t="str">
        <f>IF(LEN(J29),MATCH(J29,'MPIO_SFIO Table'!$A$11:$A$65525,0)-1,"")</f>
        <v/>
      </c>
      <c r="P29" t="str">
        <f>IF(LEN(K29),MATCH(K29,'MPIO_SFIO Table'!$A$11:$A$65525,0)-1,"")</f>
        <v/>
      </c>
      <c r="Q29" t="str">
        <f>IF(LEN(L29),MATCH(L29,'MPIO_SFIO Table'!$A$11:$A$65525,0)-1,"")</f>
        <v/>
      </c>
      <c r="R29" t="str">
        <f ca="1">IF(ISNUMBER(M29),OFFSET('MPIO_SFIO Table'!$AJ$11,M29,0),"")</f>
        <v>unused_UART3_TXD</v>
      </c>
      <c r="S29" t="str">
        <f ca="1">IF(ISNUMBER(N29),OFFSET('MPIO_SFIO Table'!$AJ$11,N29,0),"")</f>
        <v/>
      </c>
      <c r="T29" t="str">
        <f ca="1">IF(ISNUMBER(O29),OFFSET('MPIO_SFIO Table'!$AJ$11,O29,0),"")</f>
        <v/>
      </c>
      <c r="U29" t="str">
        <f ca="1">IF(ISNUMBER(P29),OFFSET('MPIO_SFIO Table'!$AJ$11,P29,0),"")</f>
        <v/>
      </c>
      <c r="V29" t="str">
        <f ca="1">IF(ISNUMBER(Q29),OFFSET('MPIO_SFIO Table'!$AJ$11,Q29,0),"")</f>
        <v/>
      </c>
      <c r="W29">
        <f t="shared" ca="1" si="11"/>
        <v>0</v>
      </c>
      <c r="X29">
        <f t="shared" ca="1" si="12"/>
        <v>0</v>
      </c>
      <c r="Y29">
        <f t="shared" ca="1" si="13"/>
        <v>0</v>
      </c>
      <c r="Z29">
        <f t="shared" ca="1" si="14"/>
        <v>0</v>
      </c>
      <c r="AA29">
        <f t="shared" ca="1" si="15"/>
        <v>0</v>
      </c>
    </row>
    <row r="30" spans="1:27" x14ac:dyDescent="0.25">
      <c r="A30">
        <f t="shared" ca="1" si="8"/>
        <v>0</v>
      </c>
      <c r="B30" t="str">
        <f t="shared" ca="1" si="9"/>
        <v/>
      </c>
      <c r="C30" t="str">
        <f t="shared" si="10"/>
        <v>GMI</v>
      </c>
      <c r="D30" t="s">
        <v>253</v>
      </c>
      <c r="E30" t="s">
        <v>253</v>
      </c>
      <c r="F30" s="3" t="s">
        <v>2533</v>
      </c>
      <c r="G30" s="11" t="s">
        <v>290</v>
      </c>
      <c r="H30" s="11" t="s">
        <v>15</v>
      </c>
      <c r="I30" s="3" t="s">
        <v>253</v>
      </c>
      <c r="J30" s="3" t="s">
        <v>253</v>
      </c>
      <c r="K30" s="3" t="s">
        <v>253</v>
      </c>
      <c r="L30" s="3" t="s">
        <v>253</v>
      </c>
      <c r="M30">
        <f>IF(LEN(H30),MATCH(H30,'MPIO_SFIO Table'!$A$11:$A$65525,0)-1,"")</f>
        <v>7</v>
      </c>
      <c r="N30" t="str">
        <f>IF(LEN(I30),MATCH(I30,'MPIO_SFIO Table'!$A$11:$A$65525,0)-1,"")</f>
        <v/>
      </c>
      <c r="O30" t="str">
        <f>IF(LEN(J30),MATCH(J30,'MPIO_SFIO Table'!$A$11:$A$65525,0)-1,"")</f>
        <v/>
      </c>
      <c r="P30" t="str">
        <f>IF(LEN(K30),MATCH(K30,'MPIO_SFIO Table'!$A$11:$A$65525,0)-1,"")</f>
        <v/>
      </c>
      <c r="Q30" t="str">
        <f>IF(LEN(L30),MATCH(L30,'MPIO_SFIO Table'!$A$11:$A$65525,0)-1,"")</f>
        <v/>
      </c>
      <c r="R30" t="str">
        <f ca="1">IF(ISNUMBER(M30),OFFSET('MPIO_SFIO Table'!$AJ$11,M30,0),"")</f>
        <v>unused_DAP2_DOUT</v>
      </c>
      <c r="S30" t="str">
        <f ca="1">IF(ISNUMBER(N30),OFFSET('MPIO_SFIO Table'!$AJ$11,N30,0),"")</f>
        <v/>
      </c>
      <c r="T30" t="str">
        <f ca="1">IF(ISNUMBER(O30),OFFSET('MPIO_SFIO Table'!$AJ$11,O30,0),"")</f>
        <v/>
      </c>
      <c r="U30" t="str">
        <f ca="1">IF(ISNUMBER(P30),OFFSET('MPIO_SFIO Table'!$AJ$11,P30,0),"")</f>
        <v/>
      </c>
      <c r="V30" t="str">
        <f ca="1">IF(ISNUMBER(Q30),OFFSET('MPIO_SFIO Table'!$AJ$11,Q30,0),"")</f>
        <v/>
      </c>
      <c r="W30">
        <f t="shared" ca="1" si="11"/>
        <v>0</v>
      </c>
      <c r="X30">
        <f t="shared" ca="1" si="12"/>
        <v>0</v>
      </c>
      <c r="Y30">
        <f t="shared" ca="1" si="13"/>
        <v>0</v>
      </c>
      <c r="Z30">
        <f t="shared" ca="1" si="14"/>
        <v>0</v>
      </c>
      <c r="AA30">
        <f t="shared" ca="1" si="15"/>
        <v>0</v>
      </c>
    </row>
    <row r="31" spans="1:27" x14ac:dyDescent="0.25">
      <c r="A31">
        <f t="shared" ca="1" si="8"/>
        <v>0</v>
      </c>
      <c r="B31" t="str">
        <f t="shared" ca="1" si="9"/>
        <v/>
      </c>
      <c r="C31" t="str">
        <f t="shared" si="10"/>
        <v>GMI</v>
      </c>
      <c r="D31" t="s">
        <v>253</v>
      </c>
      <c r="E31" t="s">
        <v>253</v>
      </c>
      <c r="F31" s="3" t="s">
        <v>1397</v>
      </c>
      <c r="G31" s="11" t="s">
        <v>320</v>
      </c>
      <c r="H31" s="11" t="s">
        <v>28</v>
      </c>
      <c r="I31" s="3" t="s">
        <v>253</v>
      </c>
      <c r="J31" s="3" t="s">
        <v>253</v>
      </c>
      <c r="K31" s="3" t="s">
        <v>253</v>
      </c>
      <c r="L31" s="3" t="s">
        <v>253</v>
      </c>
      <c r="M31">
        <f>IF(LEN(H31),MATCH(H31,'MPIO_SFIO Table'!$A$11:$A$65525,0)-1,"")</f>
        <v>20</v>
      </c>
      <c r="N31" t="str">
        <f>IF(LEN(I31),MATCH(I31,'MPIO_SFIO Table'!$A$11:$A$65525,0)-1,"")</f>
        <v/>
      </c>
      <c r="O31" t="str">
        <f>IF(LEN(J31),MATCH(J31,'MPIO_SFIO Table'!$A$11:$A$65525,0)-1,"")</f>
        <v/>
      </c>
      <c r="P31" t="str">
        <f>IF(LEN(K31),MATCH(K31,'MPIO_SFIO Table'!$A$11:$A$65525,0)-1,"")</f>
        <v/>
      </c>
      <c r="Q31" t="str">
        <f>IF(LEN(L31),MATCH(L31,'MPIO_SFIO Table'!$A$11:$A$65525,0)-1,"")</f>
        <v/>
      </c>
      <c r="R31" t="str">
        <f ca="1">IF(ISNUMBER(M31),OFFSET('MPIO_SFIO Table'!$AJ$11,M31,0),"")</f>
        <v>unused_SPI2_MOSI</v>
      </c>
      <c r="S31" t="str">
        <f ca="1">IF(ISNUMBER(N31),OFFSET('MPIO_SFIO Table'!$AJ$11,N31,0),"")</f>
        <v/>
      </c>
      <c r="T31" t="str">
        <f ca="1">IF(ISNUMBER(O31),OFFSET('MPIO_SFIO Table'!$AJ$11,O31,0),"")</f>
        <v/>
      </c>
      <c r="U31" t="str">
        <f ca="1">IF(ISNUMBER(P31),OFFSET('MPIO_SFIO Table'!$AJ$11,P31,0),"")</f>
        <v/>
      </c>
      <c r="V31" t="str">
        <f ca="1">IF(ISNUMBER(Q31),OFFSET('MPIO_SFIO Table'!$AJ$11,Q31,0),"")</f>
        <v/>
      </c>
      <c r="W31">
        <f t="shared" ca="1" si="11"/>
        <v>0</v>
      </c>
      <c r="X31">
        <f t="shared" ca="1" si="12"/>
        <v>0</v>
      </c>
      <c r="Y31">
        <f t="shared" ca="1" si="13"/>
        <v>0</v>
      </c>
      <c r="Z31">
        <f t="shared" ca="1" si="14"/>
        <v>0</v>
      </c>
      <c r="AA31">
        <f t="shared" ca="1" si="15"/>
        <v>0</v>
      </c>
    </row>
    <row r="32" spans="1:27" x14ac:dyDescent="0.25">
      <c r="A32">
        <f t="shared" ca="1" si="8"/>
        <v>0</v>
      </c>
      <c r="B32" t="str">
        <f t="shared" ca="1" si="9"/>
        <v/>
      </c>
      <c r="C32" t="str">
        <f t="shared" si="10"/>
        <v>GMI</v>
      </c>
      <c r="D32" t="s">
        <v>253</v>
      </c>
      <c r="E32" t="s">
        <v>253</v>
      </c>
      <c r="F32" s="3" t="s">
        <v>1398</v>
      </c>
      <c r="G32" s="11" t="s">
        <v>317</v>
      </c>
      <c r="H32" s="11" t="s">
        <v>27</v>
      </c>
      <c r="I32" s="3" t="s">
        <v>253</v>
      </c>
      <c r="J32" s="3" t="s">
        <v>253</v>
      </c>
      <c r="K32" s="3" t="s">
        <v>253</v>
      </c>
      <c r="L32" s="3" t="s">
        <v>253</v>
      </c>
      <c r="M32">
        <f>IF(LEN(H32),MATCH(H32,'MPIO_SFIO Table'!$A$11:$A$65525,0)-1,"")</f>
        <v>19</v>
      </c>
      <c r="N32" t="str">
        <f>IF(LEN(I32),MATCH(I32,'MPIO_SFIO Table'!$A$11:$A$65525,0)-1,"")</f>
        <v/>
      </c>
      <c r="O32" t="str">
        <f>IF(LEN(J32),MATCH(J32,'MPIO_SFIO Table'!$A$11:$A$65525,0)-1,"")</f>
        <v/>
      </c>
      <c r="P32" t="str">
        <f>IF(LEN(K32),MATCH(K32,'MPIO_SFIO Table'!$A$11:$A$65525,0)-1,"")</f>
        <v/>
      </c>
      <c r="Q32" t="str">
        <f>IF(LEN(L32),MATCH(L32,'MPIO_SFIO Table'!$A$11:$A$65525,0)-1,"")</f>
        <v/>
      </c>
      <c r="R32" t="str">
        <f ca="1">IF(ISNUMBER(M32),OFFSET('MPIO_SFIO Table'!$AJ$11,M32,0),"")</f>
        <v>unused_SPI2_MISO</v>
      </c>
      <c r="S32" t="str">
        <f ca="1">IF(ISNUMBER(N32),OFFSET('MPIO_SFIO Table'!$AJ$11,N32,0),"")</f>
        <v/>
      </c>
      <c r="T32" t="str">
        <f ca="1">IF(ISNUMBER(O32),OFFSET('MPIO_SFIO Table'!$AJ$11,O32,0),"")</f>
        <v/>
      </c>
      <c r="U32" t="str">
        <f ca="1">IF(ISNUMBER(P32),OFFSET('MPIO_SFIO Table'!$AJ$11,P32,0),"")</f>
        <v/>
      </c>
      <c r="V32" t="str">
        <f ca="1">IF(ISNUMBER(Q32),OFFSET('MPIO_SFIO Table'!$AJ$11,Q32,0),"")</f>
        <v/>
      </c>
      <c r="W32">
        <f t="shared" ca="1" si="11"/>
        <v>0</v>
      </c>
      <c r="X32">
        <f t="shared" ca="1" si="12"/>
        <v>0</v>
      </c>
      <c r="Y32">
        <f t="shared" ca="1" si="13"/>
        <v>0</v>
      </c>
      <c r="Z32">
        <f t="shared" ca="1" si="14"/>
        <v>0</v>
      </c>
      <c r="AA32">
        <f t="shared" ca="1" si="15"/>
        <v>0</v>
      </c>
    </row>
    <row r="33" spans="1:27" x14ac:dyDescent="0.25">
      <c r="A33">
        <f t="shared" ca="1" si="8"/>
        <v>0</v>
      </c>
      <c r="B33" t="str">
        <f t="shared" ca="1" si="9"/>
        <v/>
      </c>
      <c r="C33" t="str">
        <f t="shared" si="10"/>
        <v>GMI</v>
      </c>
      <c r="D33" t="s">
        <v>253</v>
      </c>
      <c r="E33" t="s">
        <v>253</v>
      </c>
      <c r="F33" s="3" t="s">
        <v>1995</v>
      </c>
      <c r="G33" s="11" t="s">
        <v>323</v>
      </c>
      <c r="H33" s="11" t="s">
        <v>29</v>
      </c>
      <c r="I33" s="3" t="s">
        <v>253</v>
      </c>
      <c r="J33" s="3" t="s">
        <v>253</v>
      </c>
      <c r="K33" s="3" t="s">
        <v>253</v>
      </c>
      <c r="L33" s="3" t="s">
        <v>253</v>
      </c>
      <c r="M33">
        <f>IF(LEN(H33),MATCH(H33,'MPIO_SFIO Table'!$A$11:$A$65525,0)-1,"")</f>
        <v>21</v>
      </c>
      <c r="N33" t="str">
        <f>IF(LEN(I33),MATCH(I33,'MPIO_SFIO Table'!$A$11:$A$65525,0)-1,"")</f>
        <v/>
      </c>
      <c r="O33" t="str">
        <f>IF(LEN(J33),MATCH(J33,'MPIO_SFIO Table'!$A$11:$A$65525,0)-1,"")</f>
        <v/>
      </c>
      <c r="P33" t="str">
        <f>IF(LEN(K33),MATCH(K33,'MPIO_SFIO Table'!$A$11:$A$65525,0)-1,"")</f>
        <v/>
      </c>
      <c r="Q33" t="str">
        <f>IF(LEN(L33),MATCH(L33,'MPIO_SFIO Table'!$A$11:$A$65525,0)-1,"")</f>
        <v/>
      </c>
      <c r="R33" t="str">
        <f ca="1">IF(ISNUMBER(M33),OFFSET('MPIO_SFIO Table'!$AJ$11,M33,0),"")</f>
        <v>unused_SPI2_SCK</v>
      </c>
      <c r="S33" t="str">
        <f ca="1">IF(ISNUMBER(N33),OFFSET('MPIO_SFIO Table'!$AJ$11,N33,0),"")</f>
        <v/>
      </c>
      <c r="T33" t="str">
        <f ca="1">IF(ISNUMBER(O33),OFFSET('MPIO_SFIO Table'!$AJ$11,O33,0),"")</f>
        <v/>
      </c>
      <c r="U33" t="str">
        <f ca="1">IF(ISNUMBER(P33),OFFSET('MPIO_SFIO Table'!$AJ$11,P33,0),"")</f>
        <v/>
      </c>
      <c r="V33" t="str">
        <f ca="1">IF(ISNUMBER(Q33),OFFSET('MPIO_SFIO Table'!$AJ$11,Q33,0),"")</f>
        <v/>
      </c>
      <c r="W33">
        <f t="shared" ca="1" si="11"/>
        <v>0</v>
      </c>
      <c r="X33">
        <f t="shared" ca="1" si="12"/>
        <v>0</v>
      </c>
      <c r="Y33">
        <f t="shared" ca="1" si="13"/>
        <v>0</v>
      </c>
      <c r="Z33">
        <f t="shared" ca="1" si="14"/>
        <v>0</v>
      </c>
      <c r="AA33">
        <f t="shared" ca="1" si="15"/>
        <v>0</v>
      </c>
    </row>
    <row r="34" spans="1:27" x14ac:dyDescent="0.25">
      <c r="A34">
        <f t="shared" ca="1" si="8"/>
        <v>0</v>
      </c>
      <c r="B34" t="str">
        <f t="shared" ca="1" si="9"/>
        <v/>
      </c>
      <c r="C34" t="str">
        <f t="shared" si="10"/>
        <v>GMI</v>
      </c>
      <c r="D34" t="s">
        <v>253</v>
      </c>
      <c r="E34" t="s">
        <v>253</v>
      </c>
      <c r="F34" s="3" t="s">
        <v>1396</v>
      </c>
      <c r="G34" s="11" t="s">
        <v>314</v>
      </c>
      <c r="H34" s="11" t="s">
        <v>24</v>
      </c>
      <c r="I34" s="3" t="s">
        <v>253</v>
      </c>
      <c r="J34" s="3" t="s">
        <v>253</v>
      </c>
      <c r="K34" s="3" t="s">
        <v>253</v>
      </c>
      <c r="L34" s="3" t="s">
        <v>253</v>
      </c>
      <c r="M34">
        <f>IF(LEN(H34),MATCH(H34,'MPIO_SFIO Table'!$A$11:$A$65525,0)-1,"")</f>
        <v>16</v>
      </c>
      <c r="N34" t="str">
        <f>IF(LEN(I34),MATCH(I34,'MPIO_SFIO Table'!$A$11:$A$65525,0)-1,"")</f>
        <v/>
      </c>
      <c r="O34" t="str">
        <f>IF(LEN(J34),MATCH(J34,'MPIO_SFIO Table'!$A$11:$A$65525,0)-1,"")</f>
        <v/>
      </c>
      <c r="P34" t="str">
        <f>IF(LEN(K34),MATCH(K34,'MPIO_SFIO Table'!$A$11:$A$65525,0)-1,"")</f>
        <v/>
      </c>
      <c r="Q34" t="str">
        <f>IF(LEN(L34),MATCH(L34,'MPIO_SFIO Table'!$A$11:$A$65525,0)-1,"")</f>
        <v/>
      </c>
      <c r="R34" t="str">
        <f ca="1">IF(ISNUMBER(M34),OFFSET('MPIO_SFIO Table'!$AJ$11,M34,0),"")</f>
        <v>unused_SPI2_CS0_N</v>
      </c>
      <c r="S34" t="str">
        <f ca="1">IF(ISNUMBER(N34),OFFSET('MPIO_SFIO Table'!$AJ$11,N34,0),"")</f>
        <v/>
      </c>
      <c r="T34" t="str">
        <f ca="1">IF(ISNUMBER(O34),OFFSET('MPIO_SFIO Table'!$AJ$11,O34,0),"")</f>
        <v/>
      </c>
      <c r="U34" t="str">
        <f ca="1">IF(ISNUMBER(P34),OFFSET('MPIO_SFIO Table'!$AJ$11,P34,0),"")</f>
        <v/>
      </c>
      <c r="V34" t="str">
        <f ca="1">IF(ISNUMBER(Q34),OFFSET('MPIO_SFIO Table'!$AJ$11,Q34,0),"")</f>
        <v/>
      </c>
      <c r="W34">
        <f t="shared" ca="1" si="11"/>
        <v>0</v>
      </c>
      <c r="X34">
        <f t="shared" ca="1" si="12"/>
        <v>0</v>
      </c>
      <c r="Y34">
        <f t="shared" ca="1" si="13"/>
        <v>0</v>
      </c>
      <c r="Z34">
        <f t="shared" ca="1" si="14"/>
        <v>0</v>
      </c>
      <c r="AA34">
        <f t="shared" ca="1" si="15"/>
        <v>0</v>
      </c>
    </row>
    <row r="35" spans="1:27" x14ac:dyDescent="0.25">
      <c r="A35">
        <f t="shared" ca="1" si="8"/>
        <v>0</v>
      </c>
      <c r="B35" t="str">
        <f t="shared" ca="1" si="9"/>
        <v/>
      </c>
      <c r="C35" t="str">
        <f t="shared" si="10"/>
        <v>GMI</v>
      </c>
      <c r="D35" t="s">
        <v>253</v>
      </c>
      <c r="E35" t="s">
        <v>253</v>
      </c>
      <c r="F35" s="3" t="s">
        <v>1382</v>
      </c>
      <c r="G35" s="11" t="s">
        <v>309</v>
      </c>
      <c r="H35" s="11" t="s">
        <v>22</v>
      </c>
      <c r="I35" s="3" t="s">
        <v>253</v>
      </c>
      <c r="J35" s="3" t="s">
        <v>253</v>
      </c>
      <c r="K35" s="3" t="s">
        <v>253</v>
      </c>
      <c r="L35" s="3" t="s">
        <v>253</v>
      </c>
      <c r="M35">
        <f>IF(LEN(H35),MATCH(H35,'MPIO_SFIO Table'!$A$11:$A$65525,0)-1,"")</f>
        <v>14</v>
      </c>
      <c r="N35" t="str">
        <f>IF(LEN(I35),MATCH(I35,'MPIO_SFIO Table'!$A$11:$A$65525,0)-1,"")</f>
        <v/>
      </c>
      <c r="O35" t="str">
        <f>IF(LEN(J35),MATCH(J35,'MPIO_SFIO Table'!$A$11:$A$65525,0)-1,"")</f>
        <v/>
      </c>
      <c r="P35" t="str">
        <f>IF(LEN(K35),MATCH(K35,'MPIO_SFIO Table'!$A$11:$A$65525,0)-1,"")</f>
        <v/>
      </c>
      <c r="Q35" t="str">
        <f>IF(LEN(L35),MATCH(L35,'MPIO_SFIO Table'!$A$11:$A$65525,0)-1,"")</f>
        <v/>
      </c>
      <c r="R35" t="str">
        <f ca="1">IF(ISNUMBER(M35),OFFSET('MPIO_SFIO Table'!$AJ$11,M35,0),"")</f>
        <v>unused_SPI1_MOSI</v>
      </c>
      <c r="S35" t="str">
        <f ca="1">IF(ISNUMBER(N35),OFFSET('MPIO_SFIO Table'!$AJ$11,N35,0),"")</f>
        <v/>
      </c>
      <c r="T35" t="str">
        <f ca="1">IF(ISNUMBER(O35),OFFSET('MPIO_SFIO Table'!$AJ$11,O35,0),"")</f>
        <v/>
      </c>
      <c r="U35" t="str">
        <f ca="1">IF(ISNUMBER(P35),OFFSET('MPIO_SFIO Table'!$AJ$11,P35,0),"")</f>
        <v/>
      </c>
      <c r="V35" t="str">
        <f ca="1">IF(ISNUMBER(Q35),OFFSET('MPIO_SFIO Table'!$AJ$11,Q35,0),"")</f>
        <v/>
      </c>
      <c r="W35">
        <f t="shared" ca="1" si="11"/>
        <v>0</v>
      </c>
      <c r="X35">
        <f t="shared" ca="1" si="12"/>
        <v>0</v>
      </c>
      <c r="Y35">
        <f t="shared" ca="1" si="13"/>
        <v>0</v>
      </c>
      <c r="Z35">
        <f t="shared" ca="1" si="14"/>
        <v>0</v>
      </c>
      <c r="AA35">
        <f t="shared" ca="1" si="15"/>
        <v>0</v>
      </c>
    </row>
    <row r="36" spans="1:27" x14ac:dyDescent="0.25">
      <c r="A36">
        <f t="shared" ca="1" si="8"/>
        <v>0</v>
      </c>
      <c r="B36" t="str">
        <f t="shared" ca="1" si="9"/>
        <v/>
      </c>
      <c r="C36" t="str">
        <f t="shared" si="10"/>
        <v>GMI</v>
      </c>
      <c r="D36" t="s">
        <v>253</v>
      </c>
      <c r="E36" t="s">
        <v>253</v>
      </c>
      <c r="F36" s="3" t="s">
        <v>2534</v>
      </c>
      <c r="G36" s="11" t="s">
        <v>312</v>
      </c>
      <c r="H36" s="11" t="s">
        <v>23</v>
      </c>
      <c r="I36" s="3" t="s">
        <v>253</v>
      </c>
      <c r="J36" s="3" t="s">
        <v>253</v>
      </c>
      <c r="K36" s="3" t="s">
        <v>253</v>
      </c>
      <c r="L36" s="3" t="s">
        <v>253</v>
      </c>
      <c r="M36">
        <f>IF(LEN(H36),MATCH(H36,'MPIO_SFIO Table'!$A$11:$A$65525,0)-1,"")</f>
        <v>15</v>
      </c>
      <c r="N36" t="str">
        <f>IF(LEN(I36),MATCH(I36,'MPIO_SFIO Table'!$A$11:$A$65525,0)-1,"")</f>
        <v/>
      </c>
      <c r="O36" t="str">
        <f>IF(LEN(J36),MATCH(J36,'MPIO_SFIO Table'!$A$11:$A$65525,0)-1,"")</f>
        <v/>
      </c>
      <c r="P36" t="str">
        <f>IF(LEN(K36),MATCH(K36,'MPIO_SFIO Table'!$A$11:$A$65525,0)-1,"")</f>
        <v/>
      </c>
      <c r="Q36" t="str">
        <f>IF(LEN(L36),MATCH(L36,'MPIO_SFIO Table'!$A$11:$A$65525,0)-1,"")</f>
        <v/>
      </c>
      <c r="R36" t="str">
        <f ca="1">IF(ISNUMBER(M36),OFFSET('MPIO_SFIO Table'!$AJ$11,M36,0),"")</f>
        <v>unused_SPI1_SCK</v>
      </c>
      <c r="S36" t="str">
        <f ca="1">IF(ISNUMBER(N36),OFFSET('MPIO_SFIO Table'!$AJ$11,N36,0),"")</f>
        <v/>
      </c>
      <c r="T36" t="str">
        <f ca="1">IF(ISNUMBER(O36),OFFSET('MPIO_SFIO Table'!$AJ$11,O36,0),"")</f>
        <v/>
      </c>
      <c r="U36" t="str">
        <f ca="1">IF(ISNUMBER(P36),OFFSET('MPIO_SFIO Table'!$AJ$11,P36,0),"")</f>
        <v/>
      </c>
      <c r="V36" t="str">
        <f ca="1">IF(ISNUMBER(Q36),OFFSET('MPIO_SFIO Table'!$AJ$11,Q36,0),"")</f>
        <v/>
      </c>
      <c r="W36">
        <f t="shared" ca="1" si="11"/>
        <v>0</v>
      </c>
      <c r="X36">
        <f t="shared" ca="1" si="12"/>
        <v>0</v>
      </c>
      <c r="Y36">
        <f t="shared" ca="1" si="13"/>
        <v>0</v>
      </c>
      <c r="Z36">
        <f t="shared" ca="1" si="14"/>
        <v>0</v>
      </c>
      <c r="AA36">
        <f t="shared" ca="1" si="15"/>
        <v>0</v>
      </c>
    </row>
    <row r="37" spans="1:27" x14ac:dyDescent="0.25">
      <c r="A37">
        <f t="shared" ca="1" si="8"/>
        <v>0</v>
      </c>
      <c r="B37" t="str">
        <f t="shared" ca="1" si="9"/>
        <v/>
      </c>
      <c r="C37" t="str">
        <f t="shared" si="10"/>
        <v>GMI</v>
      </c>
      <c r="D37" t="s">
        <v>253</v>
      </c>
      <c r="E37" t="s">
        <v>253</v>
      </c>
      <c r="F37" s="3" t="s">
        <v>2021</v>
      </c>
      <c r="G37" s="11" t="s">
        <v>304</v>
      </c>
      <c r="H37" s="11" t="s">
        <v>20</v>
      </c>
      <c r="I37" s="3" t="s">
        <v>253</v>
      </c>
      <c r="J37" s="3" t="s">
        <v>253</v>
      </c>
      <c r="K37" s="3" t="s">
        <v>253</v>
      </c>
      <c r="L37" s="3" t="s">
        <v>253</v>
      </c>
      <c r="M37">
        <f>IF(LEN(H37),MATCH(H37,'MPIO_SFIO Table'!$A$11:$A$65525,0)-1,"")</f>
        <v>12</v>
      </c>
      <c r="N37" t="str">
        <f>IF(LEN(I37),MATCH(I37,'MPIO_SFIO Table'!$A$11:$A$65525,0)-1,"")</f>
        <v/>
      </c>
      <c r="O37" t="str">
        <f>IF(LEN(J37),MATCH(J37,'MPIO_SFIO Table'!$A$11:$A$65525,0)-1,"")</f>
        <v/>
      </c>
      <c r="P37" t="str">
        <f>IF(LEN(K37),MATCH(K37,'MPIO_SFIO Table'!$A$11:$A$65525,0)-1,"")</f>
        <v/>
      </c>
      <c r="Q37" t="str">
        <f>IF(LEN(L37),MATCH(L37,'MPIO_SFIO Table'!$A$11:$A$65525,0)-1,"")</f>
        <v/>
      </c>
      <c r="R37" t="str">
        <f ca="1">IF(ISNUMBER(M37),OFFSET('MPIO_SFIO Table'!$AJ$11,M37,0),"")</f>
        <v>unused_SPI1_CS0_N</v>
      </c>
      <c r="S37" t="str">
        <f ca="1">IF(ISNUMBER(N37),OFFSET('MPIO_SFIO Table'!$AJ$11,N37,0),"")</f>
        <v/>
      </c>
      <c r="T37" t="str">
        <f ca="1">IF(ISNUMBER(O37),OFFSET('MPIO_SFIO Table'!$AJ$11,O37,0),"")</f>
        <v/>
      </c>
      <c r="U37" t="str">
        <f ca="1">IF(ISNUMBER(P37),OFFSET('MPIO_SFIO Table'!$AJ$11,P37,0),"")</f>
        <v/>
      </c>
      <c r="V37" t="str">
        <f ca="1">IF(ISNUMBER(Q37),OFFSET('MPIO_SFIO Table'!$AJ$11,Q37,0),"")</f>
        <v/>
      </c>
      <c r="W37">
        <f t="shared" ca="1" si="11"/>
        <v>0</v>
      </c>
      <c r="X37">
        <f t="shared" ca="1" si="12"/>
        <v>0</v>
      </c>
      <c r="Y37">
        <f t="shared" ca="1" si="13"/>
        <v>0</v>
      </c>
      <c r="Z37">
        <f t="shared" ca="1" si="14"/>
        <v>0</v>
      </c>
      <c r="AA37">
        <f t="shared" ca="1" si="15"/>
        <v>0</v>
      </c>
    </row>
    <row r="38" spans="1:27" x14ac:dyDescent="0.25">
      <c r="A38">
        <f t="shared" ca="1" si="8"/>
        <v>0</v>
      </c>
      <c r="B38" t="str">
        <f t="shared" ca="1" si="9"/>
        <v/>
      </c>
      <c r="C38" t="str">
        <f t="shared" si="10"/>
        <v>GMI</v>
      </c>
      <c r="D38" t="s">
        <v>253</v>
      </c>
      <c r="E38" t="s">
        <v>253</v>
      </c>
      <c r="F38" s="3" t="s">
        <v>1729</v>
      </c>
      <c r="G38" s="11" t="s">
        <v>743</v>
      </c>
      <c r="H38" s="11" t="s">
        <v>234</v>
      </c>
      <c r="I38" s="3" t="s">
        <v>253</v>
      </c>
      <c r="J38" s="3" t="s">
        <v>253</v>
      </c>
      <c r="K38" s="3" t="s">
        <v>253</v>
      </c>
      <c r="L38" s="3" t="s">
        <v>253</v>
      </c>
      <c r="M38">
        <f>IF(LEN(H38),MATCH(H38,'MPIO_SFIO Table'!$A$11:$A$65525,0)-1,"")</f>
        <v>252</v>
      </c>
      <c r="N38" t="str">
        <f>IF(LEN(I38),MATCH(I38,'MPIO_SFIO Table'!$A$11:$A$65525,0)-1,"")</f>
        <v/>
      </c>
      <c r="O38" t="str">
        <f>IF(LEN(J38),MATCH(J38,'MPIO_SFIO Table'!$A$11:$A$65525,0)-1,"")</f>
        <v/>
      </c>
      <c r="P38" t="str">
        <f>IF(LEN(K38),MATCH(K38,'MPIO_SFIO Table'!$A$11:$A$65525,0)-1,"")</f>
        <v/>
      </c>
      <c r="Q38" t="str">
        <f>IF(LEN(L38),MATCH(L38,'MPIO_SFIO Table'!$A$11:$A$65525,0)-1,"")</f>
        <v/>
      </c>
      <c r="R38" t="str">
        <f ca="1">IF(ISNUMBER(M38),OFFSET('MPIO_SFIO Table'!$AJ$11,M38,0),"")</f>
        <v>unused_UART3_RXD</v>
      </c>
      <c r="S38" t="str">
        <f ca="1">IF(ISNUMBER(N38),OFFSET('MPIO_SFIO Table'!$AJ$11,N38,0),"")</f>
        <v/>
      </c>
      <c r="T38" t="str">
        <f ca="1">IF(ISNUMBER(O38),OFFSET('MPIO_SFIO Table'!$AJ$11,O38,0),"")</f>
        <v/>
      </c>
      <c r="U38" t="str">
        <f ca="1">IF(ISNUMBER(P38),OFFSET('MPIO_SFIO Table'!$AJ$11,P38,0),"")</f>
        <v/>
      </c>
      <c r="V38" t="str">
        <f ca="1">IF(ISNUMBER(Q38),OFFSET('MPIO_SFIO Table'!$AJ$11,Q38,0),"")</f>
        <v/>
      </c>
      <c r="W38">
        <f t="shared" ca="1" si="11"/>
        <v>0</v>
      </c>
      <c r="X38">
        <f t="shared" ca="1" si="12"/>
        <v>0</v>
      </c>
      <c r="Y38">
        <f t="shared" ca="1" si="13"/>
        <v>0</v>
      </c>
      <c r="Z38">
        <f t="shared" ca="1" si="14"/>
        <v>0</v>
      </c>
      <c r="AA38">
        <f t="shared" ca="1" si="15"/>
        <v>0</v>
      </c>
    </row>
    <row r="39" spans="1:27" x14ac:dyDescent="0.25">
      <c r="A39">
        <f t="shared" ca="1" si="8"/>
        <v>0</v>
      </c>
      <c r="B39" t="str">
        <f t="shared" ca="1" si="9"/>
        <v/>
      </c>
      <c r="C39" t="str">
        <f t="shared" si="10"/>
        <v>GMI</v>
      </c>
      <c r="D39" t="s">
        <v>253</v>
      </c>
      <c r="E39" t="s">
        <v>253</v>
      </c>
      <c r="F39" s="3" t="s">
        <v>1722</v>
      </c>
      <c r="G39" s="11" t="s">
        <v>741</v>
      </c>
      <c r="H39" s="11" t="s">
        <v>233</v>
      </c>
      <c r="I39" s="3" t="s">
        <v>253</v>
      </c>
      <c r="J39" s="3" t="s">
        <v>253</v>
      </c>
      <c r="K39" s="3" t="s">
        <v>253</v>
      </c>
      <c r="L39" s="3" t="s">
        <v>253</v>
      </c>
      <c r="M39">
        <f>IF(LEN(H39),MATCH(H39,'MPIO_SFIO Table'!$A$11:$A$65525,0)-1,"")</f>
        <v>251</v>
      </c>
      <c r="N39" t="str">
        <f>IF(LEN(I39),MATCH(I39,'MPIO_SFIO Table'!$A$11:$A$65525,0)-1,"")</f>
        <v/>
      </c>
      <c r="O39" t="str">
        <f>IF(LEN(J39),MATCH(J39,'MPIO_SFIO Table'!$A$11:$A$65525,0)-1,"")</f>
        <v/>
      </c>
      <c r="P39" t="str">
        <f>IF(LEN(K39),MATCH(K39,'MPIO_SFIO Table'!$A$11:$A$65525,0)-1,"")</f>
        <v/>
      </c>
      <c r="Q39" t="str">
        <f>IF(LEN(L39),MATCH(L39,'MPIO_SFIO Table'!$A$11:$A$65525,0)-1,"")</f>
        <v/>
      </c>
      <c r="R39" t="str">
        <f ca="1">IF(ISNUMBER(M39),OFFSET('MPIO_SFIO Table'!$AJ$11,M39,0),"")</f>
        <v>unused_UART3_RTS_N</v>
      </c>
      <c r="S39" t="str">
        <f ca="1">IF(ISNUMBER(N39),OFFSET('MPIO_SFIO Table'!$AJ$11,N39,0),"")</f>
        <v/>
      </c>
      <c r="T39" t="str">
        <f ca="1">IF(ISNUMBER(O39),OFFSET('MPIO_SFIO Table'!$AJ$11,O39,0),"")</f>
        <v/>
      </c>
      <c r="U39" t="str">
        <f ca="1">IF(ISNUMBER(P39),OFFSET('MPIO_SFIO Table'!$AJ$11,P39,0),"")</f>
        <v/>
      </c>
      <c r="V39" t="str">
        <f ca="1">IF(ISNUMBER(Q39),OFFSET('MPIO_SFIO Table'!$AJ$11,Q39,0),"")</f>
        <v/>
      </c>
      <c r="W39">
        <f t="shared" ca="1" si="11"/>
        <v>0</v>
      </c>
      <c r="X39">
        <f t="shared" ca="1" si="12"/>
        <v>0</v>
      </c>
      <c r="Y39">
        <f t="shared" ca="1" si="13"/>
        <v>0</v>
      </c>
      <c r="Z39">
        <f t="shared" ca="1" si="14"/>
        <v>0</v>
      </c>
      <c r="AA39">
        <f t="shared" ca="1" si="15"/>
        <v>0</v>
      </c>
    </row>
    <row r="40" spans="1:27" x14ac:dyDescent="0.25">
      <c r="A40">
        <f t="shared" ca="1" si="8"/>
        <v>0</v>
      </c>
      <c r="B40" t="str">
        <f t="shared" ca="1" si="9"/>
        <v/>
      </c>
      <c r="C40" t="str">
        <f t="shared" si="10"/>
        <v>GMI</v>
      </c>
      <c r="D40" t="s">
        <v>253</v>
      </c>
      <c r="E40" t="s">
        <v>253</v>
      </c>
      <c r="F40" s="3" t="s">
        <v>1872</v>
      </c>
      <c r="G40" s="11" t="s">
        <v>739</v>
      </c>
      <c r="H40" s="11" t="s">
        <v>232</v>
      </c>
      <c r="I40" s="3" t="s">
        <v>253</v>
      </c>
      <c r="J40" s="3" t="s">
        <v>253</v>
      </c>
      <c r="K40" s="3" t="s">
        <v>253</v>
      </c>
      <c r="L40" s="3" t="s">
        <v>253</v>
      </c>
      <c r="M40">
        <f>IF(LEN(H40),MATCH(H40,'MPIO_SFIO Table'!$A$11:$A$65525,0)-1,"")</f>
        <v>250</v>
      </c>
      <c r="N40" t="str">
        <f>IF(LEN(I40),MATCH(I40,'MPIO_SFIO Table'!$A$11:$A$65525,0)-1,"")</f>
        <v/>
      </c>
      <c r="O40" t="str">
        <f>IF(LEN(J40),MATCH(J40,'MPIO_SFIO Table'!$A$11:$A$65525,0)-1,"")</f>
        <v/>
      </c>
      <c r="P40" t="str">
        <f>IF(LEN(K40),MATCH(K40,'MPIO_SFIO Table'!$A$11:$A$65525,0)-1,"")</f>
        <v/>
      </c>
      <c r="Q40" t="str">
        <f>IF(LEN(L40),MATCH(L40,'MPIO_SFIO Table'!$A$11:$A$65525,0)-1,"")</f>
        <v/>
      </c>
      <c r="R40" t="str">
        <f ca="1">IF(ISNUMBER(M40),OFFSET('MPIO_SFIO Table'!$AJ$11,M40,0),"")</f>
        <v>unused_UART3_CTS_N</v>
      </c>
      <c r="S40" t="str">
        <f ca="1">IF(ISNUMBER(N40),OFFSET('MPIO_SFIO Table'!$AJ$11,N40,0),"")</f>
        <v/>
      </c>
      <c r="T40" t="str">
        <f ca="1">IF(ISNUMBER(O40),OFFSET('MPIO_SFIO Table'!$AJ$11,O40,0),"")</f>
        <v/>
      </c>
      <c r="U40" t="str">
        <f ca="1">IF(ISNUMBER(P40),OFFSET('MPIO_SFIO Table'!$AJ$11,P40,0),"")</f>
        <v/>
      </c>
      <c r="V40" t="str">
        <f ca="1">IF(ISNUMBER(Q40),OFFSET('MPIO_SFIO Table'!$AJ$11,Q40,0),"")</f>
        <v/>
      </c>
      <c r="W40">
        <f t="shared" ca="1" si="11"/>
        <v>0</v>
      </c>
      <c r="X40">
        <f t="shared" ca="1" si="12"/>
        <v>0</v>
      </c>
      <c r="Y40">
        <f t="shared" ca="1" si="13"/>
        <v>0</v>
      </c>
      <c r="Z40">
        <f t="shared" ca="1" si="14"/>
        <v>0</v>
      </c>
      <c r="AA40">
        <f t="shared" ca="1" si="15"/>
        <v>0</v>
      </c>
    </row>
    <row r="41" spans="1:27" x14ac:dyDescent="0.25">
      <c r="A41">
        <f t="shared" ca="1" si="8"/>
        <v>0</v>
      </c>
      <c r="B41" t="str">
        <f t="shared" ca="1" si="9"/>
        <v/>
      </c>
      <c r="C41" t="str">
        <f t="shared" si="10"/>
        <v>GMI</v>
      </c>
      <c r="D41" t="s">
        <v>253</v>
      </c>
      <c r="E41" t="s">
        <v>253</v>
      </c>
      <c r="F41" s="3" t="s">
        <v>1870</v>
      </c>
      <c r="G41" s="11" t="s">
        <v>719</v>
      </c>
      <c r="H41" s="11" t="s">
        <v>221</v>
      </c>
      <c r="I41" s="3" t="s">
        <v>253</v>
      </c>
      <c r="J41" s="3" t="s">
        <v>253</v>
      </c>
      <c r="K41" s="3" t="s">
        <v>253</v>
      </c>
      <c r="L41" s="3" t="s">
        <v>253</v>
      </c>
      <c r="M41">
        <f>IF(LEN(H41),MATCH(H41,'MPIO_SFIO Table'!$A$11:$A$65525,0)-1,"")</f>
        <v>239</v>
      </c>
      <c r="N41" t="str">
        <f>IF(LEN(I41),MATCH(I41,'MPIO_SFIO Table'!$A$11:$A$65525,0)-1,"")</f>
        <v/>
      </c>
      <c r="O41" t="str">
        <f>IF(LEN(J41),MATCH(J41,'MPIO_SFIO Table'!$A$11:$A$65525,0)-1,"")</f>
        <v/>
      </c>
      <c r="P41" t="str">
        <f>IF(LEN(K41),MATCH(K41,'MPIO_SFIO Table'!$A$11:$A$65525,0)-1,"")</f>
        <v/>
      </c>
      <c r="Q41" t="str">
        <f>IF(LEN(L41),MATCH(L41,'MPIO_SFIO Table'!$A$11:$A$65525,0)-1,"")</f>
        <v/>
      </c>
      <c r="R41" t="str">
        <f ca="1">IF(ISNUMBER(M41),OFFSET('MPIO_SFIO Table'!$AJ$11,M41,0),"")</f>
        <v>unused_GPIO_PU0</v>
      </c>
      <c r="S41" t="str">
        <f ca="1">IF(ISNUMBER(N41),OFFSET('MPIO_SFIO Table'!$AJ$11,N41,0),"")</f>
        <v/>
      </c>
      <c r="T41" t="str">
        <f ca="1">IF(ISNUMBER(O41),OFFSET('MPIO_SFIO Table'!$AJ$11,O41,0),"")</f>
        <v/>
      </c>
      <c r="U41" t="str">
        <f ca="1">IF(ISNUMBER(P41),OFFSET('MPIO_SFIO Table'!$AJ$11,P41,0),"")</f>
        <v/>
      </c>
      <c r="V41" t="str">
        <f ca="1">IF(ISNUMBER(Q41),OFFSET('MPIO_SFIO Table'!$AJ$11,Q41,0),"")</f>
        <v/>
      </c>
      <c r="W41">
        <f t="shared" ca="1" si="11"/>
        <v>0</v>
      </c>
      <c r="X41">
        <f t="shared" ca="1" si="12"/>
        <v>0</v>
      </c>
      <c r="Y41">
        <f t="shared" ca="1" si="13"/>
        <v>0</v>
      </c>
      <c r="Z41">
        <f t="shared" ca="1" si="14"/>
        <v>0</v>
      </c>
      <c r="AA41">
        <f t="shared" ca="1" si="15"/>
        <v>0</v>
      </c>
    </row>
    <row r="42" spans="1:27" x14ac:dyDescent="0.25">
      <c r="A42">
        <f t="shared" ca="1" si="8"/>
        <v>0</v>
      </c>
      <c r="B42" t="str">
        <f t="shared" ca="1" si="9"/>
        <v/>
      </c>
      <c r="C42" t="str">
        <f t="shared" si="10"/>
        <v>GMI</v>
      </c>
      <c r="D42" t="s">
        <v>253</v>
      </c>
      <c r="E42" t="s">
        <v>253</v>
      </c>
      <c r="F42" s="3" t="s">
        <v>1873</v>
      </c>
      <c r="G42" s="11" t="s">
        <v>721</v>
      </c>
      <c r="H42" s="11" t="s">
        <v>222</v>
      </c>
      <c r="I42" s="3" t="s">
        <v>253</v>
      </c>
      <c r="J42" s="3" t="s">
        <v>253</v>
      </c>
      <c r="K42" s="3" t="s">
        <v>253</v>
      </c>
      <c r="L42" s="3" t="s">
        <v>253</v>
      </c>
      <c r="M42">
        <f>IF(LEN(H42),MATCH(H42,'MPIO_SFIO Table'!$A$11:$A$65525,0)-1,"")</f>
        <v>240</v>
      </c>
      <c r="N42" t="str">
        <f>IF(LEN(I42),MATCH(I42,'MPIO_SFIO Table'!$A$11:$A$65525,0)-1,"")</f>
        <v/>
      </c>
      <c r="O42" t="str">
        <f>IF(LEN(J42),MATCH(J42,'MPIO_SFIO Table'!$A$11:$A$65525,0)-1,"")</f>
        <v/>
      </c>
      <c r="P42" t="str">
        <f>IF(LEN(K42),MATCH(K42,'MPIO_SFIO Table'!$A$11:$A$65525,0)-1,"")</f>
        <v/>
      </c>
      <c r="Q42" t="str">
        <f>IF(LEN(L42),MATCH(L42,'MPIO_SFIO Table'!$A$11:$A$65525,0)-1,"")</f>
        <v/>
      </c>
      <c r="R42" t="str">
        <f ca="1">IF(ISNUMBER(M42),OFFSET('MPIO_SFIO Table'!$AJ$11,M42,0),"")</f>
        <v>unused_GPIO_PU1</v>
      </c>
      <c r="S42" t="str">
        <f ca="1">IF(ISNUMBER(N42),OFFSET('MPIO_SFIO Table'!$AJ$11,N42,0),"")</f>
        <v/>
      </c>
      <c r="T42" t="str">
        <f ca="1">IF(ISNUMBER(O42),OFFSET('MPIO_SFIO Table'!$AJ$11,O42,0),"")</f>
        <v/>
      </c>
      <c r="U42" t="str">
        <f ca="1">IF(ISNUMBER(P42),OFFSET('MPIO_SFIO Table'!$AJ$11,P42,0),"")</f>
        <v/>
      </c>
      <c r="V42" t="str">
        <f ca="1">IF(ISNUMBER(Q42),OFFSET('MPIO_SFIO Table'!$AJ$11,Q42,0),"")</f>
        <v/>
      </c>
      <c r="W42">
        <f t="shared" ca="1" si="11"/>
        <v>0</v>
      </c>
      <c r="X42">
        <f t="shared" ca="1" si="12"/>
        <v>0</v>
      </c>
      <c r="Y42">
        <f t="shared" ca="1" si="13"/>
        <v>0</v>
      </c>
      <c r="Z42">
        <f t="shared" ca="1" si="14"/>
        <v>0</v>
      </c>
      <c r="AA42">
        <f t="shared" ca="1" si="15"/>
        <v>0</v>
      </c>
    </row>
    <row r="43" spans="1:27" x14ac:dyDescent="0.25">
      <c r="A43">
        <f t="shared" ca="1" si="8"/>
        <v>0</v>
      </c>
      <c r="B43" t="str">
        <f t="shared" ca="1" si="9"/>
        <v/>
      </c>
      <c r="C43" t="str">
        <f t="shared" si="10"/>
        <v>GMI</v>
      </c>
      <c r="D43" t="s">
        <v>253</v>
      </c>
      <c r="E43" t="s">
        <v>253</v>
      </c>
      <c r="F43" s="3" t="s">
        <v>2535</v>
      </c>
      <c r="G43" s="11" t="s">
        <v>722</v>
      </c>
      <c r="H43" s="11" t="s">
        <v>223</v>
      </c>
      <c r="I43" s="3" t="s">
        <v>253</v>
      </c>
      <c r="J43" s="3" t="s">
        <v>253</v>
      </c>
      <c r="K43" s="3" t="s">
        <v>253</v>
      </c>
      <c r="L43" s="3" t="s">
        <v>253</v>
      </c>
      <c r="M43">
        <f>IF(LEN(H43),MATCH(H43,'MPIO_SFIO Table'!$A$11:$A$65525,0)-1,"")</f>
        <v>241</v>
      </c>
      <c r="N43" t="str">
        <f>IF(LEN(I43),MATCH(I43,'MPIO_SFIO Table'!$A$11:$A$65525,0)-1,"")</f>
        <v/>
      </c>
      <c r="O43" t="str">
        <f>IF(LEN(J43),MATCH(J43,'MPIO_SFIO Table'!$A$11:$A$65525,0)-1,"")</f>
        <v/>
      </c>
      <c r="P43" t="str">
        <f>IF(LEN(K43),MATCH(K43,'MPIO_SFIO Table'!$A$11:$A$65525,0)-1,"")</f>
        <v/>
      </c>
      <c r="Q43" t="str">
        <f>IF(LEN(L43),MATCH(L43,'MPIO_SFIO Table'!$A$11:$A$65525,0)-1,"")</f>
        <v/>
      </c>
      <c r="R43" t="str">
        <f ca="1">IF(ISNUMBER(M43),OFFSET('MPIO_SFIO Table'!$AJ$11,M43,0),"")</f>
        <v>unused_GPIO_PU2</v>
      </c>
      <c r="S43" t="str">
        <f ca="1">IF(ISNUMBER(N43),OFFSET('MPIO_SFIO Table'!$AJ$11,N43,0),"")</f>
        <v/>
      </c>
      <c r="T43" t="str">
        <f ca="1">IF(ISNUMBER(O43),OFFSET('MPIO_SFIO Table'!$AJ$11,O43,0),"")</f>
        <v/>
      </c>
      <c r="U43" t="str">
        <f ca="1">IF(ISNUMBER(P43),OFFSET('MPIO_SFIO Table'!$AJ$11,P43,0),"")</f>
        <v/>
      </c>
      <c r="V43" t="str">
        <f ca="1">IF(ISNUMBER(Q43),OFFSET('MPIO_SFIO Table'!$AJ$11,Q43,0),"")</f>
        <v/>
      </c>
      <c r="W43">
        <f t="shared" ca="1" si="11"/>
        <v>0</v>
      </c>
      <c r="X43">
        <f t="shared" ca="1" si="12"/>
        <v>0</v>
      </c>
      <c r="Y43">
        <f t="shared" ca="1" si="13"/>
        <v>0</v>
      </c>
      <c r="Z43">
        <f t="shared" ca="1" si="14"/>
        <v>0</v>
      </c>
      <c r="AA43">
        <f t="shared" ca="1" si="15"/>
        <v>0</v>
      </c>
    </row>
    <row r="44" spans="1:27" x14ac:dyDescent="0.25">
      <c r="A44">
        <f t="shared" ca="1" si="8"/>
        <v>0</v>
      </c>
      <c r="B44" t="str">
        <f t="shared" ca="1" si="9"/>
        <v/>
      </c>
      <c r="C44" t="str">
        <f t="shared" si="10"/>
        <v>GMI</v>
      </c>
      <c r="D44" t="s">
        <v>253</v>
      </c>
      <c r="E44" t="s">
        <v>253</v>
      </c>
      <c r="F44" s="3" t="s">
        <v>1863</v>
      </c>
      <c r="G44" s="11" t="s">
        <v>723</v>
      </c>
      <c r="H44" s="11" t="s">
        <v>224</v>
      </c>
      <c r="I44" s="3" t="s">
        <v>253</v>
      </c>
      <c r="J44" s="3" t="s">
        <v>253</v>
      </c>
      <c r="K44" s="3" t="s">
        <v>253</v>
      </c>
      <c r="L44" s="3" t="s">
        <v>253</v>
      </c>
      <c r="M44">
        <f>IF(LEN(H44),MATCH(H44,'MPIO_SFIO Table'!$A$11:$A$65525,0)-1,"")</f>
        <v>242</v>
      </c>
      <c r="N44" t="str">
        <f>IF(LEN(I44),MATCH(I44,'MPIO_SFIO Table'!$A$11:$A$65525,0)-1,"")</f>
        <v/>
      </c>
      <c r="O44" t="str">
        <f>IF(LEN(J44),MATCH(J44,'MPIO_SFIO Table'!$A$11:$A$65525,0)-1,"")</f>
        <v/>
      </c>
      <c r="P44" t="str">
        <f>IF(LEN(K44),MATCH(K44,'MPIO_SFIO Table'!$A$11:$A$65525,0)-1,"")</f>
        <v/>
      </c>
      <c r="Q44" t="str">
        <f>IF(LEN(L44),MATCH(L44,'MPIO_SFIO Table'!$A$11:$A$65525,0)-1,"")</f>
        <v/>
      </c>
      <c r="R44" t="str">
        <f ca="1">IF(ISNUMBER(M44),OFFSET('MPIO_SFIO Table'!$AJ$11,M44,0),"")</f>
        <v>unused_GPIO_PU3</v>
      </c>
      <c r="S44" t="str">
        <f ca="1">IF(ISNUMBER(N44),OFFSET('MPIO_SFIO Table'!$AJ$11,N44,0),"")</f>
        <v/>
      </c>
      <c r="T44" t="str">
        <f ca="1">IF(ISNUMBER(O44),OFFSET('MPIO_SFIO Table'!$AJ$11,O44,0),"")</f>
        <v/>
      </c>
      <c r="U44" t="str">
        <f ca="1">IF(ISNUMBER(P44),OFFSET('MPIO_SFIO Table'!$AJ$11,P44,0),"")</f>
        <v/>
      </c>
      <c r="V44" t="str">
        <f ca="1">IF(ISNUMBER(Q44),OFFSET('MPIO_SFIO Table'!$AJ$11,Q44,0),"")</f>
        <v/>
      </c>
      <c r="W44">
        <f t="shared" ca="1" si="11"/>
        <v>0</v>
      </c>
      <c r="X44">
        <f t="shared" ca="1" si="12"/>
        <v>0</v>
      </c>
      <c r="Y44">
        <f t="shared" ca="1" si="13"/>
        <v>0</v>
      </c>
      <c r="Z44">
        <f t="shared" ca="1" si="14"/>
        <v>0</v>
      </c>
      <c r="AA44">
        <f t="shared" ca="1" si="15"/>
        <v>0</v>
      </c>
    </row>
    <row r="45" spans="1:27" x14ac:dyDescent="0.25">
      <c r="A45">
        <f t="shared" ca="1" si="8"/>
        <v>0</v>
      </c>
      <c r="B45" t="str">
        <f t="shared" ca="1" si="9"/>
        <v/>
      </c>
      <c r="C45" t="str">
        <f t="shared" si="10"/>
        <v>GMI</v>
      </c>
      <c r="D45" t="s">
        <v>253</v>
      </c>
      <c r="E45" t="s">
        <v>253</v>
      </c>
      <c r="F45" s="3" t="s">
        <v>2536</v>
      </c>
      <c r="G45" s="11" t="s">
        <v>416</v>
      </c>
      <c r="H45" s="11" t="s">
        <v>65</v>
      </c>
      <c r="I45" s="3" t="s">
        <v>253</v>
      </c>
      <c r="J45" s="3" t="s">
        <v>253</v>
      </c>
      <c r="K45" s="3" t="s">
        <v>253</v>
      </c>
      <c r="L45" s="3" t="s">
        <v>253</v>
      </c>
      <c r="M45">
        <f>IF(LEN(H45),MATCH(H45,'MPIO_SFIO Table'!$A$11:$A$65525,0)-1,"")</f>
        <v>60</v>
      </c>
      <c r="N45" t="str">
        <f>IF(LEN(I45),MATCH(I45,'MPIO_SFIO Table'!$A$11:$A$65525,0)-1,"")</f>
        <v/>
      </c>
      <c r="O45" t="str">
        <f>IF(LEN(J45),MATCH(J45,'MPIO_SFIO Table'!$A$11:$A$65525,0)-1,"")</f>
        <v/>
      </c>
      <c r="P45" t="str">
        <f>IF(LEN(K45),MATCH(K45,'MPIO_SFIO Table'!$A$11:$A$65525,0)-1,"")</f>
        <v/>
      </c>
      <c r="Q45" t="str">
        <f>IF(LEN(L45),MATCH(L45,'MPIO_SFIO Table'!$A$11:$A$65525,0)-1,"")</f>
        <v/>
      </c>
      <c r="R45" t="str">
        <f ca="1">IF(ISNUMBER(M45),OFFSET('MPIO_SFIO Table'!$AJ$11,M45,0),"")</f>
        <v>unused_GMI_AD0</v>
      </c>
      <c r="S45" t="str">
        <f ca="1">IF(ISNUMBER(N45),OFFSET('MPIO_SFIO Table'!$AJ$11,N45,0),"")</f>
        <v/>
      </c>
      <c r="T45" t="str">
        <f ca="1">IF(ISNUMBER(O45),OFFSET('MPIO_SFIO Table'!$AJ$11,O45,0),"")</f>
        <v/>
      </c>
      <c r="U45" t="str">
        <f ca="1">IF(ISNUMBER(P45),OFFSET('MPIO_SFIO Table'!$AJ$11,P45,0),"")</f>
        <v/>
      </c>
      <c r="V45" t="str">
        <f ca="1">IF(ISNUMBER(Q45),OFFSET('MPIO_SFIO Table'!$AJ$11,Q45,0),"")</f>
        <v/>
      </c>
      <c r="W45">
        <f t="shared" ca="1" si="11"/>
        <v>0</v>
      </c>
      <c r="X45">
        <f t="shared" ca="1" si="12"/>
        <v>0</v>
      </c>
      <c r="Y45">
        <f t="shared" ca="1" si="13"/>
        <v>0</v>
      </c>
      <c r="Z45">
        <f t="shared" ca="1" si="14"/>
        <v>0</v>
      </c>
      <c r="AA45">
        <f t="shared" ca="1" si="15"/>
        <v>0</v>
      </c>
    </row>
    <row r="46" spans="1:27" x14ac:dyDescent="0.25">
      <c r="A46">
        <f t="shared" ca="1" si="8"/>
        <v>0</v>
      </c>
      <c r="B46" t="str">
        <f t="shared" ca="1" si="9"/>
        <v/>
      </c>
      <c r="C46" t="str">
        <f t="shared" si="10"/>
        <v>GMI</v>
      </c>
      <c r="D46" t="s">
        <v>253</v>
      </c>
      <c r="E46" t="s">
        <v>253</v>
      </c>
      <c r="F46" s="3" t="s">
        <v>2537</v>
      </c>
      <c r="G46" s="11" t="s">
        <v>419</v>
      </c>
      <c r="H46" s="11" t="s">
        <v>66</v>
      </c>
      <c r="I46" s="3" t="s">
        <v>253</v>
      </c>
      <c r="J46" s="3" t="s">
        <v>253</v>
      </c>
      <c r="K46" s="3" t="s">
        <v>253</v>
      </c>
      <c r="L46" s="3" t="s">
        <v>253</v>
      </c>
      <c r="M46">
        <f>IF(LEN(H46),MATCH(H46,'MPIO_SFIO Table'!$A$11:$A$65525,0)-1,"")</f>
        <v>61</v>
      </c>
      <c r="N46" t="str">
        <f>IF(LEN(I46),MATCH(I46,'MPIO_SFIO Table'!$A$11:$A$65525,0)-1,"")</f>
        <v/>
      </c>
      <c r="O46" t="str">
        <f>IF(LEN(J46),MATCH(J46,'MPIO_SFIO Table'!$A$11:$A$65525,0)-1,"")</f>
        <v/>
      </c>
      <c r="P46" t="str">
        <f>IF(LEN(K46),MATCH(K46,'MPIO_SFIO Table'!$A$11:$A$65525,0)-1,"")</f>
        <v/>
      </c>
      <c r="Q46" t="str">
        <f>IF(LEN(L46),MATCH(L46,'MPIO_SFIO Table'!$A$11:$A$65525,0)-1,"")</f>
        <v/>
      </c>
      <c r="R46" t="str">
        <f ca="1">IF(ISNUMBER(M46),OFFSET('MPIO_SFIO Table'!$AJ$11,M46,0),"")</f>
        <v>unused_GMI_AD1</v>
      </c>
      <c r="S46" t="str">
        <f ca="1">IF(ISNUMBER(N46),OFFSET('MPIO_SFIO Table'!$AJ$11,N46,0),"")</f>
        <v/>
      </c>
      <c r="T46" t="str">
        <f ca="1">IF(ISNUMBER(O46),OFFSET('MPIO_SFIO Table'!$AJ$11,O46,0),"")</f>
        <v/>
      </c>
      <c r="U46" t="str">
        <f ca="1">IF(ISNUMBER(P46),OFFSET('MPIO_SFIO Table'!$AJ$11,P46,0),"")</f>
        <v/>
      </c>
      <c r="V46" t="str">
        <f ca="1">IF(ISNUMBER(Q46),OFFSET('MPIO_SFIO Table'!$AJ$11,Q46,0),"")</f>
        <v/>
      </c>
      <c r="W46">
        <f t="shared" ca="1" si="11"/>
        <v>0</v>
      </c>
      <c r="X46">
        <f t="shared" ca="1" si="12"/>
        <v>0</v>
      </c>
      <c r="Y46">
        <f t="shared" ca="1" si="13"/>
        <v>0</v>
      </c>
      <c r="Z46">
        <f t="shared" ca="1" si="14"/>
        <v>0</v>
      </c>
      <c r="AA46">
        <f t="shared" ca="1" si="15"/>
        <v>0</v>
      </c>
    </row>
    <row r="47" spans="1:27" x14ac:dyDescent="0.25">
      <c r="A47">
        <f t="shared" ca="1" si="8"/>
        <v>0</v>
      </c>
      <c r="B47" t="str">
        <f t="shared" ca="1" si="9"/>
        <v/>
      </c>
      <c r="C47" t="str">
        <f t="shared" si="10"/>
        <v>GMI</v>
      </c>
      <c r="D47" t="s">
        <v>253</v>
      </c>
      <c r="E47" t="s">
        <v>253</v>
      </c>
      <c r="F47" s="3" t="s">
        <v>2538</v>
      </c>
      <c r="G47" s="11" t="s">
        <v>436</v>
      </c>
      <c r="H47" s="11" t="s">
        <v>73</v>
      </c>
      <c r="I47" s="3" t="s">
        <v>253</v>
      </c>
      <c r="J47" s="3" t="s">
        <v>253</v>
      </c>
      <c r="K47" s="3" t="s">
        <v>253</v>
      </c>
      <c r="L47" s="3" t="s">
        <v>253</v>
      </c>
      <c r="M47">
        <f>IF(LEN(H47),MATCH(H47,'MPIO_SFIO Table'!$A$11:$A$65525,0)-1,"")</f>
        <v>68</v>
      </c>
      <c r="N47" t="str">
        <f>IF(LEN(I47),MATCH(I47,'MPIO_SFIO Table'!$A$11:$A$65525,0)-1,"")</f>
        <v/>
      </c>
      <c r="O47" t="str">
        <f>IF(LEN(J47),MATCH(J47,'MPIO_SFIO Table'!$A$11:$A$65525,0)-1,"")</f>
        <v/>
      </c>
      <c r="P47" t="str">
        <f>IF(LEN(K47),MATCH(K47,'MPIO_SFIO Table'!$A$11:$A$65525,0)-1,"")</f>
        <v/>
      </c>
      <c r="Q47" t="str">
        <f>IF(LEN(L47),MATCH(L47,'MPIO_SFIO Table'!$A$11:$A$65525,0)-1,"")</f>
        <v/>
      </c>
      <c r="R47" t="str">
        <f ca="1">IF(ISNUMBER(M47),OFFSET('MPIO_SFIO Table'!$AJ$11,M47,0),"")</f>
        <v>unused_GMI_AD2</v>
      </c>
      <c r="S47" t="str">
        <f ca="1">IF(ISNUMBER(N47),OFFSET('MPIO_SFIO Table'!$AJ$11,N47,0),"")</f>
        <v/>
      </c>
      <c r="T47" t="str">
        <f ca="1">IF(ISNUMBER(O47),OFFSET('MPIO_SFIO Table'!$AJ$11,O47,0),"")</f>
        <v/>
      </c>
      <c r="U47" t="str">
        <f ca="1">IF(ISNUMBER(P47),OFFSET('MPIO_SFIO Table'!$AJ$11,P47,0),"")</f>
        <v/>
      </c>
      <c r="V47" t="str">
        <f ca="1">IF(ISNUMBER(Q47),OFFSET('MPIO_SFIO Table'!$AJ$11,Q47,0),"")</f>
        <v/>
      </c>
      <c r="W47">
        <f t="shared" ca="1" si="11"/>
        <v>0</v>
      </c>
      <c r="X47">
        <f t="shared" ca="1" si="12"/>
        <v>0</v>
      </c>
      <c r="Y47">
        <f t="shared" ca="1" si="13"/>
        <v>0</v>
      </c>
      <c r="Z47">
        <f t="shared" ca="1" si="14"/>
        <v>0</v>
      </c>
      <c r="AA47">
        <f t="shared" ca="1" si="15"/>
        <v>0</v>
      </c>
    </row>
    <row r="48" spans="1:27" x14ac:dyDescent="0.25">
      <c r="A48">
        <f t="shared" ca="1" si="8"/>
        <v>0</v>
      </c>
      <c r="B48" t="str">
        <f t="shared" ca="1" si="9"/>
        <v/>
      </c>
      <c r="C48" t="str">
        <f t="shared" si="10"/>
        <v>GMI</v>
      </c>
      <c r="D48" t="s">
        <v>253</v>
      </c>
      <c r="E48" t="s">
        <v>253</v>
      </c>
      <c r="F48" s="3" t="s">
        <v>2539</v>
      </c>
      <c r="G48" s="11" t="s">
        <v>438</v>
      </c>
      <c r="H48" s="11" t="s">
        <v>74</v>
      </c>
      <c r="I48" s="3" t="s">
        <v>253</v>
      </c>
      <c r="J48" s="3" t="s">
        <v>253</v>
      </c>
      <c r="K48" s="3" t="s">
        <v>253</v>
      </c>
      <c r="L48" s="3" t="s">
        <v>253</v>
      </c>
      <c r="M48">
        <f>IF(LEN(H48),MATCH(H48,'MPIO_SFIO Table'!$A$11:$A$65525,0)-1,"")</f>
        <v>69</v>
      </c>
      <c r="N48" t="str">
        <f>IF(LEN(I48),MATCH(I48,'MPIO_SFIO Table'!$A$11:$A$65525,0)-1,"")</f>
        <v/>
      </c>
      <c r="O48" t="str">
        <f>IF(LEN(J48),MATCH(J48,'MPIO_SFIO Table'!$A$11:$A$65525,0)-1,"")</f>
        <v/>
      </c>
      <c r="P48" t="str">
        <f>IF(LEN(K48),MATCH(K48,'MPIO_SFIO Table'!$A$11:$A$65525,0)-1,"")</f>
        <v/>
      </c>
      <c r="Q48" t="str">
        <f>IF(LEN(L48),MATCH(L48,'MPIO_SFIO Table'!$A$11:$A$65525,0)-1,"")</f>
        <v/>
      </c>
      <c r="R48" t="str">
        <f ca="1">IF(ISNUMBER(M48),OFFSET('MPIO_SFIO Table'!$AJ$11,M48,0),"")</f>
        <v>unused_GMI_AD3</v>
      </c>
      <c r="S48" t="str">
        <f ca="1">IF(ISNUMBER(N48),OFFSET('MPIO_SFIO Table'!$AJ$11,N48,0),"")</f>
        <v/>
      </c>
      <c r="T48" t="str">
        <f ca="1">IF(ISNUMBER(O48),OFFSET('MPIO_SFIO Table'!$AJ$11,O48,0),"")</f>
        <v/>
      </c>
      <c r="U48" t="str">
        <f ca="1">IF(ISNUMBER(P48),OFFSET('MPIO_SFIO Table'!$AJ$11,P48,0),"")</f>
        <v/>
      </c>
      <c r="V48" t="str">
        <f ca="1">IF(ISNUMBER(Q48),OFFSET('MPIO_SFIO Table'!$AJ$11,Q48,0),"")</f>
        <v/>
      </c>
      <c r="W48">
        <f t="shared" ca="1" si="11"/>
        <v>0</v>
      </c>
      <c r="X48">
        <f t="shared" ca="1" si="12"/>
        <v>0</v>
      </c>
      <c r="Y48">
        <f t="shared" ca="1" si="13"/>
        <v>0</v>
      </c>
      <c r="Z48">
        <f t="shared" ca="1" si="14"/>
        <v>0</v>
      </c>
      <c r="AA48">
        <f t="shared" ca="1" si="15"/>
        <v>0</v>
      </c>
    </row>
    <row r="49" spans="1:27" x14ac:dyDescent="0.25">
      <c r="A49">
        <f t="shared" ca="1" si="8"/>
        <v>0</v>
      </c>
      <c r="B49" t="str">
        <f t="shared" ca="1" si="9"/>
        <v/>
      </c>
      <c r="C49" t="str">
        <f t="shared" si="10"/>
        <v>GMI</v>
      </c>
      <c r="D49" t="s">
        <v>253</v>
      </c>
      <c r="E49" t="s">
        <v>253</v>
      </c>
      <c r="F49" s="3" t="s">
        <v>2540</v>
      </c>
      <c r="G49" s="11" t="s">
        <v>440</v>
      </c>
      <c r="H49" s="11" t="s">
        <v>75</v>
      </c>
      <c r="I49" s="3" t="s">
        <v>253</v>
      </c>
      <c r="J49" s="3" t="s">
        <v>253</v>
      </c>
      <c r="K49" s="3" t="s">
        <v>253</v>
      </c>
      <c r="L49" s="3" t="s">
        <v>253</v>
      </c>
      <c r="M49">
        <f>IF(LEN(H49),MATCH(H49,'MPIO_SFIO Table'!$A$11:$A$65525,0)-1,"")</f>
        <v>70</v>
      </c>
      <c r="N49" t="str">
        <f>IF(LEN(I49),MATCH(I49,'MPIO_SFIO Table'!$A$11:$A$65525,0)-1,"")</f>
        <v/>
      </c>
      <c r="O49" t="str">
        <f>IF(LEN(J49),MATCH(J49,'MPIO_SFIO Table'!$A$11:$A$65525,0)-1,"")</f>
        <v/>
      </c>
      <c r="P49" t="str">
        <f>IF(LEN(K49),MATCH(K49,'MPIO_SFIO Table'!$A$11:$A$65525,0)-1,"")</f>
        <v/>
      </c>
      <c r="Q49" t="str">
        <f>IF(LEN(L49),MATCH(L49,'MPIO_SFIO Table'!$A$11:$A$65525,0)-1,"")</f>
        <v/>
      </c>
      <c r="R49" t="str">
        <f ca="1">IF(ISNUMBER(M49),OFFSET('MPIO_SFIO Table'!$AJ$11,M49,0),"")</f>
        <v>unused_GMI_AD4</v>
      </c>
      <c r="S49" t="str">
        <f ca="1">IF(ISNUMBER(N49),OFFSET('MPIO_SFIO Table'!$AJ$11,N49,0),"")</f>
        <v/>
      </c>
      <c r="T49" t="str">
        <f ca="1">IF(ISNUMBER(O49),OFFSET('MPIO_SFIO Table'!$AJ$11,O49,0),"")</f>
        <v/>
      </c>
      <c r="U49" t="str">
        <f ca="1">IF(ISNUMBER(P49),OFFSET('MPIO_SFIO Table'!$AJ$11,P49,0),"")</f>
        <v/>
      </c>
      <c r="V49" t="str">
        <f ca="1">IF(ISNUMBER(Q49),OFFSET('MPIO_SFIO Table'!$AJ$11,Q49,0),"")</f>
        <v/>
      </c>
      <c r="W49">
        <f t="shared" ca="1" si="11"/>
        <v>0</v>
      </c>
      <c r="X49">
        <f t="shared" ca="1" si="12"/>
        <v>0</v>
      </c>
      <c r="Y49">
        <f t="shared" ca="1" si="13"/>
        <v>0</v>
      </c>
      <c r="Z49">
        <f t="shared" ca="1" si="14"/>
        <v>0</v>
      </c>
      <c r="AA49">
        <f t="shared" ca="1" si="15"/>
        <v>0</v>
      </c>
    </row>
    <row r="50" spans="1:27" x14ac:dyDescent="0.25">
      <c r="A50">
        <f t="shared" ca="1" si="8"/>
        <v>0</v>
      </c>
      <c r="B50" t="str">
        <f t="shared" ca="1" si="9"/>
        <v/>
      </c>
      <c r="C50" t="str">
        <f t="shared" si="10"/>
        <v>GMI</v>
      </c>
      <c r="D50" t="s">
        <v>253</v>
      </c>
      <c r="E50" t="s">
        <v>253</v>
      </c>
      <c r="F50" s="3" t="s">
        <v>2541</v>
      </c>
      <c r="G50" s="11" t="s">
        <v>442</v>
      </c>
      <c r="H50" s="11" t="s">
        <v>76</v>
      </c>
      <c r="I50" s="3" t="s">
        <v>253</v>
      </c>
      <c r="J50" s="3" t="s">
        <v>253</v>
      </c>
      <c r="K50" s="3" t="s">
        <v>253</v>
      </c>
      <c r="L50" s="3" t="s">
        <v>253</v>
      </c>
      <c r="M50">
        <f>IF(LEN(H50),MATCH(H50,'MPIO_SFIO Table'!$A$11:$A$65525,0)-1,"")</f>
        <v>71</v>
      </c>
      <c r="N50" t="str">
        <f>IF(LEN(I50),MATCH(I50,'MPIO_SFIO Table'!$A$11:$A$65525,0)-1,"")</f>
        <v/>
      </c>
      <c r="O50" t="str">
        <f>IF(LEN(J50),MATCH(J50,'MPIO_SFIO Table'!$A$11:$A$65525,0)-1,"")</f>
        <v/>
      </c>
      <c r="P50" t="str">
        <f>IF(LEN(K50),MATCH(K50,'MPIO_SFIO Table'!$A$11:$A$65525,0)-1,"")</f>
        <v/>
      </c>
      <c r="Q50" t="str">
        <f>IF(LEN(L50),MATCH(L50,'MPIO_SFIO Table'!$A$11:$A$65525,0)-1,"")</f>
        <v/>
      </c>
      <c r="R50" t="str">
        <f ca="1">IF(ISNUMBER(M50),OFFSET('MPIO_SFIO Table'!$AJ$11,M50,0),"")</f>
        <v>unused_GMI_AD5</v>
      </c>
      <c r="S50" t="str">
        <f ca="1">IF(ISNUMBER(N50),OFFSET('MPIO_SFIO Table'!$AJ$11,N50,0),"")</f>
        <v/>
      </c>
      <c r="T50" t="str">
        <f ca="1">IF(ISNUMBER(O50),OFFSET('MPIO_SFIO Table'!$AJ$11,O50,0),"")</f>
        <v/>
      </c>
      <c r="U50" t="str">
        <f ca="1">IF(ISNUMBER(P50),OFFSET('MPIO_SFIO Table'!$AJ$11,P50,0),"")</f>
        <v/>
      </c>
      <c r="V50" t="str">
        <f ca="1">IF(ISNUMBER(Q50),OFFSET('MPIO_SFIO Table'!$AJ$11,Q50,0),"")</f>
        <v/>
      </c>
      <c r="W50">
        <f t="shared" ca="1" si="11"/>
        <v>0</v>
      </c>
      <c r="X50">
        <f t="shared" ca="1" si="12"/>
        <v>0</v>
      </c>
      <c r="Y50">
        <f t="shared" ca="1" si="13"/>
        <v>0</v>
      </c>
      <c r="Z50">
        <f t="shared" ca="1" si="14"/>
        <v>0</v>
      </c>
      <c r="AA50">
        <f t="shared" ca="1" si="15"/>
        <v>0</v>
      </c>
    </row>
    <row r="51" spans="1:27" x14ac:dyDescent="0.25">
      <c r="A51">
        <f t="shared" ca="1" si="8"/>
        <v>0</v>
      </c>
      <c r="B51" t="str">
        <f t="shared" ca="1" si="9"/>
        <v/>
      </c>
      <c r="C51" t="str">
        <f t="shared" si="10"/>
        <v>GMI</v>
      </c>
      <c r="D51" t="s">
        <v>253</v>
      </c>
      <c r="E51" t="s">
        <v>253</v>
      </c>
      <c r="F51" s="3" t="s">
        <v>2542</v>
      </c>
      <c r="G51" s="11" t="s">
        <v>444</v>
      </c>
      <c r="H51" s="11" t="s">
        <v>77</v>
      </c>
      <c r="I51" s="3" t="s">
        <v>253</v>
      </c>
      <c r="J51" s="3" t="s">
        <v>253</v>
      </c>
      <c r="K51" s="3" t="s">
        <v>253</v>
      </c>
      <c r="L51" s="3" t="s">
        <v>253</v>
      </c>
      <c r="M51">
        <f>IF(LEN(H51),MATCH(H51,'MPIO_SFIO Table'!$A$11:$A$65525,0)-1,"")</f>
        <v>72</v>
      </c>
      <c r="N51" t="str">
        <f>IF(LEN(I51),MATCH(I51,'MPIO_SFIO Table'!$A$11:$A$65525,0)-1,"")</f>
        <v/>
      </c>
      <c r="O51" t="str">
        <f>IF(LEN(J51),MATCH(J51,'MPIO_SFIO Table'!$A$11:$A$65525,0)-1,"")</f>
        <v/>
      </c>
      <c r="P51" t="str">
        <f>IF(LEN(K51),MATCH(K51,'MPIO_SFIO Table'!$A$11:$A$65525,0)-1,"")</f>
        <v/>
      </c>
      <c r="Q51" t="str">
        <f>IF(LEN(L51),MATCH(L51,'MPIO_SFIO Table'!$A$11:$A$65525,0)-1,"")</f>
        <v/>
      </c>
      <c r="R51" t="str">
        <f ca="1">IF(ISNUMBER(M51),OFFSET('MPIO_SFIO Table'!$AJ$11,M51,0),"")</f>
        <v>unused_GMI_AD6</v>
      </c>
      <c r="S51" t="str">
        <f ca="1">IF(ISNUMBER(N51),OFFSET('MPIO_SFIO Table'!$AJ$11,N51,0),"")</f>
        <v/>
      </c>
      <c r="T51" t="str">
        <f ca="1">IF(ISNUMBER(O51),OFFSET('MPIO_SFIO Table'!$AJ$11,O51,0),"")</f>
        <v/>
      </c>
      <c r="U51" t="str">
        <f ca="1">IF(ISNUMBER(P51),OFFSET('MPIO_SFIO Table'!$AJ$11,P51,0),"")</f>
        <v/>
      </c>
      <c r="V51" t="str">
        <f ca="1">IF(ISNUMBER(Q51),OFFSET('MPIO_SFIO Table'!$AJ$11,Q51,0),"")</f>
        <v/>
      </c>
      <c r="W51">
        <f t="shared" ca="1" si="11"/>
        <v>0</v>
      </c>
      <c r="X51">
        <f t="shared" ca="1" si="12"/>
        <v>0</v>
      </c>
      <c r="Y51">
        <f t="shared" ca="1" si="13"/>
        <v>0</v>
      </c>
      <c r="Z51">
        <f t="shared" ca="1" si="14"/>
        <v>0</v>
      </c>
      <c r="AA51">
        <f t="shared" ca="1" si="15"/>
        <v>0</v>
      </c>
    </row>
    <row r="52" spans="1:27" x14ac:dyDescent="0.25">
      <c r="A52">
        <f t="shared" ca="1" si="8"/>
        <v>0</v>
      </c>
      <c r="B52" t="str">
        <f t="shared" ca="1" si="9"/>
        <v/>
      </c>
      <c r="C52" t="str">
        <f t="shared" si="10"/>
        <v>GMI</v>
      </c>
      <c r="D52" t="s">
        <v>253</v>
      </c>
      <c r="E52" t="s">
        <v>253</v>
      </c>
      <c r="F52" s="3" t="s">
        <v>2543</v>
      </c>
      <c r="G52" s="11" t="s">
        <v>446</v>
      </c>
      <c r="H52" s="11" t="s">
        <v>78</v>
      </c>
      <c r="I52" s="3" t="s">
        <v>253</v>
      </c>
      <c r="J52" s="3" t="s">
        <v>253</v>
      </c>
      <c r="K52" s="3" t="s">
        <v>253</v>
      </c>
      <c r="L52" s="3" t="s">
        <v>253</v>
      </c>
      <c r="M52">
        <f>IF(LEN(H52),MATCH(H52,'MPIO_SFIO Table'!$A$11:$A$65525,0)-1,"")</f>
        <v>73</v>
      </c>
      <c r="N52" t="str">
        <f>IF(LEN(I52),MATCH(I52,'MPIO_SFIO Table'!$A$11:$A$65525,0)-1,"")</f>
        <v/>
      </c>
      <c r="O52" t="str">
        <f>IF(LEN(J52),MATCH(J52,'MPIO_SFIO Table'!$A$11:$A$65525,0)-1,"")</f>
        <v/>
      </c>
      <c r="P52" t="str">
        <f>IF(LEN(K52),MATCH(K52,'MPIO_SFIO Table'!$A$11:$A$65525,0)-1,"")</f>
        <v/>
      </c>
      <c r="Q52" t="str">
        <f>IF(LEN(L52),MATCH(L52,'MPIO_SFIO Table'!$A$11:$A$65525,0)-1,"")</f>
        <v/>
      </c>
      <c r="R52" t="str">
        <f ca="1">IF(ISNUMBER(M52),OFFSET('MPIO_SFIO Table'!$AJ$11,M52,0),"")</f>
        <v>unused_GMI_AD7</v>
      </c>
      <c r="S52" t="str">
        <f ca="1">IF(ISNUMBER(N52),OFFSET('MPIO_SFIO Table'!$AJ$11,N52,0),"")</f>
        <v/>
      </c>
      <c r="T52" t="str">
        <f ca="1">IF(ISNUMBER(O52),OFFSET('MPIO_SFIO Table'!$AJ$11,O52,0),"")</f>
        <v/>
      </c>
      <c r="U52" t="str">
        <f ca="1">IF(ISNUMBER(P52),OFFSET('MPIO_SFIO Table'!$AJ$11,P52,0),"")</f>
        <v/>
      </c>
      <c r="V52" t="str">
        <f ca="1">IF(ISNUMBER(Q52),OFFSET('MPIO_SFIO Table'!$AJ$11,Q52,0),"")</f>
        <v/>
      </c>
      <c r="W52">
        <f t="shared" ca="1" si="11"/>
        <v>0</v>
      </c>
      <c r="X52">
        <f t="shared" ca="1" si="12"/>
        <v>0</v>
      </c>
      <c r="Y52">
        <f t="shared" ca="1" si="13"/>
        <v>0</v>
      </c>
      <c r="Z52">
        <f t="shared" ca="1" si="14"/>
        <v>0</v>
      </c>
      <c r="AA52">
        <f t="shared" ca="1" si="15"/>
        <v>0</v>
      </c>
    </row>
    <row r="53" spans="1:27" x14ac:dyDescent="0.25">
      <c r="A53">
        <f t="shared" ca="1" si="8"/>
        <v>0</v>
      </c>
      <c r="B53" t="str">
        <f t="shared" ca="1" si="9"/>
        <v/>
      </c>
      <c r="C53" t="str">
        <f t="shared" si="10"/>
        <v>GMI</v>
      </c>
      <c r="D53" t="s">
        <v>253</v>
      </c>
      <c r="E53" t="s">
        <v>253</v>
      </c>
      <c r="F53" s="3" t="s">
        <v>2544</v>
      </c>
      <c r="G53" s="11" t="s">
        <v>449</v>
      </c>
      <c r="H53" s="11" t="s">
        <v>79</v>
      </c>
      <c r="I53" s="3" t="s">
        <v>253</v>
      </c>
      <c r="J53" s="3" t="s">
        <v>253</v>
      </c>
      <c r="K53" s="3" t="s">
        <v>253</v>
      </c>
      <c r="L53" s="3" t="s">
        <v>253</v>
      </c>
      <c r="M53">
        <f>IF(LEN(H53),MATCH(H53,'MPIO_SFIO Table'!$A$11:$A$65525,0)-1,"")</f>
        <v>74</v>
      </c>
      <c r="N53" t="str">
        <f>IF(LEN(I53),MATCH(I53,'MPIO_SFIO Table'!$A$11:$A$65525,0)-1,"")</f>
        <v/>
      </c>
      <c r="O53" t="str">
        <f>IF(LEN(J53),MATCH(J53,'MPIO_SFIO Table'!$A$11:$A$65525,0)-1,"")</f>
        <v/>
      </c>
      <c r="P53" t="str">
        <f>IF(LEN(K53),MATCH(K53,'MPIO_SFIO Table'!$A$11:$A$65525,0)-1,"")</f>
        <v/>
      </c>
      <c r="Q53" t="str">
        <f>IF(LEN(L53),MATCH(L53,'MPIO_SFIO Table'!$A$11:$A$65525,0)-1,"")</f>
        <v/>
      </c>
      <c r="R53" t="str">
        <f ca="1">IF(ISNUMBER(M53),OFFSET('MPIO_SFIO Table'!$AJ$11,M53,0),"")</f>
        <v>unused_GMI_AD8</v>
      </c>
      <c r="S53" t="str">
        <f ca="1">IF(ISNUMBER(N53),OFFSET('MPIO_SFIO Table'!$AJ$11,N53,0),"")</f>
        <v/>
      </c>
      <c r="T53" t="str">
        <f ca="1">IF(ISNUMBER(O53),OFFSET('MPIO_SFIO Table'!$AJ$11,O53,0),"")</f>
        <v/>
      </c>
      <c r="U53" t="str">
        <f ca="1">IF(ISNUMBER(P53),OFFSET('MPIO_SFIO Table'!$AJ$11,P53,0),"")</f>
        <v/>
      </c>
      <c r="V53" t="str">
        <f ca="1">IF(ISNUMBER(Q53),OFFSET('MPIO_SFIO Table'!$AJ$11,Q53,0),"")</f>
        <v/>
      </c>
      <c r="W53">
        <f t="shared" ca="1" si="11"/>
        <v>0</v>
      </c>
      <c r="X53">
        <f t="shared" ca="1" si="12"/>
        <v>0</v>
      </c>
      <c r="Y53">
        <f t="shared" ca="1" si="13"/>
        <v>0</v>
      </c>
      <c r="Z53">
        <f t="shared" ca="1" si="14"/>
        <v>0</v>
      </c>
      <c r="AA53">
        <f t="shared" ca="1" si="15"/>
        <v>0</v>
      </c>
    </row>
    <row r="54" spans="1:27" x14ac:dyDescent="0.25">
      <c r="A54">
        <f t="shared" ca="1" si="8"/>
        <v>0</v>
      </c>
      <c r="B54" t="str">
        <f t="shared" ca="1" si="9"/>
        <v/>
      </c>
      <c r="C54" t="str">
        <f t="shared" si="10"/>
        <v>GMI</v>
      </c>
      <c r="D54" t="s">
        <v>253</v>
      </c>
      <c r="E54" t="s">
        <v>253</v>
      </c>
      <c r="F54" s="3" t="s">
        <v>2545</v>
      </c>
      <c r="G54" s="11" t="s">
        <v>452</v>
      </c>
      <c r="H54" s="11" t="s">
        <v>80</v>
      </c>
      <c r="I54" s="3" t="s">
        <v>253</v>
      </c>
      <c r="J54" s="3" t="s">
        <v>253</v>
      </c>
      <c r="K54" s="3" t="s">
        <v>253</v>
      </c>
      <c r="L54" s="3" t="s">
        <v>253</v>
      </c>
      <c r="M54">
        <f>IF(LEN(H54),MATCH(H54,'MPIO_SFIO Table'!$A$11:$A$65525,0)-1,"")</f>
        <v>75</v>
      </c>
      <c r="N54" t="str">
        <f>IF(LEN(I54),MATCH(I54,'MPIO_SFIO Table'!$A$11:$A$65525,0)-1,"")</f>
        <v/>
      </c>
      <c r="O54" t="str">
        <f>IF(LEN(J54),MATCH(J54,'MPIO_SFIO Table'!$A$11:$A$65525,0)-1,"")</f>
        <v/>
      </c>
      <c r="P54" t="str">
        <f>IF(LEN(K54),MATCH(K54,'MPIO_SFIO Table'!$A$11:$A$65525,0)-1,"")</f>
        <v/>
      </c>
      <c r="Q54" t="str">
        <f>IF(LEN(L54),MATCH(L54,'MPIO_SFIO Table'!$A$11:$A$65525,0)-1,"")</f>
        <v/>
      </c>
      <c r="R54" t="str">
        <f ca="1">IF(ISNUMBER(M54),OFFSET('MPIO_SFIO Table'!$AJ$11,M54,0),"")</f>
        <v>unused_GMI_AD9</v>
      </c>
      <c r="S54" t="str">
        <f ca="1">IF(ISNUMBER(N54),OFFSET('MPIO_SFIO Table'!$AJ$11,N54,0),"")</f>
        <v/>
      </c>
      <c r="T54" t="str">
        <f ca="1">IF(ISNUMBER(O54),OFFSET('MPIO_SFIO Table'!$AJ$11,O54,0),"")</f>
        <v/>
      </c>
      <c r="U54" t="str">
        <f ca="1">IF(ISNUMBER(P54),OFFSET('MPIO_SFIO Table'!$AJ$11,P54,0),"")</f>
        <v/>
      </c>
      <c r="V54" t="str">
        <f ca="1">IF(ISNUMBER(Q54),OFFSET('MPIO_SFIO Table'!$AJ$11,Q54,0),"")</f>
        <v/>
      </c>
      <c r="W54">
        <f t="shared" ca="1" si="11"/>
        <v>0</v>
      </c>
      <c r="X54">
        <f t="shared" ca="1" si="12"/>
        <v>0</v>
      </c>
      <c r="Y54">
        <f t="shared" ca="1" si="13"/>
        <v>0</v>
      </c>
      <c r="Z54">
        <f t="shared" ca="1" si="14"/>
        <v>0</v>
      </c>
      <c r="AA54">
        <f t="shared" ca="1" si="15"/>
        <v>0</v>
      </c>
    </row>
    <row r="55" spans="1:27" x14ac:dyDescent="0.25">
      <c r="A55">
        <f t="shared" ca="1" si="8"/>
        <v>0</v>
      </c>
      <c r="B55" t="str">
        <f t="shared" ca="1" si="9"/>
        <v/>
      </c>
      <c r="C55" t="str">
        <f t="shared" si="10"/>
        <v>GMI</v>
      </c>
      <c r="D55" t="s">
        <v>253</v>
      </c>
      <c r="E55" t="s">
        <v>253</v>
      </c>
      <c r="F55" s="3" t="s">
        <v>1778</v>
      </c>
      <c r="G55" s="11" t="s">
        <v>422</v>
      </c>
      <c r="H55" s="11" t="s">
        <v>67</v>
      </c>
      <c r="I55" s="3" t="s">
        <v>253</v>
      </c>
      <c r="J55" s="3" t="s">
        <v>253</v>
      </c>
      <c r="K55" s="3" t="s">
        <v>253</v>
      </c>
      <c r="L55" s="3" t="s">
        <v>253</v>
      </c>
      <c r="M55">
        <f>IF(LEN(H55),MATCH(H55,'MPIO_SFIO Table'!$A$11:$A$65525,0)-1,"")</f>
        <v>62</v>
      </c>
      <c r="N55" t="str">
        <f>IF(LEN(I55),MATCH(I55,'MPIO_SFIO Table'!$A$11:$A$65525,0)-1,"")</f>
        <v/>
      </c>
      <c r="O55" t="str">
        <f>IF(LEN(J55),MATCH(J55,'MPIO_SFIO Table'!$A$11:$A$65525,0)-1,"")</f>
        <v/>
      </c>
      <c r="P55" t="str">
        <f>IF(LEN(K55),MATCH(K55,'MPIO_SFIO Table'!$A$11:$A$65525,0)-1,"")</f>
        <v/>
      </c>
      <c r="Q55" t="str">
        <f>IF(LEN(L55),MATCH(L55,'MPIO_SFIO Table'!$A$11:$A$65525,0)-1,"")</f>
        <v/>
      </c>
      <c r="R55" t="str">
        <f ca="1">IF(ISNUMBER(M55),OFFSET('MPIO_SFIO Table'!$AJ$11,M55,0),"")</f>
        <v>unused_GMI_AD10</v>
      </c>
      <c r="S55" t="str">
        <f ca="1">IF(ISNUMBER(N55),OFFSET('MPIO_SFIO Table'!$AJ$11,N55,0),"")</f>
        <v/>
      </c>
      <c r="T55" t="str">
        <f ca="1">IF(ISNUMBER(O55),OFFSET('MPIO_SFIO Table'!$AJ$11,O55,0),"")</f>
        <v/>
      </c>
      <c r="U55" t="str">
        <f ca="1">IF(ISNUMBER(P55),OFFSET('MPIO_SFIO Table'!$AJ$11,P55,0),"")</f>
        <v/>
      </c>
      <c r="V55" t="str">
        <f ca="1">IF(ISNUMBER(Q55),OFFSET('MPIO_SFIO Table'!$AJ$11,Q55,0),"")</f>
        <v/>
      </c>
      <c r="W55">
        <f t="shared" ca="1" si="11"/>
        <v>0</v>
      </c>
      <c r="X55">
        <f t="shared" ca="1" si="12"/>
        <v>0</v>
      </c>
      <c r="Y55">
        <f t="shared" ca="1" si="13"/>
        <v>0</v>
      </c>
      <c r="Z55">
        <f t="shared" ca="1" si="14"/>
        <v>0</v>
      </c>
      <c r="AA55">
        <f t="shared" ca="1" si="15"/>
        <v>0</v>
      </c>
    </row>
    <row r="56" spans="1:27" x14ac:dyDescent="0.25">
      <c r="A56">
        <f t="shared" ca="1" si="8"/>
        <v>0</v>
      </c>
      <c r="B56" t="str">
        <f t="shared" ca="1" si="9"/>
        <v/>
      </c>
      <c r="C56" t="str">
        <f t="shared" si="10"/>
        <v>GMI</v>
      </c>
      <c r="D56" t="s">
        <v>253</v>
      </c>
      <c r="E56" t="s">
        <v>253</v>
      </c>
      <c r="F56" s="3" t="s">
        <v>2546</v>
      </c>
      <c r="G56" s="11" t="s">
        <v>426</v>
      </c>
      <c r="H56" s="11" t="s">
        <v>68</v>
      </c>
      <c r="I56" s="3" t="s">
        <v>253</v>
      </c>
      <c r="J56" s="3" t="s">
        <v>253</v>
      </c>
      <c r="K56" s="3" t="s">
        <v>253</v>
      </c>
      <c r="L56" s="3" t="s">
        <v>253</v>
      </c>
      <c r="M56">
        <f>IF(LEN(H56),MATCH(H56,'MPIO_SFIO Table'!$A$11:$A$65525,0)-1,"")</f>
        <v>63</v>
      </c>
      <c r="N56" t="str">
        <f>IF(LEN(I56),MATCH(I56,'MPIO_SFIO Table'!$A$11:$A$65525,0)-1,"")</f>
        <v/>
      </c>
      <c r="O56" t="str">
        <f>IF(LEN(J56),MATCH(J56,'MPIO_SFIO Table'!$A$11:$A$65525,0)-1,"")</f>
        <v/>
      </c>
      <c r="P56" t="str">
        <f>IF(LEN(K56),MATCH(K56,'MPIO_SFIO Table'!$A$11:$A$65525,0)-1,"")</f>
        <v/>
      </c>
      <c r="Q56" t="str">
        <f>IF(LEN(L56),MATCH(L56,'MPIO_SFIO Table'!$A$11:$A$65525,0)-1,"")</f>
        <v/>
      </c>
      <c r="R56" t="str">
        <f ca="1">IF(ISNUMBER(M56),OFFSET('MPIO_SFIO Table'!$AJ$11,M56,0),"")</f>
        <v>unused_GMI_AD11</v>
      </c>
      <c r="S56" t="str">
        <f ca="1">IF(ISNUMBER(N56),OFFSET('MPIO_SFIO Table'!$AJ$11,N56,0),"")</f>
        <v/>
      </c>
      <c r="T56" t="str">
        <f ca="1">IF(ISNUMBER(O56),OFFSET('MPIO_SFIO Table'!$AJ$11,O56,0),"")</f>
        <v/>
      </c>
      <c r="U56" t="str">
        <f ca="1">IF(ISNUMBER(P56),OFFSET('MPIO_SFIO Table'!$AJ$11,P56,0),"")</f>
        <v/>
      </c>
      <c r="V56" t="str">
        <f ca="1">IF(ISNUMBER(Q56),OFFSET('MPIO_SFIO Table'!$AJ$11,Q56,0),"")</f>
        <v/>
      </c>
      <c r="W56">
        <f t="shared" ca="1" si="11"/>
        <v>0</v>
      </c>
      <c r="X56">
        <f t="shared" ca="1" si="12"/>
        <v>0</v>
      </c>
      <c r="Y56">
        <f t="shared" ca="1" si="13"/>
        <v>0</v>
      </c>
      <c r="Z56">
        <f t="shared" ca="1" si="14"/>
        <v>0</v>
      </c>
      <c r="AA56">
        <f t="shared" ca="1" si="15"/>
        <v>0</v>
      </c>
    </row>
    <row r="57" spans="1:27" x14ac:dyDescent="0.25">
      <c r="A57">
        <f t="shared" ca="1" si="8"/>
        <v>0</v>
      </c>
      <c r="B57" t="str">
        <f t="shared" ca="1" si="9"/>
        <v/>
      </c>
      <c r="C57" t="str">
        <f t="shared" si="10"/>
        <v>GMI</v>
      </c>
      <c r="D57" t="s">
        <v>253</v>
      </c>
      <c r="E57" t="s">
        <v>253</v>
      </c>
      <c r="F57" s="3" t="s">
        <v>1768</v>
      </c>
      <c r="G57" s="11" t="s">
        <v>428</v>
      </c>
      <c r="H57" s="11" t="s">
        <v>69</v>
      </c>
      <c r="I57" s="3" t="s">
        <v>253</v>
      </c>
      <c r="J57" s="3" t="s">
        <v>253</v>
      </c>
      <c r="K57" s="3" t="s">
        <v>253</v>
      </c>
      <c r="L57" s="3" t="s">
        <v>253</v>
      </c>
      <c r="M57">
        <f>IF(LEN(H57),MATCH(H57,'MPIO_SFIO Table'!$A$11:$A$65525,0)-1,"")</f>
        <v>64</v>
      </c>
      <c r="N57" t="str">
        <f>IF(LEN(I57),MATCH(I57,'MPIO_SFIO Table'!$A$11:$A$65525,0)-1,"")</f>
        <v/>
      </c>
      <c r="O57" t="str">
        <f>IF(LEN(J57),MATCH(J57,'MPIO_SFIO Table'!$A$11:$A$65525,0)-1,"")</f>
        <v/>
      </c>
      <c r="P57" t="str">
        <f>IF(LEN(K57),MATCH(K57,'MPIO_SFIO Table'!$A$11:$A$65525,0)-1,"")</f>
        <v/>
      </c>
      <c r="Q57" t="str">
        <f>IF(LEN(L57),MATCH(L57,'MPIO_SFIO Table'!$A$11:$A$65525,0)-1,"")</f>
        <v/>
      </c>
      <c r="R57" t="str">
        <f ca="1">IF(ISNUMBER(M57),OFFSET('MPIO_SFIO Table'!$AJ$11,M57,0),"")</f>
        <v>unused_GMI_AD12</v>
      </c>
      <c r="S57" t="str">
        <f ca="1">IF(ISNUMBER(N57),OFFSET('MPIO_SFIO Table'!$AJ$11,N57,0),"")</f>
        <v/>
      </c>
      <c r="T57" t="str">
        <f ca="1">IF(ISNUMBER(O57),OFFSET('MPIO_SFIO Table'!$AJ$11,O57,0),"")</f>
        <v/>
      </c>
      <c r="U57" t="str">
        <f ca="1">IF(ISNUMBER(P57),OFFSET('MPIO_SFIO Table'!$AJ$11,P57,0),"")</f>
        <v/>
      </c>
      <c r="V57" t="str">
        <f ca="1">IF(ISNUMBER(Q57),OFFSET('MPIO_SFIO Table'!$AJ$11,Q57,0),"")</f>
        <v/>
      </c>
      <c r="W57">
        <f t="shared" ca="1" si="11"/>
        <v>0</v>
      </c>
      <c r="X57">
        <f t="shared" ca="1" si="12"/>
        <v>0</v>
      </c>
      <c r="Y57">
        <f t="shared" ca="1" si="13"/>
        <v>0</v>
      </c>
      <c r="Z57">
        <f t="shared" ca="1" si="14"/>
        <v>0</v>
      </c>
      <c r="AA57">
        <f t="shared" ca="1" si="15"/>
        <v>0</v>
      </c>
    </row>
    <row r="58" spans="1:27" x14ac:dyDescent="0.25">
      <c r="A58">
        <f t="shared" ca="1" si="8"/>
        <v>0</v>
      </c>
      <c r="B58" t="str">
        <f t="shared" ca="1" si="9"/>
        <v/>
      </c>
      <c r="C58" t="str">
        <f t="shared" si="10"/>
        <v>GMI</v>
      </c>
      <c r="D58" t="s">
        <v>253</v>
      </c>
      <c r="E58" t="s">
        <v>253</v>
      </c>
      <c r="F58" s="3" t="s">
        <v>1745</v>
      </c>
      <c r="G58" s="11" t="s">
        <v>430</v>
      </c>
      <c r="H58" s="11" t="s">
        <v>70</v>
      </c>
      <c r="I58" s="3" t="s">
        <v>253</v>
      </c>
      <c r="J58" s="3" t="s">
        <v>253</v>
      </c>
      <c r="K58" s="3" t="s">
        <v>253</v>
      </c>
      <c r="L58" s="3" t="s">
        <v>253</v>
      </c>
      <c r="M58">
        <f>IF(LEN(H58),MATCH(H58,'MPIO_SFIO Table'!$A$11:$A$65525,0)-1,"")</f>
        <v>65</v>
      </c>
      <c r="N58" t="str">
        <f>IF(LEN(I58),MATCH(I58,'MPIO_SFIO Table'!$A$11:$A$65525,0)-1,"")</f>
        <v/>
      </c>
      <c r="O58" t="str">
        <f>IF(LEN(J58),MATCH(J58,'MPIO_SFIO Table'!$A$11:$A$65525,0)-1,"")</f>
        <v/>
      </c>
      <c r="P58" t="str">
        <f>IF(LEN(K58),MATCH(K58,'MPIO_SFIO Table'!$A$11:$A$65525,0)-1,"")</f>
        <v/>
      </c>
      <c r="Q58" t="str">
        <f>IF(LEN(L58),MATCH(L58,'MPIO_SFIO Table'!$A$11:$A$65525,0)-1,"")</f>
        <v/>
      </c>
      <c r="R58" t="str">
        <f ca="1">IF(ISNUMBER(M58),OFFSET('MPIO_SFIO Table'!$AJ$11,M58,0),"")</f>
        <v>unused_GMI_AD13</v>
      </c>
      <c r="S58" t="str">
        <f ca="1">IF(ISNUMBER(N58),OFFSET('MPIO_SFIO Table'!$AJ$11,N58,0),"")</f>
        <v/>
      </c>
      <c r="T58" t="str">
        <f ca="1">IF(ISNUMBER(O58),OFFSET('MPIO_SFIO Table'!$AJ$11,O58,0),"")</f>
        <v/>
      </c>
      <c r="U58" t="str">
        <f ca="1">IF(ISNUMBER(P58),OFFSET('MPIO_SFIO Table'!$AJ$11,P58,0),"")</f>
        <v/>
      </c>
      <c r="V58" t="str">
        <f ca="1">IF(ISNUMBER(Q58),OFFSET('MPIO_SFIO Table'!$AJ$11,Q58,0),"")</f>
        <v/>
      </c>
      <c r="W58">
        <f t="shared" ca="1" si="11"/>
        <v>0</v>
      </c>
      <c r="X58">
        <f t="shared" ca="1" si="12"/>
        <v>0</v>
      </c>
      <c r="Y58">
        <f t="shared" ca="1" si="13"/>
        <v>0</v>
      </c>
      <c r="Z58">
        <f t="shared" ca="1" si="14"/>
        <v>0</v>
      </c>
      <c r="AA58">
        <f t="shared" ca="1" si="15"/>
        <v>0</v>
      </c>
    </row>
    <row r="59" spans="1:27" x14ac:dyDescent="0.25">
      <c r="A59">
        <f t="shared" ca="1" si="8"/>
        <v>0</v>
      </c>
      <c r="B59" t="str">
        <f t="shared" ca="1" si="9"/>
        <v/>
      </c>
      <c r="C59" t="str">
        <f t="shared" si="10"/>
        <v>GMI</v>
      </c>
      <c r="D59" t="s">
        <v>253</v>
      </c>
      <c r="E59" t="s">
        <v>253</v>
      </c>
      <c r="F59" s="3" t="s">
        <v>2547</v>
      </c>
      <c r="G59" s="11" t="s">
        <v>432</v>
      </c>
      <c r="H59" s="11" t="s">
        <v>71</v>
      </c>
      <c r="I59" s="3" t="s">
        <v>253</v>
      </c>
      <c r="J59" s="3" t="s">
        <v>253</v>
      </c>
      <c r="K59" s="3" t="s">
        <v>253</v>
      </c>
      <c r="L59" s="3" t="s">
        <v>253</v>
      </c>
      <c r="M59">
        <f>IF(LEN(H59),MATCH(H59,'MPIO_SFIO Table'!$A$11:$A$65525,0)-1,"")</f>
        <v>66</v>
      </c>
      <c r="N59" t="str">
        <f>IF(LEN(I59),MATCH(I59,'MPIO_SFIO Table'!$A$11:$A$65525,0)-1,"")</f>
        <v/>
      </c>
      <c r="O59" t="str">
        <f>IF(LEN(J59),MATCH(J59,'MPIO_SFIO Table'!$A$11:$A$65525,0)-1,"")</f>
        <v/>
      </c>
      <c r="P59" t="str">
        <f>IF(LEN(K59),MATCH(K59,'MPIO_SFIO Table'!$A$11:$A$65525,0)-1,"")</f>
        <v/>
      </c>
      <c r="Q59" t="str">
        <f>IF(LEN(L59),MATCH(L59,'MPIO_SFIO Table'!$A$11:$A$65525,0)-1,"")</f>
        <v/>
      </c>
      <c r="R59" t="str">
        <f ca="1">IF(ISNUMBER(M59),OFFSET('MPIO_SFIO Table'!$AJ$11,M59,0),"")</f>
        <v>unused_GMI_AD14</v>
      </c>
      <c r="S59" t="str">
        <f ca="1">IF(ISNUMBER(N59),OFFSET('MPIO_SFIO Table'!$AJ$11,N59,0),"")</f>
        <v/>
      </c>
      <c r="T59" t="str">
        <f ca="1">IF(ISNUMBER(O59),OFFSET('MPIO_SFIO Table'!$AJ$11,O59,0),"")</f>
        <v/>
      </c>
      <c r="U59" t="str">
        <f ca="1">IF(ISNUMBER(P59),OFFSET('MPIO_SFIO Table'!$AJ$11,P59,0),"")</f>
        <v/>
      </c>
      <c r="V59" t="str">
        <f ca="1">IF(ISNUMBER(Q59),OFFSET('MPIO_SFIO Table'!$AJ$11,Q59,0),"")</f>
        <v/>
      </c>
      <c r="W59">
        <f t="shared" ca="1" si="11"/>
        <v>0</v>
      </c>
      <c r="X59">
        <f t="shared" ca="1" si="12"/>
        <v>0</v>
      </c>
      <c r="Y59">
        <f t="shared" ca="1" si="13"/>
        <v>0</v>
      </c>
      <c r="Z59">
        <f t="shared" ca="1" si="14"/>
        <v>0</v>
      </c>
      <c r="AA59">
        <f t="shared" ca="1" si="15"/>
        <v>0</v>
      </c>
    </row>
    <row r="60" spans="1:27" x14ac:dyDescent="0.25">
      <c r="A60">
        <f t="shared" ca="1" si="8"/>
        <v>0</v>
      </c>
      <c r="B60" t="str">
        <f t="shared" ca="1" si="9"/>
        <v/>
      </c>
      <c r="C60" t="str">
        <f t="shared" si="10"/>
        <v>GMI</v>
      </c>
      <c r="D60" t="s">
        <v>253</v>
      </c>
      <c r="E60" t="s">
        <v>253</v>
      </c>
      <c r="F60" s="3" t="s">
        <v>1798</v>
      </c>
      <c r="G60" s="11" t="s">
        <v>434</v>
      </c>
      <c r="H60" s="11" t="s">
        <v>72</v>
      </c>
      <c r="I60" s="3" t="s">
        <v>253</v>
      </c>
      <c r="J60" s="3" t="s">
        <v>253</v>
      </c>
      <c r="K60" s="3" t="s">
        <v>253</v>
      </c>
      <c r="L60" s="3" t="s">
        <v>253</v>
      </c>
      <c r="M60">
        <f>IF(LEN(H60),MATCH(H60,'MPIO_SFIO Table'!$A$11:$A$65525,0)-1,"")</f>
        <v>67</v>
      </c>
      <c r="N60" t="str">
        <f>IF(LEN(I60),MATCH(I60,'MPIO_SFIO Table'!$A$11:$A$65525,0)-1,"")</f>
        <v/>
      </c>
      <c r="O60" t="str">
        <f>IF(LEN(J60),MATCH(J60,'MPIO_SFIO Table'!$A$11:$A$65525,0)-1,"")</f>
        <v/>
      </c>
      <c r="P60" t="str">
        <f>IF(LEN(K60),MATCH(K60,'MPIO_SFIO Table'!$A$11:$A$65525,0)-1,"")</f>
        <v/>
      </c>
      <c r="Q60" t="str">
        <f>IF(LEN(L60),MATCH(L60,'MPIO_SFIO Table'!$A$11:$A$65525,0)-1,"")</f>
        <v/>
      </c>
      <c r="R60" t="str">
        <f ca="1">IF(ISNUMBER(M60),OFFSET('MPIO_SFIO Table'!$AJ$11,M60,0),"")</f>
        <v>unused_GMI_AD15</v>
      </c>
      <c r="S60" t="str">
        <f ca="1">IF(ISNUMBER(N60),OFFSET('MPIO_SFIO Table'!$AJ$11,N60,0),"")</f>
        <v/>
      </c>
      <c r="T60" t="str">
        <f ca="1">IF(ISNUMBER(O60),OFFSET('MPIO_SFIO Table'!$AJ$11,O60,0),"")</f>
        <v/>
      </c>
      <c r="U60" t="str">
        <f ca="1">IF(ISNUMBER(P60),OFFSET('MPIO_SFIO Table'!$AJ$11,P60,0),"")</f>
        <v/>
      </c>
      <c r="V60" t="str">
        <f ca="1">IF(ISNUMBER(Q60),OFFSET('MPIO_SFIO Table'!$AJ$11,Q60,0),"")</f>
        <v/>
      </c>
      <c r="W60">
        <f t="shared" ca="1" si="11"/>
        <v>0</v>
      </c>
      <c r="X60">
        <f t="shared" ca="1" si="12"/>
        <v>0</v>
      </c>
      <c r="Y60">
        <f t="shared" ca="1" si="13"/>
        <v>0</v>
      </c>
      <c r="Z60">
        <f t="shared" ca="1" si="14"/>
        <v>0</v>
      </c>
      <c r="AA60">
        <f t="shared" ca="1" si="15"/>
        <v>0</v>
      </c>
    </row>
    <row r="61" spans="1:27" x14ac:dyDescent="0.25">
      <c r="A61">
        <f t="shared" ca="1" si="8"/>
        <v>0</v>
      </c>
      <c r="B61" t="str">
        <f t="shared" ca="1" si="9"/>
        <v/>
      </c>
      <c r="C61" t="str">
        <f t="shared" si="10"/>
        <v>GMI</v>
      </c>
      <c r="D61" t="s">
        <v>253</v>
      </c>
      <c r="E61" t="s">
        <v>253</v>
      </c>
      <c r="F61" s="3" t="s">
        <v>1551</v>
      </c>
      <c r="G61" s="11" t="s">
        <v>405</v>
      </c>
      <c r="H61" s="11" t="s">
        <v>61</v>
      </c>
      <c r="I61" s="3" t="s">
        <v>253</v>
      </c>
      <c r="J61" s="3" t="s">
        <v>253</v>
      </c>
      <c r="K61" s="3" t="s">
        <v>253</v>
      </c>
      <c r="L61" s="3" t="s">
        <v>253</v>
      </c>
      <c r="M61">
        <f>IF(LEN(H61),MATCH(H61,'MPIO_SFIO Table'!$A$11:$A$65525,0)-1,"")</f>
        <v>56</v>
      </c>
      <c r="N61" t="str">
        <f>IF(LEN(I61),MATCH(I61,'MPIO_SFIO Table'!$A$11:$A$65525,0)-1,"")</f>
        <v/>
      </c>
      <c r="O61" t="str">
        <f>IF(LEN(J61),MATCH(J61,'MPIO_SFIO Table'!$A$11:$A$65525,0)-1,"")</f>
        <v/>
      </c>
      <c r="P61" t="str">
        <f>IF(LEN(K61),MATCH(K61,'MPIO_SFIO Table'!$A$11:$A$65525,0)-1,"")</f>
        <v/>
      </c>
      <c r="Q61" t="str">
        <f>IF(LEN(L61),MATCH(L61,'MPIO_SFIO Table'!$A$11:$A$65525,0)-1,"")</f>
        <v/>
      </c>
      <c r="R61" t="str">
        <f ca="1">IF(ISNUMBER(M61),OFFSET('MPIO_SFIO Table'!$AJ$11,M61,0),"")</f>
        <v>unused_GMI_A16</v>
      </c>
      <c r="S61" t="str">
        <f ca="1">IF(ISNUMBER(N61),OFFSET('MPIO_SFIO Table'!$AJ$11,N61,0),"")</f>
        <v/>
      </c>
      <c r="T61" t="str">
        <f ca="1">IF(ISNUMBER(O61),OFFSET('MPIO_SFIO Table'!$AJ$11,O61,0),"")</f>
        <v/>
      </c>
      <c r="U61" t="str">
        <f ca="1">IF(ISNUMBER(P61),OFFSET('MPIO_SFIO Table'!$AJ$11,P61,0),"")</f>
        <v/>
      </c>
      <c r="V61" t="str">
        <f ca="1">IF(ISNUMBER(Q61),OFFSET('MPIO_SFIO Table'!$AJ$11,Q61,0),"")</f>
        <v/>
      </c>
      <c r="W61">
        <f t="shared" ca="1" si="11"/>
        <v>0</v>
      </c>
      <c r="X61">
        <f t="shared" ca="1" si="12"/>
        <v>0</v>
      </c>
      <c r="Y61">
        <f t="shared" ca="1" si="13"/>
        <v>0</v>
      </c>
      <c r="Z61">
        <f t="shared" ca="1" si="14"/>
        <v>0</v>
      </c>
      <c r="AA61">
        <f t="shared" ca="1" si="15"/>
        <v>0</v>
      </c>
    </row>
    <row r="62" spans="1:27" x14ac:dyDescent="0.25">
      <c r="A62">
        <f t="shared" ca="1" si="8"/>
        <v>0</v>
      </c>
      <c r="B62" t="str">
        <f t="shared" ca="1" si="9"/>
        <v/>
      </c>
      <c r="C62" t="str">
        <f t="shared" si="10"/>
        <v>GMI</v>
      </c>
      <c r="D62" t="s">
        <v>253</v>
      </c>
      <c r="E62" t="s">
        <v>253</v>
      </c>
      <c r="F62" s="3" t="s">
        <v>2548</v>
      </c>
      <c r="G62" s="11" t="s">
        <v>409</v>
      </c>
      <c r="H62" s="11" t="s">
        <v>62</v>
      </c>
      <c r="I62" s="3" t="s">
        <v>253</v>
      </c>
      <c r="J62" s="3" t="s">
        <v>253</v>
      </c>
      <c r="K62" s="3" t="s">
        <v>253</v>
      </c>
      <c r="L62" s="3" t="s">
        <v>253</v>
      </c>
      <c r="M62">
        <f>IF(LEN(H62),MATCH(H62,'MPIO_SFIO Table'!$A$11:$A$65525,0)-1,"")</f>
        <v>57</v>
      </c>
      <c r="N62" t="str">
        <f>IF(LEN(I62),MATCH(I62,'MPIO_SFIO Table'!$A$11:$A$65525,0)-1,"")</f>
        <v/>
      </c>
      <c r="O62" t="str">
        <f>IF(LEN(J62),MATCH(J62,'MPIO_SFIO Table'!$A$11:$A$65525,0)-1,"")</f>
        <v/>
      </c>
      <c r="P62" t="str">
        <f>IF(LEN(K62),MATCH(K62,'MPIO_SFIO Table'!$A$11:$A$65525,0)-1,"")</f>
        <v/>
      </c>
      <c r="Q62" t="str">
        <f>IF(LEN(L62),MATCH(L62,'MPIO_SFIO Table'!$A$11:$A$65525,0)-1,"")</f>
        <v/>
      </c>
      <c r="R62" t="str">
        <f ca="1">IF(ISNUMBER(M62),OFFSET('MPIO_SFIO Table'!$AJ$11,M62,0),"")</f>
        <v>unused_GMI_A17</v>
      </c>
      <c r="S62" t="str">
        <f ca="1">IF(ISNUMBER(N62),OFFSET('MPIO_SFIO Table'!$AJ$11,N62,0),"")</f>
        <v/>
      </c>
      <c r="T62" t="str">
        <f ca="1">IF(ISNUMBER(O62),OFFSET('MPIO_SFIO Table'!$AJ$11,O62,0),"")</f>
        <v/>
      </c>
      <c r="U62" t="str">
        <f ca="1">IF(ISNUMBER(P62),OFFSET('MPIO_SFIO Table'!$AJ$11,P62,0),"")</f>
        <v/>
      </c>
      <c r="V62" t="str">
        <f ca="1">IF(ISNUMBER(Q62),OFFSET('MPIO_SFIO Table'!$AJ$11,Q62,0),"")</f>
        <v/>
      </c>
      <c r="W62">
        <f t="shared" ca="1" si="11"/>
        <v>0</v>
      </c>
      <c r="X62">
        <f t="shared" ca="1" si="12"/>
        <v>0</v>
      </c>
      <c r="Y62">
        <f t="shared" ca="1" si="13"/>
        <v>0</v>
      </c>
      <c r="Z62">
        <f t="shared" ca="1" si="14"/>
        <v>0</v>
      </c>
      <c r="AA62">
        <f t="shared" ca="1" si="15"/>
        <v>0</v>
      </c>
    </row>
    <row r="63" spans="1:27" x14ac:dyDescent="0.25">
      <c r="A63">
        <f t="shared" ca="1" si="8"/>
        <v>0</v>
      </c>
      <c r="B63" t="str">
        <f t="shared" ca="1" si="9"/>
        <v/>
      </c>
      <c r="C63" t="str">
        <f t="shared" si="10"/>
        <v>GMI</v>
      </c>
      <c r="D63" t="s">
        <v>253</v>
      </c>
      <c r="E63" t="s">
        <v>253</v>
      </c>
      <c r="F63" s="3" t="s">
        <v>2304</v>
      </c>
      <c r="G63" s="11" t="s">
        <v>412</v>
      </c>
      <c r="H63" s="11" t="s">
        <v>63</v>
      </c>
      <c r="I63" s="3" t="s">
        <v>253</v>
      </c>
      <c r="J63" s="3" t="s">
        <v>253</v>
      </c>
      <c r="K63" s="3" t="s">
        <v>253</v>
      </c>
      <c r="L63" s="3" t="s">
        <v>253</v>
      </c>
      <c r="M63">
        <f>IF(LEN(H63),MATCH(H63,'MPIO_SFIO Table'!$A$11:$A$65525,0)-1,"")</f>
        <v>58</v>
      </c>
      <c r="N63" t="str">
        <f>IF(LEN(I63),MATCH(I63,'MPIO_SFIO Table'!$A$11:$A$65525,0)-1,"")</f>
        <v/>
      </c>
      <c r="O63" t="str">
        <f>IF(LEN(J63),MATCH(J63,'MPIO_SFIO Table'!$A$11:$A$65525,0)-1,"")</f>
        <v/>
      </c>
      <c r="P63" t="str">
        <f>IF(LEN(K63),MATCH(K63,'MPIO_SFIO Table'!$A$11:$A$65525,0)-1,"")</f>
        <v/>
      </c>
      <c r="Q63" t="str">
        <f>IF(LEN(L63),MATCH(L63,'MPIO_SFIO Table'!$A$11:$A$65525,0)-1,"")</f>
        <v/>
      </c>
      <c r="R63" t="str">
        <f ca="1">IF(ISNUMBER(M63),OFFSET('MPIO_SFIO Table'!$AJ$11,M63,0),"")</f>
        <v>unused_GMI_A18</v>
      </c>
      <c r="S63" t="str">
        <f ca="1">IF(ISNUMBER(N63),OFFSET('MPIO_SFIO Table'!$AJ$11,N63,0),"")</f>
        <v/>
      </c>
      <c r="T63" t="str">
        <f ca="1">IF(ISNUMBER(O63),OFFSET('MPIO_SFIO Table'!$AJ$11,O63,0),"")</f>
        <v/>
      </c>
      <c r="U63" t="str">
        <f ca="1">IF(ISNUMBER(P63),OFFSET('MPIO_SFIO Table'!$AJ$11,P63,0),"")</f>
        <v/>
      </c>
      <c r="V63" t="str">
        <f ca="1">IF(ISNUMBER(Q63),OFFSET('MPIO_SFIO Table'!$AJ$11,Q63,0),"")</f>
        <v/>
      </c>
      <c r="W63">
        <f t="shared" ca="1" si="11"/>
        <v>0</v>
      </c>
      <c r="X63">
        <f t="shared" ca="1" si="12"/>
        <v>0</v>
      </c>
      <c r="Y63">
        <f t="shared" ca="1" si="13"/>
        <v>0</v>
      </c>
      <c r="Z63">
        <f t="shared" ca="1" si="14"/>
        <v>0</v>
      </c>
      <c r="AA63">
        <f t="shared" ca="1" si="15"/>
        <v>0</v>
      </c>
    </row>
    <row r="64" spans="1:27" x14ac:dyDescent="0.25">
      <c r="A64">
        <f t="shared" ca="1" si="8"/>
        <v>0</v>
      </c>
      <c r="B64" t="str">
        <f t="shared" ca="1" si="9"/>
        <v/>
      </c>
      <c r="C64" t="str">
        <f t="shared" si="10"/>
        <v>GMI</v>
      </c>
      <c r="D64" t="s">
        <v>253</v>
      </c>
      <c r="E64" t="s">
        <v>253</v>
      </c>
      <c r="F64" s="3" t="s">
        <v>1549</v>
      </c>
      <c r="G64" s="11" t="s">
        <v>414</v>
      </c>
      <c r="H64" s="11" t="s">
        <v>64</v>
      </c>
      <c r="I64" s="3" t="s">
        <v>253</v>
      </c>
      <c r="J64" s="3" t="s">
        <v>253</v>
      </c>
      <c r="K64" s="3" t="s">
        <v>253</v>
      </c>
      <c r="L64" s="3" t="s">
        <v>253</v>
      </c>
      <c r="M64">
        <f>IF(LEN(H64),MATCH(H64,'MPIO_SFIO Table'!$A$11:$A$65525,0)-1,"")</f>
        <v>59</v>
      </c>
      <c r="N64" t="str">
        <f>IF(LEN(I64),MATCH(I64,'MPIO_SFIO Table'!$A$11:$A$65525,0)-1,"")</f>
        <v/>
      </c>
      <c r="O64" t="str">
        <f>IF(LEN(J64),MATCH(J64,'MPIO_SFIO Table'!$A$11:$A$65525,0)-1,"")</f>
        <v/>
      </c>
      <c r="P64" t="str">
        <f>IF(LEN(K64),MATCH(K64,'MPIO_SFIO Table'!$A$11:$A$65525,0)-1,"")</f>
        <v/>
      </c>
      <c r="Q64" t="str">
        <f>IF(LEN(L64),MATCH(L64,'MPIO_SFIO Table'!$A$11:$A$65525,0)-1,"")</f>
        <v/>
      </c>
      <c r="R64" t="str">
        <f ca="1">IF(ISNUMBER(M64),OFFSET('MPIO_SFIO Table'!$AJ$11,M64,0),"")</f>
        <v>unused_GMI_A19</v>
      </c>
      <c r="S64" t="str">
        <f ca="1">IF(ISNUMBER(N64),OFFSET('MPIO_SFIO Table'!$AJ$11,N64,0),"")</f>
        <v/>
      </c>
      <c r="T64" t="str">
        <f ca="1">IF(ISNUMBER(O64),OFFSET('MPIO_SFIO Table'!$AJ$11,O64,0),"")</f>
        <v/>
      </c>
      <c r="U64" t="str">
        <f ca="1">IF(ISNUMBER(P64),OFFSET('MPIO_SFIO Table'!$AJ$11,P64,0),"")</f>
        <v/>
      </c>
      <c r="V64" t="str">
        <f ca="1">IF(ISNUMBER(Q64),OFFSET('MPIO_SFIO Table'!$AJ$11,Q64,0),"")</f>
        <v/>
      </c>
      <c r="W64">
        <f t="shared" ca="1" si="11"/>
        <v>0</v>
      </c>
      <c r="X64">
        <f t="shared" ca="1" si="12"/>
        <v>0</v>
      </c>
      <c r="Y64">
        <f t="shared" ca="1" si="13"/>
        <v>0</v>
      </c>
      <c r="Z64">
        <f t="shared" ca="1" si="14"/>
        <v>0</v>
      </c>
      <c r="AA64">
        <f t="shared" ca="1" si="15"/>
        <v>0</v>
      </c>
    </row>
    <row r="65" spans="1:27" x14ac:dyDescent="0.25">
      <c r="A65">
        <f t="shared" ca="1" si="8"/>
        <v>0</v>
      </c>
      <c r="B65" t="str">
        <f t="shared" ca="1" si="9"/>
        <v/>
      </c>
      <c r="C65" t="str">
        <f t="shared" si="10"/>
        <v>GMI</v>
      </c>
      <c r="D65" t="s">
        <v>253</v>
      </c>
      <c r="E65" t="s">
        <v>253</v>
      </c>
      <c r="F65" s="3" t="s">
        <v>2549</v>
      </c>
      <c r="G65" s="11" t="s">
        <v>619</v>
      </c>
      <c r="H65" s="11" t="s">
        <v>174</v>
      </c>
      <c r="I65" s="3" t="s">
        <v>253</v>
      </c>
      <c r="J65" s="3" t="s">
        <v>253</v>
      </c>
      <c r="K65" s="3" t="s">
        <v>253</v>
      </c>
      <c r="L65" s="3" t="s">
        <v>253</v>
      </c>
      <c r="M65">
        <f>IF(LEN(H65),MATCH(H65,'MPIO_SFIO Table'!$A$11:$A$65525,0)-1,"")</f>
        <v>178</v>
      </c>
      <c r="N65" t="str">
        <f>IF(LEN(I65),MATCH(I65,'MPIO_SFIO Table'!$A$11:$A$65525,0)-1,"")</f>
        <v/>
      </c>
      <c r="O65" t="str">
        <f>IF(LEN(J65),MATCH(J65,'MPIO_SFIO Table'!$A$11:$A$65525,0)-1,"")</f>
        <v/>
      </c>
      <c r="P65" t="str">
        <f>IF(LEN(K65),MATCH(K65,'MPIO_SFIO Table'!$A$11:$A$65525,0)-1,"")</f>
        <v/>
      </c>
      <c r="Q65" t="str">
        <f>IF(LEN(L65),MATCH(L65,'MPIO_SFIO Table'!$A$11:$A$65525,0)-1,"")</f>
        <v/>
      </c>
      <c r="R65" t="str">
        <f ca="1">IF(ISNUMBER(M65),OFFSET('MPIO_SFIO Table'!$AJ$11,M65,0),"")</f>
        <v>unused_SDMMC4_DAT0</v>
      </c>
      <c r="S65" t="str">
        <f ca="1">IF(ISNUMBER(N65),OFFSET('MPIO_SFIO Table'!$AJ$11,N65,0),"")</f>
        <v/>
      </c>
      <c r="T65" t="str">
        <f ca="1">IF(ISNUMBER(O65),OFFSET('MPIO_SFIO Table'!$AJ$11,O65,0),"")</f>
        <v/>
      </c>
      <c r="U65" t="str">
        <f ca="1">IF(ISNUMBER(P65),OFFSET('MPIO_SFIO Table'!$AJ$11,P65,0),"")</f>
        <v/>
      </c>
      <c r="V65" t="str">
        <f ca="1">IF(ISNUMBER(Q65),OFFSET('MPIO_SFIO Table'!$AJ$11,Q65,0),"")</f>
        <v/>
      </c>
      <c r="W65">
        <f t="shared" ca="1" si="11"/>
        <v>0</v>
      </c>
      <c r="X65">
        <f t="shared" ca="1" si="12"/>
        <v>0</v>
      </c>
      <c r="Y65">
        <f t="shared" ca="1" si="13"/>
        <v>0</v>
      </c>
      <c r="Z65">
        <f t="shared" ca="1" si="14"/>
        <v>0</v>
      </c>
      <c r="AA65">
        <f t="shared" ca="1" si="15"/>
        <v>0</v>
      </c>
    </row>
    <row r="66" spans="1:27" x14ac:dyDescent="0.25">
      <c r="A66">
        <f t="shared" ca="1" si="8"/>
        <v>0</v>
      </c>
      <c r="B66" t="str">
        <f t="shared" ca="1" si="9"/>
        <v/>
      </c>
      <c r="C66" t="str">
        <f t="shared" si="10"/>
        <v>GMI</v>
      </c>
      <c r="D66" t="s">
        <v>253</v>
      </c>
      <c r="E66" t="s">
        <v>253</v>
      </c>
      <c r="F66" s="3" t="s">
        <v>2305</v>
      </c>
      <c r="G66" s="11" t="s">
        <v>623</v>
      </c>
      <c r="H66" s="11" t="s">
        <v>175</v>
      </c>
      <c r="I66" s="3" t="s">
        <v>253</v>
      </c>
      <c r="J66" s="3" t="s">
        <v>253</v>
      </c>
      <c r="K66" s="3" t="s">
        <v>253</v>
      </c>
      <c r="L66" s="3" t="s">
        <v>253</v>
      </c>
      <c r="M66">
        <f>IF(LEN(H66),MATCH(H66,'MPIO_SFIO Table'!$A$11:$A$65525,0)-1,"")</f>
        <v>179</v>
      </c>
      <c r="N66" t="str">
        <f>IF(LEN(I66),MATCH(I66,'MPIO_SFIO Table'!$A$11:$A$65525,0)-1,"")</f>
        <v/>
      </c>
      <c r="O66" t="str">
        <f>IF(LEN(J66),MATCH(J66,'MPIO_SFIO Table'!$A$11:$A$65525,0)-1,"")</f>
        <v/>
      </c>
      <c r="P66" t="str">
        <f>IF(LEN(K66),MATCH(K66,'MPIO_SFIO Table'!$A$11:$A$65525,0)-1,"")</f>
        <v/>
      </c>
      <c r="Q66" t="str">
        <f>IF(LEN(L66),MATCH(L66,'MPIO_SFIO Table'!$A$11:$A$65525,0)-1,"")</f>
        <v/>
      </c>
      <c r="R66" t="str">
        <f ca="1">IF(ISNUMBER(M66),OFFSET('MPIO_SFIO Table'!$AJ$11,M66,0),"")</f>
        <v>unused_SDMMC4_DAT1</v>
      </c>
      <c r="S66" t="str">
        <f ca="1">IF(ISNUMBER(N66),OFFSET('MPIO_SFIO Table'!$AJ$11,N66,0),"")</f>
        <v/>
      </c>
      <c r="T66" t="str">
        <f ca="1">IF(ISNUMBER(O66),OFFSET('MPIO_SFIO Table'!$AJ$11,O66,0),"")</f>
        <v/>
      </c>
      <c r="U66" t="str">
        <f ca="1">IF(ISNUMBER(P66),OFFSET('MPIO_SFIO Table'!$AJ$11,P66,0),"")</f>
        <v/>
      </c>
      <c r="V66" t="str">
        <f ca="1">IF(ISNUMBER(Q66),OFFSET('MPIO_SFIO Table'!$AJ$11,Q66,0),"")</f>
        <v/>
      </c>
      <c r="W66">
        <f t="shared" ca="1" si="11"/>
        <v>0</v>
      </c>
      <c r="X66">
        <f t="shared" ca="1" si="12"/>
        <v>0</v>
      </c>
      <c r="Y66">
        <f t="shared" ca="1" si="13"/>
        <v>0</v>
      </c>
      <c r="Z66">
        <f t="shared" ca="1" si="14"/>
        <v>0</v>
      </c>
      <c r="AA66">
        <f t="shared" ca="1" si="15"/>
        <v>0</v>
      </c>
    </row>
    <row r="67" spans="1:27" x14ac:dyDescent="0.25">
      <c r="A67">
        <f t="shared" ca="1" si="8"/>
        <v>0</v>
      </c>
      <c r="B67" t="str">
        <f t="shared" ca="1" si="9"/>
        <v/>
      </c>
      <c r="C67" t="str">
        <f t="shared" si="10"/>
        <v>GMI</v>
      </c>
      <c r="D67" t="s">
        <v>253</v>
      </c>
      <c r="E67" t="s">
        <v>253</v>
      </c>
      <c r="F67" s="3" t="s">
        <v>2550</v>
      </c>
      <c r="G67" s="11" t="s">
        <v>627</v>
      </c>
      <c r="H67" s="11" t="s">
        <v>176</v>
      </c>
      <c r="I67" s="3" t="s">
        <v>253</v>
      </c>
      <c r="J67" s="3" t="s">
        <v>253</v>
      </c>
      <c r="K67" s="3" t="s">
        <v>253</v>
      </c>
      <c r="L67" s="3" t="s">
        <v>253</v>
      </c>
      <c r="M67">
        <f>IF(LEN(H67),MATCH(H67,'MPIO_SFIO Table'!$A$11:$A$65525,0)-1,"")</f>
        <v>180</v>
      </c>
      <c r="N67" t="str">
        <f>IF(LEN(I67),MATCH(I67,'MPIO_SFIO Table'!$A$11:$A$65525,0)-1,"")</f>
        <v/>
      </c>
      <c r="O67" t="str">
        <f>IF(LEN(J67),MATCH(J67,'MPIO_SFIO Table'!$A$11:$A$65525,0)-1,"")</f>
        <v/>
      </c>
      <c r="P67" t="str">
        <f>IF(LEN(K67),MATCH(K67,'MPIO_SFIO Table'!$A$11:$A$65525,0)-1,"")</f>
        <v/>
      </c>
      <c r="Q67" t="str">
        <f>IF(LEN(L67),MATCH(L67,'MPIO_SFIO Table'!$A$11:$A$65525,0)-1,"")</f>
        <v/>
      </c>
      <c r="R67" t="str">
        <f ca="1">IF(ISNUMBER(M67),OFFSET('MPIO_SFIO Table'!$AJ$11,M67,0),"")</f>
        <v>unused_SDMMC4_DAT2</v>
      </c>
      <c r="S67" t="str">
        <f ca="1">IF(ISNUMBER(N67),OFFSET('MPIO_SFIO Table'!$AJ$11,N67,0),"")</f>
        <v/>
      </c>
      <c r="T67" t="str">
        <f ca="1">IF(ISNUMBER(O67),OFFSET('MPIO_SFIO Table'!$AJ$11,O67,0),"")</f>
        <v/>
      </c>
      <c r="U67" t="str">
        <f ca="1">IF(ISNUMBER(P67),OFFSET('MPIO_SFIO Table'!$AJ$11,P67,0),"")</f>
        <v/>
      </c>
      <c r="V67" t="str">
        <f ca="1">IF(ISNUMBER(Q67),OFFSET('MPIO_SFIO Table'!$AJ$11,Q67,0),"")</f>
        <v/>
      </c>
      <c r="W67">
        <f t="shared" ca="1" si="11"/>
        <v>0</v>
      </c>
      <c r="X67">
        <f t="shared" ca="1" si="12"/>
        <v>0</v>
      </c>
      <c r="Y67">
        <f t="shared" ca="1" si="13"/>
        <v>0</v>
      </c>
      <c r="Z67">
        <f t="shared" ca="1" si="14"/>
        <v>0</v>
      </c>
      <c r="AA67">
        <f t="shared" ca="1" si="15"/>
        <v>0</v>
      </c>
    </row>
    <row r="68" spans="1:27" x14ac:dyDescent="0.25">
      <c r="A68">
        <f t="shared" ca="1" si="8"/>
        <v>0</v>
      </c>
      <c r="B68" t="str">
        <f t="shared" ca="1" si="9"/>
        <v/>
      </c>
      <c r="C68" t="str">
        <f t="shared" si="10"/>
        <v>GMI</v>
      </c>
      <c r="D68" t="s">
        <v>253</v>
      </c>
      <c r="E68" t="s">
        <v>253</v>
      </c>
      <c r="F68" s="3" t="s">
        <v>2551</v>
      </c>
      <c r="G68" s="11" t="s">
        <v>630</v>
      </c>
      <c r="H68" s="11" t="s">
        <v>177</v>
      </c>
      <c r="I68" s="3" t="s">
        <v>253</v>
      </c>
      <c r="J68" s="3" t="s">
        <v>253</v>
      </c>
      <c r="K68" s="3" t="s">
        <v>253</v>
      </c>
      <c r="L68" s="3" t="s">
        <v>253</v>
      </c>
      <c r="M68">
        <f>IF(LEN(H68),MATCH(H68,'MPIO_SFIO Table'!$A$11:$A$65525,0)-1,"")</f>
        <v>181</v>
      </c>
      <c r="N68" t="str">
        <f>IF(LEN(I68),MATCH(I68,'MPIO_SFIO Table'!$A$11:$A$65525,0)-1,"")</f>
        <v/>
      </c>
      <c r="O68" t="str">
        <f>IF(LEN(J68),MATCH(J68,'MPIO_SFIO Table'!$A$11:$A$65525,0)-1,"")</f>
        <v/>
      </c>
      <c r="P68" t="str">
        <f>IF(LEN(K68),MATCH(K68,'MPIO_SFIO Table'!$A$11:$A$65525,0)-1,"")</f>
        <v/>
      </c>
      <c r="Q68" t="str">
        <f>IF(LEN(L68),MATCH(L68,'MPIO_SFIO Table'!$A$11:$A$65525,0)-1,"")</f>
        <v/>
      </c>
      <c r="R68" t="str">
        <f ca="1">IF(ISNUMBER(M68),OFFSET('MPIO_SFIO Table'!$AJ$11,M68,0),"")</f>
        <v>unused_SDMMC4_DAT3</v>
      </c>
      <c r="S68" t="str">
        <f ca="1">IF(ISNUMBER(N68),OFFSET('MPIO_SFIO Table'!$AJ$11,N68,0),"")</f>
        <v/>
      </c>
      <c r="T68" t="str">
        <f ca="1">IF(ISNUMBER(O68),OFFSET('MPIO_SFIO Table'!$AJ$11,O68,0),"")</f>
        <v/>
      </c>
      <c r="U68" t="str">
        <f ca="1">IF(ISNUMBER(P68),OFFSET('MPIO_SFIO Table'!$AJ$11,P68,0),"")</f>
        <v/>
      </c>
      <c r="V68" t="str">
        <f ca="1">IF(ISNUMBER(Q68),OFFSET('MPIO_SFIO Table'!$AJ$11,Q68,0),"")</f>
        <v/>
      </c>
      <c r="W68">
        <f t="shared" ca="1" si="11"/>
        <v>0</v>
      </c>
      <c r="X68">
        <f t="shared" ca="1" si="12"/>
        <v>0</v>
      </c>
      <c r="Y68">
        <f t="shared" ca="1" si="13"/>
        <v>0</v>
      </c>
      <c r="Z68">
        <f t="shared" ca="1" si="14"/>
        <v>0</v>
      </c>
      <c r="AA68">
        <f t="shared" ca="1" si="15"/>
        <v>0</v>
      </c>
    </row>
    <row r="69" spans="1:27" x14ac:dyDescent="0.25">
      <c r="A69">
        <f t="shared" ca="1" si="8"/>
        <v>0</v>
      </c>
      <c r="B69" t="str">
        <f t="shared" ca="1" si="9"/>
        <v/>
      </c>
      <c r="C69" t="str">
        <f t="shared" si="10"/>
        <v>GMI</v>
      </c>
      <c r="D69" t="s">
        <v>253</v>
      </c>
      <c r="E69" t="s">
        <v>253</v>
      </c>
      <c r="F69" s="3" t="s">
        <v>1501</v>
      </c>
      <c r="G69" s="11" t="s">
        <v>633</v>
      </c>
      <c r="H69" s="11" t="s">
        <v>178</v>
      </c>
      <c r="I69" s="3" t="s">
        <v>253</v>
      </c>
      <c r="J69" s="3" t="s">
        <v>253</v>
      </c>
      <c r="K69" s="3" t="s">
        <v>253</v>
      </c>
      <c r="L69" s="3" t="s">
        <v>253</v>
      </c>
      <c r="M69">
        <f>IF(LEN(H69),MATCH(H69,'MPIO_SFIO Table'!$A$11:$A$65525,0)-1,"")</f>
        <v>182</v>
      </c>
      <c r="N69" t="str">
        <f>IF(LEN(I69),MATCH(I69,'MPIO_SFIO Table'!$A$11:$A$65525,0)-1,"")</f>
        <v/>
      </c>
      <c r="O69" t="str">
        <f>IF(LEN(J69),MATCH(J69,'MPIO_SFIO Table'!$A$11:$A$65525,0)-1,"")</f>
        <v/>
      </c>
      <c r="P69" t="str">
        <f>IF(LEN(K69),MATCH(K69,'MPIO_SFIO Table'!$A$11:$A$65525,0)-1,"")</f>
        <v/>
      </c>
      <c r="Q69" t="str">
        <f>IF(LEN(L69),MATCH(L69,'MPIO_SFIO Table'!$A$11:$A$65525,0)-1,"")</f>
        <v/>
      </c>
      <c r="R69" t="str">
        <f ca="1">IF(ISNUMBER(M69),OFFSET('MPIO_SFIO Table'!$AJ$11,M69,0),"")</f>
        <v>unused_SDMMC4_DAT4</v>
      </c>
      <c r="S69" t="str">
        <f ca="1">IF(ISNUMBER(N69),OFFSET('MPIO_SFIO Table'!$AJ$11,N69,0),"")</f>
        <v/>
      </c>
      <c r="T69" t="str">
        <f ca="1">IF(ISNUMBER(O69),OFFSET('MPIO_SFIO Table'!$AJ$11,O69,0),"")</f>
        <v/>
      </c>
      <c r="U69" t="str">
        <f ca="1">IF(ISNUMBER(P69),OFFSET('MPIO_SFIO Table'!$AJ$11,P69,0),"")</f>
        <v/>
      </c>
      <c r="V69" t="str">
        <f ca="1">IF(ISNUMBER(Q69),OFFSET('MPIO_SFIO Table'!$AJ$11,Q69,0),"")</f>
        <v/>
      </c>
      <c r="W69">
        <f t="shared" ca="1" si="11"/>
        <v>0</v>
      </c>
      <c r="X69">
        <f t="shared" ca="1" si="12"/>
        <v>0</v>
      </c>
      <c r="Y69">
        <f t="shared" ca="1" si="13"/>
        <v>0</v>
      </c>
      <c r="Z69">
        <f t="shared" ca="1" si="14"/>
        <v>0</v>
      </c>
      <c r="AA69">
        <f t="shared" ca="1" si="15"/>
        <v>0</v>
      </c>
    </row>
    <row r="70" spans="1:27" x14ac:dyDescent="0.25">
      <c r="A70">
        <f t="shared" ca="1" si="8"/>
        <v>0</v>
      </c>
      <c r="B70" t="str">
        <f t="shared" ca="1" si="9"/>
        <v/>
      </c>
      <c r="C70" t="str">
        <f t="shared" si="10"/>
        <v>GMI</v>
      </c>
      <c r="D70" t="s">
        <v>253</v>
      </c>
      <c r="E70" t="s">
        <v>253</v>
      </c>
      <c r="F70" s="3" t="s">
        <v>1490</v>
      </c>
      <c r="G70" s="11" t="s">
        <v>638</v>
      </c>
      <c r="H70" s="11" t="s">
        <v>179</v>
      </c>
      <c r="I70" s="3" t="s">
        <v>253</v>
      </c>
      <c r="J70" s="3" t="s">
        <v>253</v>
      </c>
      <c r="K70" s="3" t="s">
        <v>253</v>
      </c>
      <c r="L70" s="3" t="s">
        <v>253</v>
      </c>
      <c r="M70">
        <f>IF(LEN(H70),MATCH(H70,'MPIO_SFIO Table'!$A$11:$A$65525,0)-1,"")</f>
        <v>183</v>
      </c>
      <c r="N70" t="str">
        <f>IF(LEN(I70),MATCH(I70,'MPIO_SFIO Table'!$A$11:$A$65525,0)-1,"")</f>
        <v/>
      </c>
      <c r="O70" t="str">
        <f>IF(LEN(J70),MATCH(J70,'MPIO_SFIO Table'!$A$11:$A$65525,0)-1,"")</f>
        <v/>
      </c>
      <c r="P70" t="str">
        <f>IF(LEN(K70),MATCH(K70,'MPIO_SFIO Table'!$A$11:$A$65525,0)-1,"")</f>
        <v/>
      </c>
      <c r="Q70" t="str">
        <f>IF(LEN(L70),MATCH(L70,'MPIO_SFIO Table'!$A$11:$A$65525,0)-1,"")</f>
        <v/>
      </c>
      <c r="R70" t="str">
        <f ca="1">IF(ISNUMBER(M70),OFFSET('MPIO_SFIO Table'!$AJ$11,M70,0),"")</f>
        <v>unused_SDMMC4_DAT5</v>
      </c>
      <c r="S70" t="str">
        <f ca="1">IF(ISNUMBER(N70),OFFSET('MPIO_SFIO Table'!$AJ$11,N70,0),"")</f>
        <v/>
      </c>
      <c r="T70" t="str">
        <f ca="1">IF(ISNUMBER(O70),OFFSET('MPIO_SFIO Table'!$AJ$11,O70,0),"")</f>
        <v/>
      </c>
      <c r="U70" t="str">
        <f ca="1">IF(ISNUMBER(P70),OFFSET('MPIO_SFIO Table'!$AJ$11,P70,0),"")</f>
        <v/>
      </c>
      <c r="V70" t="str">
        <f ca="1">IF(ISNUMBER(Q70),OFFSET('MPIO_SFIO Table'!$AJ$11,Q70,0),"")</f>
        <v/>
      </c>
      <c r="W70">
        <f t="shared" ca="1" si="11"/>
        <v>0</v>
      </c>
      <c r="X70">
        <f t="shared" ca="1" si="12"/>
        <v>0</v>
      </c>
      <c r="Y70">
        <f t="shared" ca="1" si="13"/>
        <v>0</v>
      </c>
      <c r="Z70">
        <f t="shared" ca="1" si="14"/>
        <v>0</v>
      </c>
      <c r="AA70">
        <f t="shared" ca="1" si="15"/>
        <v>0</v>
      </c>
    </row>
    <row r="71" spans="1:27" x14ac:dyDescent="0.25">
      <c r="A71">
        <f t="shared" ca="1" si="8"/>
        <v>0</v>
      </c>
      <c r="B71" t="str">
        <f t="shared" ca="1" si="9"/>
        <v/>
      </c>
      <c r="C71" t="str">
        <f t="shared" si="10"/>
        <v>GMI</v>
      </c>
      <c r="D71" t="s">
        <v>253</v>
      </c>
      <c r="E71" t="s">
        <v>253</v>
      </c>
      <c r="F71" s="3" t="s">
        <v>1500</v>
      </c>
      <c r="G71" s="11" t="s">
        <v>642</v>
      </c>
      <c r="H71" s="11" t="s">
        <v>180</v>
      </c>
      <c r="I71" s="3" t="s">
        <v>253</v>
      </c>
      <c r="J71" s="3" t="s">
        <v>253</v>
      </c>
      <c r="K71" s="3" t="s">
        <v>253</v>
      </c>
      <c r="L71" s="3" t="s">
        <v>253</v>
      </c>
      <c r="M71">
        <f>IF(LEN(H71),MATCH(H71,'MPIO_SFIO Table'!$A$11:$A$65525,0)-1,"")</f>
        <v>184</v>
      </c>
      <c r="N71" t="str">
        <f>IF(LEN(I71),MATCH(I71,'MPIO_SFIO Table'!$A$11:$A$65525,0)-1,"")</f>
        <v/>
      </c>
      <c r="O71" t="str">
        <f>IF(LEN(J71),MATCH(J71,'MPIO_SFIO Table'!$A$11:$A$65525,0)-1,"")</f>
        <v/>
      </c>
      <c r="P71" t="str">
        <f>IF(LEN(K71),MATCH(K71,'MPIO_SFIO Table'!$A$11:$A$65525,0)-1,"")</f>
        <v/>
      </c>
      <c r="Q71" t="str">
        <f>IF(LEN(L71),MATCH(L71,'MPIO_SFIO Table'!$A$11:$A$65525,0)-1,"")</f>
        <v/>
      </c>
      <c r="R71" t="str">
        <f ca="1">IF(ISNUMBER(M71),OFFSET('MPIO_SFIO Table'!$AJ$11,M71,0),"")</f>
        <v>unused_SDMMC4_DAT6</v>
      </c>
      <c r="S71" t="str">
        <f ca="1">IF(ISNUMBER(N71),OFFSET('MPIO_SFIO Table'!$AJ$11,N71,0),"")</f>
        <v/>
      </c>
      <c r="T71" t="str">
        <f ca="1">IF(ISNUMBER(O71),OFFSET('MPIO_SFIO Table'!$AJ$11,O71,0),"")</f>
        <v/>
      </c>
      <c r="U71" t="str">
        <f ca="1">IF(ISNUMBER(P71),OFFSET('MPIO_SFIO Table'!$AJ$11,P71,0),"")</f>
        <v/>
      </c>
      <c r="V71" t="str">
        <f ca="1">IF(ISNUMBER(Q71),OFFSET('MPIO_SFIO Table'!$AJ$11,Q71,0),"")</f>
        <v/>
      </c>
      <c r="W71">
        <f t="shared" ca="1" si="11"/>
        <v>0</v>
      </c>
      <c r="X71">
        <f t="shared" ca="1" si="12"/>
        <v>0</v>
      </c>
      <c r="Y71">
        <f t="shared" ca="1" si="13"/>
        <v>0</v>
      </c>
      <c r="Z71">
        <f t="shared" ca="1" si="14"/>
        <v>0</v>
      </c>
      <c r="AA71">
        <f t="shared" ca="1" si="15"/>
        <v>0</v>
      </c>
    </row>
    <row r="72" spans="1:27" x14ac:dyDescent="0.25">
      <c r="A72">
        <f t="shared" ref="A72:A135" ca="1" si="16">SUM($W72:$AA72)</f>
        <v>0</v>
      </c>
      <c r="B72" t="str">
        <f t="shared" ref="B72:B135" ca="1" si="17">IF(A72&lt;&gt;0,REPLACE(G72,FIND("-",G72),LEN(G72),""),"")</f>
        <v/>
      </c>
      <c r="C72" t="str">
        <f t="shared" si="10"/>
        <v>GMI</v>
      </c>
      <c r="D72" t="s">
        <v>253</v>
      </c>
      <c r="E72" t="s">
        <v>253</v>
      </c>
      <c r="F72" s="3" t="s">
        <v>1985</v>
      </c>
      <c r="G72" s="11" t="s">
        <v>646</v>
      </c>
      <c r="H72" s="11" t="s">
        <v>181</v>
      </c>
      <c r="I72" s="3" t="s">
        <v>253</v>
      </c>
      <c r="J72" s="3" t="s">
        <v>253</v>
      </c>
      <c r="K72" s="3" t="s">
        <v>253</v>
      </c>
      <c r="L72" s="3" t="s">
        <v>253</v>
      </c>
      <c r="M72">
        <f>IF(LEN(H72),MATCH(H72,'MPIO_SFIO Table'!$A$11:$A$65525,0)-1,"")</f>
        <v>185</v>
      </c>
      <c r="N72" t="str">
        <f>IF(LEN(I72),MATCH(I72,'MPIO_SFIO Table'!$A$11:$A$65525,0)-1,"")</f>
        <v/>
      </c>
      <c r="O72" t="str">
        <f>IF(LEN(J72),MATCH(J72,'MPIO_SFIO Table'!$A$11:$A$65525,0)-1,"")</f>
        <v/>
      </c>
      <c r="P72" t="str">
        <f>IF(LEN(K72),MATCH(K72,'MPIO_SFIO Table'!$A$11:$A$65525,0)-1,"")</f>
        <v/>
      </c>
      <c r="Q72" t="str">
        <f>IF(LEN(L72),MATCH(L72,'MPIO_SFIO Table'!$A$11:$A$65525,0)-1,"")</f>
        <v/>
      </c>
      <c r="R72" t="str">
        <f ca="1">IF(ISNUMBER(M72),OFFSET('MPIO_SFIO Table'!$AJ$11,M72,0),"")</f>
        <v>unused_SDMMC4_DAT7</v>
      </c>
      <c r="S72" t="str">
        <f ca="1">IF(ISNUMBER(N72),OFFSET('MPIO_SFIO Table'!$AJ$11,N72,0),"")</f>
        <v/>
      </c>
      <c r="T72" t="str">
        <f ca="1">IF(ISNUMBER(O72),OFFSET('MPIO_SFIO Table'!$AJ$11,O72,0),"")</f>
        <v/>
      </c>
      <c r="U72" t="str">
        <f ca="1">IF(ISNUMBER(P72),OFFSET('MPIO_SFIO Table'!$AJ$11,P72,0),"")</f>
        <v/>
      </c>
      <c r="V72" t="str">
        <f ca="1">IF(ISNUMBER(Q72),OFFSET('MPIO_SFIO Table'!$AJ$11,Q72,0),"")</f>
        <v/>
      </c>
      <c r="W72">
        <f t="shared" ca="1" si="11"/>
        <v>0</v>
      </c>
      <c r="X72">
        <f t="shared" ca="1" si="12"/>
        <v>0</v>
      </c>
      <c r="Y72">
        <f t="shared" ca="1" si="13"/>
        <v>0</v>
      </c>
      <c r="Z72">
        <f t="shared" ca="1" si="14"/>
        <v>0</v>
      </c>
      <c r="AA72">
        <f t="shared" ca="1" si="15"/>
        <v>0</v>
      </c>
    </row>
    <row r="73" spans="1:27" x14ac:dyDescent="0.25">
      <c r="A73">
        <f t="shared" ca="1" si="16"/>
        <v>0</v>
      </c>
      <c r="B73" t="str">
        <f t="shared" ca="1" si="17"/>
        <v/>
      </c>
      <c r="C73" t="str">
        <f t="shared" ref="C73:C136" si="18">REPLACE(G73,FIND(".",CONCATENATE(REPLACE(G73,FIND("-",CONCATENATE(G73,"-")),LEN(G73),""),".")),LEN(G73),"")</f>
        <v>GMI</v>
      </c>
      <c r="D73" t="s">
        <v>253</v>
      </c>
      <c r="E73" t="s">
        <v>253</v>
      </c>
      <c r="F73" s="3" t="s">
        <v>2552</v>
      </c>
      <c r="G73" s="11" t="s">
        <v>454</v>
      </c>
      <c r="H73" s="11" t="s">
        <v>81</v>
      </c>
      <c r="I73" s="3" t="s">
        <v>253</v>
      </c>
      <c r="J73" s="3" t="s">
        <v>253</v>
      </c>
      <c r="K73" s="3" t="s">
        <v>253</v>
      </c>
      <c r="L73" s="3" t="s">
        <v>253</v>
      </c>
      <c r="M73">
        <f>IF(LEN(H73),MATCH(H73,'MPIO_SFIO Table'!$A$11:$A$65525,0)-1,"")</f>
        <v>76</v>
      </c>
      <c r="N73" t="str">
        <f>IF(LEN(I73),MATCH(I73,'MPIO_SFIO Table'!$A$11:$A$65525,0)-1,"")</f>
        <v/>
      </c>
      <c r="O73" t="str">
        <f>IF(LEN(J73),MATCH(J73,'MPIO_SFIO Table'!$A$11:$A$65525,0)-1,"")</f>
        <v/>
      </c>
      <c r="P73" t="str">
        <f>IF(LEN(K73),MATCH(K73,'MPIO_SFIO Table'!$A$11:$A$65525,0)-1,"")</f>
        <v/>
      </c>
      <c r="Q73" t="str">
        <f>IF(LEN(L73),MATCH(L73,'MPIO_SFIO Table'!$A$11:$A$65525,0)-1,"")</f>
        <v/>
      </c>
      <c r="R73" t="str">
        <f ca="1">IF(ISNUMBER(M73),OFFSET('MPIO_SFIO Table'!$AJ$11,M73,0),"")</f>
        <v>unused_GMI_ADV_N</v>
      </c>
      <c r="S73" t="str">
        <f ca="1">IF(ISNUMBER(N73),OFFSET('MPIO_SFIO Table'!$AJ$11,N73,0),"")</f>
        <v/>
      </c>
      <c r="T73" t="str">
        <f ca="1">IF(ISNUMBER(O73),OFFSET('MPIO_SFIO Table'!$AJ$11,O73,0),"")</f>
        <v/>
      </c>
      <c r="U73" t="str">
        <f ca="1">IF(ISNUMBER(P73),OFFSET('MPIO_SFIO Table'!$AJ$11,P73,0),"")</f>
        <v/>
      </c>
      <c r="V73" t="str">
        <f ca="1">IF(ISNUMBER(Q73),OFFSET('MPIO_SFIO Table'!$AJ$11,Q73,0),"")</f>
        <v/>
      </c>
      <c r="W73">
        <f t="shared" ref="W73:W136" ca="1" si="19">1*AND(ISTEXT(R73),LEN(R73),R73=$G73)</f>
        <v>0</v>
      </c>
      <c r="X73">
        <f t="shared" ref="X73:X136" ca="1" si="20">1*AND(ISTEXT(S73),LEN(S73),S73=$G73)</f>
        <v>0</v>
      </c>
      <c r="Y73">
        <f t="shared" ref="Y73:Y136" ca="1" si="21">1*AND(ISTEXT(T73),LEN(T73),T73=$G73)</f>
        <v>0</v>
      </c>
      <c r="Z73">
        <f t="shared" ref="Z73:Z136" ca="1" si="22">1*AND(ISTEXT(U73),LEN(U73),U73=$G73)</f>
        <v>0</v>
      </c>
      <c r="AA73">
        <f t="shared" ref="AA73:AA136" ca="1" si="23">1*AND(ISTEXT(V73),LEN(V73),V73=$G73)</f>
        <v>0</v>
      </c>
    </row>
    <row r="74" spans="1:27" x14ac:dyDescent="0.25">
      <c r="A74">
        <f t="shared" ca="1" si="16"/>
        <v>0</v>
      </c>
      <c r="B74" t="str">
        <f t="shared" ca="1" si="17"/>
        <v/>
      </c>
      <c r="C74" t="str">
        <f t="shared" si="18"/>
        <v>GMI</v>
      </c>
      <c r="D74" t="s">
        <v>253</v>
      </c>
      <c r="E74" t="s">
        <v>253</v>
      </c>
      <c r="F74" s="3" t="s">
        <v>2478</v>
      </c>
      <c r="G74" s="11" t="s">
        <v>456</v>
      </c>
      <c r="H74" s="11" t="s">
        <v>82</v>
      </c>
      <c r="I74" s="3" t="s">
        <v>253</v>
      </c>
      <c r="J74" s="3" t="s">
        <v>253</v>
      </c>
      <c r="K74" s="3" t="s">
        <v>253</v>
      </c>
      <c r="L74" s="3" t="s">
        <v>253</v>
      </c>
      <c r="M74">
        <f>IF(LEN(H74),MATCH(H74,'MPIO_SFIO Table'!$A$11:$A$65525,0)-1,"")</f>
        <v>77</v>
      </c>
      <c r="N74" t="str">
        <f>IF(LEN(I74),MATCH(I74,'MPIO_SFIO Table'!$A$11:$A$65525,0)-1,"")</f>
        <v/>
      </c>
      <c r="O74" t="str">
        <f>IF(LEN(J74),MATCH(J74,'MPIO_SFIO Table'!$A$11:$A$65525,0)-1,"")</f>
        <v/>
      </c>
      <c r="P74" t="str">
        <f>IF(LEN(K74),MATCH(K74,'MPIO_SFIO Table'!$A$11:$A$65525,0)-1,"")</f>
        <v/>
      </c>
      <c r="Q74" t="str">
        <f>IF(LEN(L74),MATCH(L74,'MPIO_SFIO Table'!$A$11:$A$65525,0)-1,"")</f>
        <v/>
      </c>
      <c r="R74" t="str">
        <f ca="1">IF(ISNUMBER(M74),OFFSET('MPIO_SFIO Table'!$AJ$11,M74,0),"")</f>
        <v>unused_GMI_CLK</v>
      </c>
      <c r="S74" t="str">
        <f ca="1">IF(ISNUMBER(N74),OFFSET('MPIO_SFIO Table'!$AJ$11,N74,0),"")</f>
        <v/>
      </c>
      <c r="T74" t="str">
        <f ca="1">IF(ISNUMBER(O74),OFFSET('MPIO_SFIO Table'!$AJ$11,O74,0),"")</f>
        <v/>
      </c>
      <c r="U74" t="str">
        <f ca="1">IF(ISNUMBER(P74),OFFSET('MPIO_SFIO Table'!$AJ$11,P74,0),"")</f>
        <v/>
      </c>
      <c r="V74" t="str">
        <f ca="1">IF(ISNUMBER(Q74),OFFSET('MPIO_SFIO Table'!$AJ$11,Q74,0),"")</f>
        <v/>
      </c>
      <c r="W74">
        <f t="shared" ca="1" si="19"/>
        <v>0</v>
      </c>
      <c r="X74">
        <f t="shared" ca="1" si="20"/>
        <v>0</v>
      </c>
      <c r="Y74">
        <f t="shared" ca="1" si="21"/>
        <v>0</v>
      </c>
      <c r="Z74">
        <f t="shared" ca="1" si="22"/>
        <v>0</v>
      </c>
      <c r="AA74">
        <f t="shared" ca="1" si="23"/>
        <v>0</v>
      </c>
    </row>
    <row r="75" spans="1:27" x14ac:dyDescent="0.25">
      <c r="A75">
        <f t="shared" ca="1" si="16"/>
        <v>0</v>
      </c>
      <c r="B75" t="str">
        <f t="shared" ca="1" si="17"/>
        <v/>
      </c>
      <c r="C75" t="str">
        <f t="shared" si="18"/>
        <v>GMI</v>
      </c>
      <c r="D75" t="s">
        <v>253</v>
      </c>
      <c r="E75" t="s">
        <v>253</v>
      </c>
      <c r="F75" s="3" t="s">
        <v>2553</v>
      </c>
      <c r="G75" s="11" t="s">
        <v>2181</v>
      </c>
      <c r="H75" s="11" t="s">
        <v>83</v>
      </c>
      <c r="I75" s="3" t="s">
        <v>253</v>
      </c>
      <c r="J75" s="3" t="s">
        <v>253</v>
      </c>
      <c r="K75" s="3" t="s">
        <v>253</v>
      </c>
      <c r="L75" s="3" t="s">
        <v>253</v>
      </c>
      <c r="M75">
        <f>IF(LEN(H75),MATCH(H75,'MPIO_SFIO Table'!$A$11:$A$65525,0)-1,"")</f>
        <v>78</v>
      </c>
      <c r="N75" t="str">
        <f>IF(LEN(I75),MATCH(I75,'MPIO_SFIO Table'!$A$11:$A$65525,0)-1,"")</f>
        <v/>
      </c>
      <c r="O75" t="str">
        <f>IF(LEN(J75),MATCH(J75,'MPIO_SFIO Table'!$A$11:$A$65525,0)-1,"")</f>
        <v/>
      </c>
      <c r="P75" t="str">
        <f>IF(LEN(K75),MATCH(K75,'MPIO_SFIO Table'!$A$11:$A$65525,0)-1,"")</f>
        <v/>
      </c>
      <c r="Q75" t="str">
        <f>IF(LEN(L75),MATCH(L75,'MPIO_SFIO Table'!$A$11:$A$65525,0)-1,"")</f>
        <v/>
      </c>
      <c r="R75" t="str">
        <f ca="1">IF(ISNUMBER(M75),OFFSET('MPIO_SFIO Table'!$AJ$11,M75,0),"")</f>
        <v>unused_GMI_CS0_N</v>
      </c>
      <c r="S75" t="str">
        <f ca="1">IF(ISNUMBER(N75),OFFSET('MPIO_SFIO Table'!$AJ$11,N75,0),"")</f>
        <v/>
      </c>
      <c r="T75" t="str">
        <f ca="1">IF(ISNUMBER(O75),OFFSET('MPIO_SFIO Table'!$AJ$11,O75,0),"")</f>
        <v/>
      </c>
      <c r="U75" t="str">
        <f ca="1">IF(ISNUMBER(P75),OFFSET('MPIO_SFIO Table'!$AJ$11,P75,0),"")</f>
        <v/>
      </c>
      <c r="V75" t="str">
        <f ca="1">IF(ISNUMBER(Q75),OFFSET('MPIO_SFIO Table'!$AJ$11,Q75,0),"")</f>
        <v/>
      </c>
      <c r="W75">
        <f t="shared" ca="1" si="19"/>
        <v>0</v>
      </c>
      <c r="X75">
        <f t="shared" ca="1" si="20"/>
        <v>0</v>
      </c>
      <c r="Y75">
        <f t="shared" ca="1" si="21"/>
        <v>0</v>
      </c>
      <c r="Z75">
        <f t="shared" ca="1" si="22"/>
        <v>0</v>
      </c>
      <c r="AA75">
        <f t="shared" ca="1" si="23"/>
        <v>0</v>
      </c>
    </row>
    <row r="76" spans="1:27" x14ac:dyDescent="0.25">
      <c r="A76">
        <f t="shared" ca="1" si="16"/>
        <v>0</v>
      </c>
      <c r="B76" t="str">
        <f t="shared" ca="1" si="17"/>
        <v/>
      </c>
      <c r="C76" t="str">
        <f t="shared" si="18"/>
        <v>GMI</v>
      </c>
      <c r="D76" t="s">
        <v>253</v>
      </c>
      <c r="E76" t="s">
        <v>253</v>
      </c>
      <c r="F76" s="3" t="s">
        <v>2554</v>
      </c>
      <c r="G76" s="11" t="s">
        <v>2182</v>
      </c>
      <c r="H76" s="11" t="s">
        <v>84</v>
      </c>
      <c r="I76" s="3" t="s">
        <v>253</v>
      </c>
      <c r="J76" s="3" t="s">
        <v>253</v>
      </c>
      <c r="K76" s="3" t="s">
        <v>253</v>
      </c>
      <c r="L76" s="3" t="s">
        <v>253</v>
      </c>
      <c r="M76">
        <f>IF(LEN(H76),MATCH(H76,'MPIO_SFIO Table'!$A$11:$A$65525,0)-1,"")</f>
        <v>79</v>
      </c>
      <c r="N76" t="str">
        <f>IF(LEN(I76),MATCH(I76,'MPIO_SFIO Table'!$A$11:$A$65525,0)-1,"")</f>
        <v/>
      </c>
      <c r="O76" t="str">
        <f>IF(LEN(J76),MATCH(J76,'MPIO_SFIO Table'!$A$11:$A$65525,0)-1,"")</f>
        <v/>
      </c>
      <c r="P76" t="str">
        <f>IF(LEN(K76),MATCH(K76,'MPIO_SFIO Table'!$A$11:$A$65525,0)-1,"")</f>
        <v/>
      </c>
      <c r="Q76" t="str">
        <f>IF(LEN(L76),MATCH(L76,'MPIO_SFIO Table'!$A$11:$A$65525,0)-1,"")</f>
        <v/>
      </c>
      <c r="R76" t="str">
        <f ca="1">IF(ISNUMBER(M76),OFFSET('MPIO_SFIO Table'!$AJ$11,M76,0),"")</f>
        <v>unused_GMI_CS1_N</v>
      </c>
      <c r="S76" t="str">
        <f ca="1">IF(ISNUMBER(N76),OFFSET('MPIO_SFIO Table'!$AJ$11,N76,0),"")</f>
        <v/>
      </c>
      <c r="T76" t="str">
        <f ca="1">IF(ISNUMBER(O76),OFFSET('MPIO_SFIO Table'!$AJ$11,O76,0),"")</f>
        <v/>
      </c>
      <c r="U76" t="str">
        <f ca="1">IF(ISNUMBER(P76),OFFSET('MPIO_SFIO Table'!$AJ$11,P76,0),"")</f>
        <v/>
      </c>
      <c r="V76" t="str">
        <f ca="1">IF(ISNUMBER(Q76),OFFSET('MPIO_SFIO Table'!$AJ$11,Q76,0),"")</f>
        <v/>
      </c>
      <c r="W76">
        <f t="shared" ca="1" si="19"/>
        <v>0</v>
      </c>
      <c r="X76">
        <f t="shared" ca="1" si="20"/>
        <v>0</v>
      </c>
      <c r="Y76">
        <f t="shared" ca="1" si="21"/>
        <v>0</v>
      </c>
      <c r="Z76">
        <f t="shared" ca="1" si="22"/>
        <v>0</v>
      </c>
      <c r="AA76">
        <f t="shared" ca="1" si="23"/>
        <v>0</v>
      </c>
    </row>
    <row r="77" spans="1:27" x14ac:dyDescent="0.25">
      <c r="A77">
        <f t="shared" ca="1" si="16"/>
        <v>0</v>
      </c>
      <c r="B77" t="str">
        <f t="shared" ca="1" si="17"/>
        <v/>
      </c>
      <c r="C77" t="str">
        <f t="shared" si="18"/>
        <v>GMI</v>
      </c>
      <c r="D77" t="s">
        <v>253</v>
      </c>
      <c r="E77" t="s">
        <v>253</v>
      </c>
      <c r="F77" s="3" t="s">
        <v>2555</v>
      </c>
      <c r="G77" s="11" t="s">
        <v>2183</v>
      </c>
      <c r="H77" s="11" t="s">
        <v>85</v>
      </c>
      <c r="I77" s="3" t="s">
        <v>253</v>
      </c>
      <c r="J77" s="3" t="s">
        <v>253</v>
      </c>
      <c r="K77" s="3" t="s">
        <v>253</v>
      </c>
      <c r="L77" s="3" t="s">
        <v>253</v>
      </c>
      <c r="M77">
        <f>IF(LEN(H77),MATCH(H77,'MPIO_SFIO Table'!$A$11:$A$65525,0)-1,"")</f>
        <v>80</v>
      </c>
      <c r="N77" t="str">
        <f>IF(LEN(I77),MATCH(I77,'MPIO_SFIO Table'!$A$11:$A$65525,0)-1,"")</f>
        <v/>
      </c>
      <c r="O77" t="str">
        <f>IF(LEN(J77),MATCH(J77,'MPIO_SFIO Table'!$A$11:$A$65525,0)-1,"")</f>
        <v/>
      </c>
      <c r="P77" t="str">
        <f>IF(LEN(K77),MATCH(K77,'MPIO_SFIO Table'!$A$11:$A$65525,0)-1,"")</f>
        <v/>
      </c>
      <c r="Q77" t="str">
        <f>IF(LEN(L77),MATCH(L77,'MPIO_SFIO Table'!$A$11:$A$65525,0)-1,"")</f>
        <v/>
      </c>
      <c r="R77" t="str">
        <f ca="1">IF(ISNUMBER(M77),OFFSET('MPIO_SFIO Table'!$AJ$11,M77,0),"")</f>
        <v>unused_GMI_CS2_N</v>
      </c>
      <c r="S77" t="str">
        <f ca="1">IF(ISNUMBER(N77),OFFSET('MPIO_SFIO Table'!$AJ$11,N77,0),"")</f>
        <v/>
      </c>
      <c r="T77" t="str">
        <f ca="1">IF(ISNUMBER(O77),OFFSET('MPIO_SFIO Table'!$AJ$11,O77,0),"")</f>
        <v/>
      </c>
      <c r="U77" t="str">
        <f ca="1">IF(ISNUMBER(P77),OFFSET('MPIO_SFIO Table'!$AJ$11,P77,0),"")</f>
        <v/>
      </c>
      <c r="V77" t="str">
        <f ca="1">IF(ISNUMBER(Q77),OFFSET('MPIO_SFIO Table'!$AJ$11,Q77,0),"")</f>
        <v/>
      </c>
      <c r="W77">
        <f t="shared" ca="1" si="19"/>
        <v>0</v>
      </c>
      <c r="X77">
        <f t="shared" ca="1" si="20"/>
        <v>0</v>
      </c>
      <c r="Y77">
        <f t="shared" ca="1" si="21"/>
        <v>0</v>
      </c>
      <c r="Z77">
        <f t="shared" ca="1" si="22"/>
        <v>0</v>
      </c>
      <c r="AA77">
        <f t="shared" ca="1" si="23"/>
        <v>0</v>
      </c>
    </row>
    <row r="78" spans="1:27" x14ac:dyDescent="0.25">
      <c r="A78">
        <f t="shared" ca="1" si="16"/>
        <v>0</v>
      </c>
      <c r="B78" t="str">
        <f t="shared" ca="1" si="17"/>
        <v/>
      </c>
      <c r="C78" t="str">
        <f t="shared" si="18"/>
        <v>GMI</v>
      </c>
      <c r="D78" t="s">
        <v>253</v>
      </c>
      <c r="E78" t="s">
        <v>253</v>
      </c>
      <c r="F78" s="3" t="s">
        <v>2556</v>
      </c>
      <c r="G78" s="11" t="s">
        <v>2184</v>
      </c>
      <c r="H78" s="11" t="s">
        <v>86</v>
      </c>
      <c r="I78" s="3" t="s">
        <v>253</v>
      </c>
      <c r="J78" s="3" t="s">
        <v>253</v>
      </c>
      <c r="K78" s="3" t="s">
        <v>253</v>
      </c>
      <c r="L78" s="3" t="s">
        <v>253</v>
      </c>
      <c r="M78">
        <f>IF(LEN(H78),MATCH(H78,'MPIO_SFIO Table'!$A$11:$A$65525,0)-1,"")</f>
        <v>81</v>
      </c>
      <c r="N78" t="str">
        <f>IF(LEN(I78),MATCH(I78,'MPIO_SFIO Table'!$A$11:$A$65525,0)-1,"")</f>
        <v/>
      </c>
      <c r="O78" t="str">
        <f>IF(LEN(J78),MATCH(J78,'MPIO_SFIO Table'!$A$11:$A$65525,0)-1,"")</f>
        <v/>
      </c>
      <c r="P78" t="str">
        <f>IF(LEN(K78),MATCH(K78,'MPIO_SFIO Table'!$A$11:$A$65525,0)-1,"")</f>
        <v/>
      </c>
      <c r="Q78" t="str">
        <f>IF(LEN(L78),MATCH(L78,'MPIO_SFIO Table'!$A$11:$A$65525,0)-1,"")</f>
        <v/>
      </c>
      <c r="R78" t="str">
        <f ca="1">IF(ISNUMBER(M78),OFFSET('MPIO_SFIO Table'!$AJ$11,M78,0),"")</f>
        <v>unused_GMI_CS3_N</v>
      </c>
      <c r="S78" t="str">
        <f ca="1">IF(ISNUMBER(N78),OFFSET('MPIO_SFIO Table'!$AJ$11,N78,0),"")</f>
        <v/>
      </c>
      <c r="T78" t="str">
        <f ca="1">IF(ISNUMBER(O78),OFFSET('MPIO_SFIO Table'!$AJ$11,O78,0),"")</f>
        <v/>
      </c>
      <c r="U78" t="str">
        <f ca="1">IF(ISNUMBER(P78),OFFSET('MPIO_SFIO Table'!$AJ$11,P78,0),"")</f>
        <v/>
      </c>
      <c r="V78" t="str">
        <f ca="1">IF(ISNUMBER(Q78),OFFSET('MPIO_SFIO Table'!$AJ$11,Q78,0),"")</f>
        <v/>
      </c>
      <c r="W78">
        <f t="shared" ca="1" si="19"/>
        <v>0</v>
      </c>
      <c r="X78">
        <f t="shared" ca="1" si="20"/>
        <v>0</v>
      </c>
      <c r="Y78">
        <f t="shared" ca="1" si="21"/>
        <v>0</v>
      </c>
      <c r="Z78">
        <f t="shared" ca="1" si="22"/>
        <v>0</v>
      </c>
      <c r="AA78">
        <f t="shared" ca="1" si="23"/>
        <v>0</v>
      </c>
    </row>
    <row r="79" spans="1:27" x14ac:dyDescent="0.25">
      <c r="A79">
        <f t="shared" ca="1" si="16"/>
        <v>0</v>
      </c>
      <c r="B79" t="str">
        <f t="shared" ca="1" si="17"/>
        <v/>
      </c>
      <c r="C79" t="str">
        <f t="shared" si="18"/>
        <v>GMI</v>
      </c>
      <c r="D79" t="s">
        <v>253</v>
      </c>
      <c r="E79" t="s">
        <v>253</v>
      </c>
      <c r="F79" s="3" t="s">
        <v>2557</v>
      </c>
      <c r="G79" s="11" t="s">
        <v>2185</v>
      </c>
      <c r="H79" s="11" t="s">
        <v>87</v>
      </c>
      <c r="I79" s="3" t="s">
        <v>253</v>
      </c>
      <c r="J79" s="3" t="s">
        <v>253</v>
      </c>
      <c r="K79" s="3" t="s">
        <v>253</v>
      </c>
      <c r="L79" s="3" t="s">
        <v>253</v>
      </c>
      <c r="M79">
        <f>IF(LEN(H79),MATCH(H79,'MPIO_SFIO Table'!$A$11:$A$65525,0)-1,"")</f>
        <v>82</v>
      </c>
      <c r="N79" t="str">
        <f>IF(LEN(I79),MATCH(I79,'MPIO_SFIO Table'!$A$11:$A$65525,0)-1,"")</f>
        <v/>
      </c>
      <c r="O79" t="str">
        <f>IF(LEN(J79),MATCH(J79,'MPIO_SFIO Table'!$A$11:$A$65525,0)-1,"")</f>
        <v/>
      </c>
      <c r="P79" t="str">
        <f>IF(LEN(K79),MATCH(K79,'MPIO_SFIO Table'!$A$11:$A$65525,0)-1,"")</f>
        <v/>
      </c>
      <c r="Q79" t="str">
        <f>IF(LEN(L79),MATCH(L79,'MPIO_SFIO Table'!$A$11:$A$65525,0)-1,"")</f>
        <v/>
      </c>
      <c r="R79" t="str">
        <f ca="1">IF(ISNUMBER(M79),OFFSET('MPIO_SFIO Table'!$AJ$11,M79,0),"")</f>
        <v>unused_GMI_CS4_N</v>
      </c>
      <c r="S79" t="str">
        <f ca="1">IF(ISNUMBER(N79),OFFSET('MPIO_SFIO Table'!$AJ$11,N79,0),"")</f>
        <v/>
      </c>
      <c r="T79" t="str">
        <f ca="1">IF(ISNUMBER(O79),OFFSET('MPIO_SFIO Table'!$AJ$11,O79,0),"")</f>
        <v/>
      </c>
      <c r="U79" t="str">
        <f ca="1">IF(ISNUMBER(P79),OFFSET('MPIO_SFIO Table'!$AJ$11,P79,0),"")</f>
        <v/>
      </c>
      <c r="V79" t="str">
        <f ca="1">IF(ISNUMBER(Q79),OFFSET('MPIO_SFIO Table'!$AJ$11,Q79,0),"")</f>
        <v/>
      </c>
      <c r="W79">
        <f t="shared" ca="1" si="19"/>
        <v>0</v>
      </c>
      <c r="X79">
        <f t="shared" ca="1" si="20"/>
        <v>0</v>
      </c>
      <c r="Y79">
        <f t="shared" ca="1" si="21"/>
        <v>0</v>
      </c>
      <c r="Z79">
        <f t="shared" ca="1" si="22"/>
        <v>0</v>
      </c>
      <c r="AA79">
        <f t="shared" ca="1" si="23"/>
        <v>0</v>
      </c>
    </row>
    <row r="80" spans="1:27" x14ac:dyDescent="0.25">
      <c r="A80">
        <f t="shared" ca="1" si="16"/>
        <v>0</v>
      </c>
      <c r="B80" t="str">
        <f t="shared" ca="1" si="17"/>
        <v/>
      </c>
      <c r="C80" t="str">
        <f t="shared" si="18"/>
        <v>GMI</v>
      </c>
      <c r="D80" t="s">
        <v>253</v>
      </c>
      <c r="E80" t="s">
        <v>253</v>
      </c>
      <c r="F80" s="3" t="s">
        <v>2558</v>
      </c>
      <c r="G80" s="11" t="s">
        <v>2205</v>
      </c>
      <c r="H80" s="11" t="s">
        <v>172</v>
      </c>
      <c r="I80" s="3" t="s">
        <v>253</v>
      </c>
      <c r="J80" s="3" t="s">
        <v>253</v>
      </c>
      <c r="K80" s="3" t="s">
        <v>253</v>
      </c>
      <c r="L80" s="3" t="s">
        <v>253</v>
      </c>
      <c r="M80">
        <f>IF(LEN(H80),MATCH(H80,'MPIO_SFIO Table'!$A$11:$A$65525,0)-1,"")</f>
        <v>176</v>
      </c>
      <c r="N80" t="str">
        <f>IF(LEN(I80),MATCH(I80,'MPIO_SFIO Table'!$A$11:$A$65525,0)-1,"")</f>
        <v/>
      </c>
      <c r="O80" t="str">
        <f>IF(LEN(J80),MATCH(J80,'MPIO_SFIO Table'!$A$11:$A$65525,0)-1,"")</f>
        <v/>
      </c>
      <c r="P80" t="str">
        <f>IF(LEN(K80),MATCH(K80,'MPIO_SFIO Table'!$A$11:$A$65525,0)-1,"")</f>
        <v/>
      </c>
      <c r="Q80" t="str">
        <f>IF(LEN(L80),MATCH(L80,'MPIO_SFIO Table'!$A$11:$A$65525,0)-1,"")</f>
        <v/>
      </c>
      <c r="R80" t="str">
        <f ca="1">IF(ISNUMBER(M80),OFFSET('MPIO_SFIO Table'!$AJ$11,M80,0),"")</f>
        <v>unused_SDMMC4_CLK</v>
      </c>
      <c r="S80" t="str">
        <f ca="1">IF(ISNUMBER(N80),OFFSET('MPIO_SFIO Table'!$AJ$11,N80,0),"")</f>
        <v/>
      </c>
      <c r="T80" t="str">
        <f ca="1">IF(ISNUMBER(O80),OFFSET('MPIO_SFIO Table'!$AJ$11,O80,0),"")</f>
        <v/>
      </c>
      <c r="U80" t="str">
        <f ca="1">IF(ISNUMBER(P80),OFFSET('MPIO_SFIO Table'!$AJ$11,P80,0),"")</f>
        <v/>
      </c>
      <c r="V80" t="str">
        <f ca="1">IF(ISNUMBER(Q80),OFFSET('MPIO_SFIO Table'!$AJ$11,Q80,0),"")</f>
        <v/>
      </c>
      <c r="W80">
        <f t="shared" ca="1" si="19"/>
        <v>0</v>
      </c>
      <c r="X80">
        <f t="shared" ca="1" si="20"/>
        <v>0</v>
      </c>
      <c r="Y80">
        <f t="shared" ca="1" si="21"/>
        <v>0</v>
      </c>
      <c r="Z80">
        <f t="shared" ca="1" si="22"/>
        <v>0</v>
      </c>
      <c r="AA80">
        <f t="shared" ca="1" si="23"/>
        <v>0</v>
      </c>
    </row>
    <row r="81" spans="1:27" x14ac:dyDescent="0.25">
      <c r="A81">
        <f t="shared" ca="1" si="16"/>
        <v>0</v>
      </c>
      <c r="B81" t="str">
        <f t="shared" ca="1" si="17"/>
        <v/>
      </c>
      <c r="C81" t="str">
        <f t="shared" si="18"/>
        <v>GMI</v>
      </c>
      <c r="D81" t="s">
        <v>253</v>
      </c>
      <c r="E81" t="s">
        <v>253</v>
      </c>
      <c r="F81" s="3" t="s">
        <v>2559</v>
      </c>
      <c r="G81" s="11" t="s">
        <v>2180</v>
      </c>
      <c r="H81" s="11" t="s">
        <v>59</v>
      </c>
      <c r="I81" s="3" t="s">
        <v>88</v>
      </c>
      <c r="J81" s="3" t="s">
        <v>253</v>
      </c>
      <c r="K81" s="3" t="s">
        <v>253</v>
      </c>
      <c r="L81" s="3" t="s">
        <v>253</v>
      </c>
      <c r="M81">
        <f>IF(LEN(H81),MATCH(H81,'MPIO_SFIO Table'!$A$11:$A$65525,0)-1,"")</f>
        <v>54</v>
      </c>
      <c r="N81">
        <f>IF(LEN(I81),MATCH(I81,'MPIO_SFIO Table'!$A$11:$A$65525,0)-1,"")</f>
        <v>83</v>
      </c>
      <c r="O81" t="str">
        <f>IF(LEN(J81),MATCH(J81,'MPIO_SFIO Table'!$A$11:$A$65525,0)-1,"")</f>
        <v/>
      </c>
      <c r="P81" t="str">
        <f>IF(LEN(K81),MATCH(K81,'MPIO_SFIO Table'!$A$11:$A$65525,0)-1,"")</f>
        <v/>
      </c>
      <c r="Q81" t="str">
        <f>IF(LEN(L81),MATCH(L81,'MPIO_SFIO Table'!$A$11:$A$65525,0)-1,"")</f>
        <v/>
      </c>
      <c r="R81" t="str">
        <f ca="1">IF(ISNUMBER(M81),OFFSET('MPIO_SFIO Table'!$AJ$11,M81,0),"")</f>
        <v>unused_GEN2_I2C_SCL</v>
      </c>
      <c r="S81" t="str">
        <f ca="1">IF(ISNUMBER(N81),OFFSET('MPIO_SFIO Table'!$AJ$11,N81,0),"")</f>
        <v>unused_GMI_CS6_N</v>
      </c>
      <c r="T81" t="str">
        <f ca="1">IF(ISNUMBER(O81),OFFSET('MPIO_SFIO Table'!$AJ$11,O81,0),"")</f>
        <v/>
      </c>
      <c r="U81" t="str">
        <f ca="1">IF(ISNUMBER(P81),OFFSET('MPIO_SFIO Table'!$AJ$11,P81,0),"")</f>
        <v/>
      </c>
      <c r="V81" t="str">
        <f ca="1">IF(ISNUMBER(Q81),OFFSET('MPIO_SFIO Table'!$AJ$11,Q81,0),"")</f>
        <v/>
      </c>
      <c r="W81">
        <f t="shared" ca="1" si="19"/>
        <v>0</v>
      </c>
      <c r="X81">
        <f t="shared" ca="1" si="20"/>
        <v>0</v>
      </c>
      <c r="Y81">
        <f t="shared" ca="1" si="21"/>
        <v>0</v>
      </c>
      <c r="Z81">
        <f t="shared" ca="1" si="22"/>
        <v>0</v>
      </c>
      <c r="AA81">
        <f t="shared" ca="1" si="23"/>
        <v>0</v>
      </c>
    </row>
    <row r="82" spans="1:27" x14ac:dyDescent="0.25">
      <c r="A82">
        <f t="shared" ca="1" si="16"/>
        <v>0</v>
      </c>
      <c r="B82" t="str">
        <f t="shared" ca="1" si="17"/>
        <v/>
      </c>
      <c r="C82" t="str">
        <f t="shared" si="18"/>
        <v>GMI</v>
      </c>
      <c r="D82" t="s">
        <v>253</v>
      </c>
      <c r="E82" t="s">
        <v>253</v>
      </c>
      <c r="F82" s="3" t="s">
        <v>2560</v>
      </c>
      <c r="G82" s="11" t="s">
        <v>2179</v>
      </c>
      <c r="H82" s="11" t="s">
        <v>60</v>
      </c>
      <c r="I82" s="3" t="s">
        <v>89</v>
      </c>
      <c r="J82" s="3" t="s">
        <v>253</v>
      </c>
      <c r="K82" s="3" t="s">
        <v>253</v>
      </c>
      <c r="L82" s="3" t="s">
        <v>253</v>
      </c>
      <c r="M82">
        <f>IF(LEN(H82),MATCH(H82,'MPIO_SFIO Table'!$A$11:$A$65525,0)-1,"")</f>
        <v>55</v>
      </c>
      <c r="N82">
        <f>IF(LEN(I82),MATCH(I82,'MPIO_SFIO Table'!$A$11:$A$65525,0)-1,"")</f>
        <v>84</v>
      </c>
      <c r="O82" t="str">
        <f>IF(LEN(J82),MATCH(J82,'MPIO_SFIO Table'!$A$11:$A$65525,0)-1,"")</f>
        <v/>
      </c>
      <c r="P82" t="str">
        <f>IF(LEN(K82),MATCH(K82,'MPIO_SFIO Table'!$A$11:$A$65525,0)-1,"")</f>
        <v/>
      </c>
      <c r="Q82" t="str">
        <f>IF(LEN(L82),MATCH(L82,'MPIO_SFIO Table'!$A$11:$A$65525,0)-1,"")</f>
        <v/>
      </c>
      <c r="R82" t="str">
        <f ca="1">IF(ISNUMBER(M82),OFFSET('MPIO_SFIO Table'!$AJ$11,M82,0),"")</f>
        <v>unused_GEN2_I2C_SDA</v>
      </c>
      <c r="S82" t="str">
        <f ca="1">IF(ISNUMBER(N82),OFFSET('MPIO_SFIO Table'!$AJ$11,N82,0),"")</f>
        <v>unused_GMI_CS7_N</v>
      </c>
      <c r="T82" t="str">
        <f ca="1">IF(ISNUMBER(O82),OFFSET('MPIO_SFIO Table'!$AJ$11,O82,0),"")</f>
        <v/>
      </c>
      <c r="U82" t="str">
        <f ca="1">IF(ISNUMBER(P82),OFFSET('MPIO_SFIO Table'!$AJ$11,P82,0),"")</f>
        <v/>
      </c>
      <c r="V82" t="str">
        <f ca="1">IF(ISNUMBER(Q82),OFFSET('MPIO_SFIO Table'!$AJ$11,Q82,0),"")</f>
        <v/>
      </c>
      <c r="W82">
        <f t="shared" ca="1" si="19"/>
        <v>0</v>
      </c>
      <c r="X82">
        <f t="shared" ca="1" si="20"/>
        <v>0</v>
      </c>
      <c r="Y82">
        <f t="shared" ca="1" si="21"/>
        <v>0</v>
      </c>
      <c r="Z82">
        <f t="shared" ca="1" si="22"/>
        <v>0</v>
      </c>
      <c r="AA82">
        <f t="shared" ca="1" si="23"/>
        <v>0</v>
      </c>
    </row>
    <row r="83" spans="1:27" x14ac:dyDescent="0.25">
      <c r="A83">
        <f t="shared" ca="1" si="16"/>
        <v>0</v>
      </c>
      <c r="B83" t="str">
        <f t="shared" ca="1" si="17"/>
        <v/>
      </c>
      <c r="C83" t="str">
        <f t="shared" si="18"/>
        <v>GMI</v>
      </c>
      <c r="D83" t="s">
        <v>253</v>
      </c>
      <c r="E83" t="s">
        <v>253</v>
      </c>
      <c r="F83" s="3" t="s">
        <v>1601</v>
      </c>
      <c r="G83" s="11" t="s">
        <v>278</v>
      </c>
      <c r="H83" s="11" t="s">
        <v>12</v>
      </c>
      <c r="I83" s="3" t="s">
        <v>253</v>
      </c>
      <c r="J83" s="3" t="s">
        <v>253</v>
      </c>
      <c r="K83" s="3" t="s">
        <v>253</v>
      </c>
      <c r="L83" s="3" t="s">
        <v>253</v>
      </c>
      <c r="M83">
        <f>IF(LEN(H83),MATCH(H83,'MPIO_SFIO Table'!$A$11:$A$65525,0)-1,"")</f>
        <v>4</v>
      </c>
      <c r="N83" t="str">
        <f>IF(LEN(I83),MATCH(I83,'MPIO_SFIO Table'!$A$11:$A$65525,0)-1,"")</f>
        <v/>
      </c>
      <c r="O83" t="str">
        <f>IF(LEN(J83),MATCH(J83,'MPIO_SFIO Table'!$A$11:$A$65525,0)-1,"")</f>
        <v/>
      </c>
      <c r="P83" t="str">
        <f>IF(LEN(K83),MATCH(K83,'MPIO_SFIO Table'!$A$11:$A$65525,0)-1,"")</f>
        <v/>
      </c>
      <c r="Q83" t="str">
        <f>IF(LEN(L83),MATCH(L83,'MPIO_SFIO Table'!$A$11:$A$65525,0)-1,"")</f>
        <v/>
      </c>
      <c r="R83" t="str">
        <f ca="1">IF(ISNUMBER(M83),OFFSET('MPIO_SFIO Table'!$AJ$11,M83,0),"")</f>
        <v>unused_DAP1_FS</v>
      </c>
      <c r="S83" t="str">
        <f ca="1">IF(ISNUMBER(N83),OFFSET('MPIO_SFIO Table'!$AJ$11,N83,0),"")</f>
        <v/>
      </c>
      <c r="T83" t="str">
        <f ca="1">IF(ISNUMBER(O83),OFFSET('MPIO_SFIO Table'!$AJ$11,O83,0),"")</f>
        <v/>
      </c>
      <c r="U83" t="str">
        <f ca="1">IF(ISNUMBER(P83),OFFSET('MPIO_SFIO Table'!$AJ$11,P83,0),"")</f>
        <v/>
      </c>
      <c r="V83" t="str">
        <f ca="1">IF(ISNUMBER(Q83),OFFSET('MPIO_SFIO Table'!$AJ$11,Q83,0),"")</f>
        <v/>
      </c>
      <c r="W83">
        <f t="shared" ca="1" si="19"/>
        <v>0</v>
      </c>
      <c r="X83">
        <f t="shared" ca="1" si="20"/>
        <v>0</v>
      </c>
      <c r="Y83">
        <f t="shared" ca="1" si="21"/>
        <v>0</v>
      </c>
      <c r="Z83">
        <f t="shared" ca="1" si="22"/>
        <v>0</v>
      </c>
      <c r="AA83">
        <f t="shared" ca="1" si="23"/>
        <v>0</v>
      </c>
    </row>
    <row r="84" spans="1:27" x14ac:dyDescent="0.25">
      <c r="A84">
        <f t="shared" ca="1" si="16"/>
        <v>0</v>
      </c>
      <c r="B84" t="str">
        <f t="shared" ca="1" si="17"/>
        <v/>
      </c>
      <c r="C84" t="str">
        <f t="shared" si="18"/>
        <v>GMI</v>
      </c>
      <c r="D84" t="s">
        <v>253</v>
      </c>
      <c r="E84" t="s">
        <v>253</v>
      </c>
      <c r="F84" s="3" t="s">
        <v>1635</v>
      </c>
      <c r="G84" s="11" t="s">
        <v>268</v>
      </c>
      <c r="H84" s="11" t="s">
        <v>10</v>
      </c>
      <c r="I84" s="3" t="s">
        <v>253</v>
      </c>
      <c r="J84" s="3" t="s">
        <v>253</v>
      </c>
      <c r="K84" s="3" t="s">
        <v>253</v>
      </c>
      <c r="L84" s="3" t="s">
        <v>253</v>
      </c>
      <c r="M84">
        <f>IF(LEN(H84),MATCH(H84,'MPIO_SFIO Table'!$A$11:$A$65525,0)-1,"")</f>
        <v>2</v>
      </c>
      <c r="N84" t="str">
        <f>IF(LEN(I84),MATCH(I84,'MPIO_SFIO Table'!$A$11:$A$65525,0)-1,"")</f>
        <v/>
      </c>
      <c r="O84" t="str">
        <f>IF(LEN(J84),MATCH(J84,'MPIO_SFIO Table'!$A$11:$A$65525,0)-1,"")</f>
        <v/>
      </c>
      <c r="P84" t="str">
        <f>IF(LEN(K84),MATCH(K84,'MPIO_SFIO Table'!$A$11:$A$65525,0)-1,"")</f>
        <v/>
      </c>
      <c r="Q84" t="str">
        <f>IF(LEN(L84),MATCH(L84,'MPIO_SFIO Table'!$A$11:$A$65525,0)-1,"")</f>
        <v/>
      </c>
      <c r="R84" t="str">
        <f ca="1">IF(ISNUMBER(M84),OFFSET('MPIO_SFIO Table'!$AJ$11,M84,0),"")</f>
        <v>unused_DAP1_DIN</v>
      </c>
      <c r="S84" t="str">
        <f ca="1">IF(ISNUMBER(N84),OFFSET('MPIO_SFIO Table'!$AJ$11,N84,0),"")</f>
        <v/>
      </c>
      <c r="T84" t="str">
        <f ca="1">IF(ISNUMBER(O84),OFFSET('MPIO_SFIO Table'!$AJ$11,O84,0),"")</f>
        <v/>
      </c>
      <c r="U84" t="str">
        <f ca="1">IF(ISNUMBER(P84),OFFSET('MPIO_SFIO Table'!$AJ$11,P84,0),"")</f>
        <v/>
      </c>
      <c r="V84" t="str">
        <f ca="1">IF(ISNUMBER(Q84),OFFSET('MPIO_SFIO Table'!$AJ$11,Q84,0),"")</f>
        <v/>
      </c>
      <c r="W84">
        <f t="shared" ca="1" si="19"/>
        <v>0</v>
      </c>
      <c r="X84">
        <f t="shared" ca="1" si="20"/>
        <v>0</v>
      </c>
      <c r="Y84">
        <f t="shared" ca="1" si="21"/>
        <v>0</v>
      </c>
      <c r="Z84">
        <f t="shared" ca="1" si="22"/>
        <v>0</v>
      </c>
      <c r="AA84">
        <f t="shared" ca="1" si="23"/>
        <v>0</v>
      </c>
    </row>
    <row r="85" spans="1:27" x14ac:dyDescent="0.25">
      <c r="A85">
        <f t="shared" ca="1" si="16"/>
        <v>0</v>
      </c>
      <c r="B85" t="str">
        <f t="shared" ca="1" si="17"/>
        <v/>
      </c>
      <c r="C85" t="str">
        <f t="shared" si="18"/>
        <v>GMI</v>
      </c>
      <c r="D85" t="s">
        <v>253</v>
      </c>
      <c r="E85" t="s">
        <v>253</v>
      </c>
      <c r="F85" s="3" t="s">
        <v>1631</v>
      </c>
      <c r="G85" s="11" t="s">
        <v>274</v>
      </c>
      <c r="H85" s="11" t="s">
        <v>11</v>
      </c>
      <c r="I85" s="3" t="s">
        <v>253</v>
      </c>
      <c r="J85" s="3" t="s">
        <v>253</v>
      </c>
      <c r="K85" s="3" t="s">
        <v>253</v>
      </c>
      <c r="L85" s="3" t="s">
        <v>253</v>
      </c>
      <c r="M85">
        <f>IF(LEN(H85),MATCH(H85,'MPIO_SFIO Table'!$A$11:$A$65525,0)-1,"")</f>
        <v>3</v>
      </c>
      <c r="N85" t="str">
        <f>IF(LEN(I85),MATCH(I85,'MPIO_SFIO Table'!$A$11:$A$65525,0)-1,"")</f>
        <v/>
      </c>
      <c r="O85" t="str">
        <f>IF(LEN(J85),MATCH(J85,'MPIO_SFIO Table'!$A$11:$A$65525,0)-1,"")</f>
        <v/>
      </c>
      <c r="P85" t="str">
        <f>IF(LEN(K85),MATCH(K85,'MPIO_SFIO Table'!$A$11:$A$65525,0)-1,"")</f>
        <v/>
      </c>
      <c r="Q85" t="str">
        <f>IF(LEN(L85),MATCH(L85,'MPIO_SFIO Table'!$A$11:$A$65525,0)-1,"")</f>
        <v/>
      </c>
      <c r="R85" t="str">
        <f ca="1">IF(ISNUMBER(M85),OFFSET('MPIO_SFIO Table'!$AJ$11,M85,0),"")</f>
        <v>unused_DAP1_DOUT</v>
      </c>
      <c r="S85" t="str">
        <f ca="1">IF(ISNUMBER(N85),OFFSET('MPIO_SFIO Table'!$AJ$11,N85,0),"")</f>
        <v/>
      </c>
      <c r="T85" t="str">
        <f ca="1">IF(ISNUMBER(O85),OFFSET('MPIO_SFIO Table'!$AJ$11,O85,0),"")</f>
        <v/>
      </c>
      <c r="U85" t="str">
        <f ca="1">IF(ISNUMBER(P85),OFFSET('MPIO_SFIO Table'!$AJ$11,P85,0),"")</f>
        <v/>
      </c>
      <c r="V85" t="str">
        <f ca="1">IF(ISNUMBER(Q85),OFFSET('MPIO_SFIO Table'!$AJ$11,Q85,0),"")</f>
        <v/>
      </c>
      <c r="W85">
        <f t="shared" ca="1" si="19"/>
        <v>0</v>
      </c>
      <c r="X85">
        <f t="shared" ca="1" si="20"/>
        <v>0</v>
      </c>
      <c r="Y85">
        <f t="shared" ca="1" si="21"/>
        <v>0</v>
      </c>
      <c r="Z85">
        <f t="shared" ca="1" si="22"/>
        <v>0</v>
      </c>
      <c r="AA85">
        <f t="shared" ca="1" si="23"/>
        <v>0</v>
      </c>
    </row>
    <row r="86" spans="1:27" x14ac:dyDescent="0.25">
      <c r="A86">
        <f t="shared" ca="1" si="16"/>
        <v>0</v>
      </c>
      <c r="B86" t="str">
        <f t="shared" ca="1" si="17"/>
        <v/>
      </c>
      <c r="C86" t="str">
        <f t="shared" si="18"/>
        <v>GMI</v>
      </c>
      <c r="D86" t="s">
        <v>253</v>
      </c>
      <c r="E86" t="s">
        <v>253</v>
      </c>
      <c r="F86" s="3" t="s">
        <v>2561</v>
      </c>
      <c r="G86" s="11" t="s">
        <v>282</v>
      </c>
      <c r="H86" s="11" t="s">
        <v>13</v>
      </c>
      <c r="I86" s="3" t="s">
        <v>253</v>
      </c>
      <c r="J86" s="3" t="s">
        <v>253</v>
      </c>
      <c r="K86" s="3" t="s">
        <v>253</v>
      </c>
      <c r="L86" s="3" t="s">
        <v>253</v>
      </c>
      <c r="M86">
        <f>IF(LEN(H86),MATCH(H86,'MPIO_SFIO Table'!$A$11:$A$65525,0)-1,"")</f>
        <v>5</v>
      </c>
      <c r="N86" t="str">
        <f>IF(LEN(I86),MATCH(I86,'MPIO_SFIO Table'!$A$11:$A$65525,0)-1,"")</f>
        <v/>
      </c>
      <c r="O86" t="str">
        <f>IF(LEN(J86),MATCH(J86,'MPIO_SFIO Table'!$A$11:$A$65525,0)-1,"")</f>
        <v/>
      </c>
      <c r="P86" t="str">
        <f>IF(LEN(K86),MATCH(K86,'MPIO_SFIO Table'!$A$11:$A$65525,0)-1,"")</f>
        <v/>
      </c>
      <c r="Q86" t="str">
        <f>IF(LEN(L86),MATCH(L86,'MPIO_SFIO Table'!$A$11:$A$65525,0)-1,"")</f>
        <v/>
      </c>
      <c r="R86" t="str">
        <f ca="1">IF(ISNUMBER(M86),OFFSET('MPIO_SFIO Table'!$AJ$11,M86,0),"")</f>
        <v>unused_DAP1_SCLK</v>
      </c>
      <c r="S86" t="str">
        <f ca="1">IF(ISNUMBER(N86),OFFSET('MPIO_SFIO Table'!$AJ$11,N86,0),"")</f>
        <v/>
      </c>
      <c r="T86" t="str">
        <f ca="1">IF(ISNUMBER(O86),OFFSET('MPIO_SFIO Table'!$AJ$11,O86,0),"")</f>
        <v/>
      </c>
      <c r="U86" t="str">
        <f ca="1">IF(ISNUMBER(P86),OFFSET('MPIO_SFIO Table'!$AJ$11,P86,0),"")</f>
        <v/>
      </c>
      <c r="V86" t="str">
        <f ca="1">IF(ISNUMBER(Q86),OFFSET('MPIO_SFIO Table'!$AJ$11,Q86,0),"")</f>
        <v/>
      </c>
      <c r="W86">
        <f t="shared" ca="1" si="19"/>
        <v>0</v>
      </c>
      <c r="X86">
        <f t="shared" ca="1" si="20"/>
        <v>0</v>
      </c>
      <c r="Y86">
        <f t="shared" ca="1" si="21"/>
        <v>0</v>
      </c>
      <c r="Z86">
        <f t="shared" ca="1" si="22"/>
        <v>0</v>
      </c>
      <c r="AA86">
        <f t="shared" ca="1" si="23"/>
        <v>0</v>
      </c>
    </row>
    <row r="87" spans="1:27" x14ac:dyDescent="0.25">
      <c r="A87">
        <f t="shared" ca="1" si="16"/>
        <v>0</v>
      </c>
      <c r="B87" t="str">
        <f t="shared" ca="1" si="17"/>
        <v/>
      </c>
      <c r="C87" t="str">
        <f t="shared" si="18"/>
        <v>GMI</v>
      </c>
      <c r="D87" t="s">
        <v>253</v>
      </c>
      <c r="E87" t="s">
        <v>253</v>
      </c>
      <c r="F87" s="3" t="s">
        <v>2562</v>
      </c>
      <c r="G87" s="11" t="s">
        <v>615</v>
      </c>
      <c r="H87" s="11" t="s">
        <v>173</v>
      </c>
      <c r="I87" s="3" t="s">
        <v>253</v>
      </c>
      <c r="J87" s="3" t="s">
        <v>253</v>
      </c>
      <c r="K87" s="3" t="s">
        <v>253</v>
      </c>
      <c r="L87" s="3" t="s">
        <v>253</v>
      </c>
      <c r="M87">
        <f>IF(LEN(H87),MATCH(H87,'MPIO_SFIO Table'!$A$11:$A$65525,0)-1,"")</f>
        <v>177</v>
      </c>
      <c r="N87" t="str">
        <f>IF(LEN(I87),MATCH(I87,'MPIO_SFIO Table'!$A$11:$A$65525,0)-1,"")</f>
        <v/>
      </c>
      <c r="O87" t="str">
        <f>IF(LEN(J87),MATCH(J87,'MPIO_SFIO Table'!$A$11:$A$65525,0)-1,"")</f>
        <v/>
      </c>
      <c r="P87" t="str">
        <f>IF(LEN(K87),MATCH(K87,'MPIO_SFIO Table'!$A$11:$A$65525,0)-1,"")</f>
        <v/>
      </c>
      <c r="Q87" t="str">
        <f>IF(LEN(L87),MATCH(L87,'MPIO_SFIO Table'!$A$11:$A$65525,0)-1,"")</f>
        <v/>
      </c>
      <c r="R87" t="str">
        <f ca="1">IF(ISNUMBER(M87),OFFSET('MPIO_SFIO Table'!$AJ$11,M87,0),"")</f>
        <v>unused_SDMMC4_CMD</v>
      </c>
      <c r="S87" t="str">
        <f ca="1">IF(ISNUMBER(N87),OFFSET('MPIO_SFIO Table'!$AJ$11,N87,0),"")</f>
        <v/>
      </c>
      <c r="T87" t="str">
        <f ca="1">IF(ISNUMBER(O87),OFFSET('MPIO_SFIO Table'!$AJ$11,O87,0),"")</f>
        <v/>
      </c>
      <c r="U87" t="str">
        <f ca="1">IF(ISNUMBER(P87),OFFSET('MPIO_SFIO Table'!$AJ$11,P87,0),"")</f>
        <v/>
      </c>
      <c r="V87" t="str">
        <f ca="1">IF(ISNUMBER(Q87),OFFSET('MPIO_SFIO Table'!$AJ$11,Q87,0),"")</f>
        <v/>
      </c>
      <c r="W87">
        <f t="shared" ca="1" si="19"/>
        <v>0</v>
      </c>
      <c r="X87">
        <f t="shared" ca="1" si="20"/>
        <v>0</v>
      </c>
      <c r="Y87">
        <f t="shared" ca="1" si="21"/>
        <v>0</v>
      </c>
      <c r="Z87">
        <f t="shared" ca="1" si="22"/>
        <v>0</v>
      </c>
      <c r="AA87">
        <f t="shared" ca="1" si="23"/>
        <v>0</v>
      </c>
    </row>
    <row r="88" spans="1:27" x14ac:dyDescent="0.25">
      <c r="A88">
        <f t="shared" ca="1" si="16"/>
        <v>0</v>
      </c>
      <c r="B88" t="str">
        <f t="shared" ca="1" si="17"/>
        <v/>
      </c>
      <c r="C88" t="str">
        <f t="shared" si="18"/>
        <v>GMI</v>
      </c>
      <c r="D88" t="s">
        <v>253</v>
      </c>
      <c r="E88" t="s">
        <v>253</v>
      </c>
      <c r="F88" s="3" t="s">
        <v>2563</v>
      </c>
      <c r="G88" s="11" t="s">
        <v>459</v>
      </c>
      <c r="H88" s="11" t="s">
        <v>86</v>
      </c>
      <c r="I88" s="3" t="s">
        <v>95</v>
      </c>
      <c r="J88" s="3" t="s">
        <v>253</v>
      </c>
      <c r="K88" s="3" t="s">
        <v>253</v>
      </c>
      <c r="L88" s="3" t="s">
        <v>253</v>
      </c>
      <c r="M88">
        <f>IF(LEN(H88),MATCH(H88,'MPIO_SFIO Table'!$A$11:$A$65525,0)-1,"")</f>
        <v>81</v>
      </c>
      <c r="N88">
        <f>IF(LEN(I88),MATCH(I88,'MPIO_SFIO Table'!$A$11:$A$65525,0)-1,"")</f>
        <v>90</v>
      </c>
      <c r="O88" t="str">
        <f>IF(LEN(J88),MATCH(J88,'MPIO_SFIO Table'!$A$11:$A$65525,0)-1,"")</f>
        <v/>
      </c>
      <c r="P88" t="str">
        <f>IF(LEN(K88),MATCH(K88,'MPIO_SFIO Table'!$A$11:$A$65525,0)-1,"")</f>
        <v/>
      </c>
      <c r="Q88" t="str">
        <f>IF(LEN(L88),MATCH(L88,'MPIO_SFIO Table'!$A$11:$A$65525,0)-1,"")</f>
        <v/>
      </c>
      <c r="R88" t="str">
        <f ca="1">IF(ISNUMBER(M88),OFFSET('MPIO_SFIO Table'!$AJ$11,M88,0),"")</f>
        <v>unused_GMI_CS3_N</v>
      </c>
      <c r="S88" t="str">
        <f ca="1">IF(ISNUMBER(N88),OFFSET('MPIO_SFIO Table'!$AJ$11,N88,0),"")</f>
        <v>unused_GMI_WP_N</v>
      </c>
      <c r="T88" t="str">
        <f ca="1">IF(ISNUMBER(O88),OFFSET('MPIO_SFIO Table'!$AJ$11,O88,0),"")</f>
        <v/>
      </c>
      <c r="U88" t="str">
        <f ca="1">IF(ISNUMBER(P88),OFFSET('MPIO_SFIO Table'!$AJ$11,P88,0),"")</f>
        <v/>
      </c>
      <c r="V88" t="str">
        <f ca="1">IF(ISNUMBER(Q88),OFFSET('MPIO_SFIO Table'!$AJ$11,Q88,0),"")</f>
        <v/>
      </c>
      <c r="W88">
        <f t="shared" ca="1" si="19"/>
        <v>0</v>
      </c>
      <c r="X88">
        <f t="shared" ca="1" si="20"/>
        <v>0</v>
      </c>
      <c r="Y88">
        <f t="shared" ca="1" si="21"/>
        <v>0</v>
      </c>
      <c r="Z88">
        <f t="shared" ca="1" si="22"/>
        <v>0</v>
      </c>
      <c r="AA88">
        <f t="shared" ca="1" si="23"/>
        <v>0</v>
      </c>
    </row>
    <row r="89" spans="1:27" x14ac:dyDescent="0.25">
      <c r="A89">
        <f t="shared" ca="1" si="16"/>
        <v>0</v>
      </c>
      <c r="B89" t="str">
        <f t="shared" ca="1" si="17"/>
        <v/>
      </c>
      <c r="C89" t="str">
        <f t="shared" si="18"/>
        <v>GMI</v>
      </c>
      <c r="D89" t="s">
        <v>253</v>
      </c>
      <c r="E89" t="s">
        <v>253</v>
      </c>
      <c r="F89" s="3" t="s">
        <v>2564</v>
      </c>
      <c r="G89" s="11" t="s">
        <v>406</v>
      </c>
      <c r="H89" s="11" t="s">
        <v>61</v>
      </c>
      <c r="I89" s="3" t="s">
        <v>253</v>
      </c>
      <c r="J89" s="3" t="s">
        <v>253</v>
      </c>
      <c r="K89" s="3" t="s">
        <v>253</v>
      </c>
      <c r="L89" s="3" t="s">
        <v>253</v>
      </c>
      <c r="M89">
        <f>IF(LEN(H89),MATCH(H89,'MPIO_SFIO Table'!$A$11:$A$65525,0)-1,"")</f>
        <v>56</v>
      </c>
      <c r="N89" t="str">
        <f>IF(LEN(I89),MATCH(I89,'MPIO_SFIO Table'!$A$11:$A$65525,0)-1,"")</f>
        <v/>
      </c>
      <c r="O89" t="str">
        <f>IF(LEN(J89),MATCH(J89,'MPIO_SFIO Table'!$A$11:$A$65525,0)-1,"")</f>
        <v/>
      </c>
      <c r="P89" t="str">
        <f>IF(LEN(K89),MATCH(K89,'MPIO_SFIO Table'!$A$11:$A$65525,0)-1,"")</f>
        <v/>
      </c>
      <c r="Q89" t="str">
        <f>IF(LEN(L89),MATCH(L89,'MPIO_SFIO Table'!$A$11:$A$65525,0)-1,"")</f>
        <v/>
      </c>
      <c r="R89" t="str">
        <f ca="1">IF(ISNUMBER(M89),OFFSET('MPIO_SFIO Table'!$AJ$11,M89,0),"")</f>
        <v>unused_GMI_A16</v>
      </c>
      <c r="S89" t="str">
        <f ca="1">IF(ISNUMBER(N89),OFFSET('MPIO_SFIO Table'!$AJ$11,N89,0),"")</f>
        <v/>
      </c>
      <c r="T89" t="str">
        <f ca="1">IF(ISNUMBER(O89),OFFSET('MPIO_SFIO Table'!$AJ$11,O89,0),"")</f>
        <v/>
      </c>
      <c r="U89" t="str">
        <f ca="1">IF(ISNUMBER(P89),OFFSET('MPIO_SFIO Table'!$AJ$11,P89,0),"")</f>
        <v/>
      </c>
      <c r="V89" t="str">
        <f ca="1">IF(ISNUMBER(Q89),OFFSET('MPIO_SFIO Table'!$AJ$11,Q89,0),"")</f>
        <v/>
      </c>
      <c r="W89">
        <f t="shared" ca="1" si="19"/>
        <v>0</v>
      </c>
      <c r="X89">
        <f t="shared" ca="1" si="20"/>
        <v>0</v>
      </c>
      <c r="Y89">
        <f t="shared" ca="1" si="21"/>
        <v>0</v>
      </c>
      <c r="Z89">
        <f t="shared" ca="1" si="22"/>
        <v>0</v>
      </c>
      <c r="AA89">
        <f t="shared" ca="1" si="23"/>
        <v>0</v>
      </c>
    </row>
    <row r="90" spans="1:27" x14ac:dyDescent="0.25">
      <c r="A90">
        <f t="shared" ca="1" si="16"/>
        <v>0</v>
      </c>
      <c r="B90" t="str">
        <f t="shared" ca="1" si="17"/>
        <v/>
      </c>
      <c r="C90" t="str">
        <f t="shared" si="18"/>
        <v>GMI</v>
      </c>
      <c r="D90" t="s">
        <v>253</v>
      </c>
      <c r="E90" t="s">
        <v>253</v>
      </c>
      <c r="F90" s="3" t="s">
        <v>2565</v>
      </c>
      <c r="G90" s="11" t="s">
        <v>466</v>
      </c>
      <c r="H90" s="11" t="s">
        <v>91</v>
      </c>
      <c r="I90" s="3" t="s">
        <v>253</v>
      </c>
      <c r="J90" s="3" t="s">
        <v>253</v>
      </c>
      <c r="K90" s="3" t="s">
        <v>253</v>
      </c>
      <c r="L90" s="3" t="s">
        <v>253</v>
      </c>
      <c r="M90">
        <f>IF(LEN(H90),MATCH(H90,'MPIO_SFIO Table'!$A$11:$A$65525,0)-1,"")</f>
        <v>86</v>
      </c>
      <c r="N90" t="str">
        <f>IF(LEN(I90),MATCH(I90,'MPIO_SFIO Table'!$A$11:$A$65525,0)-1,"")</f>
        <v/>
      </c>
      <c r="O90" t="str">
        <f>IF(LEN(J90),MATCH(J90,'MPIO_SFIO Table'!$A$11:$A$65525,0)-1,"")</f>
        <v/>
      </c>
      <c r="P90" t="str">
        <f>IF(LEN(K90),MATCH(K90,'MPIO_SFIO Table'!$A$11:$A$65525,0)-1,"")</f>
        <v/>
      </c>
      <c r="Q90" t="str">
        <f>IF(LEN(L90),MATCH(L90,'MPIO_SFIO Table'!$A$11:$A$65525,0)-1,"")</f>
        <v/>
      </c>
      <c r="R90" t="str">
        <f ca="1">IF(ISNUMBER(M90),OFFSET('MPIO_SFIO Table'!$AJ$11,M90,0),"")</f>
        <v>unused_GMI_IORDY</v>
      </c>
      <c r="S90" t="str">
        <f ca="1">IF(ISNUMBER(N90),OFFSET('MPIO_SFIO Table'!$AJ$11,N90,0),"")</f>
        <v/>
      </c>
      <c r="T90" t="str">
        <f ca="1">IF(ISNUMBER(O90),OFFSET('MPIO_SFIO Table'!$AJ$11,O90,0),"")</f>
        <v/>
      </c>
      <c r="U90" t="str">
        <f ca="1">IF(ISNUMBER(P90),OFFSET('MPIO_SFIO Table'!$AJ$11,P90,0),"")</f>
        <v/>
      </c>
      <c r="V90" t="str">
        <f ca="1">IF(ISNUMBER(Q90),OFFSET('MPIO_SFIO Table'!$AJ$11,Q90,0),"")</f>
        <v/>
      </c>
      <c r="W90">
        <f t="shared" ca="1" si="19"/>
        <v>0</v>
      </c>
      <c r="X90">
        <f t="shared" ca="1" si="20"/>
        <v>0</v>
      </c>
      <c r="Y90">
        <f t="shared" ca="1" si="21"/>
        <v>0</v>
      </c>
      <c r="Z90">
        <f t="shared" ca="1" si="22"/>
        <v>0</v>
      </c>
      <c r="AA90">
        <f t="shared" ca="1" si="23"/>
        <v>0</v>
      </c>
    </row>
    <row r="91" spans="1:27" x14ac:dyDescent="0.25">
      <c r="A91">
        <f t="shared" ca="1" si="16"/>
        <v>0</v>
      </c>
      <c r="B91" t="str">
        <f t="shared" ca="1" si="17"/>
        <v/>
      </c>
      <c r="C91" t="str">
        <f t="shared" si="18"/>
        <v>GMI</v>
      </c>
      <c r="D91" t="s">
        <v>253</v>
      </c>
      <c r="E91" t="s">
        <v>253</v>
      </c>
      <c r="F91" s="3" t="s">
        <v>2566</v>
      </c>
      <c r="G91" s="11" t="s">
        <v>467</v>
      </c>
      <c r="H91" s="11" t="s">
        <v>92</v>
      </c>
      <c r="I91" s="3" t="s">
        <v>253</v>
      </c>
      <c r="J91" s="3" t="s">
        <v>253</v>
      </c>
      <c r="K91" s="3" t="s">
        <v>253</v>
      </c>
      <c r="L91" s="3" t="s">
        <v>253</v>
      </c>
      <c r="M91">
        <f>IF(LEN(H91),MATCH(H91,'MPIO_SFIO Table'!$A$11:$A$65525,0)-1,"")</f>
        <v>87</v>
      </c>
      <c r="N91" t="str">
        <f>IF(LEN(I91),MATCH(I91,'MPIO_SFIO Table'!$A$11:$A$65525,0)-1,"")</f>
        <v/>
      </c>
      <c r="O91" t="str">
        <f>IF(LEN(J91),MATCH(J91,'MPIO_SFIO Table'!$A$11:$A$65525,0)-1,"")</f>
        <v/>
      </c>
      <c r="P91" t="str">
        <f>IF(LEN(K91),MATCH(K91,'MPIO_SFIO Table'!$A$11:$A$65525,0)-1,"")</f>
        <v/>
      </c>
      <c r="Q91" t="str">
        <f>IF(LEN(L91),MATCH(L91,'MPIO_SFIO Table'!$A$11:$A$65525,0)-1,"")</f>
        <v/>
      </c>
      <c r="R91" t="str">
        <f ca="1">IF(ISNUMBER(M91),OFFSET('MPIO_SFIO Table'!$AJ$11,M91,0),"")</f>
        <v>unused_GMI_OE_N</v>
      </c>
      <c r="S91" t="str">
        <f ca="1">IF(ISNUMBER(N91),OFFSET('MPIO_SFIO Table'!$AJ$11,N91,0),"")</f>
        <v/>
      </c>
      <c r="T91" t="str">
        <f ca="1">IF(ISNUMBER(O91),OFFSET('MPIO_SFIO Table'!$AJ$11,O91,0),"")</f>
        <v/>
      </c>
      <c r="U91" t="str">
        <f ca="1">IF(ISNUMBER(P91),OFFSET('MPIO_SFIO Table'!$AJ$11,P91,0),"")</f>
        <v/>
      </c>
      <c r="V91" t="str">
        <f ca="1">IF(ISNUMBER(Q91),OFFSET('MPIO_SFIO Table'!$AJ$11,Q91,0),"")</f>
        <v/>
      </c>
      <c r="W91">
        <f t="shared" ca="1" si="19"/>
        <v>0</v>
      </c>
      <c r="X91">
        <f t="shared" ca="1" si="20"/>
        <v>0</v>
      </c>
      <c r="Y91">
        <f t="shared" ca="1" si="21"/>
        <v>0</v>
      </c>
      <c r="Z91">
        <f t="shared" ca="1" si="22"/>
        <v>0</v>
      </c>
      <c r="AA91">
        <f t="shared" ca="1" si="23"/>
        <v>0</v>
      </c>
    </row>
    <row r="92" spans="1:27" x14ac:dyDescent="0.25">
      <c r="A92">
        <f t="shared" ca="1" si="16"/>
        <v>0</v>
      </c>
      <c r="B92" t="str">
        <f t="shared" ca="1" si="17"/>
        <v/>
      </c>
      <c r="C92" t="str">
        <f t="shared" si="18"/>
        <v>GMI</v>
      </c>
      <c r="D92" t="s">
        <v>253</v>
      </c>
      <c r="E92" t="s">
        <v>253</v>
      </c>
      <c r="F92" s="3" t="s">
        <v>2567</v>
      </c>
      <c r="G92" s="11" t="s">
        <v>463</v>
      </c>
      <c r="H92" s="11" t="s">
        <v>89</v>
      </c>
      <c r="I92" s="3" t="s">
        <v>93</v>
      </c>
      <c r="J92" s="3" t="s">
        <v>253</v>
      </c>
      <c r="K92" s="3" t="s">
        <v>253</v>
      </c>
      <c r="L92" s="3" t="s">
        <v>253</v>
      </c>
      <c r="M92">
        <f>IF(LEN(H92),MATCH(H92,'MPIO_SFIO Table'!$A$11:$A$65525,0)-1,"")</f>
        <v>84</v>
      </c>
      <c r="N92">
        <f>IF(LEN(I92),MATCH(I92,'MPIO_SFIO Table'!$A$11:$A$65525,0)-1,"")</f>
        <v>88</v>
      </c>
      <c r="O92" t="str">
        <f>IF(LEN(J92),MATCH(J92,'MPIO_SFIO Table'!$A$11:$A$65525,0)-1,"")</f>
        <v/>
      </c>
      <c r="P92" t="str">
        <f>IF(LEN(K92),MATCH(K92,'MPIO_SFIO Table'!$A$11:$A$65525,0)-1,"")</f>
        <v/>
      </c>
      <c r="Q92" t="str">
        <f>IF(LEN(L92),MATCH(L92,'MPIO_SFIO Table'!$A$11:$A$65525,0)-1,"")</f>
        <v/>
      </c>
      <c r="R92" t="str">
        <f ca="1">IF(ISNUMBER(M92),OFFSET('MPIO_SFIO Table'!$AJ$11,M92,0),"")</f>
        <v>unused_GMI_CS7_N</v>
      </c>
      <c r="S92" t="str">
        <f ca="1">IF(ISNUMBER(N92),OFFSET('MPIO_SFIO Table'!$AJ$11,N92,0),"")</f>
        <v>unused_GMI_RST_N</v>
      </c>
      <c r="T92" t="str">
        <f ca="1">IF(ISNUMBER(O92),OFFSET('MPIO_SFIO Table'!$AJ$11,O92,0),"")</f>
        <v/>
      </c>
      <c r="U92" t="str">
        <f ca="1">IF(ISNUMBER(P92),OFFSET('MPIO_SFIO Table'!$AJ$11,P92,0),"")</f>
        <v/>
      </c>
      <c r="V92" t="str">
        <f ca="1">IF(ISNUMBER(Q92),OFFSET('MPIO_SFIO Table'!$AJ$11,Q92,0),"")</f>
        <v/>
      </c>
      <c r="W92">
        <f t="shared" ca="1" si="19"/>
        <v>0</v>
      </c>
      <c r="X92">
        <f t="shared" ca="1" si="20"/>
        <v>0</v>
      </c>
      <c r="Y92">
        <f t="shared" ca="1" si="21"/>
        <v>0</v>
      </c>
      <c r="Z92">
        <f t="shared" ca="1" si="22"/>
        <v>0</v>
      </c>
      <c r="AA92">
        <f t="shared" ca="1" si="23"/>
        <v>0</v>
      </c>
    </row>
    <row r="93" spans="1:27" x14ac:dyDescent="0.25">
      <c r="A93">
        <f t="shared" ca="1" si="16"/>
        <v>0</v>
      </c>
      <c r="B93" t="str">
        <f t="shared" ca="1" si="17"/>
        <v/>
      </c>
      <c r="C93" t="str">
        <f t="shared" si="18"/>
        <v>GMI</v>
      </c>
      <c r="D93" t="s">
        <v>253</v>
      </c>
      <c r="E93" t="s">
        <v>253</v>
      </c>
      <c r="F93" s="3" t="s">
        <v>2568</v>
      </c>
      <c r="G93" s="11" t="s">
        <v>465</v>
      </c>
      <c r="H93" s="11" t="s">
        <v>90</v>
      </c>
      <c r="I93" s="3" t="s">
        <v>94</v>
      </c>
      <c r="J93" s="3" t="s">
        <v>253</v>
      </c>
      <c r="K93" s="3" t="s">
        <v>253</v>
      </c>
      <c r="L93" s="3" t="s">
        <v>253</v>
      </c>
      <c r="M93">
        <f>IF(LEN(H93),MATCH(H93,'MPIO_SFIO Table'!$A$11:$A$65525,0)-1,"")</f>
        <v>85</v>
      </c>
      <c r="N93">
        <f>IF(LEN(I93),MATCH(I93,'MPIO_SFIO Table'!$A$11:$A$65525,0)-1,"")</f>
        <v>89</v>
      </c>
      <c r="O93" t="str">
        <f>IF(LEN(J93),MATCH(J93,'MPIO_SFIO Table'!$A$11:$A$65525,0)-1,"")</f>
        <v/>
      </c>
      <c r="P93" t="str">
        <f>IF(LEN(K93),MATCH(K93,'MPIO_SFIO Table'!$A$11:$A$65525,0)-1,"")</f>
        <v/>
      </c>
      <c r="Q93" t="str">
        <f>IF(LEN(L93),MATCH(L93,'MPIO_SFIO Table'!$A$11:$A$65525,0)-1,"")</f>
        <v/>
      </c>
      <c r="R93" t="str">
        <f ca="1">IF(ISNUMBER(M93),OFFSET('MPIO_SFIO Table'!$AJ$11,M93,0),"")</f>
        <v>unused_GMI_DQS</v>
      </c>
      <c r="S93" t="str">
        <f ca="1">IF(ISNUMBER(N93),OFFSET('MPIO_SFIO Table'!$AJ$11,N93,0),"")</f>
        <v>unused_GMI_WAIT</v>
      </c>
      <c r="T93" t="str">
        <f ca="1">IF(ISNUMBER(O93),OFFSET('MPIO_SFIO Table'!$AJ$11,O93,0),"")</f>
        <v/>
      </c>
      <c r="U93" t="str">
        <f ca="1">IF(ISNUMBER(P93),OFFSET('MPIO_SFIO Table'!$AJ$11,P93,0),"")</f>
        <v/>
      </c>
      <c r="V93" t="str">
        <f ca="1">IF(ISNUMBER(Q93),OFFSET('MPIO_SFIO Table'!$AJ$11,Q93,0),"")</f>
        <v/>
      </c>
      <c r="W93">
        <f t="shared" ca="1" si="19"/>
        <v>0</v>
      </c>
      <c r="X93">
        <f t="shared" ca="1" si="20"/>
        <v>0</v>
      </c>
      <c r="Y93">
        <f t="shared" ca="1" si="21"/>
        <v>0</v>
      </c>
      <c r="Z93">
        <f t="shared" ca="1" si="22"/>
        <v>0</v>
      </c>
      <c r="AA93">
        <f t="shared" ca="1" si="23"/>
        <v>0</v>
      </c>
    </row>
    <row r="94" spans="1:27" x14ac:dyDescent="0.25">
      <c r="A94">
        <f t="shared" ca="1" si="16"/>
        <v>0</v>
      </c>
      <c r="B94" t="str">
        <f t="shared" ca="1" si="17"/>
        <v/>
      </c>
      <c r="C94" t="str">
        <f t="shared" si="18"/>
        <v>GMI</v>
      </c>
      <c r="D94" t="s">
        <v>253</v>
      </c>
      <c r="E94" t="s">
        <v>253</v>
      </c>
      <c r="F94" s="3" t="s">
        <v>2569</v>
      </c>
      <c r="G94" s="11" t="s">
        <v>470</v>
      </c>
      <c r="H94" s="11" t="s">
        <v>95</v>
      </c>
      <c r="I94" s="3" t="s">
        <v>253</v>
      </c>
      <c r="J94" s="3" t="s">
        <v>253</v>
      </c>
      <c r="K94" s="3" t="s">
        <v>253</v>
      </c>
      <c r="L94" s="3" t="s">
        <v>253</v>
      </c>
      <c r="M94">
        <f>IF(LEN(H94),MATCH(H94,'MPIO_SFIO Table'!$A$11:$A$65525,0)-1,"")</f>
        <v>90</v>
      </c>
      <c r="N94" t="str">
        <f>IF(LEN(I94),MATCH(I94,'MPIO_SFIO Table'!$A$11:$A$65525,0)-1,"")</f>
        <v/>
      </c>
      <c r="O94" t="str">
        <f>IF(LEN(J94),MATCH(J94,'MPIO_SFIO Table'!$A$11:$A$65525,0)-1,"")</f>
        <v/>
      </c>
      <c r="P94" t="str">
        <f>IF(LEN(K94),MATCH(K94,'MPIO_SFIO Table'!$A$11:$A$65525,0)-1,"")</f>
        <v/>
      </c>
      <c r="Q94" t="str">
        <f>IF(LEN(L94),MATCH(L94,'MPIO_SFIO Table'!$A$11:$A$65525,0)-1,"")</f>
        <v/>
      </c>
      <c r="R94" t="str">
        <f ca="1">IF(ISNUMBER(M94),OFFSET('MPIO_SFIO Table'!$AJ$11,M94,0),"")</f>
        <v>unused_GMI_WP_N</v>
      </c>
      <c r="S94" t="str">
        <f ca="1">IF(ISNUMBER(N94),OFFSET('MPIO_SFIO Table'!$AJ$11,N94,0),"")</f>
        <v/>
      </c>
      <c r="T94" t="str">
        <f ca="1">IF(ISNUMBER(O94),OFFSET('MPIO_SFIO Table'!$AJ$11,O94,0),"")</f>
        <v/>
      </c>
      <c r="U94" t="str">
        <f ca="1">IF(ISNUMBER(P94),OFFSET('MPIO_SFIO Table'!$AJ$11,P94,0),"")</f>
        <v/>
      </c>
      <c r="V94" t="str">
        <f ca="1">IF(ISNUMBER(Q94),OFFSET('MPIO_SFIO Table'!$AJ$11,Q94,0),"")</f>
        <v/>
      </c>
      <c r="W94">
        <f t="shared" ca="1" si="19"/>
        <v>0</v>
      </c>
      <c r="X94">
        <f t="shared" ca="1" si="20"/>
        <v>0</v>
      </c>
      <c r="Y94">
        <f t="shared" ca="1" si="21"/>
        <v>0</v>
      </c>
      <c r="Z94">
        <f t="shared" ca="1" si="22"/>
        <v>0</v>
      </c>
      <c r="AA94">
        <f t="shared" ca="1" si="23"/>
        <v>0</v>
      </c>
    </row>
    <row r="95" spans="1:27" x14ac:dyDescent="0.25">
      <c r="A95">
        <f t="shared" ca="1" si="16"/>
        <v>0</v>
      </c>
      <c r="B95" t="str">
        <f t="shared" ca="1" si="17"/>
        <v/>
      </c>
      <c r="C95" t="str">
        <f t="shared" si="18"/>
        <v>GMI</v>
      </c>
      <c r="D95" t="s">
        <v>253</v>
      </c>
      <c r="E95" t="s">
        <v>253</v>
      </c>
      <c r="F95" s="3" t="s">
        <v>2570</v>
      </c>
      <c r="G95" s="11" t="s">
        <v>471</v>
      </c>
      <c r="H95" s="11" t="s">
        <v>96</v>
      </c>
      <c r="I95" s="3" t="s">
        <v>253</v>
      </c>
      <c r="J95" s="3" t="s">
        <v>253</v>
      </c>
      <c r="K95" s="3" t="s">
        <v>253</v>
      </c>
      <c r="L95" s="3" t="s">
        <v>253</v>
      </c>
      <c r="M95">
        <f>IF(LEN(H95),MATCH(H95,'MPIO_SFIO Table'!$A$11:$A$65525,0)-1,"")</f>
        <v>91</v>
      </c>
      <c r="N95" t="str">
        <f>IF(LEN(I95),MATCH(I95,'MPIO_SFIO Table'!$A$11:$A$65525,0)-1,"")</f>
        <v/>
      </c>
      <c r="O95" t="str">
        <f>IF(LEN(J95),MATCH(J95,'MPIO_SFIO Table'!$A$11:$A$65525,0)-1,"")</f>
        <v/>
      </c>
      <c r="P95" t="str">
        <f>IF(LEN(K95),MATCH(K95,'MPIO_SFIO Table'!$A$11:$A$65525,0)-1,"")</f>
        <v/>
      </c>
      <c r="Q95" t="str">
        <f>IF(LEN(L95),MATCH(L95,'MPIO_SFIO Table'!$A$11:$A$65525,0)-1,"")</f>
        <v/>
      </c>
      <c r="R95" t="str">
        <f ca="1">IF(ISNUMBER(M95),OFFSET('MPIO_SFIO Table'!$AJ$11,M95,0),"")</f>
        <v>unused_GMI_WR_N</v>
      </c>
      <c r="S95" t="str">
        <f ca="1">IF(ISNUMBER(N95),OFFSET('MPIO_SFIO Table'!$AJ$11,N95,0),"")</f>
        <v/>
      </c>
      <c r="T95" t="str">
        <f ca="1">IF(ISNUMBER(O95),OFFSET('MPIO_SFIO Table'!$AJ$11,O95,0),"")</f>
        <v/>
      </c>
      <c r="U95" t="str">
        <f ca="1">IF(ISNUMBER(P95),OFFSET('MPIO_SFIO Table'!$AJ$11,P95,0),"")</f>
        <v/>
      </c>
      <c r="V95" t="str">
        <f ca="1">IF(ISNUMBER(Q95),OFFSET('MPIO_SFIO Table'!$AJ$11,Q95,0),"")</f>
        <v/>
      </c>
      <c r="W95">
        <f t="shared" ca="1" si="19"/>
        <v>0</v>
      </c>
      <c r="X95">
        <f t="shared" ca="1" si="20"/>
        <v>0</v>
      </c>
      <c r="Y95">
        <f t="shared" ca="1" si="21"/>
        <v>0</v>
      </c>
      <c r="Z95">
        <f t="shared" ca="1" si="22"/>
        <v>0</v>
      </c>
      <c r="AA95">
        <f t="shared" ca="1" si="23"/>
        <v>0</v>
      </c>
    </row>
    <row r="96" spans="1:27" x14ac:dyDescent="0.25">
      <c r="A96">
        <f t="shared" ca="1" si="16"/>
        <v>0</v>
      </c>
      <c r="B96" t="str">
        <f t="shared" ca="1" si="17"/>
        <v/>
      </c>
      <c r="C96" t="str">
        <f t="shared" si="18"/>
        <v/>
      </c>
      <c r="D96" t="s">
        <v>3</v>
      </c>
      <c r="E96" t="s">
        <v>1046</v>
      </c>
      <c r="F96" s="3" t="s">
        <v>253</v>
      </c>
      <c r="G96" s="11" t="s">
        <v>253</v>
      </c>
      <c r="H96" s="11" t="s">
        <v>253</v>
      </c>
      <c r="I96" s="3" t="s">
        <v>253</v>
      </c>
      <c r="J96" s="3" t="s">
        <v>253</v>
      </c>
      <c r="K96" s="3" t="s">
        <v>253</v>
      </c>
      <c r="L96" s="3" t="s">
        <v>253</v>
      </c>
      <c r="M96" t="str">
        <f>IF(LEN(H96),MATCH(H96,'MPIO_SFIO Table'!$A$11:$A$65525,0)-1,"")</f>
        <v/>
      </c>
      <c r="N96" t="str">
        <f>IF(LEN(I96),MATCH(I96,'MPIO_SFIO Table'!$A$11:$A$65525,0)-1,"")</f>
        <v/>
      </c>
      <c r="O96" t="str">
        <f>IF(LEN(J96),MATCH(J96,'MPIO_SFIO Table'!$A$11:$A$65525,0)-1,"")</f>
        <v/>
      </c>
      <c r="P96" t="str">
        <f>IF(LEN(K96),MATCH(K96,'MPIO_SFIO Table'!$A$11:$A$65525,0)-1,"")</f>
        <v/>
      </c>
      <c r="Q96" t="str">
        <f>IF(LEN(L96),MATCH(L96,'MPIO_SFIO Table'!$A$11:$A$65525,0)-1,"")</f>
        <v/>
      </c>
      <c r="R96" t="str">
        <f ca="1">IF(ISNUMBER(M96),OFFSET('MPIO_SFIO Table'!$AJ$11,M96,0),"")</f>
        <v/>
      </c>
      <c r="S96" t="str">
        <f ca="1">IF(ISNUMBER(N96),OFFSET('MPIO_SFIO Table'!$AJ$11,N96,0),"")</f>
        <v/>
      </c>
      <c r="T96" t="str">
        <f ca="1">IF(ISNUMBER(O96),OFFSET('MPIO_SFIO Table'!$AJ$11,O96,0),"")</f>
        <v/>
      </c>
      <c r="U96" t="str">
        <f ca="1">IF(ISNUMBER(P96),OFFSET('MPIO_SFIO Table'!$AJ$11,P96,0),"")</f>
        <v/>
      </c>
      <c r="V96" t="str">
        <f ca="1">IF(ISNUMBER(Q96),OFFSET('MPIO_SFIO Table'!$AJ$11,Q96,0),"")</f>
        <v/>
      </c>
      <c r="W96">
        <f t="shared" ca="1" si="19"/>
        <v>0</v>
      </c>
      <c r="X96">
        <f t="shared" ca="1" si="20"/>
        <v>0</v>
      </c>
      <c r="Y96">
        <f t="shared" ca="1" si="21"/>
        <v>0</v>
      </c>
      <c r="Z96">
        <f t="shared" ca="1" si="22"/>
        <v>0</v>
      </c>
      <c r="AA96">
        <f t="shared" ca="1" si="23"/>
        <v>0</v>
      </c>
    </row>
    <row r="97" spans="1:27" x14ac:dyDescent="0.25">
      <c r="A97">
        <f t="shared" ca="1" si="16"/>
        <v>0</v>
      </c>
      <c r="B97" t="str">
        <f t="shared" ca="1" si="17"/>
        <v/>
      </c>
      <c r="C97" t="str">
        <f t="shared" si="18"/>
        <v>GPIO</v>
      </c>
      <c r="D97" t="s">
        <v>253</v>
      </c>
      <c r="E97" t="s">
        <v>253</v>
      </c>
      <c r="F97" s="3" t="s">
        <v>2571</v>
      </c>
      <c r="G97" s="11" t="s">
        <v>950</v>
      </c>
      <c r="H97" s="11" t="s">
        <v>183</v>
      </c>
      <c r="I97" s="3" t="s">
        <v>253</v>
      </c>
      <c r="J97" s="3" t="s">
        <v>253</v>
      </c>
      <c r="K97" s="3" t="s">
        <v>253</v>
      </c>
      <c r="L97" s="3" t="s">
        <v>253</v>
      </c>
      <c r="M97">
        <f>IF(LEN(H97),MATCH(H97,'MPIO_SFIO Table'!$A$11:$A$65525,0)-1,"")</f>
        <v>188</v>
      </c>
      <c r="N97" t="str">
        <f>IF(LEN(I97),MATCH(I97,'MPIO_SFIO Table'!$A$11:$A$65525,0)-1,"")</f>
        <v/>
      </c>
      <c r="O97" t="str">
        <f>IF(LEN(J97),MATCH(J97,'MPIO_SFIO Table'!$A$11:$A$65525,0)-1,"")</f>
        <v/>
      </c>
      <c r="P97" t="str">
        <f>IF(LEN(K97),MATCH(K97,'MPIO_SFIO Table'!$A$11:$A$65525,0)-1,"")</f>
        <v/>
      </c>
      <c r="Q97" t="str">
        <f>IF(LEN(L97),MATCH(L97,'MPIO_SFIO Table'!$A$11:$A$65525,0)-1,"")</f>
        <v/>
      </c>
      <c r="R97" t="str">
        <f ca="1">IF(ISNUMBER(M97),OFFSET('MPIO_SFIO Table'!$AJ$11,M97,0),"")</f>
        <v>unused_CLK_32K_OUT</v>
      </c>
      <c r="S97" t="str">
        <f ca="1">IF(ISNUMBER(N97),OFFSET('MPIO_SFIO Table'!$AJ$11,N97,0),"")</f>
        <v/>
      </c>
      <c r="T97" t="str">
        <f ca="1">IF(ISNUMBER(O97),OFFSET('MPIO_SFIO Table'!$AJ$11,O97,0),"")</f>
        <v/>
      </c>
      <c r="U97" t="str">
        <f ca="1">IF(ISNUMBER(P97),OFFSET('MPIO_SFIO Table'!$AJ$11,P97,0),"")</f>
        <v/>
      </c>
      <c r="V97" t="str">
        <f ca="1">IF(ISNUMBER(Q97),OFFSET('MPIO_SFIO Table'!$AJ$11,Q97,0),"")</f>
        <v/>
      </c>
      <c r="W97">
        <f t="shared" ca="1" si="19"/>
        <v>0</v>
      </c>
      <c r="X97">
        <f t="shared" ca="1" si="20"/>
        <v>0</v>
      </c>
      <c r="Y97">
        <f t="shared" ca="1" si="21"/>
        <v>0</v>
      </c>
      <c r="Z97">
        <f t="shared" ca="1" si="22"/>
        <v>0</v>
      </c>
      <c r="AA97">
        <f t="shared" ca="1" si="23"/>
        <v>0</v>
      </c>
    </row>
    <row r="98" spans="1:27" x14ac:dyDescent="0.25">
      <c r="A98">
        <f t="shared" ca="1" si="16"/>
        <v>0</v>
      </c>
      <c r="B98" t="str">
        <f t="shared" ca="1" si="17"/>
        <v/>
      </c>
      <c r="C98" t="str">
        <f t="shared" si="18"/>
        <v>GPIO</v>
      </c>
      <c r="D98" t="s">
        <v>253</v>
      </c>
      <c r="E98" t="s">
        <v>253</v>
      </c>
      <c r="F98" s="3" t="s">
        <v>2572</v>
      </c>
      <c r="G98" s="11" t="s">
        <v>998</v>
      </c>
      <c r="H98" s="11" t="s">
        <v>232</v>
      </c>
      <c r="I98" s="3" t="s">
        <v>253</v>
      </c>
      <c r="J98" s="3" t="s">
        <v>253</v>
      </c>
      <c r="K98" s="3" t="s">
        <v>253</v>
      </c>
      <c r="L98" s="3" t="s">
        <v>253</v>
      </c>
      <c r="M98">
        <f>IF(LEN(H98),MATCH(H98,'MPIO_SFIO Table'!$A$11:$A$65525,0)-1,"")</f>
        <v>250</v>
      </c>
      <c r="N98" t="str">
        <f>IF(LEN(I98),MATCH(I98,'MPIO_SFIO Table'!$A$11:$A$65525,0)-1,"")</f>
        <v/>
      </c>
      <c r="O98" t="str">
        <f>IF(LEN(J98),MATCH(J98,'MPIO_SFIO Table'!$A$11:$A$65525,0)-1,"")</f>
        <v/>
      </c>
      <c r="P98" t="str">
        <f>IF(LEN(K98),MATCH(K98,'MPIO_SFIO Table'!$A$11:$A$65525,0)-1,"")</f>
        <v/>
      </c>
      <c r="Q98" t="str">
        <f>IF(LEN(L98),MATCH(L98,'MPIO_SFIO Table'!$A$11:$A$65525,0)-1,"")</f>
        <v/>
      </c>
      <c r="R98" t="str">
        <f ca="1">IF(ISNUMBER(M98),OFFSET('MPIO_SFIO Table'!$AJ$11,M98,0),"")</f>
        <v>unused_UART3_CTS_N</v>
      </c>
      <c r="S98" t="str">
        <f ca="1">IF(ISNUMBER(N98),OFFSET('MPIO_SFIO Table'!$AJ$11,N98,0),"")</f>
        <v/>
      </c>
      <c r="T98" t="str">
        <f ca="1">IF(ISNUMBER(O98),OFFSET('MPIO_SFIO Table'!$AJ$11,O98,0),"")</f>
        <v/>
      </c>
      <c r="U98" t="str">
        <f ca="1">IF(ISNUMBER(P98),OFFSET('MPIO_SFIO Table'!$AJ$11,P98,0),"")</f>
        <v/>
      </c>
      <c r="V98" t="str">
        <f ca="1">IF(ISNUMBER(Q98),OFFSET('MPIO_SFIO Table'!$AJ$11,Q98,0),"")</f>
        <v/>
      </c>
      <c r="W98">
        <f t="shared" ca="1" si="19"/>
        <v>0</v>
      </c>
      <c r="X98">
        <f t="shared" ca="1" si="20"/>
        <v>0</v>
      </c>
      <c r="Y98">
        <f t="shared" ca="1" si="21"/>
        <v>0</v>
      </c>
      <c r="Z98">
        <f t="shared" ca="1" si="22"/>
        <v>0</v>
      </c>
      <c r="AA98">
        <f t="shared" ca="1" si="23"/>
        <v>0</v>
      </c>
    </row>
    <row r="99" spans="1:27" x14ac:dyDescent="0.25">
      <c r="A99">
        <f t="shared" ca="1" si="16"/>
        <v>0</v>
      </c>
      <c r="B99" t="str">
        <f t="shared" ca="1" si="17"/>
        <v/>
      </c>
      <c r="C99" t="str">
        <f t="shared" si="18"/>
        <v>GPIO</v>
      </c>
      <c r="D99" t="s">
        <v>253</v>
      </c>
      <c r="E99" t="s">
        <v>253</v>
      </c>
      <c r="F99" s="3" t="s">
        <v>2573</v>
      </c>
      <c r="G99" s="11" t="s">
        <v>783</v>
      </c>
      <c r="H99" s="11" t="s">
        <v>16</v>
      </c>
      <c r="I99" s="3" t="s">
        <v>253</v>
      </c>
      <c r="J99" s="3" t="s">
        <v>253</v>
      </c>
      <c r="K99" s="3" t="s">
        <v>253</v>
      </c>
      <c r="L99" s="3" t="s">
        <v>253</v>
      </c>
      <c r="M99">
        <f>IF(LEN(H99),MATCH(H99,'MPIO_SFIO Table'!$A$11:$A$65525,0)-1,"")</f>
        <v>8</v>
      </c>
      <c r="N99" t="str">
        <f>IF(LEN(I99),MATCH(I99,'MPIO_SFIO Table'!$A$11:$A$65525,0)-1,"")</f>
        <v/>
      </c>
      <c r="O99" t="str">
        <f>IF(LEN(J99),MATCH(J99,'MPIO_SFIO Table'!$A$11:$A$65525,0)-1,"")</f>
        <v/>
      </c>
      <c r="P99" t="str">
        <f>IF(LEN(K99),MATCH(K99,'MPIO_SFIO Table'!$A$11:$A$65525,0)-1,"")</f>
        <v/>
      </c>
      <c r="Q99" t="str">
        <f>IF(LEN(L99),MATCH(L99,'MPIO_SFIO Table'!$A$11:$A$65525,0)-1,"")</f>
        <v/>
      </c>
      <c r="R99" t="str">
        <f ca="1">IF(ISNUMBER(M99),OFFSET('MPIO_SFIO Table'!$AJ$11,M99,0),"")</f>
        <v>unused_DAP2_FS</v>
      </c>
      <c r="S99" t="str">
        <f ca="1">IF(ISNUMBER(N99),OFFSET('MPIO_SFIO Table'!$AJ$11,N99,0),"")</f>
        <v/>
      </c>
      <c r="T99" t="str">
        <f ca="1">IF(ISNUMBER(O99),OFFSET('MPIO_SFIO Table'!$AJ$11,O99,0),"")</f>
        <v/>
      </c>
      <c r="U99" t="str">
        <f ca="1">IF(ISNUMBER(P99),OFFSET('MPIO_SFIO Table'!$AJ$11,P99,0),"")</f>
        <v/>
      </c>
      <c r="V99" t="str">
        <f ca="1">IF(ISNUMBER(Q99),OFFSET('MPIO_SFIO Table'!$AJ$11,Q99,0),"")</f>
        <v/>
      </c>
      <c r="W99">
        <f t="shared" ca="1" si="19"/>
        <v>0</v>
      </c>
      <c r="X99">
        <f t="shared" ca="1" si="20"/>
        <v>0</v>
      </c>
      <c r="Y99">
        <f t="shared" ca="1" si="21"/>
        <v>0</v>
      </c>
      <c r="Z99">
        <f t="shared" ca="1" si="22"/>
        <v>0</v>
      </c>
      <c r="AA99">
        <f t="shared" ca="1" si="23"/>
        <v>0</v>
      </c>
    </row>
    <row r="100" spans="1:27" x14ac:dyDescent="0.25">
      <c r="A100">
        <f t="shared" ca="1" si="16"/>
        <v>0</v>
      </c>
      <c r="B100" t="str">
        <f t="shared" ca="1" si="17"/>
        <v/>
      </c>
      <c r="C100" t="str">
        <f t="shared" si="18"/>
        <v>GPIO</v>
      </c>
      <c r="D100" t="s">
        <v>253</v>
      </c>
      <c r="E100" t="s">
        <v>253</v>
      </c>
      <c r="F100" s="3" t="s">
        <v>2574</v>
      </c>
      <c r="G100" s="11" t="s">
        <v>784</v>
      </c>
      <c r="H100" s="11" t="s">
        <v>17</v>
      </c>
      <c r="I100" s="3" t="s">
        <v>253</v>
      </c>
      <c r="J100" s="3" t="s">
        <v>253</v>
      </c>
      <c r="K100" s="3" t="s">
        <v>253</v>
      </c>
      <c r="L100" s="3" t="s">
        <v>253</v>
      </c>
      <c r="M100">
        <f>IF(LEN(H100),MATCH(H100,'MPIO_SFIO Table'!$A$11:$A$65525,0)-1,"")</f>
        <v>9</v>
      </c>
      <c r="N100" t="str">
        <f>IF(LEN(I100),MATCH(I100,'MPIO_SFIO Table'!$A$11:$A$65525,0)-1,"")</f>
        <v/>
      </c>
      <c r="O100" t="str">
        <f>IF(LEN(J100),MATCH(J100,'MPIO_SFIO Table'!$A$11:$A$65525,0)-1,"")</f>
        <v/>
      </c>
      <c r="P100" t="str">
        <f>IF(LEN(K100),MATCH(K100,'MPIO_SFIO Table'!$A$11:$A$65525,0)-1,"")</f>
        <v/>
      </c>
      <c r="Q100" t="str">
        <f>IF(LEN(L100),MATCH(L100,'MPIO_SFIO Table'!$A$11:$A$65525,0)-1,"")</f>
        <v/>
      </c>
      <c r="R100" t="str">
        <f ca="1">IF(ISNUMBER(M100),OFFSET('MPIO_SFIO Table'!$AJ$11,M100,0),"")</f>
        <v>unused_DAP2_SCLK</v>
      </c>
      <c r="S100" t="str">
        <f ca="1">IF(ISNUMBER(N100),OFFSET('MPIO_SFIO Table'!$AJ$11,N100,0),"")</f>
        <v/>
      </c>
      <c r="T100" t="str">
        <f ca="1">IF(ISNUMBER(O100),OFFSET('MPIO_SFIO Table'!$AJ$11,O100,0),"")</f>
        <v/>
      </c>
      <c r="U100" t="str">
        <f ca="1">IF(ISNUMBER(P100),OFFSET('MPIO_SFIO Table'!$AJ$11,P100,0),"")</f>
        <v/>
      </c>
      <c r="V100" t="str">
        <f ca="1">IF(ISNUMBER(Q100),OFFSET('MPIO_SFIO Table'!$AJ$11,Q100,0),"")</f>
        <v/>
      </c>
      <c r="W100">
        <f t="shared" ca="1" si="19"/>
        <v>0</v>
      </c>
      <c r="X100">
        <f t="shared" ca="1" si="20"/>
        <v>0</v>
      </c>
      <c r="Y100">
        <f t="shared" ca="1" si="21"/>
        <v>0</v>
      </c>
      <c r="Z100">
        <f t="shared" ca="1" si="22"/>
        <v>0</v>
      </c>
      <c r="AA100">
        <f t="shared" ca="1" si="23"/>
        <v>0</v>
      </c>
    </row>
    <row r="101" spans="1:27" x14ac:dyDescent="0.25">
      <c r="A101">
        <f t="shared" ca="1" si="16"/>
        <v>0</v>
      </c>
      <c r="B101" t="str">
        <f t="shared" ca="1" si="17"/>
        <v/>
      </c>
      <c r="C101" t="str">
        <f t="shared" si="18"/>
        <v>GPIO</v>
      </c>
      <c r="D101" t="s">
        <v>253</v>
      </c>
      <c r="E101" t="s">
        <v>253</v>
      </c>
      <c r="F101" s="3" t="s">
        <v>2575</v>
      </c>
      <c r="G101" s="11" t="s">
        <v>781</v>
      </c>
      <c r="H101" s="11" t="s">
        <v>14</v>
      </c>
      <c r="I101" s="3" t="s">
        <v>253</v>
      </c>
      <c r="J101" s="3" t="s">
        <v>253</v>
      </c>
      <c r="K101" s="3" t="s">
        <v>253</v>
      </c>
      <c r="L101" s="3" t="s">
        <v>253</v>
      </c>
      <c r="M101">
        <f>IF(LEN(H101),MATCH(H101,'MPIO_SFIO Table'!$A$11:$A$65525,0)-1,"")</f>
        <v>6</v>
      </c>
      <c r="N101" t="str">
        <f>IF(LEN(I101),MATCH(I101,'MPIO_SFIO Table'!$A$11:$A$65525,0)-1,"")</f>
        <v/>
      </c>
      <c r="O101" t="str">
        <f>IF(LEN(J101),MATCH(J101,'MPIO_SFIO Table'!$A$11:$A$65525,0)-1,"")</f>
        <v/>
      </c>
      <c r="P101" t="str">
        <f>IF(LEN(K101),MATCH(K101,'MPIO_SFIO Table'!$A$11:$A$65525,0)-1,"")</f>
        <v/>
      </c>
      <c r="Q101" t="str">
        <f>IF(LEN(L101),MATCH(L101,'MPIO_SFIO Table'!$A$11:$A$65525,0)-1,"")</f>
        <v/>
      </c>
      <c r="R101" t="str">
        <f ca="1">IF(ISNUMBER(M101),OFFSET('MPIO_SFIO Table'!$AJ$11,M101,0),"")</f>
        <v>unused_DAP2_DIN</v>
      </c>
      <c r="S101" t="str">
        <f ca="1">IF(ISNUMBER(N101),OFFSET('MPIO_SFIO Table'!$AJ$11,N101,0),"")</f>
        <v/>
      </c>
      <c r="T101" t="str">
        <f ca="1">IF(ISNUMBER(O101),OFFSET('MPIO_SFIO Table'!$AJ$11,O101,0),"")</f>
        <v/>
      </c>
      <c r="U101" t="str">
        <f ca="1">IF(ISNUMBER(P101),OFFSET('MPIO_SFIO Table'!$AJ$11,P101,0),"")</f>
        <v/>
      </c>
      <c r="V101" t="str">
        <f ca="1">IF(ISNUMBER(Q101),OFFSET('MPIO_SFIO Table'!$AJ$11,Q101,0),"")</f>
        <v/>
      </c>
      <c r="W101">
        <f t="shared" ca="1" si="19"/>
        <v>0</v>
      </c>
      <c r="X101">
        <f t="shared" ca="1" si="20"/>
        <v>0</v>
      </c>
      <c r="Y101">
        <f t="shared" ca="1" si="21"/>
        <v>0</v>
      </c>
      <c r="Z101">
        <f t="shared" ca="1" si="22"/>
        <v>0</v>
      </c>
      <c r="AA101">
        <f t="shared" ca="1" si="23"/>
        <v>0</v>
      </c>
    </row>
    <row r="102" spans="1:27" x14ac:dyDescent="0.25">
      <c r="A102">
        <f t="shared" ca="1" si="16"/>
        <v>0</v>
      </c>
      <c r="B102" t="str">
        <f t="shared" ca="1" si="17"/>
        <v/>
      </c>
      <c r="C102" t="str">
        <f t="shared" si="18"/>
        <v>GPIO</v>
      </c>
      <c r="D102" t="s">
        <v>253</v>
      </c>
      <c r="E102" t="s">
        <v>253</v>
      </c>
      <c r="F102" s="3" t="s">
        <v>2576</v>
      </c>
      <c r="G102" s="11" t="s">
        <v>782</v>
      </c>
      <c r="H102" s="11" t="s">
        <v>15</v>
      </c>
      <c r="I102" s="3" t="s">
        <v>253</v>
      </c>
      <c r="J102" s="3" t="s">
        <v>253</v>
      </c>
      <c r="K102" s="3" t="s">
        <v>253</v>
      </c>
      <c r="L102" s="3" t="s">
        <v>253</v>
      </c>
      <c r="M102">
        <f>IF(LEN(H102),MATCH(H102,'MPIO_SFIO Table'!$A$11:$A$65525,0)-1,"")</f>
        <v>7</v>
      </c>
      <c r="N102" t="str">
        <f>IF(LEN(I102),MATCH(I102,'MPIO_SFIO Table'!$A$11:$A$65525,0)-1,"")</f>
        <v/>
      </c>
      <c r="O102" t="str">
        <f>IF(LEN(J102),MATCH(J102,'MPIO_SFIO Table'!$A$11:$A$65525,0)-1,"")</f>
        <v/>
      </c>
      <c r="P102" t="str">
        <f>IF(LEN(K102),MATCH(K102,'MPIO_SFIO Table'!$A$11:$A$65525,0)-1,"")</f>
        <v/>
      </c>
      <c r="Q102" t="str">
        <f>IF(LEN(L102),MATCH(L102,'MPIO_SFIO Table'!$A$11:$A$65525,0)-1,"")</f>
        <v/>
      </c>
      <c r="R102" t="str">
        <f ca="1">IF(ISNUMBER(M102),OFFSET('MPIO_SFIO Table'!$AJ$11,M102,0),"")</f>
        <v>unused_DAP2_DOUT</v>
      </c>
      <c r="S102" t="str">
        <f ca="1">IF(ISNUMBER(N102),OFFSET('MPIO_SFIO Table'!$AJ$11,N102,0),"")</f>
        <v/>
      </c>
      <c r="T102" t="str">
        <f ca="1">IF(ISNUMBER(O102),OFFSET('MPIO_SFIO Table'!$AJ$11,O102,0),"")</f>
        <v/>
      </c>
      <c r="U102" t="str">
        <f ca="1">IF(ISNUMBER(P102),OFFSET('MPIO_SFIO Table'!$AJ$11,P102,0),"")</f>
        <v/>
      </c>
      <c r="V102" t="str">
        <f ca="1">IF(ISNUMBER(Q102),OFFSET('MPIO_SFIO Table'!$AJ$11,Q102,0),"")</f>
        <v/>
      </c>
      <c r="W102">
        <f t="shared" ca="1" si="19"/>
        <v>0</v>
      </c>
      <c r="X102">
        <f t="shared" ca="1" si="20"/>
        <v>0</v>
      </c>
      <c r="Y102">
        <f t="shared" ca="1" si="21"/>
        <v>0</v>
      </c>
      <c r="Z102">
        <f t="shared" ca="1" si="22"/>
        <v>0</v>
      </c>
      <c r="AA102">
        <f t="shared" ca="1" si="23"/>
        <v>0</v>
      </c>
    </row>
    <row r="103" spans="1:27" x14ac:dyDescent="0.25">
      <c r="A103">
        <f t="shared" ca="1" si="16"/>
        <v>0</v>
      </c>
      <c r="B103" t="str">
        <f t="shared" ca="1" si="17"/>
        <v/>
      </c>
      <c r="C103" t="str">
        <f t="shared" si="18"/>
        <v>GPIO</v>
      </c>
      <c r="D103" t="s">
        <v>253</v>
      </c>
      <c r="E103" t="s">
        <v>253</v>
      </c>
      <c r="F103" s="3" t="s">
        <v>2577</v>
      </c>
      <c r="G103" s="11" t="s">
        <v>929</v>
      </c>
      <c r="H103" s="11" t="s">
        <v>162</v>
      </c>
      <c r="I103" s="3" t="s">
        <v>253</v>
      </c>
      <c r="J103" s="3" t="s">
        <v>253</v>
      </c>
      <c r="K103" s="3" t="s">
        <v>253</v>
      </c>
      <c r="L103" s="3" t="s">
        <v>253</v>
      </c>
      <c r="M103">
        <f>IF(LEN(H103),MATCH(H103,'MPIO_SFIO Table'!$A$11:$A$65525,0)-1,"")</f>
        <v>163</v>
      </c>
      <c r="N103" t="str">
        <f>IF(LEN(I103),MATCH(I103,'MPIO_SFIO Table'!$A$11:$A$65525,0)-1,"")</f>
        <v/>
      </c>
      <c r="O103" t="str">
        <f>IF(LEN(J103),MATCH(J103,'MPIO_SFIO Table'!$A$11:$A$65525,0)-1,"")</f>
        <v/>
      </c>
      <c r="P103" t="str">
        <f>IF(LEN(K103),MATCH(K103,'MPIO_SFIO Table'!$A$11:$A$65525,0)-1,"")</f>
        <v/>
      </c>
      <c r="Q103" t="str">
        <f>IF(LEN(L103),MATCH(L103,'MPIO_SFIO Table'!$A$11:$A$65525,0)-1,"")</f>
        <v/>
      </c>
      <c r="R103" t="str">
        <f ca="1">IF(ISNUMBER(M103),OFFSET('MPIO_SFIO Table'!$AJ$11,M103,0),"")</f>
        <v>unused_SDMMC3_CLK</v>
      </c>
      <c r="S103" t="str">
        <f ca="1">IF(ISNUMBER(N103),OFFSET('MPIO_SFIO Table'!$AJ$11,N103,0),"")</f>
        <v/>
      </c>
      <c r="T103" t="str">
        <f ca="1">IF(ISNUMBER(O103),OFFSET('MPIO_SFIO Table'!$AJ$11,O103,0),"")</f>
        <v/>
      </c>
      <c r="U103" t="str">
        <f ca="1">IF(ISNUMBER(P103),OFFSET('MPIO_SFIO Table'!$AJ$11,P103,0),"")</f>
        <v/>
      </c>
      <c r="V103" t="str">
        <f ca="1">IF(ISNUMBER(Q103),OFFSET('MPIO_SFIO Table'!$AJ$11,Q103,0),"")</f>
        <v/>
      </c>
      <c r="W103">
        <f t="shared" ca="1" si="19"/>
        <v>0</v>
      </c>
      <c r="X103">
        <f t="shared" ca="1" si="20"/>
        <v>0</v>
      </c>
      <c r="Y103">
        <f t="shared" ca="1" si="21"/>
        <v>0</v>
      </c>
      <c r="Z103">
        <f t="shared" ca="1" si="22"/>
        <v>0</v>
      </c>
      <c r="AA103">
        <f t="shared" ca="1" si="23"/>
        <v>0</v>
      </c>
    </row>
    <row r="104" spans="1:27" x14ac:dyDescent="0.25">
      <c r="A104">
        <f t="shared" ca="1" si="16"/>
        <v>0</v>
      </c>
      <c r="B104" t="str">
        <f t="shared" ca="1" si="17"/>
        <v/>
      </c>
      <c r="C104" t="str">
        <f t="shared" si="18"/>
        <v>GPIO</v>
      </c>
      <c r="D104" t="s">
        <v>253</v>
      </c>
      <c r="E104" t="s">
        <v>253</v>
      </c>
      <c r="F104" s="3" t="s">
        <v>2578</v>
      </c>
      <c r="G104" s="11" t="s">
        <v>930</v>
      </c>
      <c r="H104" s="11" t="s">
        <v>163</v>
      </c>
      <c r="I104" s="3" t="s">
        <v>253</v>
      </c>
      <c r="J104" s="3" t="s">
        <v>253</v>
      </c>
      <c r="K104" s="3" t="s">
        <v>253</v>
      </c>
      <c r="L104" s="3" t="s">
        <v>253</v>
      </c>
      <c r="M104">
        <f>IF(LEN(H104),MATCH(H104,'MPIO_SFIO Table'!$A$11:$A$65525,0)-1,"")</f>
        <v>164</v>
      </c>
      <c r="N104" t="str">
        <f>IF(LEN(I104),MATCH(I104,'MPIO_SFIO Table'!$A$11:$A$65525,0)-1,"")</f>
        <v/>
      </c>
      <c r="O104" t="str">
        <f>IF(LEN(J104),MATCH(J104,'MPIO_SFIO Table'!$A$11:$A$65525,0)-1,"")</f>
        <v/>
      </c>
      <c r="P104" t="str">
        <f>IF(LEN(K104),MATCH(K104,'MPIO_SFIO Table'!$A$11:$A$65525,0)-1,"")</f>
        <v/>
      </c>
      <c r="Q104" t="str">
        <f>IF(LEN(L104),MATCH(L104,'MPIO_SFIO Table'!$A$11:$A$65525,0)-1,"")</f>
        <v/>
      </c>
      <c r="R104" t="str">
        <f ca="1">IF(ISNUMBER(M104),OFFSET('MPIO_SFIO Table'!$AJ$11,M104,0),"")</f>
        <v>unused_SDMMC3_CMD</v>
      </c>
      <c r="S104" t="str">
        <f ca="1">IF(ISNUMBER(N104),OFFSET('MPIO_SFIO Table'!$AJ$11,N104,0),"")</f>
        <v/>
      </c>
      <c r="T104" t="str">
        <f ca="1">IF(ISNUMBER(O104),OFFSET('MPIO_SFIO Table'!$AJ$11,O104,0),"")</f>
        <v/>
      </c>
      <c r="U104" t="str">
        <f ca="1">IF(ISNUMBER(P104),OFFSET('MPIO_SFIO Table'!$AJ$11,P104,0),"")</f>
        <v/>
      </c>
      <c r="V104" t="str">
        <f ca="1">IF(ISNUMBER(Q104),OFFSET('MPIO_SFIO Table'!$AJ$11,Q104,0),"")</f>
        <v/>
      </c>
      <c r="W104">
        <f t="shared" ca="1" si="19"/>
        <v>0</v>
      </c>
      <c r="X104">
        <f t="shared" ca="1" si="20"/>
        <v>0</v>
      </c>
      <c r="Y104">
        <f t="shared" ca="1" si="21"/>
        <v>0</v>
      </c>
      <c r="Z104">
        <f t="shared" ca="1" si="22"/>
        <v>0</v>
      </c>
      <c r="AA104">
        <f t="shared" ca="1" si="23"/>
        <v>0</v>
      </c>
    </row>
    <row r="105" spans="1:27" x14ac:dyDescent="0.25">
      <c r="A105">
        <f t="shared" ca="1" si="16"/>
        <v>0</v>
      </c>
      <c r="B105" t="str">
        <f t="shared" ca="1" si="17"/>
        <v/>
      </c>
      <c r="C105" t="str">
        <f t="shared" si="18"/>
        <v>GPIO</v>
      </c>
      <c r="D105" t="s">
        <v>253</v>
      </c>
      <c r="E105" t="s">
        <v>253</v>
      </c>
      <c r="F105" s="3" t="s">
        <v>2579</v>
      </c>
      <c r="G105" s="11" t="s">
        <v>941</v>
      </c>
      <c r="H105" s="11" t="s">
        <v>174</v>
      </c>
      <c r="I105" s="3" t="s">
        <v>253</v>
      </c>
      <c r="J105" s="3" t="s">
        <v>253</v>
      </c>
      <c r="K105" s="3" t="s">
        <v>253</v>
      </c>
      <c r="L105" s="3" t="s">
        <v>253</v>
      </c>
      <c r="M105">
        <f>IF(LEN(H105),MATCH(H105,'MPIO_SFIO Table'!$A$11:$A$65525,0)-1,"")</f>
        <v>178</v>
      </c>
      <c r="N105" t="str">
        <f>IF(LEN(I105),MATCH(I105,'MPIO_SFIO Table'!$A$11:$A$65525,0)-1,"")</f>
        <v/>
      </c>
      <c r="O105" t="str">
        <f>IF(LEN(J105),MATCH(J105,'MPIO_SFIO Table'!$A$11:$A$65525,0)-1,"")</f>
        <v/>
      </c>
      <c r="P105" t="str">
        <f>IF(LEN(K105),MATCH(K105,'MPIO_SFIO Table'!$A$11:$A$65525,0)-1,"")</f>
        <v/>
      </c>
      <c r="Q105" t="str">
        <f>IF(LEN(L105),MATCH(L105,'MPIO_SFIO Table'!$A$11:$A$65525,0)-1,"")</f>
        <v/>
      </c>
      <c r="R105" t="str">
        <f ca="1">IF(ISNUMBER(M105),OFFSET('MPIO_SFIO Table'!$AJ$11,M105,0),"")</f>
        <v>unused_SDMMC4_DAT0</v>
      </c>
      <c r="S105" t="str">
        <f ca="1">IF(ISNUMBER(N105),OFFSET('MPIO_SFIO Table'!$AJ$11,N105,0),"")</f>
        <v/>
      </c>
      <c r="T105" t="str">
        <f ca="1">IF(ISNUMBER(O105),OFFSET('MPIO_SFIO Table'!$AJ$11,O105,0),"")</f>
        <v/>
      </c>
      <c r="U105" t="str">
        <f ca="1">IF(ISNUMBER(P105),OFFSET('MPIO_SFIO Table'!$AJ$11,P105,0),"")</f>
        <v/>
      </c>
      <c r="V105" t="str">
        <f ca="1">IF(ISNUMBER(Q105),OFFSET('MPIO_SFIO Table'!$AJ$11,Q105,0),"")</f>
        <v/>
      </c>
      <c r="W105">
        <f t="shared" ca="1" si="19"/>
        <v>0</v>
      </c>
      <c r="X105">
        <f t="shared" ca="1" si="20"/>
        <v>0</v>
      </c>
      <c r="Y105">
        <f t="shared" ca="1" si="21"/>
        <v>0</v>
      </c>
      <c r="Z105">
        <f t="shared" ca="1" si="22"/>
        <v>0</v>
      </c>
      <c r="AA105">
        <f t="shared" ca="1" si="23"/>
        <v>0</v>
      </c>
    </row>
    <row r="106" spans="1:27" x14ac:dyDescent="0.25">
      <c r="A106">
        <f t="shared" ca="1" si="16"/>
        <v>0</v>
      </c>
      <c r="B106" t="str">
        <f t="shared" ca="1" si="17"/>
        <v/>
      </c>
      <c r="C106" t="str">
        <f t="shared" si="18"/>
        <v>GPIO</v>
      </c>
      <c r="D106" t="s">
        <v>253</v>
      </c>
      <c r="E106" t="s">
        <v>253</v>
      </c>
      <c r="F106" s="3" t="s">
        <v>2580</v>
      </c>
      <c r="G106" s="11" t="s">
        <v>942</v>
      </c>
      <c r="H106" s="11" t="s">
        <v>175</v>
      </c>
      <c r="I106" s="3" t="s">
        <v>253</v>
      </c>
      <c r="J106" s="3" t="s">
        <v>253</v>
      </c>
      <c r="K106" s="3" t="s">
        <v>253</v>
      </c>
      <c r="L106" s="3" t="s">
        <v>253</v>
      </c>
      <c r="M106">
        <f>IF(LEN(H106),MATCH(H106,'MPIO_SFIO Table'!$A$11:$A$65525,0)-1,"")</f>
        <v>179</v>
      </c>
      <c r="N106" t="str">
        <f>IF(LEN(I106),MATCH(I106,'MPIO_SFIO Table'!$A$11:$A$65525,0)-1,"")</f>
        <v/>
      </c>
      <c r="O106" t="str">
        <f>IF(LEN(J106),MATCH(J106,'MPIO_SFIO Table'!$A$11:$A$65525,0)-1,"")</f>
        <v/>
      </c>
      <c r="P106" t="str">
        <f>IF(LEN(K106),MATCH(K106,'MPIO_SFIO Table'!$A$11:$A$65525,0)-1,"")</f>
        <v/>
      </c>
      <c r="Q106" t="str">
        <f>IF(LEN(L106),MATCH(L106,'MPIO_SFIO Table'!$A$11:$A$65525,0)-1,"")</f>
        <v/>
      </c>
      <c r="R106" t="str">
        <f ca="1">IF(ISNUMBER(M106),OFFSET('MPIO_SFIO Table'!$AJ$11,M106,0),"")</f>
        <v>unused_SDMMC4_DAT1</v>
      </c>
      <c r="S106" t="str">
        <f ca="1">IF(ISNUMBER(N106),OFFSET('MPIO_SFIO Table'!$AJ$11,N106,0),"")</f>
        <v/>
      </c>
      <c r="T106" t="str">
        <f ca="1">IF(ISNUMBER(O106),OFFSET('MPIO_SFIO Table'!$AJ$11,O106,0),"")</f>
        <v/>
      </c>
      <c r="U106" t="str">
        <f ca="1">IF(ISNUMBER(P106),OFFSET('MPIO_SFIO Table'!$AJ$11,P106,0),"")</f>
        <v/>
      </c>
      <c r="V106" t="str">
        <f ca="1">IF(ISNUMBER(Q106),OFFSET('MPIO_SFIO Table'!$AJ$11,Q106,0),"")</f>
        <v/>
      </c>
      <c r="W106">
        <f t="shared" ca="1" si="19"/>
        <v>0</v>
      </c>
      <c r="X106">
        <f t="shared" ca="1" si="20"/>
        <v>0</v>
      </c>
      <c r="Y106">
        <f t="shared" ca="1" si="21"/>
        <v>0</v>
      </c>
      <c r="Z106">
        <f t="shared" ca="1" si="22"/>
        <v>0</v>
      </c>
      <c r="AA106">
        <f t="shared" ca="1" si="23"/>
        <v>0</v>
      </c>
    </row>
    <row r="107" spans="1:27" x14ac:dyDescent="0.25">
      <c r="A107">
        <f t="shared" ca="1" si="16"/>
        <v>0</v>
      </c>
      <c r="B107" t="str">
        <f t="shared" ca="1" si="17"/>
        <v/>
      </c>
      <c r="C107" t="str">
        <f t="shared" si="18"/>
        <v>GPIO</v>
      </c>
      <c r="D107" t="s">
        <v>253</v>
      </c>
      <c r="E107" t="s">
        <v>253</v>
      </c>
      <c r="F107" s="3" t="s">
        <v>2581</v>
      </c>
      <c r="G107" s="11" t="s">
        <v>943</v>
      </c>
      <c r="H107" s="11" t="s">
        <v>176</v>
      </c>
      <c r="I107" s="3" t="s">
        <v>253</v>
      </c>
      <c r="J107" s="3" t="s">
        <v>253</v>
      </c>
      <c r="K107" s="3" t="s">
        <v>253</v>
      </c>
      <c r="L107" s="3" t="s">
        <v>253</v>
      </c>
      <c r="M107">
        <f>IF(LEN(H107),MATCH(H107,'MPIO_SFIO Table'!$A$11:$A$65525,0)-1,"")</f>
        <v>180</v>
      </c>
      <c r="N107" t="str">
        <f>IF(LEN(I107),MATCH(I107,'MPIO_SFIO Table'!$A$11:$A$65525,0)-1,"")</f>
        <v/>
      </c>
      <c r="O107" t="str">
        <f>IF(LEN(J107),MATCH(J107,'MPIO_SFIO Table'!$A$11:$A$65525,0)-1,"")</f>
        <v/>
      </c>
      <c r="P107" t="str">
        <f>IF(LEN(K107),MATCH(K107,'MPIO_SFIO Table'!$A$11:$A$65525,0)-1,"")</f>
        <v/>
      </c>
      <c r="Q107" t="str">
        <f>IF(LEN(L107),MATCH(L107,'MPIO_SFIO Table'!$A$11:$A$65525,0)-1,"")</f>
        <v/>
      </c>
      <c r="R107" t="str">
        <f ca="1">IF(ISNUMBER(M107),OFFSET('MPIO_SFIO Table'!$AJ$11,M107,0),"")</f>
        <v>unused_SDMMC4_DAT2</v>
      </c>
      <c r="S107" t="str">
        <f ca="1">IF(ISNUMBER(N107),OFFSET('MPIO_SFIO Table'!$AJ$11,N107,0),"")</f>
        <v/>
      </c>
      <c r="T107" t="str">
        <f ca="1">IF(ISNUMBER(O107),OFFSET('MPIO_SFIO Table'!$AJ$11,O107,0),"")</f>
        <v/>
      </c>
      <c r="U107" t="str">
        <f ca="1">IF(ISNUMBER(P107),OFFSET('MPIO_SFIO Table'!$AJ$11,P107,0),"")</f>
        <v/>
      </c>
      <c r="V107" t="str">
        <f ca="1">IF(ISNUMBER(Q107),OFFSET('MPIO_SFIO Table'!$AJ$11,Q107,0),"")</f>
        <v/>
      </c>
      <c r="W107">
        <f t="shared" ca="1" si="19"/>
        <v>0</v>
      </c>
      <c r="X107">
        <f t="shared" ca="1" si="20"/>
        <v>0</v>
      </c>
      <c r="Y107">
        <f t="shared" ca="1" si="21"/>
        <v>0</v>
      </c>
      <c r="Z107">
        <f t="shared" ca="1" si="22"/>
        <v>0</v>
      </c>
      <c r="AA107">
        <f t="shared" ca="1" si="23"/>
        <v>0</v>
      </c>
    </row>
    <row r="108" spans="1:27" x14ac:dyDescent="0.25">
      <c r="A108">
        <f t="shared" ca="1" si="16"/>
        <v>0</v>
      </c>
      <c r="B108" t="str">
        <f t="shared" ca="1" si="17"/>
        <v/>
      </c>
      <c r="C108" t="str">
        <f t="shared" si="18"/>
        <v>GPIO</v>
      </c>
      <c r="D108" t="s">
        <v>253</v>
      </c>
      <c r="E108" t="s">
        <v>253</v>
      </c>
      <c r="F108" s="3" t="s">
        <v>2582</v>
      </c>
      <c r="G108" s="11" t="s">
        <v>944</v>
      </c>
      <c r="H108" s="11" t="s">
        <v>177</v>
      </c>
      <c r="I108" s="3" t="s">
        <v>253</v>
      </c>
      <c r="J108" s="3" t="s">
        <v>253</v>
      </c>
      <c r="K108" s="3" t="s">
        <v>253</v>
      </c>
      <c r="L108" s="3" t="s">
        <v>253</v>
      </c>
      <c r="M108">
        <f>IF(LEN(H108),MATCH(H108,'MPIO_SFIO Table'!$A$11:$A$65525,0)-1,"")</f>
        <v>181</v>
      </c>
      <c r="N108" t="str">
        <f>IF(LEN(I108),MATCH(I108,'MPIO_SFIO Table'!$A$11:$A$65525,0)-1,"")</f>
        <v/>
      </c>
      <c r="O108" t="str">
        <f>IF(LEN(J108),MATCH(J108,'MPIO_SFIO Table'!$A$11:$A$65525,0)-1,"")</f>
        <v/>
      </c>
      <c r="P108" t="str">
        <f>IF(LEN(K108),MATCH(K108,'MPIO_SFIO Table'!$A$11:$A$65525,0)-1,"")</f>
        <v/>
      </c>
      <c r="Q108" t="str">
        <f>IF(LEN(L108),MATCH(L108,'MPIO_SFIO Table'!$A$11:$A$65525,0)-1,"")</f>
        <v/>
      </c>
      <c r="R108" t="str">
        <f ca="1">IF(ISNUMBER(M108),OFFSET('MPIO_SFIO Table'!$AJ$11,M108,0),"")</f>
        <v>unused_SDMMC4_DAT3</v>
      </c>
      <c r="S108" t="str">
        <f ca="1">IF(ISNUMBER(N108),OFFSET('MPIO_SFIO Table'!$AJ$11,N108,0),"")</f>
        <v/>
      </c>
      <c r="T108" t="str">
        <f ca="1">IF(ISNUMBER(O108),OFFSET('MPIO_SFIO Table'!$AJ$11,O108,0),"")</f>
        <v/>
      </c>
      <c r="U108" t="str">
        <f ca="1">IF(ISNUMBER(P108),OFFSET('MPIO_SFIO Table'!$AJ$11,P108,0),"")</f>
        <v/>
      </c>
      <c r="V108" t="str">
        <f ca="1">IF(ISNUMBER(Q108),OFFSET('MPIO_SFIO Table'!$AJ$11,Q108,0),"")</f>
        <v/>
      </c>
      <c r="W108">
        <f t="shared" ca="1" si="19"/>
        <v>0</v>
      </c>
      <c r="X108">
        <f t="shared" ca="1" si="20"/>
        <v>0</v>
      </c>
      <c r="Y108">
        <f t="shared" ca="1" si="21"/>
        <v>0</v>
      </c>
      <c r="Z108">
        <f t="shared" ca="1" si="22"/>
        <v>0</v>
      </c>
      <c r="AA108">
        <f t="shared" ca="1" si="23"/>
        <v>0</v>
      </c>
    </row>
    <row r="109" spans="1:27" x14ac:dyDescent="0.25">
      <c r="A109">
        <f t="shared" ca="1" si="16"/>
        <v>0</v>
      </c>
      <c r="B109" t="str">
        <f t="shared" ca="1" si="17"/>
        <v/>
      </c>
      <c r="C109" t="str">
        <f t="shared" si="18"/>
        <v>GPIO</v>
      </c>
      <c r="D109" t="s">
        <v>253</v>
      </c>
      <c r="E109" t="s">
        <v>253</v>
      </c>
      <c r="F109" s="3" t="s">
        <v>2583</v>
      </c>
      <c r="G109" s="11" t="s">
        <v>945</v>
      </c>
      <c r="H109" s="11" t="s">
        <v>178</v>
      </c>
      <c r="I109" s="3" t="s">
        <v>253</v>
      </c>
      <c r="J109" s="3" t="s">
        <v>253</v>
      </c>
      <c r="K109" s="3" t="s">
        <v>253</v>
      </c>
      <c r="L109" s="3" t="s">
        <v>253</v>
      </c>
      <c r="M109">
        <f>IF(LEN(H109),MATCH(H109,'MPIO_SFIO Table'!$A$11:$A$65525,0)-1,"")</f>
        <v>182</v>
      </c>
      <c r="N109" t="str">
        <f>IF(LEN(I109),MATCH(I109,'MPIO_SFIO Table'!$A$11:$A$65525,0)-1,"")</f>
        <v/>
      </c>
      <c r="O109" t="str">
        <f>IF(LEN(J109),MATCH(J109,'MPIO_SFIO Table'!$A$11:$A$65525,0)-1,"")</f>
        <v/>
      </c>
      <c r="P109" t="str">
        <f>IF(LEN(K109),MATCH(K109,'MPIO_SFIO Table'!$A$11:$A$65525,0)-1,"")</f>
        <v/>
      </c>
      <c r="Q109" t="str">
        <f>IF(LEN(L109),MATCH(L109,'MPIO_SFIO Table'!$A$11:$A$65525,0)-1,"")</f>
        <v/>
      </c>
      <c r="R109" t="str">
        <f ca="1">IF(ISNUMBER(M109),OFFSET('MPIO_SFIO Table'!$AJ$11,M109,0),"")</f>
        <v>unused_SDMMC4_DAT4</v>
      </c>
      <c r="S109" t="str">
        <f ca="1">IF(ISNUMBER(N109),OFFSET('MPIO_SFIO Table'!$AJ$11,N109,0),"")</f>
        <v/>
      </c>
      <c r="T109" t="str">
        <f ca="1">IF(ISNUMBER(O109),OFFSET('MPIO_SFIO Table'!$AJ$11,O109,0),"")</f>
        <v/>
      </c>
      <c r="U109" t="str">
        <f ca="1">IF(ISNUMBER(P109),OFFSET('MPIO_SFIO Table'!$AJ$11,P109,0),"")</f>
        <v/>
      </c>
      <c r="V109" t="str">
        <f ca="1">IF(ISNUMBER(Q109),OFFSET('MPIO_SFIO Table'!$AJ$11,Q109,0),"")</f>
        <v/>
      </c>
      <c r="W109">
        <f t="shared" ca="1" si="19"/>
        <v>0</v>
      </c>
      <c r="X109">
        <f t="shared" ca="1" si="20"/>
        <v>0</v>
      </c>
      <c r="Y109">
        <f t="shared" ca="1" si="21"/>
        <v>0</v>
      </c>
      <c r="Z109">
        <f t="shared" ca="1" si="22"/>
        <v>0</v>
      </c>
      <c r="AA109">
        <f t="shared" ca="1" si="23"/>
        <v>0</v>
      </c>
    </row>
    <row r="110" spans="1:27" x14ac:dyDescent="0.25">
      <c r="A110">
        <f t="shared" ca="1" si="16"/>
        <v>0</v>
      </c>
      <c r="B110" t="str">
        <f t="shared" ca="1" si="17"/>
        <v/>
      </c>
      <c r="C110" t="str">
        <f t="shared" si="18"/>
        <v>GPIO</v>
      </c>
      <c r="D110" t="s">
        <v>253</v>
      </c>
      <c r="E110" t="s">
        <v>253</v>
      </c>
      <c r="F110" s="3" t="s">
        <v>2584</v>
      </c>
      <c r="G110" s="11" t="s">
        <v>946</v>
      </c>
      <c r="H110" s="11" t="s">
        <v>179</v>
      </c>
      <c r="I110" s="3" t="s">
        <v>253</v>
      </c>
      <c r="J110" s="3" t="s">
        <v>253</v>
      </c>
      <c r="K110" s="3" t="s">
        <v>253</v>
      </c>
      <c r="L110" s="3" t="s">
        <v>253</v>
      </c>
      <c r="M110">
        <f>IF(LEN(H110),MATCH(H110,'MPIO_SFIO Table'!$A$11:$A$65525,0)-1,"")</f>
        <v>183</v>
      </c>
      <c r="N110" t="str">
        <f>IF(LEN(I110),MATCH(I110,'MPIO_SFIO Table'!$A$11:$A$65525,0)-1,"")</f>
        <v/>
      </c>
      <c r="O110" t="str">
        <f>IF(LEN(J110),MATCH(J110,'MPIO_SFIO Table'!$A$11:$A$65525,0)-1,"")</f>
        <v/>
      </c>
      <c r="P110" t="str">
        <f>IF(LEN(K110),MATCH(K110,'MPIO_SFIO Table'!$A$11:$A$65525,0)-1,"")</f>
        <v/>
      </c>
      <c r="Q110" t="str">
        <f>IF(LEN(L110),MATCH(L110,'MPIO_SFIO Table'!$A$11:$A$65525,0)-1,"")</f>
        <v/>
      </c>
      <c r="R110" t="str">
        <f ca="1">IF(ISNUMBER(M110),OFFSET('MPIO_SFIO Table'!$AJ$11,M110,0),"")</f>
        <v>unused_SDMMC4_DAT5</v>
      </c>
      <c r="S110" t="str">
        <f ca="1">IF(ISNUMBER(N110),OFFSET('MPIO_SFIO Table'!$AJ$11,N110,0),"")</f>
        <v/>
      </c>
      <c r="T110" t="str">
        <f ca="1">IF(ISNUMBER(O110),OFFSET('MPIO_SFIO Table'!$AJ$11,O110,0),"")</f>
        <v/>
      </c>
      <c r="U110" t="str">
        <f ca="1">IF(ISNUMBER(P110),OFFSET('MPIO_SFIO Table'!$AJ$11,P110,0),"")</f>
        <v/>
      </c>
      <c r="V110" t="str">
        <f ca="1">IF(ISNUMBER(Q110),OFFSET('MPIO_SFIO Table'!$AJ$11,Q110,0),"")</f>
        <v/>
      </c>
      <c r="W110">
        <f t="shared" ca="1" si="19"/>
        <v>0</v>
      </c>
      <c r="X110">
        <f t="shared" ca="1" si="20"/>
        <v>0</v>
      </c>
      <c r="Y110">
        <f t="shared" ca="1" si="21"/>
        <v>0</v>
      </c>
      <c r="Z110">
        <f t="shared" ca="1" si="22"/>
        <v>0</v>
      </c>
      <c r="AA110">
        <f t="shared" ca="1" si="23"/>
        <v>0</v>
      </c>
    </row>
    <row r="111" spans="1:27" x14ac:dyDescent="0.25">
      <c r="A111">
        <f t="shared" ca="1" si="16"/>
        <v>0</v>
      </c>
      <c r="B111" t="str">
        <f t="shared" ca="1" si="17"/>
        <v/>
      </c>
      <c r="C111" t="str">
        <f t="shared" si="18"/>
        <v>GPIO</v>
      </c>
      <c r="D111" t="s">
        <v>253</v>
      </c>
      <c r="E111" t="s">
        <v>253</v>
      </c>
      <c r="F111" s="3" t="s">
        <v>2585</v>
      </c>
      <c r="G111" s="11" t="s">
        <v>947</v>
      </c>
      <c r="H111" s="11" t="s">
        <v>180</v>
      </c>
      <c r="I111" s="3" t="s">
        <v>253</v>
      </c>
      <c r="J111" s="3" t="s">
        <v>253</v>
      </c>
      <c r="K111" s="3" t="s">
        <v>253</v>
      </c>
      <c r="L111" s="3" t="s">
        <v>253</v>
      </c>
      <c r="M111">
        <f>IF(LEN(H111),MATCH(H111,'MPIO_SFIO Table'!$A$11:$A$65525,0)-1,"")</f>
        <v>184</v>
      </c>
      <c r="N111" t="str">
        <f>IF(LEN(I111),MATCH(I111,'MPIO_SFIO Table'!$A$11:$A$65525,0)-1,"")</f>
        <v/>
      </c>
      <c r="O111" t="str">
        <f>IF(LEN(J111),MATCH(J111,'MPIO_SFIO Table'!$A$11:$A$65525,0)-1,"")</f>
        <v/>
      </c>
      <c r="P111" t="str">
        <f>IF(LEN(K111),MATCH(K111,'MPIO_SFIO Table'!$A$11:$A$65525,0)-1,"")</f>
        <v/>
      </c>
      <c r="Q111" t="str">
        <f>IF(LEN(L111),MATCH(L111,'MPIO_SFIO Table'!$A$11:$A$65525,0)-1,"")</f>
        <v/>
      </c>
      <c r="R111" t="str">
        <f ca="1">IF(ISNUMBER(M111),OFFSET('MPIO_SFIO Table'!$AJ$11,M111,0),"")</f>
        <v>unused_SDMMC4_DAT6</v>
      </c>
      <c r="S111" t="str">
        <f ca="1">IF(ISNUMBER(N111),OFFSET('MPIO_SFIO Table'!$AJ$11,N111,0),"")</f>
        <v/>
      </c>
      <c r="T111" t="str">
        <f ca="1">IF(ISNUMBER(O111),OFFSET('MPIO_SFIO Table'!$AJ$11,O111,0),"")</f>
        <v/>
      </c>
      <c r="U111" t="str">
        <f ca="1">IF(ISNUMBER(P111),OFFSET('MPIO_SFIO Table'!$AJ$11,P111,0),"")</f>
        <v/>
      </c>
      <c r="V111" t="str">
        <f ca="1">IF(ISNUMBER(Q111),OFFSET('MPIO_SFIO Table'!$AJ$11,Q111,0),"")</f>
        <v/>
      </c>
      <c r="W111">
        <f t="shared" ca="1" si="19"/>
        <v>0</v>
      </c>
      <c r="X111">
        <f t="shared" ca="1" si="20"/>
        <v>0</v>
      </c>
      <c r="Y111">
        <f t="shared" ca="1" si="21"/>
        <v>0</v>
      </c>
      <c r="Z111">
        <f t="shared" ca="1" si="22"/>
        <v>0</v>
      </c>
      <c r="AA111">
        <f t="shared" ca="1" si="23"/>
        <v>0</v>
      </c>
    </row>
    <row r="112" spans="1:27" x14ac:dyDescent="0.25">
      <c r="A112">
        <f t="shared" ca="1" si="16"/>
        <v>0</v>
      </c>
      <c r="B112" t="str">
        <f t="shared" ca="1" si="17"/>
        <v/>
      </c>
      <c r="C112" t="str">
        <f t="shared" si="18"/>
        <v>GPIO</v>
      </c>
      <c r="D112" t="s">
        <v>253</v>
      </c>
      <c r="E112" t="s">
        <v>253</v>
      </c>
      <c r="F112" s="3" t="s">
        <v>2586</v>
      </c>
      <c r="G112" s="11" t="s">
        <v>948</v>
      </c>
      <c r="H112" s="11" t="s">
        <v>181</v>
      </c>
      <c r="I112" s="3" t="s">
        <v>253</v>
      </c>
      <c r="J112" s="3" t="s">
        <v>253</v>
      </c>
      <c r="K112" s="3" t="s">
        <v>253</v>
      </c>
      <c r="L112" s="3" t="s">
        <v>253</v>
      </c>
      <c r="M112">
        <f>IF(LEN(H112),MATCH(H112,'MPIO_SFIO Table'!$A$11:$A$65525,0)-1,"")</f>
        <v>185</v>
      </c>
      <c r="N112" t="str">
        <f>IF(LEN(I112),MATCH(I112,'MPIO_SFIO Table'!$A$11:$A$65525,0)-1,"")</f>
        <v/>
      </c>
      <c r="O112" t="str">
        <f>IF(LEN(J112),MATCH(J112,'MPIO_SFIO Table'!$A$11:$A$65525,0)-1,"")</f>
        <v/>
      </c>
      <c r="P112" t="str">
        <f>IF(LEN(K112),MATCH(K112,'MPIO_SFIO Table'!$A$11:$A$65525,0)-1,"")</f>
        <v/>
      </c>
      <c r="Q112" t="str">
        <f>IF(LEN(L112),MATCH(L112,'MPIO_SFIO Table'!$A$11:$A$65525,0)-1,"")</f>
        <v/>
      </c>
      <c r="R112" t="str">
        <f ca="1">IF(ISNUMBER(M112),OFFSET('MPIO_SFIO Table'!$AJ$11,M112,0),"")</f>
        <v>unused_SDMMC4_DAT7</v>
      </c>
      <c r="S112" t="str">
        <f ca="1">IF(ISNUMBER(N112),OFFSET('MPIO_SFIO Table'!$AJ$11,N112,0),"")</f>
        <v/>
      </c>
      <c r="T112" t="str">
        <f ca="1">IF(ISNUMBER(O112),OFFSET('MPIO_SFIO Table'!$AJ$11,O112,0),"")</f>
        <v/>
      </c>
      <c r="U112" t="str">
        <f ca="1">IF(ISNUMBER(P112),OFFSET('MPIO_SFIO Table'!$AJ$11,P112,0),"")</f>
        <v/>
      </c>
      <c r="V112" t="str">
        <f ca="1">IF(ISNUMBER(Q112),OFFSET('MPIO_SFIO Table'!$AJ$11,Q112,0),"")</f>
        <v/>
      </c>
      <c r="W112">
        <f t="shared" ca="1" si="19"/>
        <v>0</v>
      </c>
      <c r="X112">
        <f t="shared" ca="1" si="20"/>
        <v>0</v>
      </c>
      <c r="Y112">
        <f t="shared" ca="1" si="21"/>
        <v>0</v>
      </c>
      <c r="Z112">
        <f t="shared" ca="1" si="22"/>
        <v>0</v>
      </c>
      <c r="AA112">
        <f t="shared" ca="1" si="23"/>
        <v>0</v>
      </c>
    </row>
    <row r="113" spans="1:27" x14ac:dyDescent="0.25">
      <c r="A113">
        <f t="shared" ca="1" si="16"/>
        <v>0</v>
      </c>
      <c r="B113" t="str">
        <f t="shared" ca="1" si="17"/>
        <v/>
      </c>
      <c r="C113" t="str">
        <f t="shared" si="18"/>
        <v>GPIO</v>
      </c>
      <c r="D113" t="s">
        <v>253</v>
      </c>
      <c r="E113" t="s">
        <v>253</v>
      </c>
      <c r="F113" s="3" t="s">
        <v>2587</v>
      </c>
      <c r="G113" s="11" t="s">
        <v>829</v>
      </c>
      <c r="H113" s="11" t="s">
        <v>62</v>
      </c>
      <c r="I113" s="3" t="s">
        <v>253</v>
      </c>
      <c r="J113" s="3" t="s">
        <v>253</v>
      </c>
      <c r="K113" s="3" t="s">
        <v>253</v>
      </c>
      <c r="L113" s="3" t="s">
        <v>253</v>
      </c>
      <c r="M113">
        <f>IF(LEN(H113),MATCH(H113,'MPIO_SFIO Table'!$A$11:$A$65525,0)-1,"")</f>
        <v>57</v>
      </c>
      <c r="N113" t="str">
        <f>IF(LEN(I113),MATCH(I113,'MPIO_SFIO Table'!$A$11:$A$65525,0)-1,"")</f>
        <v/>
      </c>
      <c r="O113" t="str">
        <f>IF(LEN(J113),MATCH(J113,'MPIO_SFIO Table'!$A$11:$A$65525,0)-1,"")</f>
        <v/>
      </c>
      <c r="P113" t="str">
        <f>IF(LEN(K113),MATCH(K113,'MPIO_SFIO Table'!$A$11:$A$65525,0)-1,"")</f>
        <v/>
      </c>
      <c r="Q113" t="str">
        <f>IF(LEN(L113),MATCH(L113,'MPIO_SFIO Table'!$A$11:$A$65525,0)-1,"")</f>
        <v/>
      </c>
      <c r="R113" t="str">
        <f ca="1">IF(ISNUMBER(M113),OFFSET('MPIO_SFIO Table'!$AJ$11,M113,0),"")</f>
        <v>unused_GMI_A17</v>
      </c>
      <c r="S113" t="str">
        <f ca="1">IF(ISNUMBER(N113),OFFSET('MPIO_SFIO Table'!$AJ$11,N113,0),"")</f>
        <v/>
      </c>
      <c r="T113" t="str">
        <f ca="1">IF(ISNUMBER(O113),OFFSET('MPIO_SFIO Table'!$AJ$11,O113,0),"")</f>
        <v/>
      </c>
      <c r="U113" t="str">
        <f ca="1">IF(ISNUMBER(P113),OFFSET('MPIO_SFIO Table'!$AJ$11,P113,0),"")</f>
        <v/>
      </c>
      <c r="V113" t="str">
        <f ca="1">IF(ISNUMBER(Q113),OFFSET('MPIO_SFIO Table'!$AJ$11,Q113,0),"")</f>
        <v/>
      </c>
      <c r="W113">
        <f t="shared" ca="1" si="19"/>
        <v>0</v>
      </c>
      <c r="X113">
        <f t="shared" ca="1" si="20"/>
        <v>0</v>
      </c>
      <c r="Y113">
        <f t="shared" ca="1" si="21"/>
        <v>0</v>
      </c>
      <c r="Z113">
        <f t="shared" ca="1" si="22"/>
        <v>0</v>
      </c>
      <c r="AA113">
        <f t="shared" ca="1" si="23"/>
        <v>0</v>
      </c>
    </row>
    <row r="114" spans="1:27" x14ac:dyDescent="0.25">
      <c r="A114">
        <f t="shared" ca="1" si="16"/>
        <v>0</v>
      </c>
      <c r="B114" t="str">
        <f t="shared" ca="1" si="17"/>
        <v/>
      </c>
      <c r="C114" t="str">
        <f t="shared" si="18"/>
        <v>GPIO</v>
      </c>
      <c r="D114" t="s">
        <v>253</v>
      </c>
      <c r="E114" t="s">
        <v>253</v>
      </c>
      <c r="F114" s="3" t="s">
        <v>2588</v>
      </c>
      <c r="G114" s="11" t="s">
        <v>830</v>
      </c>
      <c r="H114" s="11" t="s">
        <v>63</v>
      </c>
      <c r="I114" s="3" t="s">
        <v>253</v>
      </c>
      <c r="J114" s="3" t="s">
        <v>253</v>
      </c>
      <c r="K114" s="3" t="s">
        <v>253</v>
      </c>
      <c r="L114" s="3" t="s">
        <v>253</v>
      </c>
      <c r="M114">
        <f>IF(LEN(H114),MATCH(H114,'MPIO_SFIO Table'!$A$11:$A$65525,0)-1,"")</f>
        <v>58</v>
      </c>
      <c r="N114" t="str">
        <f>IF(LEN(I114),MATCH(I114,'MPIO_SFIO Table'!$A$11:$A$65525,0)-1,"")</f>
        <v/>
      </c>
      <c r="O114" t="str">
        <f>IF(LEN(J114),MATCH(J114,'MPIO_SFIO Table'!$A$11:$A$65525,0)-1,"")</f>
        <v/>
      </c>
      <c r="P114" t="str">
        <f>IF(LEN(K114),MATCH(K114,'MPIO_SFIO Table'!$A$11:$A$65525,0)-1,"")</f>
        <v/>
      </c>
      <c r="Q114" t="str">
        <f>IF(LEN(L114),MATCH(L114,'MPIO_SFIO Table'!$A$11:$A$65525,0)-1,"")</f>
        <v/>
      </c>
      <c r="R114" t="str">
        <f ca="1">IF(ISNUMBER(M114),OFFSET('MPIO_SFIO Table'!$AJ$11,M114,0),"")</f>
        <v>unused_GMI_A18</v>
      </c>
      <c r="S114" t="str">
        <f ca="1">IF(ISNUMBER(N114),OFFSET('MPIO_SFIO Table'!$AJ$11,N114,0),"")</f>
        <v/>
      </c>
      <c r="T114" t="str">
        <f ca="1">IF(ISNUMBER(O114),OFFSET('MPIO_SFIO Table'!$AJ$11,O114,0),"")</f>
        <v/>
      </c>
      <c r="U114" t="str">
        <f ca="1">IF(ISNUMBER(P114),OFFSET('MPIO_SFIO Table'!$AJ$11,P114,0),"")</f>
        <v/>
      </c>
      <c r="V114" t="str">
        <f ca="1">IF(ISNUMBER(Q114),OFFSET('MPIO_SFIO Table'!$AJ$11,Q114,0),"")</f>
        <v/>
      </c>
      <c r="W114">
        <f t="shared" ca="1" si="19"/>
        <v>0</v>
      </c>
      <c r="X114">
        <f t="shared" ca="1" si="20"/>
        <v>0</v>
      </c>
      <c r="Y114">
        <f t="shared" ca="1" si="21"/>
        <v>0</v>
      </c>
      <c r="Z114">
        <f t="shared" ca="1" si="22"/>
        <v>0</v>
      </c>
      <c r="AA114">
        <f t="shared" ca="1" si="23"/>
        <v>0</v>
      </c>
    </row>
    <row r="115" spans="1:27" x14ac:dyDescent="0.25">
      <c r="A115">
        <f t="shared" ca="1" si="16"/>
        <v>0</v>
      </c>
      <c r="B115" t="str">
        <f t="shared" ca="1" si="17"/>
        <v/>
      </c>
      <c r="C115" t="str">
        <f t="shared" si="18"/>
        <v>GPIO</v>
      </c>
      <c r="D115" t="s">
        <v>253</v>
      </c>
      <c r="E115" t="s">
        <v>253</v>
      </c>
      <c r="F115" s="3" t="s">
        <v>2589</v>
      </c>
      <c r="G115" s="11" t="s">
        <v>901</v>
      </c>
      <c r="H115" s="11" t="s">
        <v>134</v>
      </c>
      <c r="I115" s="3" t="s">
        <v>253</v>
      </c>
      <c r="J115" s="3" t="s">
        <v>253</v>
      </c>
      <c r="K115" s="3" t="s">
        <v>253</v>
      </c>
      <c r="L115" s="3" t="s">
        <v>253</v>
      </c>
      <c r="M115">
        <f>IF(LEN(H115),MATCH(H115,'MPIO_SFIO Table'!$A$11:$A$65525,0)-1,"")</f>
        <v>130</v>
      </c>
      <c r="N115" t="str">
        <f>IF(LEN(I115),MATCH(I115,'MPIO_SFIO Table'!$A$11:$A$65525,0)-1,"")</f>
        <v/>
      </c>
      <c r="O115" t="str">
        <f>IF(LEN(J115),MATCH(J115,'MPIO_SFIO Table'!$A$11:$A$65525,0)-1,"")</f>
        <v/>
      </c>
      <c r="P115" t="str">
        <f>IF(LEN(K115),MATCH(K115,'MPIO_SFIO Table'!$A$11:$A$65525,0)-1,"")</f>
        <v/>
      </c>
      <c r="Q115" t="str">
        <f>IF(LEN(L115),MATCH(L115,'MPIO_SFIO Table'!$A$11:$A$65525,0)-1,"")</f>
        <v/>
      </c>
      <c r="R115" t="str">
        <f ca="1">IF(ISNUMBER(M115),OFFSET('MPIO_SFIO Table'!$AJ$11,M115,0),"")</f>
        <v>unused_LCD_PWR0</v>
      </c>
      <c r="S115" t="str">
        <f ca="1">IF(ISNUMBER(N115),OFFSET('MPIO_SFIO Table'!$AJ$11,N115,0),"")</f>
        <v/>
      </c>
      <c r="T115" t="str">
        <f ca="1">IF(ISNUMBER(O115),OFFSET('MPIO_SFIO Table'!$AJ$11,O115,0),"")</f>
        <v/>
      </c>
      <c r="U115" t="str">
        <f ca="1">IF(ISNUMBER(P115),OFFSET('MPIO_SFIO Table'!$AJ$11,P115,0),"")</f>
        <v/>
      </c>
      <c r="V115" t="str">
        <f ca="1">IF(ISNUMBER(Q115),OFFSET('MPIO_SFIO Table'!$AJ$11,Q115,0),"")</f>
        <v/>
      </c>
      <c r="W115">
        <f t="shared" ca="1" si="19"/>
        <v>0</v>
      </c>
      <c r="X115">
        <f t="shared" ca="1" si="20"/>
        <v>0</v>
      </c>
      <c r="Y115">
        <f t="shared" ca="1" si="21"/>
        <v>0</v>
      </c>
      <c r="Z115">
        <f t="shared" ca="1" si="22"/>
        <v>0</v>
      </c>
      <c r="AA115">
        <f t="shared" ca="1" si="23"/>
        <v>0</v>
      </c>
    </row>
    <row r="116" spans="1:27" x14ac:dyDescent="0.25">
      <c r="A116">
        <f t="shared" ca="1" si="16"/>
        <v>0</v>
      </c>
      <c r="B116" t="str">
        <f t="shared" ca="1" si="17"/>
        <v/>
      </c>
      <c r="C116" t="str">
        <f t="shared" si="18"/>
        <v>GPIO</v>
      </c>
      <c r="D116" t="s">
        <v>253</v>
      </c>
      <c r="E116" t="s">
        <v>253</v>
      </c>
      <c r="F116" s="3" t="s">
        <v>2590</v>
      </c>
      <c r="G116" s="11" t="s">
        <v>900</v>
      </c>
      <c r="H116" s="11" t="s">
        <v>133</v>
      </c>
      <c r="I116" s="3" t="s">
        <v>253</v>
      </c>
      <c r="J116" s="3" t="s">
        <v>253</v>
      </c>
      <c r="K116" s="3" t="s">
        <v>253</v>
      </c>
      <c r="L116" s="3" t="s">
        <v>253</v>
      </c>
      <c r="M116">
        <f>IF(LEN(H116),MATCH(H116,'MPIO_SFIO Table'!$A$11:$A$65525,0)-1,"")</f>
        <v>129</v>
      </c>
      <c r="N116" t="str">
        <f>IF(LEN(I116),MATCH(I116,'MPIO_SFIO Table'!$A$11:$A$65525,0)-1,"")</f>
        <v/>
      </c>
      <c r="O116" t="str">
        <f>IF(LEN(J116),MATCH(J116,'MPIO_SFIO Table'!$A$11:$A$65525,0)-1,"")</f>
        <v/>
      </c>
      <c r="P116" t="str">
        <f>IF(LEN(K116),MATCH(K116,'MPIO_SFIO Table'!$A$11:$A$65525,0)-1,"")</f>
        <v/>
      </c>
      <c r="Q116" t="str">
        <f>IF(LEN(L116),MATCH(L116,'MPIO_SFIO Table'!$A$11:$A$65525,0)-1,"")</f>
        <v/>
      </c>
      <c r="R116" t="str">
        <f ca="1">IF(ISNUMBER(M116),OFFSET('MPIO_SFIO Table'!$AJ$11,M116,0),"")</f>
        <v>unused_LCD_PCLK</v>
      </c>
      <c r="S116" t="str">
        <f ca="1">IF(ISNUMBER(N116),OFFSET('MPIO_SFIO Table'!$AJ$11,N116,0),"")</f>
        <v/>
      </c>
      <c r="T116" t="str">
        <f ca="1">IF(ISNUMBER(O116),OFFSET('MPIO_SFIO Table'!$AJ$11,O116,0),"")</f>
        <v/>
      </c>
      <c r="U116" t="str">
        <f ca="1">IF(ISNUMBER(P116),OFFSET('MPIO_SFIO Table'!$AJ$11,P116,0),"")</f>
        <v/>
      </c>
      <c r="V116" t="str">
        <f ca="1">IF(ISNUMBER(Q116),OFFSET('MPIO_SFIO Table'!$AJ$11,Q116,0),"")</f>
        <v/>
      </c>
      <c r="W116">
        <f t="shared" ca="1" si="19"/>
        <v>0</v>
      </c>
      <c r="X116">
        <f t="shared" ca="1" si="20"/>
        <v>0</v>
      </c>
      <c r="Y116">
        <f t="shared" ca="1" si="21"/>
        <v>0</v>
      </c>
      <c r="Z116">
        <f t="shared" ca="1" si="22"/>
        <v>0</v>
      </c>
      <c r="AA116">
        <f t="shared" ca="1" si="23"/>
        <v>0</v>
      </c>
    </row>
    <row r="117" spans="1:27" x14ac:dyDescent="0.25">
      <c r="A117">
        <f t="shared" ca="1" si="16"/>
        <v>0</v>
      </c>
      <c r="B117" t="str">
        <f t="shared" ca="1" si="17"/>
        <v/>
      </c>
      <c r="C117" t="str">
        <f t="shared" si="18"/>
        <v>GPIO</v>
      </c>
      <c r="D117" t="s">
        <v>253</v>
      </c>
      <c r="E117" t="s">
        <v>253</v>
      </c>
      <c r="F117" s="3" t="s">
        <v>2591</v>
      </c>
      <c r="G117" s="11" t="s">
        <v>934</v>
      </c>
      <c r="H117" s="11" t="s">
        <v>167</v>
      </c>
      <c r="I117" s="3" t="s">
        <v>253</v>
      </c>
      <c r="J117" s="3" t="s">
        <v>253</v>
      </c>
      <c r="K117" s="3" t="s">
        <v>253</v>
      </c>
      <c r="L117" s="3" t="s">
        <v>253</v>
      </c>
      <c r="M117">
        <f>IF(LEN(H117),MATCH(H117,'MPIO_SFIO Table'!$A$11:$A$65525,0)-1,"")</f>
        <v>168</v>
      </c>
      <c r="N117" t="str">
        <f>IF(LEN(I117),MATCH(I117,'MPIO_SFIO Table'!$A$11:$A$65525,0)-1,"")</f>
        <v/>
      </c>
      <c r="O117" t="str">
        <f>IF(LEN(J117),MATCH(J117,'MPIO_SFIO Table'!$A$11:$A$65525,0)-1,"")</f>
        <v/>
      </c>
      <c r="P117" t="str">
        <f>IF(LEN(K117),MATCH(K117,'MPIO_SFIO Table'!$A$11:$A$65525,0)-1,"")</f>
        <v/>
      </c>
      <c r="Q117" t="str">
        <f>IF(LEN(L117),MATCH(L117,'MPIO_SFIO Table'!$A$11:$A$65525,0)-1,"")</f>
        <v/>
      </c>
      <c r="R117" t="str">
        <f ca="1">IF(ISNUMBER(M117),OFFSET('MPIO_SFIO Table'!$AJ$11,M117,0),"")</f>
        <v>unused_SDMMC3_DAT3</v>
      </c>
      <c r="S117" t="str">
        <f ca="1">IF(ISNUMBER(N117),OFFSET('MPIO_SFIO Table'!$AJ$11,N117,0),"")</f>
        <v/>
      </c>
      <c r="T117" t="str">
        <f ca="1">IF(ISNUMBER(O117),OFFSET('MPIO_SFIO Table'!$AJ$11,O117,0),"")</f>
        <v/>
      </c>
      <c r="U117" t="str">
        <f ca="1">IF(ISNUMBER(P117),OFFSET('MPIO_SFIO Table'!$AJ$11,P117,0),"")</f>
        <v/>
      </c>
      <c r="V117" t="str">
        <f ca="1">IF(ISNUMBER(Q117),OFFSET('MPIO_SFIO Table'!$AJ$11,Q117,0),"")</f>
        <v/>
      </c>
      <c r="W117">
        <f t="shared" ca="1" si="19"/>
        <v>0</v>
      </c>
      <c r="X117">
        <f t="shared" ca="1" si="20"/>
        <v>0</v>
      </c>
      <c r="Y117">
        <f t="shared" ca="1" si="21"/>
        <v>0</v>
      </c>
      <c r="Z117">
        <f t="shared" ca="1" si="22"/>
        <v>0</v>
      </c>
      <c r="AA117">
        <f t="shared" ca="1" si="23"/>
        <v>0</v>
      </c>
    </row>
    <row r="118" spans="1:27" x14ac:dyDescent="0.25">
      <c r="A118">
        <f t="shared" ca="1" si="16"/>
        <v>0</v>
      </c>
      <c r="B118" t="str">
        <f t="shared" ca="1" si="17"/>
        <v/>
      </c>
      <c r="C118" t="str">
        <f t="shared" si="18"/>
        <v>GPIO</v>
      </c>
      <c r="D118" t="s">
        <v>253</v>
      </c>
      <c r="E118" t="s">
        <v>253</v>
      </c>
      <c r="F118" s="3" t="s">
        <v>2592</v>
      </c>
      <c r="G118" s="11" t="s">
        <v>933</v>
      </c>
      <c r="H118" s="11" t="s">
        <v>166</v>
      </c>
      <c r="I118" s="3" t="s">
        <v>253</v>
      </c>
      <c r="J118" s="3" t="s">
        <v>253</v>
      </c>
      <c r="K118" s="3" t="s">
        <v>253</v>
      </c>
      <c r="L118" s="3" t="s">
        <v>253</v>
      </c>
      <c r="M118">
        <f>IF(LEN(H118),MATCH(H118,'MPIO_SFIO Table'!$A$11:$A$65525,0)-1,"")</f>
        <v>167</v>
      </c>
      <c r="N118" t="str">
        <f>IF(LEN(I118),MATCH(I118,'MPIO_SFIO Table'!$A$11:$A$65525,0)-1,"")</f>
        <v/>
      </c>
      <c r="O118" t="str">
        <f>IF(LEN(J118),MATCH(J118,'MPIO_SFIO Table'!$A$11:$A$65525,0)-1,"")</f>
        <v/>
      </c>
      <c r="P118" t="str">
        <f>IF(LEN(K118),MATCH(K118,'MPIO_SFIO Table'!$A$11:$A$65525,0)-1,"")</f>
        <v/>
      </c>
      <c r="Q118" t="str">
        <f>IF(LEN(L118),MATCH(L118,'MPIO_SFIO Table'!$A$11:$A$65525,0)-1,"")</f>
        <v/>
      </c>
      <c r="R118" t="str">
        <f ca="1">IF(ISNUMBER(M118),OFFSET('MPIO_SFIO Table'!$AJ$11,M118,0),"")</f>
        <v>unused_SDMMC3_DAT2</v>
      </c>
      <c r="S118" t="str">
        <f ca="1">IF(ISNUMBER(N118),OFFSET('MPIO_SFIO Table'!$AJ$11,N118,0),"")</f>
        <v/>
      </c>
      <c r="T118" t="str">
        <f ca="1">IF(ISNUMBER(O118),OFFSET('MPIO_SFIO Table'!$AJ$11,O118,0),"")</f>
        <v/>
      </c>
      <c r="U118" t="str">
        <f ca="1">IF(ISNUMBER(P118),OFFSET('MPIO_SFIO Table'!$AJ$11,P118,0),"")</f>
        <v/>
      </c>
      <c r="V118" t="str">
        <f ca="1">IF(ISNUMBER(Q118),OFFSET('MPIO_SFIO Table'!$AJ$11,Q118,0),"")</f>
        <v/>
      </c>
      <c r="W118">
        <f t="shared" ca="1" si="19"/>
        <v>0</v>
      </c>
      <c r="X118">
        <f t="shared" ca="1" si="20"/>
        <v>0</v>
      </c>
      <c r="Y118">
        <f t="shared" ca="1" si="21"/>
        <v>0</v>
      </c>
      <c r="Z118">
        <f t="shared" ca="1" si="22"/>
        <v>0</v>
      </c>
      <c r="AA118">
        <f t="shared" ca="1" si="23"/>
        <v>0</v>
      </c>
    </row>
    <row r="119" spans="1:27" x14ac:dyDescent="0.25">
      <c r="A119">
        <f t="shared" ca="1" si="16"/>
        <v>0</v>
      </c>
      <c r="B119" t="str">
        <f t="shared" ca="1" si="17"/>
        <v/>
      </c>
      <c r="C119" t="str">
        <f t="shared" si="18"/>
        <v>GPIO</v>
      </c>
      <c r="D119" t="s">
        <v>253</v>
      </c>
      <c r="E119" t="s">
        <v>253</v>
      </c>
      <c r="F119" s="3" t="s">
        <v>2593</v>
      </c>
      <c r="G119" s="11" t="s">
        <v>932</v>
      </c>
      <c r="H119" s="11" t="s">
        <v>165</v>
      </c>
      <c r="I119" s="3" t="s">
        <v>253</v>
      </c>
      <c r="J119" s="3" t="s">
        <v>253</v>
      </c>
      <c r="K119" s="3" t="s">
        <v>253</v>
      </c>
      <c r="L119" s="3" t="s">
        <v>253</v>
      </c>
      <c r="M119">
        <f>IF(LEN(H119),MATCH(H119,'MPIO_SFIO Table'!$A$11:$A$65525,0)-1,"")</f>
        <v>166</v>
      </c>
      <c r="N119" t="str">
        <f>IF(LEN(I119),MATCH(I119,'MPIO_SFIO Table'!$A$11:$A$65525,0)-1,"")</f>
        <v/>
      </c>
      <c r="O119" t="str">
        <f>IF(LEN(J119),MATCH(J119,'MPIO_SFIO Table'!$A$11:$A$65525,0)-1,"")</f>
        <v/>
      </c>
      <c r="P119" t="str">
        <f>IF(LEN(K119),MATCH(K119,'MPIO_SFIO Table'!$A$11:$A$65525,0)-1,"")</f>
        <v/>
      </c>
      <c r="Q119" t="str">
        <f>IF(LEN(L119),MATCH(L119,'MPIO_SFIO Table'!$A$11:$A$65525,0)-1,"")</f>
        <v/>
      </c>
      <c r="R119" t="str">
        <f ca="1">IF(ISNUMBER(M119),OFFSET('MPIO_SFIO Table'!$AJ$11,M119,0),"")</f>
        <v>unused_SDMMC3_DAT1</v>
      </c>
      <c r="S119" t="str">
        <f ca="1">IF(ISNUMBER(N119),OFFSET('MPIO_SFIO Table'!$AJ$11,N119,0),"")</f>
        <v/>
      </c>
      <c r="T119" t="str">
        <f ca="1">IF(ISNUMBER(O119),OFFSET('MPIO_SFIO Table'!$AJ$11,O119,0),"")</f>
        <v/>
      </c>
      <c r="U119" t="str">
        <f ca="1">IF(ISNUMBER(P119),OFFSET('MPIO_SFIO Table'!$AJ$11,P119,0),"")</f>
        <v/>
      </c>
      <c r="V119" t="str">
        <f ca="1">IF(ISNUMBER(Q119),OFFSET('MPIO_SFIO Table'!$AJ$11,Q119,0),"")</f>
        <v/>
      </c>
      <c r="W119">
        <f t="shared" ca="1" si="19"/>
        <v>0</v>
      </c>
      <c r="X119">
        <f t="shared" ca="1" si="20"/>
        <v>0</v>
      </c>
      <c r="Y119">
        <f t="shared" ca="1" si="21"/>
        <v>0</v>
      </c>
      <c r="Z119">
        <f t="shared" ca="1" si="22"/>
        <v>0</v>
      </c>
      <c r="AA119">
        <f t="shared" ca="1" si="23"/>
        <v>0</v>
      </c>
    </row>
    <row r="120" spans="1:27" x14ac:dyDescent="0.25">
      <c r="A120">
        <f t="shared" ca="1" si="16"/>
        <v>0</v>
      </c>
      <c r="B120" t="str">
        <f t="shared" ca="1" si="17"/>
        <v/>
      </c>
      <c r="C120" t="str">
        <f t="shared" si="18"/>
        <v>GPIO</v>
      </c>
      <c r="D120" t="s">
        <v>253</v>
      </c>
      <c r="E120" t="s">
        <v>253</v>
      </c>
      <c r="F120" s="3" t="s">
        <v>2594</v>
      </c>
      <c r="G120" s="11" t="s">
        <v>931</v>
      </c>
      <c r="H120" s="11" t="s">
        <v>164</v>
      </c>
      <c r="I120" s="3" t="s">
        <v>253</v>
      </c>
      <c r="J120" s="3" t="s">
        <v>253</v>
      </c>
      <c r="K120" s="3" t="s">
        <v>253</v>
      </c>
      <c r="L120" s="3" t="s">
        <v>253</v>
      </c>
      <c r="M120">
        <f>IF(LEN(H120),MATCH(H120,'MPIO_SFIO Table'!$A$11:$A$65525,0)-1,"")</f>
        <v>165</v>
      </c>
      <c r="N120" t="str">
        <f>IF(LEN(I120),MATCH(I120,'MPIO_SFIO Table'!$A$11:$A$65525,0)-1,"")</f>
        <v/>
      </c>
      <c r="O120" t="str">
        <f>IF(LEN(J120),MATCH(J120,'MPIO_SFIO Table'!$A$11:$A$65525,0)-1,"")</f>
        <v/>
      </c>
      <c r="P120" t="str">
        <f>IF(LEN(K120),MATCH(K120,'MPIO_SFIO Table'!$A$11:$A$65525,0)-1,"")</f>
        <v/>
      </c>
      <c r="Q120" t="str">
        <f>IF(LEN(L120),MATCH(L120,'MPIO_SFIO Table'!$A$11:$A$65525,0)-1,"")</f>
        <v/>
      </c>
      <c r="R120" t="str">
        <f ca="1">IF(ISNUMBER(M120),OFFSET('MPIO_SFIO Table'!$AJ$11,M120,0),"")</f>
        <v>unused_SDMMC3_DAT0</v>
      </c>
      <c r="S120" t="str">
        <f ca="1">IF(ISNUMBER(N120),OFFSET('MPIO_SFIO Table'!$AJ$11,N120,0),"")</f>
        <v/>
      </c>
      <c r="T120" t="str">
        <f ca="1">IF(ISNUMBER(O120),OFFSET('MPIO_SFIO Table'!$AJ$11,O120,0),"")</f>
        <v/>
      </c>
      <c r="U120" t="str">
        <f ca="1">IF(ISNUMBER(P120),OFFSET('MPIO_SFIO Table'!$AJ$11,P120,0),"")</f>
        <v/>
      </c>
      <c r="V120" t="str">
        <f ca="1">IF(ISNUMBER(Q120),OFFSET('MPIO_SFIO Table'!$AJ$11,Q120,0),"")</f>
        <v/>
      </c>
      <c r="W120">
        <f t="shared" ca="1" si="19"/>
        <v>0</v>
      </c>
      <c r="X120">
        <f t="shared" ca="1" si="20"/>
        <v>0</v>
      </c>
      <c r="Y120">
        <f t="shared" ca="1" si="21"/>
        <v>0</v>
      </c>
      <c r="Z120">
        <f t="shared" ca="1" si="22"/>
        <v>0</v>
      </c>
      <c r="AA120">
        <f t="shared" ca="1" si="23"/>
        <v>0</v>
      </c>
    </row>
    <row r="121" spans="1:27" x14ac:dyDescent="0.25">
      <c r="A121">
        <f t="shared" ca="1" si="16"/>
        <v>0</v>
      </c>
      <c r="B121" t="str">
        <f t="shared" ca="1" si="17"/>
        <v/>
      </c>
      <c r="C121" t="str">
        <f t="shared" si="18"/>
        <v>GPIO</v>
      </c>
      <c r="D121" t="s">
        <v>253</v>
      </c>
      <c r="E121" t="s">
        <v>253</v>
      </c>
      <c r="F121" s="3" t="s">
        <v>2595</v>
      </c>
      <c r="G121" s="11" t="s">
        <v>818</v>
      </c>
      <c r="H121" s="11" t="s">
        <v>51</v>
      </c>
      <c r="I121" s="3" t="s">
        <v>253</v>
      </c>
      <c r="J121" s="3" t="s">
        <v>253</v>
      </c>
      <c r="K121" s="3" t="s">
        <v>253</v>
      </c>
      <c r="L121" s="3" t="s">
        <v>253</v>
      </c>
      <c r="M121">
        <f>IF(LEN(H121),MATCH(H121,'MPIO_SFIO Table'!$A$11:$A$65525,0)-1,"")</f>
        <v>45</v>
      </c>
      <c r="N121" t="str">
        <f>IF(LEN(I121),MATCH(I121,'MPIO_SFIO Table'!$A$11:$A$65525,0)-1,"")</f>
        <v/>
      </c>
      <c r="O121" t="str">
        <f>IF(LEN(J121),MATCH(J121,'MPIO_SFIO Table'!$A$11:$A$65525,0)-1,"")</f>
        <v/>
      </c>
      <c r="P121" t="str">
        <f>IF(LEN(K121),MATCH(K121,'MPIO_SFIO Table'!$A$11:$A$65525,0)-1,"")</f>
        <v/>
      </c>
      <c r="Q121" t="str">
        <f>IF(LEN(L121),MATCH(L121,'MPIO_SFIO Table'!$A$11:$A$65525,0)-1,"")</f>
        <v/>
      </c>
      <c r="R121" t="str">
        <f ca="1">IF(ISNUMBER(M121),OFFSET('MPIO_SFIO Table'!$AJ$11,M121,0),"")</f>
        <v>unused_GPIO_PBB0</v>
      </c>
      <c r="S121" t="str">
        <f ca="1">IF(ISNUMBER(N121),OFFSET('MPIO_SFIO Table'!$AJ$11,N121,0),"")</f>
        <v/>
      </c>
      <c r="T121" t="str">
        <f ca="1">IF(ISNUMBER(O121),OFFSET('MPIO_SFIO Table'!$AJ$11,O121,0),"")</f>
        <v/>
      </c>
      <c r="U121" t="str">
        <f ca="1">IF(ISNUMBER(P121),OFFSET('MPIO_SFIO Table'!$AJ$11,P121,0),"")</f>
        <v/>
      </c>
      <c r="V121" t="str">
        <f ca="1">IF(ISNUMBER(Q121),OFFSET('MPIO_SFIO Table'!$AJ$11,Q121,0),"")</f>
        <v/>
      </c>
      <c r="W121">
        <f t="shared" ca="1" si="19"/>
        <v>0</v>
      </c>
      <c r="X121">
        <f t="shared" ca="1" si="20"/>
        <v>0</v>
      </c>
      <c r="Y121">
        <f t="shared" ca="1" si="21"/>
        <v>0</v>
      </c>
      <c r="Z121">
        <f t="shared" ca="1" si="22"/>
        <v>0</v>
      </c>
      <c r="AA121">
        <f t="shared" ca="1" si="23"/>
        <v>0</v>
      </c>
    </row>
    <row r="122" spans="1:27" x14ac:dyDescent="0.25">
      <c r="A122">
        <f t="shared" ca="1" si="16"/>
        <v>0</v>
      </c>
      <c r="B122" t="str">
        <f t="shared" ca="1" si="17"/>
        <v/>
      </c>
      <c r="C122" t="str">
        <f t="shared" si="18"/>
        <v>GPIO</v>
      </c>
      <c r="D122" t="s">
        <v>253</v>
      </c>
      <c r="E122" t="s">
        <v>253</v>
      </c>
      <c r="F122" s="3" t="s">
        <v>2596</v>
      </c>
      <c r="G122" s="11" t="s">
        <v>815</v>
      </c>
      <c r="H122" s="11" t="s">
        <v>48</v>
      </c>
      <c r="I122" s="3" t="s">
        <v>253</v>
      </c>
      <c r="J122" s="3" t="s">
        <v>253</v>
      </c>
      <c r="K122" s="3" t="s">
        <v>253</v>
      </c>
      <c r="L122" s="3" t="s">
        <v>253</v>
      </c>
      <c r="M122">
        <f>IF(LEN(H122),MATCH(H122,'MPIO_SFIO Table'!$A$11:$A$65525,0)-1,"")</f>
        <v>42</v>
      </c>
      <c r="N122" t="str">
        <f>IF(LEN(I122),MATCH(I122,'MPIO_SFIO Table'!$A$11:$A$65525,0)-1,"")</f>
        <v/>
      </c>
      <c r="O122" t="str">
        <f>IF(LEN(J122),MATCH(J122,'MPIO_SFIO Table'!$A$11:$A$65525,0)-1,"")</f>
        <v/>
      </c>
      <c r="P122" t="str">
        <f>IF(LEN(K122),MATCH(K122,'MPIO_SFIO Table'!$A$11:$A$65525,0)-1,"")</f>
        <v/>
      </c>
      <c r="Q122" t="str">
        <f>IF(LEN(L122),MATCH(L122,'MPIO_SFIO Table'!$A$11:$A$65525,0)-1,"")</f>
        <v/>
      </c>
      <c r="R122" t="str">
        <f ca="1">IF(ISNUMBER(M122),OFFSET('MPIO_SFIO Table'!$AJ$11,M122,0),"")</f>
        <v>unused_CAM_I2C_SCL</v>
      </c>
      <c r="S122" t="str">
        <f ca="1">IF(ISNUMBER(N122),OFFSET('MPIO_SFIO Table'!$AJ$11,N122,0),"")</f>
        <v/>
      </c>
      <c r="T122" t="str">
        <f ca="1">IF(ISNUMBER(O122),OFFSET('MPIO_SFIO Table'!$AJ$11,O122,0),"")</f>
        <v/>
      </c>
      <c r="U122" t="str">
        <f ca="1">IF(ISNUMBER(P122),OFFSET('MPIO_SFIO Table'!$AJ$11,P122,0),"")</f>
        <v/>
      </c>
      <c r="V122" t="str">
        <f ca="1">IF(ISNUMBER(Q122),OFFSET('MPIO_SFIO Table'!$AJ$11,Q122,0),"")</f>
        <v/>
      </c>
      <c r="W122">
        <f t="shared" ca="1" si="19"/>
        <v>0</v>
      </c>
      <c r="X122">
        <f t="shared" ca="1" si="20"/>
        <v>0</v>
      </c>
      <c r="Y122">
        <f t="shared" ca="1" si="21"/>
        <v>0</v>
      </c>
      <c r="Z122">
        <f t="shared" ca="1" si="22"/>
        <v>0</v>
      </c>
      <c r="AA122">
        <f t="shared" ca="1" si="23"/>
        <v>0</v>
      </c>
    </row>
    <row r="123" spans="1:27" x14ac:dyDescent="0.25">
      <c r="A123">
        <f t="shared" ca="1" si="16"/>
        <v>0</v>
      </c>
      <c r="B123" t="str">
        <f t="shared" ca="1" si="17"/>
        <v/>
      </c>
      <c r="C123" t="str">
        <f t="shared" si="18"/>
        <v>GPIO</v>
      </c>
      <c r="D123" t="s">
        <v>253</v>
      </c>
      <c r="E123" t="s">
        <v>253</v>
      </c>
      <c r="F123" s="3" t="s">
        <v>2597</v>
      </c>
      <c r="G123" s="11" t="s">
        <v>816</v>
      </c>
      <c r="H123" s="11" t="s">
        <v>49</v>
      </c>
      <c r="I123" s="3" t="s">
        <v>253</v>
      </c>
      <c r="J123" s="3" t="s">
        <v>253</v>
      </c>
      <c r="K123" s="3" t="s">
        <v>253</v>
      </c>
      <c r="L123" s="3" t="s">
        <v>253</v>
      </c>
      <c r="M123">
        <f>IF(LEN(H123),MATCH(H123,'MPIO_SFIO Table'!$A$11:$A$65525,0)-1,"")</f>
        <v>43</v>
      </c>
      <c r="N123" t="str">
        <f>IF(LEN(I123),MATCH(I123,'MPIO_SFIO Table'!$A$11:$A$65525,0)-1,"")</f>
        <v/>
      </c>
      <c r="O123" t="str">
        <f>IF(LEN(J123),MATCH(J123,'MPIO_SFIO Table'!$A$11:$A$65525,0)-1,"")</f>
        <v/>
      </c>
      <c r="P123" t="str">
        <f>IF(LEN(K123),MATCH(K123,'MPIO_SFIO Table'!$A$11:$A$65525,0)-1,"")</f>
        <v/>
      </c>
      <c r="Q123" t="str">
        <f>IF(LEN(L123),MATCH(L123,'MPIO_SFIO Table'!$A$11:$A$65525,0)-1,"")</f>
        <v/>
      </c>
      <c r="R123" t="str">
        <f ca="1">IF(ISNUMBER(M123),OFFSET('MPIO_SFIO Table'!$AJ$11,M123,0),"")</f>
        <v>unused_CAM_I2C_SDA</v>
      </c>
      <c r="S123" t="str">
        <f ca="1">IF(ISNUMBER(N123),OFFSET('MPIO_SFIO Table'!$AJ$11,N123,0),"")</f>
        <v/>
      </c>
      <c r="T123" t="str">
        <f ca="1">IF(ISNUMBER(O123),OFFSET('MPIO_SFIO Table'!$AJ$11,O123,0),"")</f>
        <v/>
      </c>
      <c r="U123" t="str">
        <f ca="1">IF(ISNUMBER(P123),OFFSET('MPIO_SFIO Table'!$AJ$11,P123,0),"")</f>
        <v/>
      </c>
      <c r="V123" t="str">
        <f ca="1">IF(ISNUMBER(Q123),OFFSET('MPIO_SFIO Table'!$AJ$11,Q123,0),"")</f>
        <v/>
      </c>
      <c r="W123">
        <f t="shared" ca="1" si="19"/>
        <v>0</v>
      </c>
      <c r="X123">
        <f t="shared" ca="1" si="20"/>
        <v>0</v>
      </c>
      <c r="Y123">
        <f t="shared" ca="1" si="21"/>
        <v>0</v>
      </c>
      <c r="Z123">
        <f t="shared" ca="1" si="22"/>
        <v>0</v>
      </c>
      <c r="AA123">
        <f t="shared" ca="1" si="23"/>
        <v>0</v>
      </c>
    </row>
    <row r="124" spans="1:27" x14ac:dyDescent="0.25">
      <c r="A124">
        <f t="shared" ca="1" si="16"/>
        <v>0</v>
      </c>
      <c r="B124" t="str">
        <f t="shared" ca="1" si="17"/>
        <v/>
      </c>
      <c r="C124" t="str">
        <f t="shared" si="18"/>
        <v>GPIO</v>
      </c>
      <c r="D124" t="s">
        <v>253</v>
      </c>
      <c r="E124" t="s">
        <v>253</v>
      </c>
      <c r="F124" s="3" t="s">
        <v>2598</v>
      </c>
      <c r="G124" s="11" t="s">
        <v>819</v>
      </c>
      <c r="H124" s="11" t="s">
        <v>52</v>
      </c>
      <c r="I124" s="3" t="s">
        <v>253</v>
      </c>
      <c r="J124" s="3" t="s">
        <v>253</v>
      </c>
      <c r="K124" s="3" t="s">
        <v>253</v>
      </c>
      <c r="L124" s="3" t="s">
        <v>253</v>
      </c>
      <c r="M124">
        <f>IF(LEN(H124),MATCH(H124,'MPIO_SFIO Table'!$A$11:$A$65525,0)-1,"")</f>
        <v>46</v>
      </c>
      <c r="N124" t="str">
        <f>IF(LEN(I124),MATCH(I124,'MPIO_SFIO Table'!$A$11:$A$65525,0)-1,"")</f>
        <v/>
      </c>
      <c r="O124" t="str">
        <f>IF(LEN(J124),MATCH(J124,'MPIO_SFIO Table'!$A$11:$A$65525,0)-1,"")</f>
        <v/>
      </c>
      <c r="P124" t="str">
        <f>IF(LEN(K124),MATCH(K124,'MPIO_SFIO Table'!$A$11:$A$65525,0)-1,"")</f>
        <v/>
      </c>
      <c r="Q124" t="str">
        <f>IF(LEN(L124),MATCH(L124,'MPIO_SFIO Table'!$A$11:$A$65525,0)-1,"")</f>
        <v/>
      </c>
      <c r="R124" t="str">
        <f ca="1">IF(ISNUMBER(M124),OFFSET('MPIO_SFIO Table'!$AJ$11,M124,0),"")</f>
        <v>unused_GPIO_PBB3</v>
      </c>
      <c r="S124" t="str">
        <f ca="1">IF(ISNUMBER(N124),OFFSET('MPIO_SFIO Table'!$AJ$11,N124,0),"")</f>
        <v/>
      </c>
      <c r="T124" t="str">
        <f ca="1">IF(ISNUMBER(O124),OFFSET('MPIO_SFIO Table'!$AJ$11,O124,0),"")</f>
        <v/>
      </c>
      <c r="U124" t="str">
        <f ca="1">IF(ISNUMBER(P124),OFFSET('MPIO_SFIO Table'!$AJ$11,P124,0),"")</f>
        <v/>
      </c>
      <c r="V124" t="str">
        <f ca="1">IF(ISNUMBER(Q124),OFFSET('MPIO_SFIO Table'!$AJ$11,Q124,0),"")</f>
        <v/>
      </c>
      <c r="W124">
        <f t="shared" ca="1" si="19"/>
        <v>0</v>
      </c>
      <c r="X124">
        <f t="shared" ca="1" si="20"/>
        <v>0</v>
      </c>
      <c r="Y124">
        <f t="shared" ca="1" si="21"/>
        <v>0</v>
      </c>
      <c r="Z124">
        <f t="shared" ca="1" si="22"/>
        <v>0</v>
      </c>
      <c r="AA124">
        <f t="shared" ca="1" si="23"/>
        <v>0</v>
      </c>
    </row>
    <row r="125" spans="1:27" x14ac:dyDescent="0.25">
      <c r="A125">
        <f t="shared" ca="1" si="16"/>
        <v>0</v>
      </c>
      <c r="B125" t="str">
        <f t="shared" ca="1" si="17"/>
        <v/>
      </c>
      <c r="C125" t="str">
        <f t="shared" si="18"/>
        <v>GPIO</v>
      </c>
      <c r="D125" t="s">
        <v>253</v>
      </c>
      <c r="E125" t="s">
        <v>253</v>
      </c>
      <c r="F125" s="3" t="s">
        <v>2599</v>
      </c>
      <c r="G125" s="11" t="s">
        <v>820</v>
      </c>
      <c r="H125" s="11" t="s">
        <v>53</v>
      </c>
      <c r="I125" s="3" t="s">
        <v>253</v>
      </c>
      <c r="J125" s="3" t="s">
        <v>253</v>
      </c>
      <c r="K125" s="3" t="s">
        <v>253</v>
      </c>
      <c r="L125" s="3" t="s">
        <v>253</v>
      </c>
      <c r="M125">
        <f>IF(LEN(H125),MATCH(H125,'MPIO_SFIO Table'!$A$11:$A$65525,0)-1,"")</f>
        <v>47</v>
      </c>
      <c r="N125" t="str">
        <f>IF(LEN(I125),MATCH(I125,'MPIO_SFIO Table'!$A$11:$A$65525,0)-1,"")</f>
        <v/>
      </c>
      <c r="O125" t="str">
        <f>IF(LEN(J125),MATCH(J125,'MPIO_SFIO Table'!$A$11:$A$65525,0)-1,"")</f>
        <v/>
      </c>
      <c r="P125" t="str">
        <f>IF(LEN(K125),MATCH(K125,'MPIO_SFIO Table'!$A$11:$A$65525,0)-1,"")</f>
        <v/>
      </c>
      <c r="Q125" t="str">
        <f>IF(LEN(L125),MATCH(L125,'MPIO_SFIO Table'!$A$11:$A$65525,0)-1,"")</f>
        <v/>
      </c>
      <c r="R125" t="str">
        <f ca="1">IF(ISNUMBER(M125),OFFSET('MPIO_SFIO Table'!$AJ$11,M125,0),"")</f>
        <v>unused_GPIO_PBB4</v>
      </c>
      <c r="S125" t="str">
        <f ca="1">IF(ISNUMBER(N125),OFFSET('MPIO_SFIO Table'!$AJ$11,N125,0),"")</f>
        <v/>
      </c>
      <c r="T125" t="str">
        <f ca="1">IF(ISNUMBER(O125),OFFSET('MPIO_SFIO Table'!$AJ$11,O125,0),"")</f>
        <v/>
      </c>
      <c r="U125" t="str">
        <f ca="1">IF(ISNUMBER(P125),OFFSET('MPIO_SFIO Table'!$AJ$11,P125,0),"")</f>
        <v/>
      </c>
      <c r="V125" t="str">
        <f ca="1">IF(ISNUMBER(Q125),OFFSET('MPIO_SFIO Table'!$AJ$11,Q125,0),"")</f>
        <v/>
      </c>
      <c r="W125">
        <f t="shared" ca="1" si="19"/>
        <v>0</v>
      </c>
      <c r="X125">
        <f t="shared" ca="1" si="20"/>
        <v>0</v>
      </c>
      <c r="Y125">
        <f t="shared" ca="1" si="21"/>
        <v>0</v>
      </c>
      <c r="Z125">
        <f t="shared" ca="1" si="22"/>
        <v>0</v>
      </c>
      <c r="AA125">
        <f t="shared" ca="1" si="23"/>
        <v>0</v>
      </c>
    </row>
    <row r="126" spans="1:27" x14ac:dyDescent="0.25">
      <c r="A126">
        <f t="shared" ca="1" si="16"/>
        <v>0</v>
      </c>
      <c r="B126" t="str">
        <f t="shared" ca="1" si="17"/>
        <v/>
      </c>
      <c r="C126" t="str">
        <f t="shared" si="18"/>
        <v>GPIO</v>
      </c>
      <c r="D126" t="s">
        <v>253</v>
      </c>
      <c r="E126" t="s">
        <v>253</v>
      </c>
      <c r="F126" s="3" t="s">
        <v>2600</v>
      </c>
      <c r="G126" s="11" t="s">
        <v>821</v>
      </c>
      <c r="H126" s="11" t="s">
        <v>54</v>
      </c>
      <c r="I126" s="3" t="s">
        <v>253</v>
      </c>
      <c r="J126" s="3" t="s">
        <v>253</v>
      </c>
      <c r="K126" s="3" t="s">
        <v>253</v>
      </c>
      <c r="L126" s="3" t="s">
        <v>253</v>
      </c>
      <c r="M126">
        <f>IF(LEN(H126),MATCH(H126,'MPIO_SFIO Table'!$A$11:$A$65525,0)-1,"")</f>
        <v>48</v>
      </c>
      <c r="N126" t="str">
        <f>IF(LEN(I126),MATCH(I126,'MPIO_SFIO Table'!$A$11:$A$65525,0)-1,"")</f>
        <v/>
      </c>
      <c r="O126" t="str">
        <f>IF(LEN(J126),MATCH(J126,'MPIO_SFIO Table'!$A$11:$A$65525,0)-1,"")</f>
        <v/>
      </c>
      <c r="P126" t="str">
        <f>IF(LEN(K126),MATCH(K126,'MPIO_SFIO Table'!$A$11:$A$65525,0)-1,"")</f>
        <v/>
      </c>
      <c r="Q126" t="str">
        <f>IF(LEN(L126),MATCH(L126,'MPIO_SFIO Table'!$A$11:$A$65525,0)-1,"")</f>
        <v/>
      </c>
      <c r="R126" t="str">
        <f ca="1">IF(ISNUMBER(M126),OFFSET('MPIO_SFIO Table'!$AJ$11,M126,0),"")</f>
        <v>unused_GPIO_PBB5</v>
      </c>
      <c r="S126" t="str">
        <f ca="1">IF(ISNUMBER(N126),OFFSET('MPIO_SFIO Table'!$AJ$11,N126,0),"")</f>
        <v/>
      </c>
      <c r="T126" t="str">
        <f ca="1">IF(ISNUMBER(O126),OFFSET('MPIO_SFIO Table'!$AJ$11,O126,0),"")</f>
        <v/>
      </c>
      <c r="U126" t="str">
        <f ca="1">IF(ISNUMBER(P126),OFFSET('MPIO_SFIO Table'!$AJ$11,P126,0),"")</f>
        <v/>
      </c>
      <c r="V126" t="str">
        <f ca="1">IF(ISNUMBER(Q126),OFFSET('MPIO_SFIO Table'!$AJ$11,Q126,0),"")</f>
        <v/>
      </c>
      <c r="W126">
        <f t="shared" ca="1" si="19"/>
        <v>0</v>
      </c>
      <c r="X126">
        <f t="shared" ca="1" si="20"/>
        <v>0</v>
      </c>
      <c r="Y126">
        <f t="shared" ca="1" si="21"/>
        <v>0</v>
      </c>
      <c r="Z126">
        <f t="shared" ca="1" si="22"/>
        <v>0</v>
      </c>
      <c r="AA126">
        <f t="shared" ca="1" si="23"/>
        <v>0</v>
      </c>
    </row>
    <row r="127" spans="1:27" x14ac:dyDescent="0.25">
      <c r="A127">
        <f t="shared" ca="1" si="16"/>
        <v>0</v>
      </c>
      <c r="B127" t="str">
        <f t="shared" ca="1" si="17"/>
        <v/>
      </c>
      <c r="C127" t="str">
        <f t="shared" si="18"/>
        <v>GPIO</v>
      </c>
      <c r="D127" t="s">
        <v>253</v>
      </c>
      <c r="E127" t="s">
        <v>253</v>
      </c>
      <c r="F127" s="3" t="s">
        <v>2601</v>
      </c>
      <c r="G127" s="11" t="s">
        <v>822</v>
      </c>
      <c r="H127" s="11" t="s">
        <v>55</v>
      </c>
      <c r="I127" s="3" t="s">
        <v>253</v>
      </c>
      <c r="J127" s="3" t="s">
        <v>253</v>
      </c>
      <c r="K127" s="3" t="s">
        <v>253</v>
      </c>
      <c r="L127" s="3" t="s">
        <v>253</v>
      </c>
      <c r="M127">
        <f>IF(LEN(H127),MATCH(H127,'MPIO_SFIO Table'!$A$11:$A$65525,0)-1,"")</f>
        <v>49</v>
      </c>
      <c r="N127" t="str">
        <f>IF(LEN(I127),MATCH(I127,'MPIO_SFIO Table'!$A$11:$A$65525,0)-1,"")</f>
        <v/>
      </c>
      <c r="O127" t="str">
        <f>IF(LEN(J127),MATCH(J127,'MPIO_SFIO Table'!$A$11:$A$65525,0)-1,"")</f>
        <v/>
      </c>
      <c r="P127" t="str">
        <f>IF(LEN(K127),MATCH(K127,'MPIO_SFIO Table'!$A$11:$A$65525,0)-1,"")</f>
        <v/>
      </c>
      <c r="Q127" t="str">
        <f>IF(LEN(L127),MATCH(L127,'MPIO_SFIO Table'!$A$11:$A$65525,0)-1,"")</f>
        <v/>
      </c>
      <c r="R127" t="str">
        <f ca="1">IF(ISNUMBER(M127),OFFSET('MPIO_SFIO Table'!$AJ$11,M127,0),"")</f>
        <v>unused_GPIO_PBB6</v>
      </c>
      <c r="S127" t="str">
        <f ca="1">IF(ISNUMBER(N127),OFFSET('MPIO_SFIO Table'!$AJ$11,N127,0),"")</f>
        <v/>
      </c>
      <c r="T127" t="str">
        <f ca="1">IF(ISNUMBER(O127),OFFSET('MPIO_SFIO Table'!$AJ$11,O127,0),"")</f>
        <v/>
      </c>
      <c r="U127" t="str">
        <f ca="1">IF(ISNUMBER(P127),OFFSET('MPIO_SFIO Table'!$AJ$11,P127,0),"")</f>
        <v/>
      </c>
      <c r="V127" t="str">
        <f ca="1">IF(ISNUMBER(Q127),OFFSET('MPIO_SFIO Table'!$AJ$11,Q127,0),"")</f>
        <v/>
      </c>
      <c r="W127">
        <f t="shared" ca="1" si="19"/>
        <v>0</v>
      </c>
      <c r="X127">
        <f t="shared" ca="1" si="20"/>
        <v>0</v>
      </c>
      <c r="Y127">
        <f t="shared" ca="1" si="21"/>
        <v>0</v>
      </c>
      <c r="Z127">
        <f t="shared" ca="1" si="22"/>
        <v>0</v>
      </c>
      <c r="AA127">
        <f t="shared" ca="1" si="23"/>
        <v>0</v>
      </c>
    </row>
    <row r="128" spans="1:27" x14ac:dyDescent="0.25">
      <c r="A128">
        <f t="shared" ca="1" si="16"/>
        <v>0</v>
      </c>
      <c r="B128" t="str">
        <f t="shared" ca="1" si="17"/>
        <v/>
      </c>
      <c r="C128" t="str">
        <f t="shared" si="18"/>
        <v>GPIO</v>
      </c>
      <c r="D128" t="s">
        <v>253</v>
      </c>
      <c r="E128" t="s">
        <v>253</v>
      </c>
      <c r="F128" s="3" t="s">
        <v>2602</v>
      </c>
      <c r="G128" s="11" t="s">
        <v>823</v>
      </c>
      <c r="H128" s="11" t="s">
        <v>56</v>
      </c>
      <c r="I128" s="3" t="s">
        <v>253</v>
      </c>
      <c r="J128" s="3" t="s">
        <v>253</v>
      </c>
      <c r="K128" s="3" t="s">
        <v>253</v>
      </c>
      <c r="L128" s="3" t="s">
        <v>253</v>
      </c>
      <c r="M128">
        <f>IF(LEN(H128),MATCH(H128,'MPIO_SFIO Table'!$A$11:$A$65525,0)-1,"")</f>
        <v>50</v>
      </c>
      <c r="N128" t="str">
        <f>IF(LEN(I128),MATCH(I128,'MPIO_SFIO Table'!$A$11:$A$65525,0)-1,"")</f>
        <v/>
      </c>
      <c r="O128" t="str">
        <f>IF(LEN(J128),MATCH(J128,'MPIO_SFIO Table'!$A$11:$A$65525,0)-1,"")</f>
        <v/>
      </c>
      <c r="P128" t="str">
        <f>IF(LEN(K128),MATCH(K128,'MPIO_SFIO Table'!$A$11:$A$65525,0)-1,"")</f>
        <v/>
      </c>
      <c r="Q128" t="str">
        <f>IF(LEN(L128),MATCH(L128,'MPIO_SFIO Table'!$A$11:$A$65525,0)-1,"")</f>
        <v/>
      </c>
      <c r="R128" t="str">
        <f ca="1">IF(ISNUMBER(M128),OFFSET('MPIO_SFIO Table'!$AJ$11,M128,0),"")</f>
        <v>unused_GPIO_PBB7</v>
      </c>
      <c r="S128" t="str">
        <f ca="1">IF(ISNUMBER(N128),OFFSET('MPIO_SFIO Table'!$AJ$11,N128,0),"")</f>
        <v/>
      </c>
      <c r="T128" t="str">
        <f ca="1">IF(ISNUMBER(O128),OFFSET('MPIO_SFIO Table'!$AJ$11,O128,0),"")</f>
        <v/>
      </c>
      <c r="U128" t="str">
        <f ca="1">IF(ISNUMBER(P128),OFFSET('MPIO_SFIO Table'!$AJ$11,P128,0),"")</f>
        <v/>
      </c>
      <c r="V128" t="str">
        <f ca="1">IF(ISNUMBER(Q128),OFFSET('MPIO_SFIO Table'!$AJ$11,Q128,0),"")</f>
        <v/>
      </c>
      <c r="W128">
        <f t="shared" ca="1" si="19"/>
        <v>0</v>
      </c>
      <c r="X128">
        <f t="shared" ca="1" si="20"/>
        <v>0</v>
      </c>
      <c r="Y128">
        <f t="shared" ca="1" si="21"/>
        <v>0</v>
      </c>
      <c r="Z128">
        <f t="shared" ca="1" si="22"/>
        <v>0</v>
      </c>
      <c r="AA128">
        <f t="shared" ca="1" si="23"/>
        <v>0</v>
      </c>
    </row>
    <row r="129" spans="1:27" x14ac:dyDescent="0.25">
      <c r="A129">
        <f t="shared" ca="1" si="16"/>
        <v>0</v>
      </c>
      <c r="B129" t="str">
        <f t="shared" ca="1" si="17"/>
        <v/>
      </c>
      <c r="C129" t="str">
        <f t="shared" si="18"/>
        <v>GPIO</v>
      </c>
      <c r="D129" t="s">
        <v>253</v>
      </c>
      <c r="E129" t="s">
        <v>253</v>
      </c>
      <c r="F129" s="3" t="s">
        <v>2603</v>
      </c>
      <c r="G129" s="11" t="s">
        <v>999</v>
      </c>
      <c r="H129" s="11" t="s">
        <v>233</v>
      </c>
      <c r="I129" s="3" t="s">
        <v>253</v>
      </c>
      <c r="J129" s="3" t="s">
        <v>253</v>
      </c>
      <c r="K129" s="3" t="s">
        <v>253</v>
      </c>
      <c r="L129" s="3" t="s">
        <v>253</v>
      </c>
      <c r="M129">
        <f>IF(LEN(H129),MATCH(H129,'MPIO_SFIO Table'!$A$11:$A$65525,0)-1,"")</f>
        <v>251</v>
      </c>
      <c r="N129" t="str">
        <f>IF(LEN(I129),MATCH(I129,'MPIO_SFIO Table'!$A$11:$A$65525,0)-1,"")</f>
        <v/>
      </c>
      <c r="O129" t="str">
        <f>IF(LEN(J129),MATCH(J129,'MPIO_SFIO Table'!$A$11:$A$65525,0)-1,"")</f>
        <v/>
      </c>
      <c r="P129" t="str">
        <f>IF(LEN(K129),MATCH(K129,'MPIO_SFIO Table'!$A$11:$A$65525,0)-1,"")</f>
        <v/>
      </c>
      <c r="Q129" t="str">
        <f>IF(LEN(L129),MATCH(L129,'MPIO_SFIO Table'!$A$11:$A$65525,0)-1,"")</f>
        <v/>
      </c>
      <c r="R129" t="str">
        <f ca="1">IF(ISNUMBER(M129),OFFSET('MPIO_SFIO Table'!$AJ$11,M129,0),"")</f>
        <v>unused_UART3_RTS_N</v>
      </c>
      <c r="S129" t="str">
        <f ca="1">IF(ISNUMBER(N129),OFFSET('MPIO_SFIO Table'!$AJ$11,N129,0),"")</f>
        <v/>
      </c>
      <c r="T129" t="str">
        <f ca="1">IF(ISNUMBER(O129),OFFSET('MPIO_SFIO Table'!$AJ$11,O129,0),"")</f>
        <v/>
      </c>
      <c r="U129" t="str">
        <f ca="1">IF(ISNUMBER(P129),OFFSET('MPIO_SFIO Table'!$AJ$11,P129,0),"")</f>
        <v/>
      </c>
      <c r="V129" t="str">
        <f ca="1">IF(ISNUMBER(Q129),OFFSET('MPIO_SFIO Table'!$AJ$11,Q129,0),"")</f>
        <v/>
      </c>
      <c r="W129">
        <f t="shared" ca="1" si="19"/>
        <v>0</v>
      </c>
      <c r="X129">
        <f t="shared" ca="1" si="20"/>
        <v>0</v>
      </c>
      <c r="Y129">
        <f t="shared" ca="1" si="21"/>
        <v>0</v>
      </c>
      <c r="Z129">
        <f t="shared" ca="1" si="22"/>
        <v>0</v>
      </c>
      <c r="AA129">
        <f t="shared" ca="1" si="23"/>
        <v>0</v>
      </c>
    </row>
    <row r="130" spans="1:27" x14ac:dyDescent="0.25">
      <c r="A130">
        <f t="shared" ca="1" si="16"/>
        <v>0</v>
      </c>
      <c r="B130" t="str">
        <f t="shared" ca="1" si="17"/>
        <v/>
      </c>
      <c r="C130" t="str">
        <f t="shared" si="18"/>
        <v>GPIO</v>
      </c>
      <c r="D130" t="s">
        <v>253</v>
      </c>
      <c r="E130" t="s">
        <v>253</v>
      </c>
      <c r="F130" s="3" t="s">
        <v>2604</v>
      </c>
      <c r="G130" s="11" t="s">
        <v>902</v>
      </c>
      <c r="H130" s="11" t="s">
        <v>135</v>
      </c>
      <c r="I130" s="3" t="s">
        <v>253</v>
      </c>
      <c r="J130" s="3" t="s">
        <v>253</v>
      </c>
      <c r="K130" s="3" t="s">
        <v>253</v>
      </c>
      <c r="L130" s="3" t="s">
        <v>253</v>
      </c>
      <c r="M130">
        <f>IF(LEN(H130),MATCH(H130,'MPIO_SFIO Table'!$A$11:$A$65525,0)-1,"")</f>
        <v>131</v>
      </c>
      <c r="N130" t="str">
        <f>IF(LEN(I130),MATCH(I130,'MPIO_SFIO Table'!$A$11:$A$65525,0)-1,"")</f>
        <v/>
      </c>
      <c r="O130" t="str">
        <f>IF(LEN(J130),MATCH(J130,'MPIO_SFIO Table'!$A$11:$A$65525,0)-1,"")</f>
        <v/>
      </c>
      <c r="P130" t="str">
        <f>IF(LEN(K130),MATCH(K130,'MPIO_SFIO Table'!$A$11:$A$65525,0)-1,"")</f>
        <v/>
      </c>
      <c r="Q130" t="str">
        <f>IF(LEN(L130),MATCH(L130,'MPIO_SFIO Table'!$A$11:$A$65525,0)-1,"")</f>
        <v/>
      </c>
      <c r="R130" t="str">
        <f ca="1">IF(ISNUMBER(M130),OFFSET('MPIO_SFIO Table'!$AJ$11,M130,0),"")</f>
        <v>unused_LCD_PWR1</v>
      </c>
      <c r="S130" t="str">
        <f ca="1">IF(ISNUMBER(N130),OFFSET('MPIO_SFIO Table'!$AJ$11,N130,0),"")</f>
        <v/>
      </c>
      <c r="T130" t="str">
        <f ca="1">IF(ISNUMBER(O130),OFFSET('MPIO_SFIO Table'!$AJ$11,O130,0),"")</f>
        <v/>
      </c>
      <c r="U130" t="str">
        <f ca="1">IF(ISNUMBER(P130),OFFSET('MPIO_SFIO Table'!$AJ$11,P130,0),"")</f>
        <v/>
      </c>
      <c r="V130" t="str">
        <f ca="1">IF(ISNUMBER(Q130),OFFSET('MPIO_SFIO Table'!$AJ$11,Q130,0),"")</f>
        <v/>
      </c>
      <c r="W130">
        <f t="shared" ca="1" si="19"/>
        <v>0</v>
      </c>
      <c r="X130">
        <f t="shared" ca="1" si="20"/>
        <v>0</v>
      </c>
      <c r="Y130">
        <f t="shared" ca="1" si="21"/>
        <v>0</v>
      </c>
      <c r="Z130">
        <f t="shared" ca="1" si="22"/>
        <v>0</v>
      </c>
      <c r="AA130">
        <f t="shared" ca="1" si="23"/>
        <v>0</v>
      </c>
    </row>
    <row r="131" spans="1:27" x14ac:dyDescent="0.25">
      <c r="A131">
        <f t="shared" ca="1" si="16"/>
        <v>0</v>
      </c>
      <c r="B131" t="str">
        <f t="shared" ca="1" si="17"/>
        <v/>
      </c>
      <c r="C131" t="str">
        <f t="shared" si="18"/>
        <v>GPIO</v>
      </c>
      <c r="D131" t="s">
        <v>253</v>
      </c>
      <c r="E131" t="s">
        <v>253</v>
      </c>
      <c r="F131" s="3" t="s">
        <v>2605</v>
      </c>
      <c r="G131" s="11" t="s">
        <v>997</v>
      </c>
      <c r="H131" s="11" t="s">
        <v>231</v>
      </c>
      <c r="I131" s="3" t="s">
        <v>253</v>
      </c>
      <c r="J131" s="3" t="s">
        <v>253</v>
      </c>
      <c r="K131" s="3" t="s">
        <v>253</v>
      </c>
      <c r="L131" s="3" t="s">
        <v>253</v>
      </c>
      <c r="M131">
        <f>IF(LEN(H131),MATCH(H131,'MPIO_SFIO Table'!$A$11:$A$65525,0)-1,"")</f>
        <v>249</v>
      </c>
      <c r="N131" t="str">
        <f>IF(LEN(I131),MATCH(I131,'MPIO_SFIO Table'!$A$11:$A$65525,0)-1,"")</f>
        <v/>
      </c>
      <c r="O131" t="str">
        <f>IF(LEN(J131),MATCH(J131,'MPIO_SFIO Table'!$A$11:$A$65525,0)-1,"")</f>
        <v/>
      </c>
      <c r="P131" t="str">
        <f>IF(LEN(K131),MATCH(K131,'MPIO_SFIO Table'!$A$11:$A$65525,0)-1,"")</f>
        <v/>
      </c>
      <c r="Q131" t="str">
        <f>IF(LEN(L131),MATCH(L131,'MPIO_SFIO Table'!$A$11:$A$65525,0)-1,"")</f>
        <v/>
      </c>
      <c r="R131" t="str">
        <f ca="1">IF(ISNUMBER(M131),OFFSET('MPIO_SFIO Table'!$AJ$11,M131,0),"")</f>
        <v>unused_UART2_TXD</v>
      </c>
      <c r="S131" t="str">
        <f ca="1">IF(ISNUMBER(N131),OFFSET('MPIO_SFIO Table'!$AJ$11,N131,0),"")</f>
        <v/>
      </c>
      <c r="T131" t="str">
        <f ca="1">IF(ISNUMBER(O131),OFFSET('MPIO_SFIO Table'!$AJ$11,O131,0),"")</f>
        <v/>
      </c>
      <c r="U131" t="str">
        <f ca="1">IF(ISNUMBER(P131),OFFSET('MPIO_SFIO Table'!$AJ$11,P131,0),"")</f>
        <v/>
      </c>
      <c r="V131" t="str">
        <f ca="1">IF(ISNUMBER(Q131),OFFSET('MPIO_SFIO Table'!$AJ$11,Q131,0),"")</f>
        <v/>
      </c>
      <c r="W131">
        <f t="shared" ca="1" si="19"/>
        <v>0</v>
      </c>
      <c r="X131">
        <f t="shared" ca="1" si="20"/>
        <v>0</v>
      </c>
      <c r="Y131">
        <f t="shared" ca="1" si="21"/>
        <v>0</v>
      </c>
      <c r="Z131">
        <f t="shared" ca="1" si="22"/>
        <v>0</v>
      </c>
      <c r="AA131">
        <f t="shared" ca="1" si="23"/>
        <v>0</v>
      </c>
    </row>
    <row r="132" spans="1:27" x14ac:dyDescent="0.25">
      <c r="A132">
        <f t="shared" ca="1" si="16"/>
        <v>0</v>
      </c>
      <c r="B132" t="str">
        <f t="shared" ca="1" si="17"/>
        <v/>
      </c>
      <c r="C132" t="str">
        <f t="shared" si="18"/>
        <v>GPIO</v>
      </c>
      <c r="D132" t="s">
        <v>253</v>
      </c>
      <c r="E132" t="s">
        <v>253</v>
      </c>
      <c r="F132" s="3" t="s">
        <v>2606</v>
      </c>
      <c r="G132" s="11" t="s">
        <v>996</v>
      </c>
      <c r="H132" s="11" t="s">
        <v>230</v>
      </c>
      <c r="I132" s="3" t="s">
        <v>253</v>
      </c>
      <c r="J132" s="3" t="s">
        <v>253</v>
      </c>
      <c r="K132" s="3" t="s">
        <v>253</v>
      </c>
      <c r="L132" s="3" t="s">
        <v>253</v>
      </c>
      <c r="M132">
        <f>IF(LEN(H132),MATCH(H132,'MPIO_SFIO Table'!$A$11:$A$65525,0)-1,"")</f>
        <v>248</v>
      </c>
      <c r="N132" t="str">
        <f>IF(LEN(I132),MATCH(I132,'MPIO_SFIO Table'!$A$11:$A$65525,0)-1,"")</f>
        <v/>
      </c>
      <c r="O132" t="str">
        <f>IF(LEN(J132),MATCH(J132,'MPIO_SFIO Table'!$A$11:$A$65525,0)-1,"")</f>
        <v/>
      </c>
      <c r="P132" t="str">
        <f>IF(LEN(K132),MATCH(K132,'MPIO_SFIO Table'!$A$11:$A$65525,0)-1,"")</f>
        <v/>
      </c>
      <c r="Q132" t="str">
        <f>IF(LEN(L132),MATCH(L132,'MPIO_SFIO Table'!$A$11:$A$65525,0)-1,"")</f>
        <v/>
      </c>
      <c r="R132" t="str">
        <f ca="1">IF(ISNUMBER(M132),OFFSET('MPIO_SFIO Table'!$AJ$11,M132,0),"")</f>
        <v>unused_UART2_RXD</v>
      </c>
      <c r="S132" t="str">
        <f ca="1">IF(ISNUMBER(N132),OFFSET('MPIO_SFIO Table'!$AJ$11,N132,0),"")</f>
        <v/>
      </c>
      <c r="T132" t="str">
        <f ca="1">IF(ISNUMBER(O132),OFFSET('MPIO_SFIO Table'!$AJ$11,O132,0),"")</f>
        <v/>
      </c>
      <c r="U132" t="str">
        <f ca="1">IF(ISNUMBER(P132),OFFSET('MPIO_SFIO Table'!$AJ$11,P132,0),"")</f>
        <v/>
      </c>
      <c r="V132" t="str">
        <f ca="1">IF(ISNUMBER(Q132),OFFSET('MPIO_SFIO Table'!$AJ$11,Q132,0),"")</f>
        <v/>
      </c>
      <c r="W132">
        <f t="shared" ca="1" si="19"/>
        <v>0</v>
      </c>
      <c r="X132">
        <f t="shared" ca="1" si="20"/>
        <v>0</v>
      </c>
      <c r="Y132">
        <f t="shared" ca="1" si="21"/>
        <v>0</v>
      </c>
      <c r="Z132">
        <f t="shared" ca="1" si="22"/>
        <v>0</v>
      </c>
      <c r="AA132">
        <f t="shared" ca="1" si="23"/>
        <v>0</v>
      </c>
    </row>
    <row r="133" spans="1:27" x14ac:dyDescent="0.25">
      <c r="A133">
        <f t="shared" ca="1" si="16"/>
        <v>0</v>
      </c>
      <c r="B133" t="str">
        <f t="shared" ca="1" si="17"/>
        <v/>
      </c>
      <c r="C133" t="str">
        <f t="shared" si="18"/>
        <v>GPIO</v>
      </c>
      <c r="D133" t="s">
        <v>253</v>
      </c>
      <c r="E133" t="s">
        <v>253</v>
      </c>
      <c r="F133" s="3" t="s">
        <v>2607</v>
      </c>
      <c r="G133" s="11" t="s">
        <v>985</v>
      </c>
      <c r="H133" s="11" t="s">
        <v>219</v>
      </c>
      <c r="I133" s="3" t="s">
        <v>253</v>
      </c>
      <c r="J133" s="3" t="s">
        <v>253</v>
      </c>
      <c r="K133" s="3" t="s">
        <v>253</v>
      </c>
      <c r="L133" s="3" t="s">
        <v>253</v>
      </c>
      <c r="M133">
        <f>IF(LEN(H133),MATCH(H133,'MPIO_SFIO Table'!$A$11:$A$65525,0)-1,"")</f>
        <v>237</v>
      </c>
      <c r="N133" t="str">
        <f>IF(LEN(I133),MATCH(I133,'MPIO_SFIO Table'!$A$11:$A$65525,0)-1,"")</f>
        <v/>
      </c>
      <c r="O133" t="str">
        <f>IF(LEN(J133),MATCH(J133,'MPIO_SFIO Table'!$A$11:$A$65525,0)-1,"")</f>
        <v/>
      </c>
      <c r="P133" t="str">
        <f>IF(LEN(K133),MATCH(K133,'MPIO_SFIO Table'!$A$11:$A$65525,0)-1,"")</f>
        <v/>
      </c>
      <c r="Q133" t="str">
        <f>IF(LEN(L133),MATCH(L133,'MPIO_SFIO Table'!$A$11:$A$65525,0)-1,"")</f>
        <v/>
      </c>
      <c r="R133" t="str">
        <f ca="1">IF(ISNUMBER(M133),OFFSET('MPIO_SFIO Table'!$AJ$11,M133,0),"")</f>
        <v>unused_GEN1_I2C_SCL</v>
      </c>
      <c r="S133" t="str">
        <f ca="1">IF(ISNUMBER(N133),OFFSET('MPIO_SFIO Table'!$AJ$11,N133,0),"")</f>
        <v/>
      </c>
      <c r="T133" t="str">
        <f ca="1">IF(ISNUMBER(O133),OFFSET('MPIO_SFIO Table'!$AJ$11,O133,0),"")</f>
        <v/>
      </c>
      <c r="U133" t="str">
        <f ca="1">IF(ISNUMBER(P133),OFFSET('MPIO_SFIO Table'!$AJ$11,P133,0),"")</f>
        <v/>
      </c>
      <c r="V133" t="str">
        <f ca="1">IF(ISNUMBER(Q133),OFFSET('MPIO_SFIO Table'!$AJ$11,Q133,0),"")</f>
        <v/>
      </c>
      <c r="W133">
        <f t="shared" ca="1" si="19"/>
        <v>0</v>
      </c>
      <c r="X133">
        <f t="shared" ca="1" si="20"/>
        <v>0</v>
      </c>
      <c r="Y133">
        <f t="shared" ca="1" si="21"/>
        <v>0</v>
      </c>
      <c r="Z133">
        <f t="shared" ca="1" si="22"/>
        <v>0</v>
      </c>
      <c r="AA133">
        <f t="shared" ca="1" si="23"/>
        <v>0</v>
      </c>
    </row>
    <row r="134" spans="1:27" x14ac:dyDescent="0.25">
      <c r="A134">
        <f t="shared" ca="1" si="16"/>
        <v>0</v>
      </c>
      <c r="B134" t="str">
        <f t="shared" ca="1" si="17"/>
        <v/>
      </c>
      <c r="C134" t="str">
        <f t="shared" si="18"/>
        <v>GPIO</v>
      </c>
      <c r="D134" t="s">
        <v>253</v>
      </c>
      <c r="E134" t="s">
        <v>253</v>
      </c>
      <c r="F134" s="3" t="s">
        <v>2608</v>
      </c>
      <c r="G134" s="11" t="s">
        <v>986</v>
      </c>
      <c r="H134" s="11" t="s">
        <v>220</v>
      </c>
      <c r="I134" s="3" t="s">
        <v>253</v>
      </c>
      <c r="J134" s="3" t="s">
        <v>253</v>
      </c>
      <c r="K134" s="3" t="s">
        <v>253</v>
      </c>
      <c r="L134" s="3" t="s">
        <v>253</v>
      </c>
      <c r="M134">
        <f>IF(LEN(H134),MATCH(H134,'MPIO_SFIO Table'!$A$11:$A$65525,0)-1,"")</f>
        <v>238</v>
      </c>
      <c r="N134" t="str">
        <f>IF(LEN(I134),MATCH(I134,'MPIO_SFIO Table'!$A$11:$A$65525,0)-1,"")</f>
        <v/>
      </c>
      <c r="O134" t="str">
        <f>IF(LEN(J134),MATCH(J134,'MPIO_SFIO Table'!$A$11:$A$65525,0)-1,"")</f>
        <v/>
      </c>
      <c r="P134" t="str">
        <f>IF(LEN(K134),MATCH(K134,'MPIO_SFIO Table'!$A$11:$A$65525,0)-1,"")</f>
        <v/>
      </c>
      <c r="Q134" t="str">
        <f>IF(LEN(L134),MATCH(L134,'MPIO_SFIO Table'!$A$11:$A$65525,0)-1,"")</f>
        <v/>
      </c>
      <c r="R134" t="str">
        <f ca="1">IF(ISNUMBER(M134),OFFSET('MPIO_SFIO Table'!$AJ$11,M134,0),"")</f>
        <v>unused_GEN1_I2C_SDA</v>
      </c>
      <c r="S134" t="str">
        <f ca="1">IF(ISNUMBER(N134),OFFSET('MPIO_SFIO Table'!$AJ$11,N134,0),"")</f>
        <v/>
      </c>
      <c r="T134" t="str">
        <f ca="1">IF(ISNUMBER(O134),OFFSET('MPIO_SFIO Table'!$AJ$11,O134,0),"")</f>
        <v/>
      </c>
      <c r="U134" t="str">
        <f ca="1">IF(ISNUMBER(P134),OFFSET('MPIO_SFIO Table'!$AJ$11,P134,0),"")</f>
        <v/>
      </c>
      <c r="V134" t="str">
        <f ca="1">IF(ISNUMBER(Q134),OFFSET('MPIO_SFIO Table'!$AJ$11,Q134,0),"")</f>
        <v/>
      </c>
      <c r="W134">
        <f t="shared" ca="1" si="19"/>
        <v>0</v>
      </c>
      <c r="X134">
        <f t="shared" ca="1" si="20"/>
        <v>0</v>
      </c>
      <c r="Y134">
        <f t="shared" ca="1" si="21"/>
        <v>0</v>
      </c>
      <c r="Z134">
        <f t="shared" ca="1" si="22"/>
        <v>0</v>
      </c>
      <c r="AA134">
        <f t="shared" ca="1" si="23"/>
        <v>0</v>
      </c>
    </row>
    <row r="135" spans="1:27" x14ac:dyDescent="0.25">
      <c r="A135">
        <f t="shared" ca="1" si="16"/>
        <v>0</v>
      </c>
      <c r="B135" t="str">
        <f t="shared" ca="1" si="17"/>
        <v/>
      </c>
      <c r="C135" t="str">
        <f t="shared" si="18"/>
        <v>GPIO</v>
      </c>
      <c r="D135" t="s">
        <v>253</v>
      </c>
      <c r="E135" t="s">
        <v>253</v>
      </c>
      <c r="F135" s="3" t="s">
        <v>2609</v>
      </c>
      <c r="G135" s="11" t="s">
        <v>903</v>
      </c>
      <c r="H135" s="11" t="s">
        <v>136</v>
      </c>
      <c r="I135" s="3" t="s">
        <v>253</v>
      </c>
      <c r="J135" s="3" t="s">
        <v>253</v>
      </c>
      <c r="K135" s="3" t="s">
        <v>253</v>
      </c>
      <c r="L135" s="3" t="s">
        <v>253</v>
      </c>
      <c r="M135">
        <f>IF(LEN(H135),MATCH(H135,'MPIO_SFIO Table'!$A$11:$A$65525,0)-1,"")</f>
        <v>132</v>
      </c>
      <c r="N135" t="str">
        <f>IF(LEN(I135),MATCH(I135,'MPIO_SFIO Table'!$A$11:$A$65525,0)-1,"")</f>
        <v/>
      </c>
      <c r="O135" t="str">
        <f>IF(LEN(J135),MATCH(J135,'MPIO_SFIO Table'!$A$11:$A$65525,0)-1,"")</f>
        <v/>
      </c>
      <c r="P135" t="str">
        <f>IF(LEN(K135),MATCH(K135,'MPIO_SFIO Table'!$A$11:$A$65525,0)-1,"")</f>
        <v/>
      </c>
      <c r="Q135" t="str">
        <f>IF(LEN(L135),MATCH(L135,'MPIO_SFIO Table'!$A$11:$A$65525,0)-1,"")</f>
        <v/>
      </c>
      <c r="R135" t="str">
        <f ca="1">IF(ISNUMBER(M135),OFFSET('MPIO_SFIO Table'!$AJ$11,M135,0),"")</f>
        <v>unused_LCD_PWR2</v>
      </c>
      <c r="S135" t="str">
        <f ca="1">IF(ISNUMBER(N135),OFFSET('MPIO_SFIO Table'!$AJ$11,N135,0),"")</f>
        <v/>
      </c>
      <c r="T135" t="str">
        <f ca="1">IF(ISNUMBER(O135),OFFSET('MPIO_SFIO Table'!$AJ$11,O135,0),"")</f>
        <v/>
      </c>
      <c r="U135" t="str">
        <f ca="1">IF(ISNUMBER(P135),OFFSET('MPIO_SFIO Table'!$AJ$11,P135,0),"")</f>
        <v/>
      </c>
      <c r="V135" t="str">
        <f ca="1">IF(ISNUMBER(Q135),OFFSET('MPIO_SFIO Table'!$AJ$11,Q135,0),"")</f>
        <v/>
      </c>
      <c r="W135">
        <f t="shared" ca="1" si="19"/>
        <v>0</v>
      </c>
      <c r="X135">
        <f t="shared" ca="1" si="20"/>
        <v>0</v>
      </c>
      <c r="Y135">
        <f t="shared" ca="1" si="21"/>
        <v>0</v>
      </c>
      <c r="Z135">
        <f t="shared" ca="1" si="22"/>
        <v>0</v>
      </c>
      <c r="AA135">
        <f t="shared" ca="1" si="23"/>
        <v>0</v>
      </c>
    </row>
    <row r="136" spans="1:27" x14ac:dyDescent="0.25">
      <c r="A136">
        <f t="shared" ref="A136:A199" ca="1" si="24">SUM($W136:$AA136)</f>
        <v>0</v>
      </c>
      <c r="B136" t="str">
        <f t="shared" ref="B136:B199" ca="1" si="25">IF(A136&lt;&gt;0,REPLACE(G136,FIND("-",G136),LEN(G136),""),"")</f>
        <v/>
      </c>
      <c r="C136" t="str">
        <f t="shared" si="18"/>
        <v>GPIO</v>
      </c>
      <c r="D136" t="s">
        <v>253</v>
      </c>
      <c r="E136" t="s">
        <v>253</v>
      </c>
      <c r="F136" s="3" t="s">
        <v>2610</v>
      </c>
      <c r="G136" s="11" t="s">
        <v>862</v>
      </c>
      <c r="H136" s="11" t="s">
        <v>95</v>
      </c>
      <c r="I136" s="3" t="s">
        <v>253</v>
      </c>
      <c r="J136" s="3" t="s">
        <v>253</v>
      </c>
      <c r="K136" s="3" t="s">
        <v>253</v>
      </c>
      <c r="L136" s="3" t="s">
        <v>253</v>
      </c>
      <c r="M136">
        <f>IF(LEN(H136),MATCH(H136,'MPIO_SFIO Table'!$A$11:$A$65525,0)-1,"")</f>
        <v>90</v>
      </c>
      <c r="N136" t="str">
        <f>IF(LEN(I136),MATCH(I136,'MPIO_SFIO Table'!$A$11:$A$65525,0)-1,"")</f>
        <v/>
      </c>
      <c r="O136" t="str">
        <f>IF(LEN(J136),MATCH(J136,'MPIO_SFIO Table'!$A$11:$A$65525,0)-1,"")</f>
        <v/>
      </c>
      <c r="P136" t="str">
        <f>IF(LEN(K136),MATCH(K136,'MPIO_SFIO Table'!$A$11:$A$65525,0)-1,"")</f>
        <v/>
      </c>
      <c r="Q136" t="str">
        <f>IF(LEN(L136),MATCH(L136,'MPIO_SFIO Table'!$A$11:$A$65525,0)-1,"")</f>
        <v/>
      </c>
      <c r="R136" t="str">
        <f ca="1">IF(ISNUMBER(M136),OFFSET('MPIO_SFIO Table'!$AJ$11,M136,0),"")</f>
        <v>unused_GMI_WP_N</v>
      </c>
      <c r="S136" t="str">
        <f ca="1">IF(ISNUMBER(N136),OFFSET('MPIO_SFIO Table'!$AJ$11,N136,0),"")</f>
        <v/>
      </c>
      <c r="T136" t="str">
        <f ca="1">IF(ISNUMBER(O136),OFFSET('MPIO_SFIO Table'!$AJ$11,O136,0),"")</f>
        <v/>
      </c>
      <c r="U136" t="str">
        <f ca="1">IF(ISNUMBER(P136),OFFSET('MPIO_SFIO Table'!$AJ$11,P136,0),"")</f>
        <v/>
      </c>
      <c r="V136" t="str">
        <f ca="1">IF(ISNUMBER(Q136),OFFSET('MPIO_SFIO Table'!$AJ$11,Q136,0),"")</f>
        <v/>
      </c>
      <c r="W136">
        <f t="shared" ca="1" si="19"/>
        <v>0</v>
      </c>
      <c r="X136">
        <f t="shared" ca="1" si="20"/>
        <v>0</v>
      </c>
      <c r="Y136">
        <f t="shared" ca="1" si="21"/>
        <v>0</v>
      </c>
      <c r="Z136">
        <f t="shared" ca="1" si="22"/>
        <v>0</v>
      </c>
      <c r="AA136">
        <f t="shared" ca="1" si="23"/>
        <v>0</v>
      </c>
    </row>
    <row r="137" spans="1:27" x14ac:dyDescent="0.25">
      <c r="A137">
        <f t="shared" ca="1" si="24"/>
        <v>0</v>
      </c>
      <c r="B137" t="str">
        <f t="shared" ca="1" si="25"/>
        <v/>
      </c>
      <c r="C137" t="str">
        <f t="shared" ref="C137:C200" si="26">REPLACE(G137,FIND(".",CONCATENATE(REPLACE(G137,FIND("-",CONCATENATE(G137,"-")),LEN(G137),""),".")),LEN(G137),"")</f>
        <v>GPIO</v>
      </c>
      <c r="D137" t="s">
        <v>253</v>
      </c>
      <c r="E137" t="s">
        <v>253</v>
      </c>
      <c r="F137" s="3" t="s">
        <v>2611</v>
      </c>
      <c r="G137" s="11" t="s">
        <v>817</v>
      </c>
      <c r="H137" s="11" t="s">
        <v>50</v>
      </c>
      <c r="I137" s="3" t="s">
        <v>253</v>
      </c>
      <c r="J137" s="3" t="s">
        <v>253</v>
      </c>
      <c r="K137" s="3" t="s">
        <v>253</v>
      </c>
      <c r="L137" s="3" t="s">
        <v>253</v>
      </c>
      <c r="M137">
        <f>IF(LEN(H137),MATCH(H137,'MPIO_SFIO Table'!$A$11:$A$65525,0)-1,"")</f>
        <v>44</v>
      </c>
      <c r="N137" t="str">
        <f>IF(LEN(I137),MATCH(I137,'MPIO_SFIO Table'!$A$11:$A$65525,0)-1,"")</f>
        <v/>
      </c>
      <c r="O137" t="str">
        <f>IF(LEN(J137),MATCH(J137,'MPIO_SFIO Table'!$A$11:$A$65525,0)-1,"")</f>
        <v/>
      </c>
      <c r="P137" t="str">
        <f>IF(LEN(K137),MATCH(K137,'MPIO_SFIO Table'!$A$11:$A$65525,0)-1,"")</f>
        <v/>
      </c>
      <c r="Q137" t="str">
        <f>IF(LEN(L137),MATCH(L137,'MPIO_SFIO Table'!$A$11:$A$65525,0)-1,"")</f>
        <v/>
      </c>
      <c r="R137" t="str">
        <f ca="1">IF(ISNUMBER(M137),OFFSET('MPIO_SFIO Table'!$AJ$11,M137,0),"")</f>
        <v>unused_CAM_MCLK</v>
      </c>
      <c r="S137" t="str">
        <f ca="1">IF(ISNUMBER(N137),OFFSET('MPIO_SFIO Table'!$AJ$11,N137,0),"")</f>
        <v/>
      </c>
      <c r="T137" t="str">
        <f ca="1">IF(ISNUMBER(O137),OFFSET('MPIO_SFIO Table'!$AJ$11,O137,0),"")</f>
        <v/>
      </c>
      <c r="U137" t="str">
        <f ca="1">IF(ISNUMBER(P137),OFFSET('MPIO_SFIO Table'!$AJ$11,P137,0),"")</f>
        <v/>
      </c>
      <c r="V137" t="str">
        <f ca="1">IF(ISNUMBER(Q137),OFFSET('MPIO_SFIO Table'!$AJ$11,Q137,0),"")</f>
        <v/>
      </c>
      <c r="W137">
        <f t="shared" ref="W137:W200" ca="1" si="27">1*AND(ISTEXT(R137),LEN(R137),R137=$G137)</f>
        <v>0</v>
      </c>
      <c r="X137">
        <f t="shared" ref="X137:X200" ca="1" si="28">1*AND(ISTEXT(S137),LEN(S137),S137=$G137)</f>
        <v>0</v>
      </c>
      <c r="Y137">
        <f t="shared" ref="Y137:Y200" ca="1" si="29">1*AND(ISTEXT(T137),LEN(T137),T137=$G137)</f>
        <v>0</v>
      </c>
      <c r="Z137">
        <f t="shared" ref="Z137:Z200" ca="1" si="30">1*AND(ISTEXT(U137),LEN(U137),U137=$G137)</f>
        <v>0</v>
      </c>
      <c r="AA137">
        <f t="shared" ref="AA137:AA200" ca="1" si="31">1*AND(ISTEXT(V137),LEN(V137),V137=$G137)</f>
        <v>0</v>
      </c>
    </row>
    <row r="138" spans="1:27" x14ac:dyDescent="0.25">
      <c r="A138">
        <f t="shared" ca="1" si="24"/>
        <v>0</v>
      </c>
      <c r="B138" t="str">
        <f t="shared" ca="1" si="25"/>
        <v/>
      </c>
      <c r="C138" t="str">
        <f t="shared" si="26"/>
        <v>GPIO</v>
      </c>
      <c r="D138" t="s">
        <v>253</v>
      </c>
      <c r="E138" t="s">
        <v>253</v>
      </c>
      <c r="F138" s="3" t="s">
        <v>2612</v>
      </c>
      <c r="G138" s="11" t="s">
        <v>824</v>
      </c>
      <c r="H138" s="11" t="s">
        <v>57</v>
      </c>
      <c r="I138" s="3" t="s">
        <v>253</v>
      </c>
      <c r="J138" s="3" t="s">
        <v>253</v>
      </c>
      <c r="K138" s="3" t="s">
        <v>253</v>
      </c>
      <c r="L138" s="3" t="s">
        <v>253</v>
      </c>
      <c r="M138">
        <f>IF(LEN(H138),MATCH(H138,'MPIO_SFIO Table'!$A$11:$A$65525,0)-1,"")</f>
        <v>51</v>
      </c>
      <c r="N138" t="str">
        <f>IF(LEN(I138),MATCH(I138,'MPIO_SFIO Table'!$A$11:$A$65525,0)-1,"")</f>
        <v/>
      </c>
      <c r="O138" t="str">
        <f>IF(LEN(J138),MATCH(J138,'MPIO_SFIO Table'!$A$11:$A$65525,0)-1,"")</f>
        <v/>
      </c>
      <c r="P138" t="str">
        <f>IF(LEN(K138),MATCH(K138,'MPIO_SFIO Table'!$A$11:$A$65525,0)-1,"")</f>
        <v/>
      </c>
      <c r="Q138" t="str">
        <f>IF(LEN(L138),MATCH(L138,'MPIO_SFIO Table'!$A$11:$A$65525,0)-1,"")</f>
        <v/>
      </c>
      <c r="R138" t="str">
        <f ca="1">IF(ISNUMBER(M138),OFFSET('MPIO_SFIO Table'!$AJ$11,M138,0),"")</f>
        <v>unused_GPIO_PCC1</v>
      </c>
      <c r="S138" t="str">
        <f ca="1">IF(ISNUMBER(N138),OFFSET('MPIO_SFIO Table'!$AJ$11,N138,0),"")</f>
        <v/>
      </c>
      <c r="T138" t="str">
        <f ca="1">IF(ISNUMBER(O138),OFFSET('MPIO_SFIO Table'!$AJ$11,O138,0),"")</f>
        <v/>
      </c>
      <c r="U138" t="str">
        <f ca="1">IF(ISNUMBER(P138),OFFSET('MPIO_SFIO Table'!$AJ$11,P138,0),"")</f>
        <v/>
      </c>
      <c r="V138" t="str">
        <f ca="1">IF(ISNUMBER(Q138),OFFSET('MPIO_SFIO Table'!$AJ$11,Q138,0),"")</f>
        <v/>
      </c>
      <c r="W138">
        <f t="shared" ca="1" si="27"/>
        <v>0</v>
      </c>
      <c r="X138">
        <f t="shared" ca="1" si="28"/>
        <v>0</v>
      </c>
      <c r="Y138">
        <f t="shared" ca="1" si="29"/>
        <v>0</v>
      </c>
      <c r="Z138">
        <f t="shared" ca="1" si="30"/>
        <v>0</v>
      </c>
      <c r="AA138">
        <f t="shared" ca="1" si="31"/>
        <v>0</v>
      </c>
    </row>
    <row r="139" spans="1:27" x14ac:dyDescent="0.25">
      <c r="A139">
        <f t="shared" ca="1" si="24"/>
        <v>0</v>
      </c>
      <c r="B139" t="str">
        <f t="shared" ca="1" si="25"/>
        <v/>
      </c>
      <c r="C139" t="str">
        <f t="shared" si="26"/>
        <v>GPIO</v>
      </c>
      <c r="D139" t="s">
        <v>253</v>
      </c>
      <c r="E139" t="s">
        <v>253</v>
      </c>
      <c r="F139" s="3" t="s">
        <v>2613</v>
      </c>
      <c r="G139" s="11" t="s">
        <v>825</v>
      </c>
      <c r="H139" s="11" t="s">
        <v>58</v>
      </c>
      <c r="I139" s="3" t="s">
        <v>253</v>
      </c>
      <c r="J139" s="3" t="s">
        <v>253</v>
      </c>
      <c r="K139" s="3" t="s">
        <v>253</v>
      </c>
      <c r="L139" s="3" t="s">
        <v>253</v>
      </c>
      <c r="M139">
        <f>IF(LEN(H139),MATCH(H139,'MPIO_SFIO Table'!$A$11:$A$65525,0)-1,"")</f>
        <v>52</v>
      </c>
      <c r="N139" t="str">
        <f>IF(LEN(I139),MATCH(I139,'MPIO_SFIO Table'!$A$11:$A$65525,0)-1,"")</f>
        <v/>
      </c>
      <c r="O139" t="str">
        <f>IF(LEN(J139),MATCH(J139,'MPIO_SFIO Table'!$A$11:$A$65525,0)-1,"")</f>
        <v/>
      </c>
      <c r="P139" t="str">
        <f>IF(LEN(K139),MATCH(K139,'MPIO_SFIO Table'!$A$11:$A$65525,0)-1,"")</f>
        <v/>
      </c>
      <c r="Q139" t="str">
        <f>IF(LEN(L139),MATCH(L139,'MPIO_SFIO Table'!$A$11:$A$65525,0)-1,"")</f>
        <v/>
      </c>
      <c r="R139" t="str">
        <f ca="1">IF(ISNUMBER(M139),OFFSET('MPIO_SFIO Table'!$AJ$11,M139,0),"")</f>
        <v>unused_GPIO_PCC2</v>
      </c>
      <c r="S139" t="str">
        <f ca="1">IF(ISNUMBER(N139),OFFSET('MPIO_SFIO Table'!$AJ$11,N139,0),"")</f>
        <v/>
      </c>
      <c r="T139" t="str">
        <f ca="1">IF(ISNUMBER(O139),OFFSET('MPIO_SFIO Table'!$AJ$11,O139,0),"")</f>
        <v/>
      </c>
      <c r="U139" t="str">
        <f ca="1">IF(ISNUMBER(P139),OFFSET('MPIO_SFIO Table'!$AJ$11,P139,0),"")</f>
        <v/>
      </c>
      <c r="V139" t="str">
        <f ca="1">IF(ISNUMBER(Q139),OFFSET('MPIO_SFIO Table'!$AJ$11,Q139,0),"")</f>
        <v/>
      </c>
      <c r="W139">
        <f t="shared" ca="1" si="27"/>
        <v>0</v>
      </c>
      <c r="X139">
        <f t="shared" ca="1" si="28"/>
        <v>0</v>
      </c>
      <c r="Y139">
        <f t="shared" ca="1" si="29"/>
        <v>0</v>
      </c>
      <c r="Z139">
        <f t="shared" ca="1" si="30"/>
        <v>0</v>
      </c>
      <c r="AA139">
        <f t="shared" ca="1" si="31"/>
        <v>0</v>
      </c>
    </row>
    <row r="140" spans="1:27" x14ac:dyDescent="0.25">
      <c r="A140">
        <f t="shared" ca="1" si="24"/>
        <v>0</v>
      </c>
      <c r="B140" t="str">
        <f t="shared" ca="1" si="25"/>
        <v/>
      </c>
      <c r="C140" t="str">
        <f t="shared" si="26"/>
        <v>GPIO</v>
      </c>
      <c r="D140" t="s">
        <v>253</v>
      </c>
      <c r="E140" t="s">
        <v>253</v>
      </c>
      <c r="F140" s="3" t="s">
        <v>2614</v>
      </c>
      <c r="G140" s="11" t="s">
        <v>949</v>
      </c>
      <c r="H140" s="11" t="s">
        <v>182</v>
      </c>
      <c r="I140" s="3" t="s">
        <v>253</v>
      </c>
      <c r="J140" s="3" t="s">
        <v>253</v>
      </c>
      <c r="K140" s="3" t="s">
        <v>253</v>
      </c>
      <c r="L140" s="3" t="s">
        <v>253</v>
      </c>
      <c r="M140">
        <f>IF(LEN(H140),MATCH(H140,'MPIO_SFIO Table'!$A$11:$A$65525,0)-1,"")</f>
        <v>186</v>
      </c>
      <c r="N140" t="str">
        <f>IF(LEN(I140),MATCH(I140,'MPIO_SFIO Table'!$A$11:$A$65525,0)-1,"")</f>
        <v/>
      </c>
      <c r="O140" t="str">
        <f>IF(LEN(J140),MATCH(J140,'MPIO_SFIO Table'!$A$11:$A$65525,0)-1,"")</f>
        <v/>
      </c>
      <c r="P140" t="str">
        <f>IF(LEN(K140),MATCH(K140,'MPIO_SFIO Table'!$A$11:$A$65525,0)-1,"")</f>
        <v/>
      </c>
      <c r="Q140" t="str">
        <f>IF(LEN(L140),MATCH(L140,'MPIO_SFIO Table'!$A$11:$A$65525,0)-1,"")</f>
        <v/>
      </c>
      <c r="R140" t="str">
        <f ca="1">IF(ISNUMBER(M140),OFFSET('MPIO_SFIO Table'!$AJ$11,M140,0),"")</f>
        <v>unused_SDMMC4_RST_N</v>
      </c>
      <c r="S140" t="str">
        <f ca="1">IF(ISNUMBER(N140),OFFSET('MPIO_SFIO Table'!$AJ$11,N140,0),"")</f>
        <v/>
      </c>
      <c r="T140" t="str">
        <f ca="1">IF(ISNUMBER(O140),OFFSET('MPIO_SFIO Table'!$AJ$11,O140,0),"")</f>
        <v/>
      </c>
      <c r="U140" t="str">
        <f ca="1">IF(ISNUMBER(P140),OFFSET('MPIO_SFIO Table'!$AJ$11,P140,0),"")</f>
        <v/>
      </c>
      <c r="V140" t="str">
        <f ca="1">IF(ISNUMBER(Q140),OFFSET('MPIO_SFIO Table'!$AJ$11,Q140,0),"")</f>
        <v/>
      </c>
      <c r="W140">
        <f t="shared" ca="1" si="27"/>
        <v>0</v>
      </c>
      <c r="X140">
        <f t="shared" ca="1" si="28"/>
        <v>0</v>
      </c>
      <c r="Y140">
        <f t="shared" ca="1" si="29"/>
        <v>0</v>
      </c>
      <c r="Z140">
        <f t="shared" ca="1" si="30"/>
        <v>0</v>
      </c>
      <c r="AA140">
        <f t="shared" ca="1" si="31"/>
        <v>0</v>
      </c>
    </row>
    <row r="141" spans="1:27" x14ac:dyDescent="0.25">
      <c r="A141">
        <f t="shared" ca="1" si="24"/>
        <v>0</v>
      </c>
      <c r="B141" t="str">
        <f t="shared" ca="1" si="25"/>
        <v/>
      </c>
      <c r="C141" t="str">
        <f t="shared" si="26"/>
        <v>GPIO</v>
      </c>
      <c r="D141" t="s">
        <v>253</v>
      </c>
      <c r="E141" t="s">
        <v>253</v>
      </c>
      <c r="F141" s="3" t="s">
        <v>2615</v>
      </c>
      <c r="G141" s="11" t="s">
        <v>939</v>
      </c>
      <c r="H141" s="11" t="s">
        <v>172</v>
      </c>
      <c r="I141" s="3" t="s">
        <v>253</v>
      </c>
      <c r="J141" s="3" t="s">
        <v>253</v>
      </c>
      <c r="K141" s="3" t="s">
        <v>253</v>
      </c>
      <c r="L141" s="3" t="s">
        <v>253</v>
      </c>
      <c r="M141">
        <f>IF(LEN(H141),MATCH(H141,'MPIO_SFIO Table'!$A$11:$A$65525,0)-1,"")</f>
        <v>176</v>
      </c>
      <c r="N141" t="str">
        <f>IF(LEN(I141),MATCH(I141,'MPIO_SFIO Table'!$A$11:$A$65525,0)-1,"")</f>
        <v/>
      </c>
      <c r="O141" t="str">
        <f>IF(LEN(J141),MATCH(J141,'MPIO_SFIO Table'!$A$11:$A$65525,0)-1,"")</f>
        <v/>
      </c>
      <c r="P141" t="str">
        <f>IF(LEN(K141),MATCH(K141,'MPIO_SFIO Table'!$A$11:$A$65525,0)-1,"")</f>
        <v/>
      </c>
      <c r="Q141" t="str">
        <f>IF(LEN(L141),MATCH(L141,'MPIO_SFIO Table'!$A$11:$A$65525,0)-1,"")</f>
        <v/>
      </c>
      <c r="R141" t="str">
        <f ca="1">IF(ISNUMBER(M141),OFFSET('MPIO_SFIO Table'!$AJ$11,M141,0),"")</f>
        <v>unused_SDMMC4_CLK</v>
      </c>
      <c r="S141" t="str">
        <f ca="1">IF(ISNUMBER(N141),OFFSET('MPIO_SFIO Table'!$AJ$11,N141,0),"")</f>
        <v/>
      </c>
      <c r="T141" t="str">
        <f ca="1">IF(ISNUMBER(O141),OFFSET('MPIO_SFIO Table'!$AJ$11,O141,0),"")</f>
        <v/>
      </c>
      <c r="U141" t="str">
        <f ca="1">IF(ISNUMBER(P141),OFFSET('MPIO_SFIO Table'!$AJ$11,P141,0),"")</f>
        <v/>
      </c>
      <c r="V141" t="str">
        <f ca="1">IF(ISNUMBER(Q141),OFFSET('MPIO_SFIO Table'!$AJ$11,Q141,0),"")</f>
        <v/>
      </c>
      <c r="W141">
        <f t="shared" ca="1" si="27"/>
        <v>0</v>
      </c>
      <c r="X141">
        <f t="shared" ca="1" si="28"/>
        <v>0</v>
      </c>
      <c r="Y141">
        <f t="shared" ca="1" si="29"/>
        <v>0</v>
      </c>
      <c r="Z141">
        <f t="shared" ca="1" si="30"/>
        <v>0</v>
      </c>
      <c r="AA141">
        <f t="shared" ca="1" si="31"/>
        <v>0</v>
      </c>
    </row>
    <row r="142" spans="1:27" x14ac:dyDescent="0.25">
      <c r="A142">
        <f t="shared" ca="1" si="24"/>
        <v>0</v>
      </c>
      <c r="B142" t="str">
        <f t="shared" ca="1" si="25"/>
        <v/>
      </c>
      <c r="C142" t="str">
        <f t="shared" si="26"/>
        <v>GPIO</v>
      </c>
      <c r="D142" t="s">
        <v>253</v>
      </c>
      <c r="E142" t="s">
        <v>253</v>
      </c>
      <c r="F142" s="3" t="s">
        <v>2616</v>
      </c>
      <c r="G142" s="11" t="s">
        <v>920</v>
      </c>
      <c r="H142" s="11" t="s">
        <v>153</v>
      </c>
      <c r="I142" s="3" t="s">
        <v>253</v>
      </c>
      <c r="J142" s="3" t="s">
        <v>253</v>
      </c>
      <c r="K142" s="3" t="s">
        <v>253</v>
      </c>
      <c r="L142" s="3" t="s">
        <v>253</v>
      </c>
      <c r="M142">
        <f>IF(LEN(H142),MATCH(H142,'MPIO_SFIO Table'!$A$11:$A$65525,0)-1,"")</f>
        <v>151</v>
      </c>
      <c r="N142" t="str">
        <f>IF(LEN(I142),MATCH(I142,'MPIO_SFIO Table'!$A$11:$A$65525,0)-1,"")</f>
        <v/>
      </c>
      <c r="O142" t="str">
        <f>IF(LEN(J142),MATCH(J142,'MPIO_SFIO Table'!$A$11:$A$65525,0)-1,"")</f>
        <v/>
      </c>
      <c r="P142" t="str">
        <f>IF(LEN(K142),MATCH(K142,'MPIO_SFIO Table'!$A$11:$A$65525,0)-1,"")</f>
        <v/>
      </c>
      <c r="Q142" t="str">
        <f>IF(LEN(L142),MATCH(L142,'MPIO_SFIO Table'!$A$11:$A$65525,0)-1,"")</f>
        <v/>
      </c>
      <c r="R142" t="str">
        <f ca="1">IF(ISNUMBER(M142),OFFSET('MPIO_SFIO Table'!$AJ$11,M142,0),"")</f>
        <v>unused_CLK2_REQ</v>
      </c>
      <c r="S142" t="str">
        <f ca="1">IF(ISNUMBER(N142),OFFSET('MPIO_SFIO Table'!$AJ$11,N142,0),"")</f>
        <v/>
      </c>
      <c r="T142" t="str">
        <f ca="1">IF(ISNUMBER(O142),OFFSET('MPIO_SFIO Table'!$AJ$11,O142,0),"")</f>
        <v/>
      </c>
      <c r="U142" t="str">
        <f ca="1">IF(ISNUMBER(P142),OFFSET('MPIO_SFIO Table'!$AJ$11,P142,0),"")</f>
        <v/>
      </c>
      <c r="V142" t="str">
        <f ca="1">IF(ISNUMBER(Q142),OFFSET('MPIO_SFIO Table'!$AJ$11,Q142,0),"")</f>
        <v/>
      </c>
      <c r="W142">
        <f t="shared" ca="1" si="27"/>
        <v>0</v>
      </c>
      <c r="X142">
        <f t="shared" ca="1" si="28"/>
        <v>0</v>
      </c>
      <c r="Y142">
        <f t="shared" ca="1" si="29"/>
        <v>0</v>
      </c>
      <c r="Z142">
        <f t="shared" ca="1" si="30"/>
        <v>0</v>
      </c>
      <c r="AA142">
        <f t="shared" ca="1" si="31"/>
        <v>0</v>
      </c>
    </row>
    <row r="143" spans="1:27" x14ac:dyDescent="0.25">
      <c r="A143">
        <f t="shared" ca="1" si="24"/>
        <v>0</v>
      </c>
      <c r="B143" t="str">
        <f t="shared" ca="1" si="25"/>
        <v/>
      </c>
      <c r="C143" t="str">
        <f t="shared" si="26"/>
        <v>GPIO</v>
      </c>
      <c r="D143" t="s">
        <v>253</v>
      </c>
      <c r="E143" t="s">
        <v>253</v>
      </c>
      <c r="F143" s="3" t="s">
        <v>2617</v>
      </c>
      <c r="G143" s="11" t="s">
        <v>917</v>
      </c>
      <c r="H143" s="11" t="s">
        <v>150</v>
      </c>
      <c r="I143" s="3" t="s">
        <v>253</v>
      </c>
      <c r="J143" s="3" t="s">
        <v>253</v>
      </c>
      <c r="K143" s="3" t="s">
        <v>253</v>
      </c>
      <c r="L143" s="3" t="s">
        <v>253</v>
      </c>
      <c r="M143">
        <f>IF(LEN(H143),MATCH(H143,'MPIO_SFIO Table'!$A$11:$A$65525,0)-1,"")</f>
        <v>147</v>
      </c>
      <c r="N143" t="str">
        <f>IF(LEN(I143),MATCH(I143,'MPIO_SFIO Table'!$A$11:$A$65525,0)-1,"")</f>
        <v/>
      </c>
      <c r="O143" t="str">
        <f>IF(LEN(J143),MATCH(J143,'MPIO_SFIO Table'!$A$11:$A$65525,0)-1,"")</f>
        <v/>
      </c>
      <c r="P143" t="str">
        <f>IF(LEN(K143),MATCH(K143,'MPIO_SFIO Table'!$A$11:$A$65525,0)-1,"")</f>
        <v/>
      </c>
      <c r="Q143" t="str">
        <f>IF(LEN(L143),MATCH(L143,'MPIO_SFIO Table'!$A$11:$A$65525,0)-1,"")</f>
        <v/>
      </c>
      <c r="R143" t="str">
        <f ca="1">IF(ISNUMBER(M143),OFFSET('MPIO_SFIO Table'!$AJ$11,M143,0),"")</f>
        <v>unused_PEX_L2_RST_N</v>
      </c>
      <c r="S143" t="str">
        <f ca="1">IF(ISNUMBER(N143),OFFSET('MPIO_SFIO Table'!$AJ$11,N143,0),"")</f>
        <v/>
      </c>
      <c r="T143" t="str">
        <f ca="1">IF(ISNUMBER(O143),OFFSET('MPIO_SFIO Table'!$AJ$11,O143,0),"")</f>
        <v/>
      </c>
      <c r="U143" t="str">
        <f ca="1">IF(ISNUMBER(P143),OFFSET('MPIO_SFIO Table'!$AJ$11,P143,0),"")</f>
        <v/>
      </c>
      <c r="V143" t="str">
        <f ca="1">IF(ISNUMBER(Q143),OFFSET('MPIO_SFIO Table'!$AJ$11,Q143,0),"")</f>
        <v/>
      </c>
      <c r="W143">
        <f t="shared" ca="1" si="27"/>
        <v>0</v>
      </c>
      <c r="X143">
        <f t="shared" ca="1" si="28"/>
        <v>0</v>
      </c>
      <c r="Y143">
        <f t="shared" ca="1" si="29"/>
        <v>0</v>
      </c>
      <c r="Z143">
        <f t="shared" ca="1" si="30"/>
        <v>0</v>
      </c>
      <c r="AA143">
        <f t="shared" ca="1" si="31"/>
        <v>0</v>
      </c>
    </row>
    <row r="144" spans="1:27" x14ac:dyDescent="0.25">
      <c r="A144">
        <f t="shared" ca="1" si="24"/>
        <v>0</v>
      </c>
      <c r="B144" t="str">
        <f t="shared" ca="1" si="25"/>
        <v/>
      </c>
      <c r="C144" t="str">
        <f t="shared" si="26"/>
        <v>GPIO</v>
      </c>
      <c r="D144" t="s">
        <v>253</v>
      </c>
      <c r="E144" t="s">
        <v>253</v>
      </c>
      <c r="F144" s="3" t="s">
        <v>2618</v>
      </c>
      <c r="G144" s="11" t="s">
        <v>915</v>
      </c>
      <c r="H144" s="11" t="s">
        <v>148</v>
      </c>
      <c r="I144" s="3" t="s">
        <v>253</v>
      </c>
      <c r="J144" s="3" t="s">
        <v>253</v>
      </c>
      <c r="K144" s="3" t="s">
        <v>253</v>
      </c>
      <c r="L144" s="3" t="s">
        <v>253</v>
      </c>
      <c r="M144">
        <f>IF(LEN(H144),MATCH(H144,'MPIO_SFIO Table'!$A$11:$A$65525,0)-1,"")</f>
        <v>145</v>
      </c>
      <c r="N144" t="str">
        <f>IF(LEN(I144),MATCH(I144,'MPIO_SFIO Table'!$A$11:$A$65525,0)-1,"")</f>
        <v/>
      </c>
      <c r="O144" t="str">
        <f>IF(LEN(J144),MATCH(J144,'MPIO_SFIO Table'!$A$11:$A$65525,0)-1,"")</f>
        <v/>
      </c>
      <c r="P144" t="str">
        <f>IF(LEN(K144),MATCH(K144,'MPIO_SFIO Table'!$A$11:$A$65525,0)-1,"")</f>
        <v/>
      </c>
      <c r="Q144" t="str">
        <f>IF(LEN(L144),MATCH(L144,'MPIO_SFIO Table'!$A$11:$A$65525,0)-1,"")</f>
        <v/>
      </c>
      <c r="R144" t="str">
        <f ca="1">IF(ISNUMBER(M144),OFFSET('MPIO_SFIO Table'!$AJ$11,M144,0),"")</f>
        <v>unused_PEX_L2_CLKREQ_N</v>
      </c>
      <c r="S144" t="str">
        <f ca="1">IF(ISNUMBER(N144),OFFSET('MPIO_SFIO Table'!$AJ$11,N144,0),"")</f>
        <v/>
      </c>
      <c r="T144" t="str">
        <f ca="1">IF(ISNUMBER(O144),OFFSET('MPIO_SFIO Table'!$AJ$11,O144,0),"")</f>
        <v/>
      </c>
      <c r="U144" t="str">
        <f ca="1">IF(ISNUMBER(P144),OFFSET('MPIO_SFIO Table'!$AJ$11,P144,0),"")</f>
        <v/>
      </c>
      <c r="V144" t="str">
        <f ca="1">IF(ISNUMBER(Q144),OFFSET('MPIO_SFIO Table'!$AJ$11,Q144,0),"")</f>
        <v/>
      </c>
      <c r="W144">
        <f t="shared" ca="1" si="27"/>
        <v>0</v>
      </c>
      <c r="X144">
        <f t="shared" ca="1" si="28"/>
        <v>0</v>
      </c>
      <c r="Y144">
        <f t="shared" ca="1" si="29"/>
        <v>0</v>
      </c>
      <c r="Z144">
        <f t="shared" ca="1" si="30"/>
        <v>0</v>
      </c>
      <c r="AA144">
        <f t="shared" ca="1" si="31"/>
        <v>0</v>
      </c>
    </row>
    <row r="145" spans="1:27" x14ac:dyDescent="0.25">
      <c r="A145">
        <f t="shared" ca="1" si="24"/>
        <v>0</v>
      </c>
      <c r="B145" t="str">
        <f t="shared" ca="1" si="25"/>
        <v/>
      </c>
      <c r="C145" t="str">
        <f t="shared" si="26"/>
        <v>GPIO</v>
      </c>
      <c r="D145" t="s">
        <v>253</v>
      </c>
      <c r="E145" t="s">
        <v>253</v>
      </c>
      <c r="F145" s="3" t="s">
        <v>2619</v>
      </c>
      <c r="G145" s="11" t="s">
        <v>936</v>
      </c>
      <c r="H145" s="11" t="s">
        <v>169</v>
      </c>
      <c r="I145" s="3" t="s">
        <v>253</v>
      </c>
      <c r="J145" s="3" t="s">
        <v>253</v>
      </c>
      <c r="K145" s="3" t="s">
        <v>253</v>
      </c>
      <c r="L145" s="3" t="s">
        <v>253</v>
      </c>
      <c r="M145">
        <f>IF(LEN(H145),MATCH(H145,'MPIO_SFIO Table'!$A$11:$A$65525,0)-1,"")</f>
        <v>170</v>
      </c>
      <c r="N145" t="str">
        <f>IF(LEN(I145),MATCH(I145,'MPIO_SFIO Table'!$A$11:$A$65525,0)-1,"")</f>
        <v/>
      </c>
      <c r="O145" t="str">
        <f>IF(LEN(J145),MATCH(J145,'MPIO_SFIO Table'!$A$11:$A$65525,0)-1,"")</f>
        <v/>
      </c>
      <c r="P145" t="str">
        <f>IF(LEN(K145),MATCH(K145,'MPIO_SFIO Table'!$A$11:$A$65525,0)-1,"")</f>
        <v/>
      </c>
      <c r="Q145" t="str">
        <f>IF(LEN(L145),MATCH(L145,'MPIO_SFIO Table'!$A$11:$A$65525,0)-1,"")</f>
        <v/>
      </c>
      <c r="R145" t="str">
        <f ca="1">IF(ISNUMBER(M145),OFFSET('MPIO_SFIO Table'!$AJ$11,M145,0),"")</f>
        <v>unused_SDMMC3_DAT5</v>
      </c>
      <c r="S145" t="str">
        <f ca="1">IF(ISNUMBER(N145),OFFSET('MPIO_SFIO Table'!$AJ$11,N145,0),"")</f>
        <v/>
      </c>
      <c r="T145" t="str">
        <f ca="1">IF(ISNUMBER(O145),OFFSET('MPIO_SFIO Table'!$AJ$11,O145,0),"")</f>
        <v/>
      </c>
      <c r="U145" t="str">
        <f ca="1">IF(ISNUMBER(P145),OFFSET('MPIO_SFIO Table'!$AJ$11,P145,0),"")</f>
        <v/>
      </c>
      <c r="V145" t="str">
        <f ca="1">IF(ISNUMBER(Q145),OFFSET('MPIO_SFIO Table'!$AJ$11,Q145,0),"")</f>
        <v/>
      </c>
      <c r="W145">
        <f t="shared" ca="1" si="27"/>
        <v>0</v>
      </c>
      <c r="X145">
        <f t="shared" ca="1" si="28"/>
        <v>0</v>
      </c>
      <c r="Y145">
        <f t="shared" ca="1" si="29"/>
        <v>0</v>
      </c>
      <c r="Z145">
        <f t="shared" ca="1" si="30"/>
        <v>0</v>
      </c>
      <c r="AA145">
        <f t="shared" ca="1" si="31"/>
        <v>0</v>
      </c>
    </row>
    <row r="146" spans="1:27" x14ac:dyDescent="0.25">
      <c r="A146">
        <f t="shared" ca="1" si="24"/>
        <v>0</v>
      </c>
      <c r="B146" t="str">
        <f t="shared" ca="1" si="25"/>
        <v/>
      </c>
      <c r="C146" t="str">
        <f t="shared" si="26"/>
        <v>GPIO</v>
      </c>
      <c r="D146" t="s">
        <v>253</v>
      </c>
      <c r="E146" t="s">
        <v>253</v>
      </c>
      <c r="F146" s="3" t="s">
        <v>2620</v>
      </c>
      <c r="G146" s="11" t="s">
        <v>935</v>
      </c>
      <c r="H146" s="11" t="s">
        <v>168</v>
      </c>
      <c r="I146" s="3" t="s">
        <v>253</v>
      </c>
      <c r="J146" s="3" t="s">
        <v>253</v>
      </c>
      <c r="K146" s="3" t="s">
        <v>253</v>
      </c>
      <c r="L146" s="3" t="s">
        <v>253</v>
      </c>
      <c r="M146">
        <f>IF(LEN(H146),MATCH(H146,'MPIO_SFIO Table'!$A$11:$A$65525,0)-1,"")</f>
        <v>169</v>
      </c>
      <c r="N146" t="str">
        <f>IF(LEN(I146),MATCH(I146,'MPIO_SFIO Table'!$A$11:$A$65525,0)-1,"")</f>
        <v/>
      </c>
      <c r="O146" t="str">
        <f>IF(LEN(J146),MATCH(J146,'MPIO_SFIO Table'!$A$11:$A$65525,0)-1,"")</f>
        <v/>
      </c>
      <c r="P146" t="str">
        <f>IF(LEN(K146),MATCH(K146,'MPIO_SFIO Table'!$A$11:$A$65525,0)-1,"")</f>
        <v/>
      </c>
      <c r="Q146" t="str">
        <f>IF(LEN(L146),MATCH(L146,'MPIO_SFIO Table'!$A$11:$A$65525,0)-1,"")</f>
        <v/>
      </c>
      <c r="R146" t="str">
        <f ca="1">IF(ISNUMBER(M146),OFFSET('MPIO_SFIO Table'!$AJ$11,M146,0),"")</f>
        <v>unused_SDMMC3_DAT4</v>
      </c>
      <c r="S146" t="str">
        <f ca="1">IF(ISNUMBER(N146),OFFSET('MPIO_SFIO Table'!$AJ$11,N146,0),"")</f>
        <v/>
      </c>
      <c r="T146" t="str">
        <f ca="1">IF(ISNUMBER(O146),OFFSET('MPIO_SFIO Table'!$AJ$11,O146,0),"")</f>
        <v/>
      </c>
      <c r="U146" t="str">
        <f ca="1">IF(ISNUMBER(P146),OFFSET('MPIO_SFIO Table'!$AJ$11,P146,0),"")</f>
        <v/>
      </c>
      <c r="V146" t="str">
        <f ca="1">IF(ISNUMBER(Q146),OFFSET('MPIO_SFIO Table'!$AJ$11,Q146,0),"")</f>
        <v/>
      </c>
      <c r="W146">
        <f t="shared" ca="1" si="27"/>
        <v>0</v>
      </c>
      <c r="X146">
        <f t="shared" ca="1" si="28"/>
        <v>0</v>
      </c>
      <c r="Y146">
        <f t="shared" ca="1" si="29"/>
        <v>0</v>
      </c>
      <c r="Z146">
        <f t="shared" ca="1" si="30"/>
        <v>0</v>
      </c>
      <c r="AA146">
        <f t="shared" ca="1" si="31"/>
        <v>0</v>
      </c>
    </row>
    <row r="147" spans="1:27" x14ac:dyDescent="0.25">
      <c r="A147">
        <f t="shared" ca="1" si="24"/>
        <v>0</v>
      </c>
      <c r="B147" t="str">
        <f t="shared" ca="1" si="25"/>
        <v/>
      </c>
      <c r="C147" t="str">
        <f t="shared" si="26"/>
        <v>GPIO</v>
      </c>
      <c r="D147" t="s">
        <v>253</v>
      </c>
      <c r="E147" t="s">
        <v>253</v>
      </c>
      <c r="F147" s="3" t="s">
        <v>2621</v>
      </c>
      <c r="G147" s="11" t="s">
        <v>896</v>
      </c>
      <c r="H147" s="11" t="s">
        <v>129</v>
      </c>
      <c r="I147" s="3" t="s">
        <v>253</v>
      </c>
      <c r="J147" s="3" t="s">
        <v>253</v>
      </c>
      <c r="K147" s="3" t="s">
        <v>253</v>
      </c>
      <c r="L147" s="3" t="s">
        <v>253</v>
      </c>
      <c r="M147">
        <f>IF(LEN(H147),MATCH(H147,'MPIO_SFIO Table'!$A$11:$A$65525,0)-1,"")</f>
        <v>125</v>
      </c>
      <c r="N147" t="str">
        <f>IF(LEN(I147),MATCH(I147,'MPIO_SFIO Table'!$A$11:$A$65525,0)-1,"")</f>
        <v/>
      </c>
      <c r="O147" t="str">
        <f>IF(LEN(J147),MATCH(J147,'MPIO_SFIO Table'!$A$11:$A$65525,0)-1,"")</f>
        <v/>
      </c>
      <c r="P147" t="str">
        <f>IF(LEN(K147),MATCH(K147,'MPIO_SFIO Table'!$A$11:$A$65525,0)-1,"")</f>
        <v/>
      </c>
      <c r="Q147" t="str">
        <f>IF(LEN(L147),MATCH(L147,'MPIO_SFIO Table'!$A$11:$A$65525,0)-1,"")</f>
        <v/>
      </c>
      <c r="R147" t="str">
        <f ca="1">IF(ISNUMBER(M147),OFFSET('MPIO_SFIO Table'!$AJ$11,M147,0),"")</f>
        <v>unused_LCD_DC1</v>
      </c>
      <c r="S147" t="str">
        <f ca="1">IF(ISNUMBER(N147),OFFSET('MPIO_SFIO Table'!$AJ$11,N147,0),"")</f>
        <v/>
      </c>
      <c r="T147" t="str">
        <f ca="1">IF(ISNUMBER(O147),OFFSET('MPIO_SFIO Table'!$AJ$11,O147,0),"")</f>
        <v/>
      </c>
      <c r="U147" t="str">
        <f ca="1">IF(ISNUMBER(P147),OFFSET('MPIO_SFIO Table'!$AJ$11,P147,0),"")</f>
        <v/>
      </c>
      <c r="V147" t="str">
        <f ca="1">IF(ISNUMBER(Q147),OFFSET('MPIO_SFIO Table'!$AJ$11,Q147,0),"")</f>
        <v/>
      </c>
      <c r="W147">
        <f t="shared" ca="1" si="27"/>
        <v>0</v>
      </c>
      <c r="X147">
        <f t="shared" ca="1" si="28"/>
        <v>0</v>
      </c>
      <c r="Y147">
        <f t="shared" ca="1" si="29"/>
        <v>0</v>
      </c>
      <c r="Z147">
        <f t="shared" ca="1" si="30"/>
        <v>0</v>
      </c>
      <c r="AA147">
        <f t="shared" ca="1" si="31"/>
        <v>0</v>
      </c>
    </row>
    <row r="148" spans="1:27" x14ac:dyDescent="0.25">
      <c r="A148">
        <f t="shared" ca="1" si="24"/>
        <v>0</v>
      </c>
      <c r="B148" t="str">
        <f t="shared" ca="1" si="25"/>
        <v/>
      </c>
      <c r="C148" t="str">
        <f t="shared" si="26"/>
        <v>GPIO</v>
      </c>
      <c r="D148" t="s">
        <v>253</v>
      </c>
      <c r="E148" t="s">
        <v>253</v>
      </c>
      <c r="F148" s="3" t="s">
        <v>2622</v>
      </c>
      <c r="G148" s="11" t="s">
        <v>937</v>
      </c>
      <c r="H148" s="11" t="s">
        <v>170</v>
      </c>
      <c r="I148" s="3" t="s">
        <v>253</v>
      </c>
      <c r="J148" s="3" t="s">
        <v>253</v>
      </c>
      <c r="K148" s="3" t="s">
        <v>253</v>
      </c>
      <c r="L148" s="3" t="s">
        <v>253</v>
      </c>
      <c r="M148">
        <f>IF(LEN(H148),MATCH(H148,'MPIO_SFIO Table'!$A$11:$A$65525,0)-1,"")</f>
        <v>171</v>
      </c>
      <c r="N148" t="str">
        <f>IF(LEN(I148),MATCH(I148,'MPIO_SFIO Table'!$A$11:$A$65525,0)-1,"")</f>
        <v/>
      </c>
      <c r="O148" t="str">
        <f>IF(LEN(J148),MATCH(J148,'MPIO_SFIO Table'!$A$11:$A$65525,0)-1,"")</f>
        <v/>
      </c>
      <c r="P148" t="str">
        <f>IF(LEN(K148),MATCH(K148,'MPIO_SFIO Table'!$A$11:$A$65525,0)-1,"")</f>
        <v/>
      </c>
      <c r="Q148" t="str">
        <f>IF(LEN(L148),MATCH(L148,'MPIO_SFIO Table'!$A$11:$A$65525,0)-1,"")</f>
        <v/>
      </c>
      <c r="R148" t="str">
        <f ca="1">IF(ISNUMBER(M148),OFFSET('MPIO_SFIO Table'!$AJ$11,M148,0),"")</f>
        <v>unused_SDMMC3_DAT6</v>
      </c>
      <c r="S148" t="str">
        <f ca="1">IF(ISNUMBER(N148),OFFSET('MPIO_SFIO Table'!$AJ$11,N148,0),"")</f>
        <v/>
      </c>
      <c r="T148" t="str">
        <f ca="1">IF(ISNUMBER(O148),OFFSET('MPIO_SFIO Table'!$AJ$11,O148,0),"")</f>
        <v/>
      </c>
      <c r="U148" t="str">
        <f ca="1">IF(ISNUMBER(P148),OFFSET('MPIO_SFIO Table'!$AJ$11,P148,0),"")</f>
        <v/>
      </c>
      <c r="V148" t="str">
        <f ca="1">IF(ISNUMBER(Q148),OFFSET('MPIO_SFIO Table'!$AJ$11,Q148,0),"")</f>
        <v/>
      </c>
      <c r="W148">
        <f t="shared" ca="1" si="27"/>
        <v>0</v>
      </c>
      <c r="X148">
        <f t="shared" ca="1" si="28"/>
        <v>0</v>
      </c>
      <c r="Y148">
        <f t="shared" ca="1" si="29"/>
        <v>0</v>
      </c>
      <c r="Z148">
        <f t="shared" ca="1" si="30"/>
        <v>0</v>
      </c>
      <c r="AA148">
        <f t="shared" ca="1" si="31"/>
        <v>0</v>
      </c>
    </row>
    <row r="149" spans="1:27" x14ac:dyDescent="0.25">
      <c r="A149">
        <f t="shared" ca="1" si="24"/>
        <v>0</v>
      </c>
      <c r="B149" t="str">
        <f t="shared" ca="1" si="25"/>
        <v/>
      </c>
      <c r="C149" t="str">
        <f t="shared" si="26"/>
        <v>GPIO</v>
      </c>
      <c r="D149" t="s">
        <v>253</v>
      </c>
      <c r="E149" t="s">
        <v>253</v>
      </c>
      <c r="F149" s="3" t="s">
        <v>2623</v>
      </c>
      <c r="G149" s="11" t="s">
        <v>938</v>
      </c>
      <c r="H149" s="11" t="s">
        <v>171</v>
      </c>
      <c r="I149" s="3" t="s">
        <v>253</v>
      </c>
      <c r="J149" s="3" t="s">
        <v>253</v>
      </c>
      <c r="K149" s="3" t="s">
        <v>253</v>
      </c>
      <c r="L149" s="3" t="s">
        <v>253</v>
      </c>
      <c r="M149">
        <f>IF(LEN(H149),MATCH(H149,'MPIO_SFIO Table'!$A$11:$A$65525,0)-1,"")</f>
        <v>172</v>
      </c>
      <c r="N149" t="str">
        <f>IF(LEN(I149),MATCH(I149,'MPIO_SFIO Table'!$A$11:$A$65525,0)-1,"")</f>
        <v/>
      </c>
      <c r="O149" t="str">
        <f>IF(LEN(J149),MATCH(J149,'MPIO_SFIO Table'!$A$11:$A$65525,0)-1,"")</f>
        <v/>
      </c>
      <c r="P149" t="str">
        <f>IF(LEN(K149),MATCH(K149,'MPIO_SFIO Table'!$A$11:$A$65525,0)-1,"")</f>
        <v/>
      </c>
      <c r="Q149" t="str">
        <f>IF(LEN(L149),MATCH(L149,'MPIO_SFIO Table'!$A$11:$A$65525,0)-1,"")</f>
        <v/>
      </c>
      <c r="R149" t="str">
        <f ca="1">IF(ISNUMBER(M149),OFFSET('MPIO_SFIO Table'!$AJ$11,M149,0),"")</f>
        <v>unused_SDMMC3_DAT7</v>
      </c>
      <c r="S149" t="str">
        <f ca="1">IF(ISNUMBER(N149),OFFSET('MPIO_SFIO Table'!$AJ$11,N149,0),"")</f>
        <v/>
      </c>
      <c r="T149" t="str">
        <f ca="1">IF(ISNUMBER(O149),OFFSET('MPIO_SFIO Table'!$AJ$11,O149,0),"")</f>
        <v/>
      </c>
      <c r="U149" t="str">
        <f ca="1">IF(ISNUMBER(P149),OFFSET('MPIO_SFIO Table'!$AJ$11,P149,0),"")</f>
        <v/>
      </c>
      <c r="V149" t="str">
        <f ca="1">IF(ISNUMBER(Q149),OFFSET('MPIO_SFIO Table'!$AJ$11,Q149,0),"")</f>
        <v/>
      </c>
      <c r="W149">
        <f t="shared" ca="1" si="27"/>
        <v>0</v>
      </c>
      <c r="X149">
        <f t="shared" ca="1" si="28"/>
        <v>0</v>
      </c>
      <c r="Y149">
        <f t="shared" ca="1" si="29"/>
        <v>0</v>
      </c>
      <c r="Z149">
        <f t="shared" ca="1" si="30"/>
        <v>0</v>
      </c>
      <c r="AA149">
        <f t="shared" ca="1" si="31"/>
        <v>0</v>
      </c>
    </row>
    <row r="150" spans="1:27" x14ac:dyDescent="0.25">
      <c r="A150">
        <f t="shared" ca="1" si="24"/>
        <v>0</v>
      </c>
      <c r="B150" t="str">
        <f t="shared" ca="1" si="25"/>
        <v/>
      </c>
      <c r="C150" t="str">
        <f t="shared" si="26"/>
        <v>GPIO</v>
      </c>
      <c r="D150" t="s">
        <v>253</v>
      </c>
      <c r="E150" t="s">
        <v>253</v>
      </c>
      <c r="F150" s="3" t="s">
        <v>2624</v>
      </c>
      <c r="G150" s="11" t="s">
        <v>1003</v>
      </c>
      <c r="H150" s="11" t="s">
        <v>237</v>
      </c>
      <c r="I150" s="3" t="s">
        <v>253</v>
      </c>
      <c r="J150" s="3" t="s">
        <v>253</v>
      </c>
      <c r="K150" s="3" t="s">
        <v>253</v>
      </c>
      <c r="L150" s="3" t="s">
        <v>253</v>
      </c>
      <c r="M150">
        <f>IF(LEN(H150),MATCH(H150,'MPIO_SFIO Table'!$A$11:$A$65525,0)-1,"")</f>
        <v>256</v>
      </c>
      <c r="N150" t="str">
        <f>IF(LEN(I150),MATCH(I150,'MPIO_SFIO Table'!$A$11:$A$65525,0)-1,"")</f>
        <v/>
      </c>
      <c r="O150" t="str">
        <f>IF(LEN(J150),MATCH(J150,'MPIO_SFIO Table'!$A$11:$A$65525,0)-1,"")</f>
        <v/>
      </c>
      <c r="P150" t="str">
        <f>IF(LEN(K150),MATCH(K150,'MPIO_SFIO Table'!$A$11:$A$65525,0)-1,"")</f>
        <v/>
      </c>
      <c r="Q150" t="str">
        <f>IF(LEN(L150),MATCH(L150,'MPIO_SFIO Table'!$A$11:$A$65525,0)-1,"")</f>
        <v/>
      </c>
      <c r="R150" t="str">
        <f ca="1">IF(ISNUMBER(M150),OFFSET('MPIO_SFIO Table'!$AJ$11,M150,0),"")</f>
        <v>unused_VI_D1</v>
      </c>
      <c r="S150" t="str">
        <f ca="1">IF(ISNUMBER(N150),OFFSET('MPIO_SFIO Table'!$AJ$11,N150,0),"")</f>
        <v/>
      </c>
      <c r="T150" t="str">
        <f ca="1">IF(ISNUMBER(O150),OFFSET('MPIO_SFIO Table'!$AJ$11,O150,0),"")</f>
        <v/>
      </c>
      <c r="U150" t="str">
        <f ca="1">IF(ISNUMBER(P150),OFFSET('MPIO_SFIO Table'!$AJ$11,P150,0),"")</f>
        <v/>
      </c>
      <c r="V150" t="str">
        <f ca="1">IF(ISNUMBER(Q150),OFFSET('MPIO_SFIO Table'!$AJ$11,Q150,0),"")</f>
        <v/>
      </c>
      <c r="W150">
        <f t="shared" ca="1" si="27"/>
        <v>0</v>
      </c>
      <c r="X150">
        <f t="shared" ca="1" si="28"/>
        <v>0</v>
      </c>
      <c r="Y150">
        <f t="shared" ca="1" si="29"/>
        <v>0</v>
      </c>
      <c r="Z150">
        <f t="shared" ca="1" si="30"/>
        <v>0</v>
      </c>
      <c r="AA150">
        <f t="shared" ca="1" si="31"/>
        <v>0</v>
      </c>
    </row>
    <row r="151" spans="1:27" x14ac:dyDescent="0.25">
      <c r="A151">
        <f t="shared" ca="1" si="24"/>
        <v>0</v>
      </c>
      <c r="B151" t="str">
        <f t="shared" ca="1" si="25"/>
        <v/>
      </c>
      <c r="C151" t="str">
        <f t="shared" si="26"/>
        <v>GPIO</v>
      </c>
      <c r="D151" t="s">
        <v>253</v>
      </c>
      <c r="E151" t="s">
        <v>253</v>
      </c>
      <c r="F151" s="3" t="s">
        <v>2625</v>
      </c>
      <c r="G151" s="11" t="s">
        <v>1017</v>
      </c>
      <c r="H151" s="11" t="s">
        <v>251</v>
      </c>
      <c r="I151" s="3" t="s">
        <v>253</v>
      </c>
      <c r="J151" s="3" t="s">
        <v>253</v>
      </c>
      <c r="K151" s="3" t="s">
        <v>253</v>
      </c>
      <c r="L151" s="3" t="s">
        <v>253</v>
      </c>
      <c r="M151">
        <f>IF(LEN(H151),MATCH(H151,'MPIO_SFIO Table'!$A$11:$A$65525,0)-1,"")</f>
        <v>270</v>
      </c>
      <c r="N151" t="str">
        <f>IF(LEN(I151),MATCH(I151,'MPIO_SFIO Table'!$A$11:$A$65525,0)-1,"")</f>
        <v/>
      </c>
      <c r="O151" t="str">
        <f>IF(LEN(J151),MATCH(J151,'MPIO_SFIO Table'!$A$11:$A$65525,0)-1,"")</f>
        <v/>
      </c>
      <c r="P151" t="str">
        <f>IF(LEN(K151),MATCH(K151,'MPIO_SFIO Table'!$A$11:$A$65525,0)-1,"")</f>
        <v/>
      </c>
      <c r="Q151" t="str">
        <f>IF(LEN(L151),MATCH(L151,'MPIO_SFIO Table'!$A$11:$A$65525,0)-1,"")</f>
        <v/>
      </c>
      <c r="R151" t="str">
        <f ca="1">IF(ISNUMBER(M151),OFFSET('MPIO_SFIO Table'!$AJ$11,M151,0),"")</f>
        <v>unused_VI_VSYNC</v>
      </c>
      <c r="S151" t="str">
        <f ca="1">IF(ISNUMBER(N151),OFFSET('MPIO_SFIO Table'!$AJ$11,N151,0),"")</f>
        <v/>
      </c>
      <c r="T151" t="str">
        <f ca="1">IF(ISNUMBER(O151),OFFSET('MPIO_SFIO Table'!$AJ$11,O151,0),"")</f>
        <v/>
      </c>
      <c r="U151" t="str">
        <f ca="1">IF(ISNUMBER(P151),OFFSET('MPIO_SFIO Table'!$AJ$11,P151,0),"")</f>
        <v/>
      </c>
      <c r="V151" t="str">
        <f ca="1">IF(ISNUMBER(Q151),OFFSET('MPIO_SFIO Table'!$AJ$11,Q151,0),"")</f>
        <v/>
      </c>
      <c r="W151">
        <f t="shared" ca="1" si="27"/>
        <v>0</v>
      </c>
      <c r="X151">
        <f t="shared" ca="1" si="28"/>
        <v>0</v>
      </c>
      <c r="Y151">
        <f t="shared" ca="1" si="29"/>
        <v>0</v>
      </c>
      <c r="Z151">
        <f t="shared" ca="1" si="30"/>
        <v>0</v>
      </c>
      <c r="AA151">
        <f t="shared" ca="1" si="31"/>
        <v>0</v>
      </c>
    </row>
    <row r="152" spans="1:27" x14ac:dyDescent="0.25">
      <c r="A152">
        <f t="shared" ca="1" si="24"/>
        <v>0</v>
      </c>
      <c r="B152" t="str">
        <f t="shared" ca="1" si="25"/>
        <v/>
      </c>
      <c r="C152" t="str">
        <f t="shared" si="26"/>
        <v>GPIO</v>
      </c>
      <c r="D152" t="s">
        <v>253</v>
      </c>
      <c r="E152" t="s">
        <v>253</v>
      </c>
      <c r="F152" s="3" t="s">
        <v>2626</v>
      </c>
      <c r="G152" s="11" t="s">
        <v>1014</v>
      </c>
      <c r="H152" s="11" t="s">
        <v>248</v>
      </c>
      <c r="I152" s="3" t="s">
        <v>253</v>
      </c>
      <c r="J152" s="3" t="s">
        <v>253</v>
      </c>
      <c r="K152" s="3" t="s">
        <v>253</v>
      </c>
      <c r="L152" s="3" t="s">
        <v>253</v>
      </c>
      <c r="M152">
        <f>IF(LEN(H152),MATCH(H152,'MPIO_SFIO Table'!$A$11:$A$65525,0)-1,"")</f>
        <v>267</v>
      </c>
      <c r="N152" t="str">
        <f>IF(LEN(I152),MATCH(I152,'MPIO_SFIO Table'!$A$11:$A$65525,0)-1,"")</f>
        <v/>
      </c>
      <c r="O152" t="str">
        <f>IF(LEN(J152),MATCH(J152,'MPIO_SFIO Table'!$A$11:$A$65525,0)-1,"")</f>
        <v/>
      </c>
      <c r="P152" t="str">
        <f>IF(LEN(K152),MATCH(K152,'MPIO_SFIO Table'!$A$11:$A$65525,0)-1,"")</f>
        <v/>
      </c>
      <c r="Q152" t="str">
        <f>IF(LEN(L152),MATCH(L152,'MPIO_SFIO Table'!$A$11:$A$65525,0)-1,"")</f>
        <v/>
      </c>
      <c r="R152" t="str">
        <f ca="1">IF(ISNUMBER(M152),OFFSET('MPIO_SFIO Table'!$AJ$11,M152,0),"")</f>
        <v>unused_VI_HSYNC</v>
      </c>
      <c r="S152" t="str">
        <f ca="1">IF(ISNUMBER(N152),OFFSET('MPIO_SFIO Table'!$AJ$11,N152,0),"")</f>
        <v/>
      </c>
      <c r="T152" t="str">
        <f ca="1">IF(ISNUMBER(O152),OFFSET('MPIO_SFIO Table'!$AJ$11,O152,0),"")</f>
        <v/>
      </c>
      <c r="U152" t="str">
        <f ca="1">IF(ISNUMBER(P152),OFFSET('MPIO_SFIO Table'!$AJ$11,P152,0),"")</f>
        <v/>
      </c>
      <c r="V152" t="str">
        <f ca="1">IF(ISNUMBER(Q152),OFFSET('MPIO_SFIO Table'!$AJ$11,Q152,0),"")</f>
        <v/>
      </c>
      <c r="W152">
        <f t="shared" ca="1" si="27"/>
        <v>0</v>
      </c>
      <c r="X152">
        <f t="shared" ca="1" si="28"/>
        <v>0</v>
      </c>
      <c r="Y152">
        <f t="shared" ca="1" si="29"/>
        <v>0</v>
      </c>
      <c r="Z152">
        <f t="shared" ca="1" si="30"/>
        <v>0</v>
      </c>
      <c r="AA152">
        <f t="shared" ca="1" si="31"/>
        <v>0</v>
      </c>
    </row>
    <row r="153" spans="1:27" x14ac:dyDescent="0.25">
      <c r="A153">
        <f t="shared" ca="1" si="24"/>
        <v>0</v>
      </c>
      <c r="B153" t="str">
        <f t="shared" ca="1" si="25"/>
        <v/>
      </c>
      <c r="C153" t="str">
        <f t="shared" si="26"/>
        <v>GPIO</v>
      </c>
      <c r="D153" t="s">
        <v>253</v>
      </c>
      <c r="E153" t="s">
        <v>253</v>
      </c>
      <c r="F153" s="3" t="s">
        <v>2627</v>
      </c>
      <c r="G153" s="11" t="s">
        <v>910</v>
      </c>
      <c r="H153" s="11" t="s">
        <v>143</v>
      </c>
      <c r="I153" s="3" t="s">
        <v>253</v>
      </c>
      <c r="J153" s="3" t="s">
        <v>253</v>
      </c>
      <c r="K153" s="3" t="s">
        <v>253</v>
      </c>
      <c r="L153" s="3" t="s">
        <v>253</v>
      </c>
      <c r="M153">
        <f>IF(LEN(H153),MATCH(H153,'MPIO_SFIO Table'!$A$11:$A$65525,0)-1,"")</f>
        <v>140</v>
      </c>
      <c r="N153" t="str">
        <f>IF(LEN(I153),MATCH(I153,'MPIO_SFIO Table'!$A$11:$A$65525,0)-1,"")</f>
        <v/>
      </c>
      <c r="O153" t="str">
        <f>IF(LEN(J153),MATCH(J153,'MPIO_SFIO Table'!$A$11:$A$65525,0)-1,"")</f>
        <v/>
      </c>
      <c r="P153" t="str">
        <f>IF(LEN(K153),MATCH(K153,'MPIO_SFIO Table'!$A$11:$A$65525,0)-1,"")</f>
        <v/>
      </c>
      <c r="Q153" t="str">
        <f>IF(LEN(L153),MATCH(L153,'MPIO_SFIO Table'!$A$11:$A$65525,0)-1,"")</f>
        <v/>
      </c>
      <c r="R153" t="str">
        <f ca="1">IF(ISNUMBER(M153),OFFSET('MPIO_SFIO Table'!$AJ$11,M153,0),"")</f>
        <v>unused_PEX_L0_PRSNT_N</v>
      </c>
      <c r="S153" t="str">
        <f ca="1">IF(ISNUMBER(N153),OFFSET('MPIO_SFIO Table'!$AJ$11,N153,0),"")</f>
        <v/>
      </c>
      <c r="T153" t="str">
        <f ca="1">IF(ISNUMBER(O153),OFFSET('MPIO_SFIO Table'!$AJ$11,O153,0),"")</f>
        <v/>
      </c>
      <c r="U153" t="str">
        <f ca="1">IF(ISNUMBER(P153),OFFSET('MPIO_SFIO Table'!$AJ$11,P153,0),"")</f>
        <v/>
      </c>
      <c r="V153" t="str">
        <f ca="1">IF(ISNUMBER(Q153),OFFSET('MPIO_SFIO Table'!$AJ$11,Q153,0),"")</f>
        <v/>
      </c>
      <c r="W153">
        <f t="shared" ca="1" si="27"/>
        <v>0</v>
      </c>
      <c r="X153">
        <f t="shared" ca="1" si="28"/>
        <v>0</v>
      </c>
      <c r="Y153">
        <f t="shared" ca="1" si="29"/>
        <v>0</v>
      </c>
      <c r="Z153">
        <f t="shared" ca="1" si="30"/>
        <v>0</v>
      </c>
      <c r="AA153">
        <f t="shared" ca="1" si="31"/>
        <v>0</v>
      </c>
    </row>
    <row r="154" spans="1:27" x14ac:dyDescent="0.25">
      <c r="A154">
        <f t="shared" ca="1" si="24"/>
        <v>0</v>
      </c>
      <c r="B154" t="str">
        <f t="shared" ca="1" si="25"/>
        <v/>
      </c>
      <c r="C154" t="str">
        <f t="shared" si="26"/>
        <v>GPIO</v>
      </c>
      <c r="D154" t="s">
        <v>253</v>
      </c>
      <c r="E154" t="s">
        <v>253</v>
      </c>
      <c r="F154" s="3" t="s">
        <v>2628</v>
      </c>
      <c r="G154" s="11" t="s">
        <v>911</v>
      </c>
      <c r="H154" s="11" t="s">
        <v>144</v>
      </c>
      <c r="I154" s="3" t="s">
        <v>253</v>
      </c>
      <c r="J154" s="3" t="s">
        <v>253</v>
      </c>
      <c r="K154" s="3" t="s">
        <v>253</v>
      </c>
      <c r="L154" s="3" t="s">
        <v>253</v>
      </c>
      <c r="M154">
        <f>IF(LEN(H154),MATCH(H154,'MPIO_SFIO Table'!$A$11:$A$65525,0)-1,"")</f>
        <v>141</v>
      </c>
      <c r="N154" t="str">
        <f>IF(LEN(I154),MATCH(I154,'MPIO_SFIO Table'!$A$11:$A$65525,0)-1,"")</f>
        <v/>
      </c>
      <c r="O154" t="str">
        <f>IF(LEN(J154),MATCH(J154,'MPIO_SFIO Table'!$A$11:$A$65525,0)-1,"")</f>
        <v/>
      </c>
      <c r="P154" t="str">
        <f>IF(LEN(K154),MATCH(K154,'MPIO_SFIO Table'!$A$11:$A$65525,0)-1,"")</f>
        <v/>
      </c>
      <c r="Q154" t="str">
        <f>IF(LEN(L154),MATCH(L154,'MPIO_SFIO Table'!$A$11:$A$65525,0)-1,"")</f>
        <v/>
      </c>
      <c r="R154" t="str">
        <f ca="1">IF(ISNUMBER(M154),OFFSET('MPIO_SFIO Table'!$AJ$11,M154,0),"")</f>
        <v>unused_PEX_L0_RST_N</v>
      </c>
      <c r="S154" t="str">
        <f ca="1">IF(ISNUMBER(N154),OFFSET('MPIO_SFIO Table'!$AJ$11,N154,0),"")</f>
        <v/>
      </c>
      <c r="T154" t="str">
        <f ca="1">IF(ISNUMBER(O154),OFFSET('MPIO_SFIO Table'!$AJ$11,O154,0),"")</f>
        <v/>
      </c>
      <c r="U154" t="str">
        <f ca="1">IF(ISNUMBER(P154),OFFSET('MPIO_SFIO Table'!$AJ$11,P154,0),"")</f>
        <v/>
      </c>
      <c r="V154" t="str">
        <f ca="1">IF(ISNUMBER(Q154),OFFSET('MPIO_SFIO Table'!$AJ$11,Q154,0),"")</f>
        <v/>
      </c>
      <c r="W154">
        <f t="shared" ca="1" si="27"/>
        <v>0</v>
      </c>
      <c r="X154">
        <f t="shared" ca="1" si="28"/>
        <v>0</v>
      </c>
      <c r="Y154">
        <f t="shared" ca="1" si="29"/>
        <v>0</v>
      </c>
      <c r="Z154">
        <f t="shared" ca="1" si="30"/>
        <v>0</v>
      </c>
      <c r="AA154">
        <f t="shared" ca="1" si="31"/>
        <v>0</v>
      </c>
    </row>
    <row r="155" spans="1:27" x14ac:dyDescent="0.25">
      <c r="A155">
        <f t="shared" ca="1" si="24"/>
        <v>0</v>
      </c>
      <c r="B155" t="str">
        <f t="shared" ca="1" si="25"/>
        <v/>
      </c>
      <c r="C155" t="str">
        <f t="shared" si="26"/>
        <v>GPIO</v>
      </c>
      <c r="D155" t="s">
        <v>253</v>
      </c>
      <c r="E155" t="s">
        <v>253</v>
      </c>
      <c r="F155" s="3" t="s">
        <v>2629</v>
      </c>
      <c r="G155" s="11" t="s">
        <v>909</v>
      </c>
      <c r="H155" s="11" t="s">
        <v>142</v>
      </c>
      <c r="I155" s="3" t="s">
        <v>253</v>
      </c>
      <c r="J155" s="3" t="s">
        <v>253</v>
      </c>
      <c r="K155" s="3" t="s">
        <v>253</v>
      </c>
      <c r="L155" s="3" t="s">
        <v>253</v>
      </c>
      <c r="M155">
        <f>IF(LEN(H155),MATCH(H155,'MPIO_SFIO Table'!$A$11:$A$65525,0)-1,"")</f>
        <v>139</v>
      </c>
      <c r="N155" t="str">
        <f>IF(LEN(I155),MATCH(I155,'MPIO_SFIO Table'!$A$11:$A$65525,0)-1,"")</f>
        <v/>
      </c>
      <c r="O155" t="str">
        <f>IF(LEN(J155),MATCH(J155,'MPIO_SFIO Table'!$A$11:$A$65525,0)-1,"")</f>
        <v/>
      </c>
      <c r="P155" t="str">
        <f>IF(LEN(K155),MATCH(K155,'MPIO_SFIO Table'!$A$11:$A$65525,0)-1,"")</f>
        <v/>
      </c>
      <c r="Q155" t="str">
        <f>IF(LEN(L155),MATCH(L155,'MPIO_SFIO Table'!$A$11:$A$65525,0)-1,"")</f>
        <v/>
      </c>
      <c r="R155" t="str">
        <f ca="1">IF(ISNUMBER(M155),OFFSET('MPIO_SFIO Table'!$AJ$11,M155,0),"")</f>
        <v>unused_PEX_L0_CLKREQ_N</v>
      </c>
      <c r="S155" t="str">
        <f ca="1">IF(ISNUMBER(N155),OFFSET('MPIO_SFIO Table'!$AJ$11,N155,0),"")</f>
        <v/>
      </c>
      <c r="T155" t="str">
        <f ca="1">IF(ISNUMBER(O155),OFFSET('MPIO_SFIO Table'!$AJ$11,O155,0),"")</f>
        <v/>
      </c>
      <c r="U155" t="str">
        <f ca="1">IF(ISNUMBER(P155),OFFSET('MPIO_SFIO Table'!$AJ$11,P155,0),"")</f>
        <v/>
      </c>
      <c r="V155" t="str">
        <f ca="1">IF(ISNUMBER(Q155),OFFSET('MPIO_SFIO Table'!$AJ$11,Q155,0),"")</f>
        <v/>
      </c>
      <c r="W155">
        <f t="shared" ca="1" si="27"/>
        <v>0</v>
      </c>
      <c r="X155">
        <f t="shared" ca="1" si="28"/>
        <v>0</v>
      </c>
      <c r="Y155">
        <f t="shared" ca="1" si="29"/>
        <v>0</v>
      </c>
      <c r="Z155">
        <f t="shared" ca="1" si="30"/>
        <v>0</v>
      </c>
      <c r="AA155">
        <f t="shared" ca="1" si="31"/>
        <v>0</v>
      </c>
    </row>
    <row r="156" spans="1:27" x14ac:dyDescent="0.25">
      <c r="A156">
        <f t="shared" ca="1" si="24"/>
        <v>0</v>
      </c>
      <c r="B156" t="str">
        <f t="shared" ca="1" si="25"/>
        <v/>
      </c>
      <c r="C156" t="str">
        <f t="shared" si="26"/>
        <v>GPIO</v>
      </c>
      <c r="D156" t="s">
        <v>253</v>
      </c>
      <c r="E156" t="s">
        <v>253</v>
      </c>
      <c r="F156" s="3" t="s">
        <v>2630</v>
      </c>
      <c r="G156" s="11" t="s">
        <v>918</v>
      </c>
      <c r="H156" s="11" t="s">
        <v>151</v>
      </c>
      <c r="I156" s="3" t="s">
        <v>253</v>
      </c>
      <c r="J156" s="3" t="s">
        <v>253</v>
      </c>
      <c r="K156" s="3" t="s">
        <v>253</v>
      </c>
      <c r="L156" s="3" t="s">
        <v>253</v>
      </c>
      <c r="M156">
        <f>IF(LEN(H156),MATCH(H156,'MPIO_SFIO Table'!$A$11:$A$65525,0)-1,"")</f>
        <v>148</v>
      </c>
      <c r="N156" t="str">
        <f>IF(LEN(I156),MATCH(I156,'MPIO_SFIO Table'!$A$11:$A$65525,0)-1,"")</f>
        <v/>
      </c>
      <c r="O156" t="str">
        <f>IF(LEN(J156),MATCH(J156,'MPIO_SFIO Table'!$A$11:$A$65525,0)-1,"")</f>
        <v/>
      </c>
      <c r="P156" t="str">
        <f>IF(LEN(K156),MATCH(K156,'MPIO_SFIO Table'!$A$11:$A$65525,0)-1,"")</f>
        <v/>
      </c>
      <c r="Q156" t="str">
        <f>IF(LEN(L156),MATCH(L156,'MPIO_SFIO Table'!$A$11:$A$65525,0)-1,"")</f>
        <v/>
      </c>
      <c r="R156" t="str">
        <f ca="1">IF(ISNUMBER(M156),OFFSET('MPIO_SFIO Table'!$AJ$11,M156,0),"")</f>
        <v>unused_PEX_WAKE_N</v>
      </c>
      <c r="S156" t="str">
        <f ca="1">IF(ISNUMBER(N156),OFFSET('MPIO_SFIO Table'!$AJ$11,N156,0),"")</f>
        <v/>
      </c>
      <c r="T156" t="str">
        <f ca="1">IF(ISNUMBER(O156),OFFSET('MPIO_SFIO Table'!$AJ$11,O156,0),"")</f>
        <v/>
      </c>
      <c r="U156" t="str">
        <f ca="1">IF(ISNUMBER(P156),OFFSET('MPIO_SFIO Table'!$AJ$11,P156,0),"")</f>
        <v/>
      </c>
      <c r="V156" t="str">
        <f ca="1">IF(ISNUMBER(Q156),OFFSET('MPIO_SFIO Table'!$AJ$11,Q156,0),"")</f>
        <v/>
      </c>
      <c r="W156">
        <f t="shared" ca="1" si="27"/>
        <v>0</v>
      </c>
      <c r="X156">
        <f t="shared" ca="1" si="28"/>
        <v>0</v>
      </c>
      <c r="Y156">
        <f t="shared" ca="1" si="29"/>
        <v>0</v>
      </c>
      <c r="Z156">
        <f t="shared" ca="1" si="30"/>
        <v>0</v>
      </c>
      <c r="AA156">
        <f t="shared" ca="1" si="31"/>
        <v>0</v>
      </c>
    </row>
    <row r="157" spans="1:27" x14ac:dyDescent="0.25">
      <c r="A157">
        <f t="shared" ca="1" si="24"/>
        <v>0</v>
      </c>
      <c r="B157" t="str">
        <f t="shared" ca="1" si="25"/>
        <v/>
      </c>
      <c r="C157" t="str">
        <f t="shared" si="26"/>
        <v>GPIO</v>
      </c>
      <c r="D157" t="s">
        <v>253</v>
      </c>
      <c r="E157" t="s">
        <v>253</v>
      </c>
      <c r="F157" s="3" t="s">
        <v>2631</v>
      </c>
      <c r="G157" s="11" t="s">
        <v>913</v>
      </c>
      <c r="H157" s="11" t="s">
        <v>146</v>
      </c>
      <c r="I157" s="3" t="s">
        <v>253</v>
      </c>
      <c r="J157" s="3" t="s">
        <v>253</v>
      </c>
      <c r="K157" s="3" t="s">
        <v>253</v>
      </c>
      <c r="L157" s="3" t="s">
        <v>253</v>
      </c>
      <c r="M157">
        <f>IF(LEN(H157),MATCH(H157,'MPIO_SFIO Table'!$A$11:$A$65525,0)-1,"")</f>
        <v>143</v>
      </c>
      <c r="N157" t="str">
        <f>IF(LEN(I157),MATCH(I157,'MPIO_SFIO Table'!$A$11:$A$65525,0)-1,"")</f>
        <v/>
      </c>
      <c r="O157" t="str">
        <f>IF(LEN(J157),MATCH(J157,'MPIO_SFIO Table'!$A$11:$A$65525,0)-1,"")</f>
        <v/>
      </c>
      <c r="P157" t="str">
        <f>IF(LEN(K157),MATCH(K157,'MPIO_SFIO Table'!$A$11:$A$65525,0)-1,"")</f>
        <v/>
      </c>
      <c r="Q157" t="str">
        <f>IF(LEN(L157),MATCH(L157,'MPIO_SFIO Table'!$A$11:$A$65525,0)-1,"")</f>
        <v/>
      </c>
      <c r="R157" t="str">
        <f ca="1">IF(ISNUMBER(M157),OFFSET('MPIO_SFIO Table'!$AJ$11,M157,0),"")</f>
        <v>unused_PEX_L1_PRSNT_N</v>
      </c>
      <c r="S157" t="str">
        <f ca="1">IF(ISNUMBER(N157),OFFSET('MPIO_SFIO Table'!$AJ$11,N157,0),"")</f>
        <v/>
      </c>
      <c r="T157" t="str">
        <f ca="1">IF(ISNUMBER(O157),OFFSET('MPIO_SFIO Table'!$AJ$11,O157,0),"")</f>
        <v/>
      </c>
      <c r="U157" t="str">
        <f ca="1">IF(ISNUMBER(P157),OFFSET('MPIO_SFIO Table'!$AJ$11,P157,0),"")</f>
        <v/>
      </c>
      <c r="V157" t="str">
        <f ca="1">IF(ISNUMBER(Q157),OFFSET('MPIO_SFIO Table'!$AJ$11,Q157,0),"")</f>
        <v/>
      </c>
      <c r="W157">
        <f t="shared" ca="1" si="27"/>
        <v>0</v>
      </c>
      <c r="X157">
        <f t="shared" ca="1" si="28"/>
        <v>0</v>
      </c>
      <c r="Y157">
        <f t="shared" ca="1" si="29"/>
        <v>0</v>
      </c>
      <c r="Z157">
        <f t="shared" ca="1" si="30"/>
        <v>0</v>
      </c>
      <c r="AA157">
        <f t="shared" ca="1" si="31"/>
        <v>0</v>
      </c>
    </row>
    <row r="158" spans="1:27" x14ac:dyDescent="0.25">
      <c r="A158">
        <f t="shared" ca="1" si="24"/>
        <v>0</v>
      </c>
      <c r="B158" t="str">
        <f t="shared" ca="1" si="25"/>
        <v/>
      </c>
      <c r="C158" t="str">
        <f t="shared" si="26"/>
        <v>GPIO</v>
      </c>
      <c r="D158" t="s">
        <v>253</v>
      </c>
      <c r="E158" t="s">
        <v>253</v>
      </c>
      <c r="F158" s="3" t="s">
        <v>2632</v>
      </c>
      <c r="G158" s="11" t="s">
        <v>914</v>
      </c>
      <c r="H158" s="11" t="s">
        <v>147</v>
      </c>
      <c r="I158" s="3" t="s">
        <v>253</v>
      </c>
      <c r="J158" s="3" t="s">
        <v>253</v>
      </c>
      <c r="K158" s="3" t="s">
        <v>253</v>
      </c>
      <c r="L158" s="3" t="s">
        <v>253</v>
      </c>
      <c r="M158">
        <f>IF(LEN(H158),MATCH(H158,'MPIO_SFIO Table'!$A$11:$A$65525,0)-1,"")</f>
        <v>144</v>
      </c>
      <c r="N158" t="str">
        <f>IF(LEN(I158),MATCH(I158,'MPIO_SFIO Table'!$A$11:$A$65525,0)-1,"")</f>
        <v/>
      </c>
      <c r="O158" t="str">
        <f>IF(LEN(J158),MATCH(J158,'MPIO_SFIO Table'!$A$11:$A$65525,0)-1,"")</f>
        <v/>
      </c>
      <c r="P158" t="str">
        <f>IF(LEN(K158),MATCH(K158,'MPIO_SFIO Table'!$A$11:$A$65525,0)-1,"")</f>
        <v/>
      </c>
      <c r="Q158" t="str">
        <f>IF(LEN(L158),MATCH(L158,'MPIO_SFIO Table'!$A$11:$A$65525,0)-1,"")</f>
        <v/>
      </c>
      <c r="R158" t="str">
        <f ca="1">IF(ISNUMBER(M158),OFFSET('MPIO_SFIO Table'!$AJ$11,M158,0),"")</f>
        <v>unused_PEX_L1_RST_N</v>
      </c>
      <c r="S158" t="str">
        <f ca="1">IF(ISNUMBER(N158),OFFSET('MPIO_SFIO Table'!$AJ$11,N158,0),"")</f>
        <v/>
      </c>
      <c r="T158" t="str">
        <f ca="1">IF(ISNUMBER(O158),OFFSET('MPIO_SFIO Table'!$AJ$11,O158,0),"")</f>
        <v/>
      </c>
      <c r="U158" t="str">
        <f ca="1">IF(ISNUMBER(P158),OFFSET('MPIO_SFIO Table'!$AJ$11,P158,0),"")</f>
        <v/>
      </c>
      <c r="V158" t="str">
        <f ca="1">IF(ISNUMBER(Q158),OFFSET('MPIO_SFIO Table'!$AJ$11,Q158,0),"")</f>
        <v/>
      </c>
      <c r="W158">
        <f t="shared" ca="1" si="27"/>
        <v>0</v>
      </c>
      <c r="X158">
        <f t="shared" ca="1" si="28"/>
        <v>0</v>
      </c>
      <c r="Y158">
        <f t="shared" ca="1" si="29"/>
        <v>0</v>
      </c>
      <c r="Z158">
        <f t="shared" ca="1" si="30"/>
        <v>0</v>
      </c>
      <c r="AA158">
        <f t="shared" ca="1" si="31"/>
        <v>0</v>
      </c>
    </row>
    <row r="159" spans="1:27" x14ac:dyDescent="0.25">
      <c r="A159">
        <f t="shared" ca="1" si="24"/>
        <v>0</v>
      </c>
      <c r="B159" t="str">
        <f t="shared" ca="1" si="25"/>
        <v/>
      </c>
      <c r="C159" t="str">
        <f t="shared" si="26"/>
        <v>GPIO</v>
      </c>
      <c r="D159" t="s">
        <v>253</v>
      </c>
      <c r="E159" t="s">
        <v>253</v>
      </c>
      <c r="F159" s="3" t="s">
        <v>2633</v>
      </c>
      <c r="G159" s="11" t="s">
        <v>912</v>
      </c>
      <c r="H159" s="11" t="s">
        <v>145</v>
      </c>
      <c r="I159" s="3" t="s">
        <v>253</v>
      </c>
      <c r="J159" s="3" t="s">
        <v>253</v>
      </c>
      <c r="K159" s="3" t="s">
        <v>253</v>
      </c>
      <c r="L159" s="3" t="s">
        <v>253</v>
      </c>
      <c r="M159">
        <f>IF(LEN(H159),MATCH(H159,'MPIO_SFIO Table'!$A$11:$A$65525,0)-1,"")</f>
        <v>142</v>
      </c>
      <c r="N159" t="str">
        <f>IF(LEN(I159),MATCH(I159,'MPIO_SFIO Table'!$A$11:$A$65525,0)-1,"")</f>
        <v/>
      </c>
      <c r="O159" t="str">
        <f>IF(LEN(J159),MATCH(J159,'MPIO_SFIO Table'!$A$11:$A$65525,0)-1,"")</f>
        <v/>
      </c>
      <c r="P159" t="str">
        <f>IF(LEN(K159),MATCH(K159,'MPIO_SFIO Table'!$A$11:$A$65525,0)-1,"")</f>
        <v/>
      </c>
      <c r="Q159" t="str">
        <f>IF(LEN(L159),MATCH(L159,'MPIO_SFIO Table'!$A$11:$A$65525,0)-1,"")</f>
        <v/>
      </c>
      <c r="R159" t="str">
        <f ca="1">IF(ISNUMBER(M159),OFFSET('MPIO_SFIO Table'!$AJ$11,M159,0),"")</f>
        <v>unused_PEX_L1_CLKREQ_N</v>
      </c>
      <c r="S159" t="str">
        <f ca="1">IF(ISNUMBER(N159),OFFSET('MPIO_SFIO Table'!$AJ$11,N159,0),"")</f>
        <v/>
      </c>
      <c r="T159" t="str">
        <f ca="1">IF(ISNUMBER(O159),OFFSET('MPIO_SFIO Table'!$AJ$11,O159,0),"")</f>
        <v/>
      </c>
      <c r="U159" t="str">
        <f ca="1">IF(ISNUMBER(P159),OFFSET('MPIO_SFIO Table'!$AJ$11,P159,0),"")</f>
        <v/>
      </c>
      <c r="V159" t="str">
        <f ca="1">IF(ISNUMBER(Q159),OFFSET('MPIO_SFIO Table'!$AJ$11,Q159,0),"")</f>
        <v/>
      </c>
      <c r="W159">
        <f t="shared" ca="1" si="27"/>
        <v>0</v>
      </c>
      <c r="X159">
        <f t="shared" ca="1" si="28"/>
        <v>0</v>
      </c>
      <c r="Y159">
        <f t="shared" ca="1" si="29"/>
        <v>0</v>
      </c>
      <c r="Z159">
        <f t="shared" ca="1" si="30"/>
        <v>0</v>
      </c>
      <c r="AA159">
        <f t="shared" ca="1" si="31"/>
        <v>0</v>
      </c>
    </row>
    <row r="160" spans="1:27" x14ac:dyDescent="0.25">
      <c r="A160">
        <f t="shared" ca="1" si="24"/>
        <v>0</v>
      </c>
      <c r="B160" t="str">
        <f t="shared" ca="1" si="25"/>
        <v/>
      </c>
      <c r="C160" t="str">
        <f t="shared" si="26"/>
        <v>GPIO</v>
      </c>
      <c r="D160" t="s">
        <v>253</v>
      </c>
      <c r="E160" t="s">
        <v>253</v>
      </c>
      <c r="F160" s="3" t="s">
        <v>2634</v>
      </c>
      <c r="G160" s="11" t="s">
        <v>916</v>
      </c>
      <c r="H160" s="11" t="s">
        <v>149</v>
      </c>
      <c r="I160" s="3" t="s">
        <v>253</v>
      </c>
      <c r="J160" s="3" t="s">
        <v>253</v>
      </c>
      <c r="K160" s="3" t="s">
        <v>253</v>
      </c>
      <c r="L160" s="3" t="s">
        <v>253</v>
      </c>
      <c r="M160">
        <f>IF(LEN(H160),MATCH(H160,'MPIO_SFIO Table'!$A$11:$A$65525,0)-1,"")</f>
        <v>146</v>
      </c>
      <c r="N160" t="str">
        <f>IF(LEN(I160),MATCH(I160,'MPIO_SFIO Table'!$A$11:$A$65525,0)-1,"")</f>
        <v/>
      </c>
      <c r="O160" t="str">
        <f>IF(LEN(J160),MATCH(J160,'MPIO_SFIO Table'!$A$11:$A$65525,0)-1,"")</f>
        <v/>
      </c>
      <c r="P160" t="str">
        <f>IF(LEN(K160),MATCH(K160,'MPIO_SFIO Table'!$A$11:$A$65525,0)-1,"")</f>
        <v/>
      </c>
      <c r="Q160" t="str">
        <f>IF(LEN(L160),MATCH(L160,'MPIO_SFIO Table'!$A$11:$A$65525,0)-1,"")</f>
        <v/>
      </c>
      <c r="R160" t="str">
        <f ca="1">IF(ISNUMBER(M160),OFFSET('MPIO_SFIO Table'!$AJ$11,M160,0),"")</f>
        <v>unused_PEX_L2_PRSNT_N</v>
      </c>
      <c r="S160" t="str">
        <f ca="1">IF(ISNUMBER(N160),OFFSET('MPIO_SFIO Table'!$AJ$11,N160,0),"")</f>
        <v/>
      </c>
      <c r="T160" t="str">
        <f ca="1">IF(ISNUMBER(O160),OFFSET('MPIO_SFIO Table'!$AJ$11,O160,0),"")</f>
        <v/>
      </c>
      <c r="U160" t="str">
        <f ca="1">IF(ISNUMBER(P160),OFFSET('MPIO_SFIO Table'!$AJ$11,P160,0),"")</f>
        <v/>
      </c>
      <c r="V160" t="str">
        <f ca="1">IF(ISNUMBER(Q160),OFFSET('MPIO_SFIO Table'!$AJ$11,Q160,0),"")</f>
        <v/>
      </c>
      <c r="W160">
        <f t="shared" ca="1" si="27"/>
        <v>0</v>
      </c>
      <c r="X160">
        <f t="shared" ca="1" si="28"/>
        <v>0</v>
      </c>
      <c r="Y160">
        <f t="shared" ca="1" si="29"/>
        <v>0</v>
      </c>
      <c r="Z160">
        <f t="shared" ca="1" si="30"/>
        <v>0</v>
      </c>
      <c r="AA160">
        <f t="shared" ca="1" si="31"/>
        <v>0</v>
      </c>
    </row>
    <row r="161" spans="1:27" x14ac:dyDescent="0.25">
      <c r="A161">
        <f t="shared" ca="1" si="24"/>
        <v>0</v>
      </c>
      <c r="B161" t="str">
        <f t="shared" ca="1" si="25"/>
        <v/>
      </c>
      <c r="C161" t="str">
        <f t="shared" si="26"/>
        <v>GPIO</v>
      </c>
      <c r="D161" t="s">
        <v>253</v>
      </c>
      <c r="E161" t="s">
        <v>253</v>
      </c>
      <c r="F161" s="3" t="s">
        <v>2635</v>
      </c>
      <c r="G161" s="11" t="s">
        <v>871</v>
      </c>
      <c r="H161" s="11" t="s">
        <v>104</v>
      </c>
      <c r="I161" s="3" t="s">
        <v>253</v>
      </c>
      <c r="J161" s="3" t="s">
        <v>253</v>
      </c>
      <c r="K161" s="3" t="s">
        <v>253</v>
      </c>
      <c r="L161" s="3" t="s">
        <v>253</v>
      </c>
      <c r="M161">
        <f>IF(LEN(H161),MATCH(H161,'MPIO_SFIO Table'!$A$11:$A$65525,0)-1,"")</f>
        <v>100</v>
      </c>
      <c r="N161" t="str">
        <f>IF(LEN(I161),MATCH(I161,'MPIO_SFIO Table'!$A$11:$A$65525,0)-1,"")</f>
        <v/>
      </c>
      <c r="O161" t="str">
        <f>IF(LEN(J161),MATCH(J161,'MPIO_SFIO Table'!$A$11:$A$65525,0)-1,"")</f>
        <v/>
      </c>
      <c r="P161" t="str">
        <f>IF(LEN(K161),MATCH(K161,'MPIO_SFIO Table'!$A$11:$A$65525,0)-1,"")</f>
        <v/>
      </c>
      <c r="Q161" t="str">
        <f>IF(LEN(L161),MATCH(L161,'MPIO_SFIO Table'!$A$11:$A$65525,0)-1,"")</f>
        <v/>
      </c>
      <c r="R161" t="str">
        <f ca="1">IF(ISNUMBER(M161),OFFSET('MPIO_SFIO Table'!$AJ$11,M161,0),"")</f>
        <v>unused_LCD_D0</v>
      </c>
      <c r="S161" t="str">
        <f ca="1">IF(ISNUMBER(N161),OFFSET('MPIO_SFIO Table'!$AJ$11,N161,0),"")</f>
        <v/>
      </c>
      <c r="T161" t="str">
        <f ca="1">IF(ISNUMBER(O161),OFFSET('MPIO_SFIO Table'!$AJ$11,O161,0),"")</f>
        <v/>
      </c>
      <c r="U161" t="str">
        <f ca="1">IF(ISNUMBER(P161),OFFSET('MPIO_SFIO Table'!$AJ$11,P161,0),"")</f>
        <v/>
      </c>
      <c r="V161" t="str">
        <f ca="1">IF(ISNUMBER(Q161),OFFSET('MPIO_SFIO Table'!$AJ$11,Q161,0),"")</f>
        <v/>
      </c>
      <c r="W161">
        <f t="shared" ca="1" si="27"/>
        <v>0</v>
      </c>
      <c r="X161">
        <f t="shared" ca="1" si="28"/>
        <v>0</v>
      </c>
      <c r="Y161">
        <f t="shared" ca="1" si="29"/>
        <v>0</v>
      </c>
      <c r="Z161">
        <f t="shared" ca="1" si="30"/>
        <v>0</v>
      </c>
      <c r="AA161">
        <f t="shared" ca="1" si="31"/>
        <v>0</v>
      </c>
    </row>
    <row r="162" spans="1:27" x14ac:dyDescent="0.25">
      <c r="A162">
        <f t="shared" ca="1" si="24"/>
        <v>0</v>
      </c>
      <c r="B162" t="str">
        <f t="shared" ca="1" si="25"/>
        <v/>
      </c>
      <c r="C162" t="str">
        <f t="shared" si="26"/>
        <v>GPIO</v>
      </c>
      <c r="D162" t="s">
        <v>253</v>
      </c>
      <c r="E162" t="s">
        <v>253</v>
      </c>
      <c r="F162" s="3" t="s">
        <v>2636</v>
      </c>
      <c r="G162" s="11" t="s">
        <v>872</v>
      </c>
      <c r="H162" s="11" t="s">
        <v>105</v>
      </c>
      <c r="I162" s="3" t="s">
        <v>253</v>
      </c>
      <c r="J162" s="3" t="s">
        <v>253</v>
      </c>
      <c r="K162" s="3" t="s">
        <v>253</v>
      </c>
      <c r="L162" s="3" t="s">
        <v>253</v>
      </c>
      <c r="M162">
        <f>IF(LEN(H162),MATCH(H162,'MPIO_SFIO Table'!$A$11:$A$65525,0)-1,"")</f>
        <v>101</v>
      </c>
      <c r="N162" t="str">
        <f>IF(LEN(I162),MATCH(I162,'MPIO_SFIO Table'!$A$11:$A$65525,0)-1,"")</f>
        <v/>
      </c>
      <c r="O162" t="str">
        <f>IF(LEN(J162),MATCH(J162,'MPIO_SFIO Table'!$A$11:$A$65525,0)-1,"")</f>
        <v/>
      </c>
      <c r="P162" t="str">
        <f>IF(LEN(K162),MATCH(K162,'MPIO_SFIO Table'!$A$11:$A$65525,0)-1,"")</f>
        <v/>
      </c>
      <c r="Q162" t="str">
        <f>IF(LEN(L162),MATCH(L162,'MPIO_SFIO Table'!$A$11:$A$65525,0)-1,"")</f>
        <v/>
      </c>
      <c r="R162" t="str">
        <f ca="1">IF(ISNUMBER(M162),OFFSET('MPIO_SFIO Table'!$AJ$11,M162,0),"")</f>
        <v>unused_LCD_D1</v>
      </c>
      <c r="S162" t="str">
        <f ca="1">IF(ISNUMBER(N162),OFFSET('MPIO_SFIO Table'!$AJ$11,N162,0),"")</f>
        <v/>
      </c>
      <c r="T162" t="str">
        <f ca="1">IF(ISNUMBER(O162),OFFSET('MPIO_SFIO Table'!$AJ$11,O162,0),"")</f>
        <v/>
      </c>
      <c r="U162" t="str">
        <f ca="1">IF(ISNUMBER(P162),OFFSET('MPIO_SFIO Table'!$AJ$11,P162,0),"")</f>
        <v/>
      </c>
      <c r="V162" t="str">
        <f ca="1">IF(ISNUMBER(Q162),OFFSET('MPIO_SFIO Table'!$AJ$11,Q162,0),"")</f>
        <v/>
      </c>
      <c r="W162">
        <f t="shared" ca="1" si="27"/>
        <v>0</v>
      </c>
      <c r="X162">
        <f t="shared" ca="1" si="28"/>
        <v>0</v>
      </c>
      <c r="Y162">
        <f t="shared" ca="1" si="29"/>
        <v>0</v>
      </c>
      <c r="Z162">
        <f t="shared" ca="1" si="30"/>
        <v>0</v>
      </c>
      <c r="AA162">
        <f t="shared" ca="1" si="31"/>
        <v>0</v>
      </c>
    </row>
    <row r="163" spans="1:27" x14ac:dyDescent="0.25">
      <c r="A163">
        <f t="shared" ca="1" si="24"/>
        <v>0</v>
      </c>
      <c r="B163" t="str">
        <f t="shared" ca="1" si="25"/>
        <v/>
      </c>
      <c r="C163" t="str">
        <f t="shared" si="26"/>
        <v>GPIO</v>
      </c>
      <c r="D163" t="s">
        <v>253</v>
      </c>
      <c r="E163" t="s">
        <v>253</v>
      </c>
      <c r="F163" s="3" t="s">
        <v>2637</v>
      </c>
      <c r="G163" s="11" t="s">
        <v>883</v>
      </c>
      <c r="H163" s="11" t="s">
        <v>116</v>
      </c>
      <c r="I163" s="3" t="s">
        <v>253</v>
      </c>
      <c r="J163" s="3" t="s">
        <v>253</v>
      </c>
      <c r="K163" s="3" t="s">
        <v>253</v>
      </c>
      <c r="L163" s="3" t="s">
        <v>253</v>
      </c>
      <c r="M163">
        <f>IF(LEN(H163),MATCH(H163,'MPIO_SFIO Table'!$A$11:$A$65525,0)-1,"")</f>
        <v>112</v>
      </c>
      <c r="N163" t="str">
        <f>IF(LEN(I163),MATCH(I163,'MPIO_SFIO Table'!$A$11:$A$65525,0)-1,"")</f>
        <v/>
      </c>
      <c r="O163" t="str">
        <f>IF(LEN(J163),MATCH(J163,'MPIO_SFIO Table'!$A$11:$A$65525,0)-1,"")</f>
        <v/>
      </c>
      <c r="P163" t="str">
        <f>IF(LEN(K163),MATCH(K163,'MPIO_SFIO Table'!$A$11:$A$65525,0)-1,"")</f>
        <v/>
      </c>
      <c r="Q163" t="str">
        <f>IF(LEN(L163),MATCH(L163,'MPIO_SFIO Table'!$A$11:$A$65525,0)-1,"")</f>
        <v/>
      </c>
      <c r="R163" t="str">
        <f ca="1">IF(ISNUMBER(M163),OFFSET('MPIO_SFIO Table'!$AJ$11,M163,0),"")</f>
        <v>unused_LCD_D2</v>
      </c>
      <c r="S163" t="str">
        <f ca="1">IF(ISNUMBER(N163),OFFSET('MPIO_SFIO Table'!$AJ$11,N163,0),"")</f>
        <v/>
      </c>
      <c r="T163" t="str">
        <f ca="1">IF(ISNUMBER(O163),OFFSET('MPIO_SFIO Table'!$AJ$11,O163,0),"")</f>
        <v/>
      </c>
      <c r="U163" t="str">
        <f ca="1">IF(ISNUMBER(P163),OFFSET('MPIO_SFIO Table'!$AJ$11,P163,0),"")</f>
        <v/>
      </c>
      <c r="V163" t="str">
        <f ca="1">IF(ISNUMBER(Q163),OFFSET('MPIO_SFIO Table'!$AJ$11,Q163,0),"")</f>
        <v/>
      </c>
      <c r="W163">
        <f t="shared" ca="1" si="27"/>
        <v>0</v>
      </c>
      <c r="X163">
        <f t="shared" ca="1" si="28"/>
        <v>0</v>
      </c>
      <c r="Y163">
        <f t="shared" ca="1" si="29"/>
        <v>0</v>
      </c>
      <c r="Z163">
        <f t="shared" ca="1" si="30"/>
        <v>0</v>
      </c>
      <c r="AA163">
        <f t="shared" ca="1" si="31"/>
        <v>0</v>
      </c>
    </row>
    <row r="164" spans="1:27" x14ac:dyDescent="0.25">
      <c r="A164">
        <f t="shared" ca="1" si="24"/>
        <v>0</v>
      </c>
      <c r="B164" t="str">
        <f t="shared" ca="1" si="25"/>
        <v/>
      </c>
      <c r="C164" t="str">
        <f t="shared" si="26"/>
        <v>GPIO</v>
      </c>
      <c r="D164" t="s">
        <v>253</v>
      </c>
      <c r="E164" t="s">
        <v>253</v>
      </c>
      <c r="F164" s="3" t="s">
        <v>2638</v>
      </c>
      <c r="G164" s="11" t="s">
        <v>888</v>
      </c>
      <c r="H164" s="11" t="s">
        <v>121</v>
      </c>
      <c r="I164" s="3" t="s">
        <v>253</v>
      </c>
      <c r="J164" s="3" t="s">
        <v>253</v>
      </c>
      <c r="K164" s="3" t="s">
        <v>253</v>
      </c>
      <c r="L164" s="3" t="s">
        <v>253</v>
      </c>
      <c r="M164">
        <f>IF(LEN(H164),MATCH(H164,'MPIO_SFIO Table'!$A$11:$A$65525,0)-1,"")</f>
        <v>117</v>
      </c>
      <c r="N164" t="str">
        <f>IF(LEN(I164),MATCH(I164,'MPIO_SFIO Table'!$A$11:$A$65525,0)-1,"")</f>
        <v/>
      </c>
      <c r="O164" t="str">
        <f>IF(LEN(J164),MATCH(J164,'MPIO_SFIO Table'!$A$11:$A$65525,0)-1,"")</f>
        <v/>
      </c>
      <c r="P164" t="str">
        <f>IF(LEN(K164),MATCH(K164,'MPIO_SFIO Table'!$A$11:$A$65525,0)-1,"")</f>
        <v/>
      </c>
      <c r="Q164" t="str">
        <f>IF(LEN(L164),MATCH(L164,'MPIO_SFIO Table'!$A$11:$A$65525,0)-1,"")</f>
        <v/>
      </c>
      <c r="R164" t="str">
        <f ca="1">IF(ISNUMBER(M164),OFFSET('MPIO_SFIO Table'!$AJ$11,M164,0),"")</f>
        <v>unused_LCD_D3</v>
      </c>
      <c r="S164" t="str">
        <f ca="1">IF(ISNUMBER(N164),OFFSET('MPIO_SFIO Table'!$AJ$11,N164,0),"")</f>
        <v/>
      </c>
      <c r="T164" t="str">
        <f ca="1">IF(ISNUMBER(O164),OFFSET('MPIO_SFIO Table'!$AJ$11,O164,0),"")</f>
        <v/>
      </c>
      <c r="U164" t="str">
        <f ca="1">IF(ISNUMBER(P164),OFFSET('MPIO_SFIO Table'!$AJ$11,P164,0),"")</f>
        <v/>
      </c>
      <c r="V164" t="str">
        <f ca="1">IF(ISNUMBER(Q164),OFFSET('MPIO_SFIO Table'!$AJ$11,Q164,0),"")</f>
        <v/>
      </c>
      <c r="W164">
        <f t="shared" ca="1" si="27"/>
        <v>0</v>
      </c>
      <c r="X164">
        <f t="shared" ca="1" si="28"/>
        <v>0</v>
      </c>
      <c r="Y164">
        <f t="shared" ca="1" si="29"/>
        <v>0</v>
      </c>
      <c r="Z164">
        <f t="shared" ca="1" si="30"/>
        <v>0</v>
      </c>
      <c r="AA164">
        <f t="shared" ca="1" si="31"/>
        <v>0</v>
      </c>
    </row>
    <row r="165" spans="1:27" x14ac:dyDescent="0.25">
      <c r="A165">
        <f t="shared" ca="1" si="24"/>
        <v>0</v>
      </c>
      <c r="B165" t="str">
        <f t="shared" ca="1" si="25"/>
        <v/>
      </c>
      <c r="C165" t="str">
        <f t="shared" si="26"/>
        <v>GPIO</v>
      </c>
      <c r="D165" t="s">
        <v>253</v>
      </c>
      <c r="E165" t="s">
        <v>253</v>
      </c>
      <c r="F165" s="3" t="s">
        <v>2639</v>
      </c>
      <c r="G165" s="11" t="s">
        <v>889</v>
      </c>
      <c r="H165" s="11" t="s">
        <v>122</v>
      </c>
      <c r="I165" s="3" t="s">
        <v>253</v>
      </c>
      <c r="J165" s="3" t="s">
        <v>253</v>
      </c>
      <c r="K165" s="3" t="s">
        <v>253</v>
      </c>
      <c r="L165" s="3" t="s">
        <v>253</v>
      </c>
      <c r="M165">
        <f>IF(LEN(H165),MATCH(H165,'MPIO_SFIO Table'!$A$11:$A$65525,0)-1,"")</f>
        <v>118</v>
      </c>
      <c r="N165" t="str">
        <f>IF(LEN(I165),MATCH(I165,'MPIO_SFIO Table'!$A$11:$A$65525,0)-1,"")</f>
        <v/>
      </c>
      <c r="O165" t="str">
        <f>IF(LEN(J165),MATCH(J165,'MPIO_SFIO Table'!$A$11:$A$65525,0)-1,"")</f>
        <v/>
      </c>
      <c r="P165" t="str">
        <f>IF(LEN(K165),MATCH(K165,'MPIO_SFIO Table'!$A$11:$A$65525,0)-1,"")</f>
        <v/>
      </c>
      <c r="Q165" t="str">
        <f>IF(LEN(L165),MATCH(L165,'MPIO_SFIO Table'!$A$11:$A$65525,0)-1,"")</f>
        <v/>
      </c>
      <c r="R165" t="str">
        <f ca="1">IF(ISNUMBER(M165),OFFSET('MPIO_SFIO Table'!$AJ$11,M165,0),"")</f>
        <v>unused_LCD_D4</v>
      </c>
      <c r="S165" t="str">
        <f ca="1">IF(ISNUMBER(N165),OFFSET('MPIO_SFIO Table'!$AJ$11,N165,0),"")</f>
        <v/>
      </c>
      <c r="T165" t="str">
        <f ca="1">IF(ISNUMBER(O165),OFFSET('MPIO_SFIO Table'!$AJ$11,O165,0),"")</f>
        <v/>
      </c>
      <c r="U165" t="str">
        <f ca="1">IF(ISNUMBER(P165),OFFSET('MPIO_SFIO Table'!$AJ$11,P165,0),"")</f>
        <v/>
      </c>
      <c r="V165" t="str">
        <f ca="1">IF(ISNUMBER(Q165),OFFSET('MPIO_SFIO Table'!$AJ$11,Q165,0),"")</f>
        <v/>
      </c>
      <c r="W165">
        <f t="shared" ca="1" si="27"/>
        <v>0</v>
      </c>
      <c r="X165">
        <f t="shared" ca="1" si="28"/>
        <v>0</v>
      </c>
      <c r="Y165">
        <f t="shared" ca="1" si="29"/>
        <v>0</v>
      </c>
      <c r="Z165">
        <f t="shared" ca="1" si="30"/>
        <v>0</v>
      </c>
      <c r="AA165">
        <f t="shared" ca="1" si="31"/>
        <v>0</v>
      </c>
    </row>
    <row r="166" spans="1:27" x14ac:dyDescent="0.25">
      <c r="A166">
        <f t="shared" ca="1" si="24"/>
        <v>0</v>
      </c>
      <c r="B166" t="str">
        <f t="shared" ca="1" si="25"/>
        <v/>
      </c>
      <c r="C166" t="str">
        <f t="shared" si="26"/>
        <v>GPIO</v>
      </c>
      <c r="D166" t="s">
        <v>253</v>
      </c>
      <c r="E166" t="s">
        <v>253</v>
      </c>
      <c r="F166" s="3" t="s">
        <v>2640</v>
      </c>
      <c r="G166" s="11" t="s">
        <v>890</v>
      </c>
      <c r="H166" s="11" t="s">
        <v>123</v>
      </c>
      <c r="I166" s="3" t="s">
        <v>253</v>
      </c>
      <c r="J166" s="3" t="s">
        <v>253</v>
      </c>
      <c r="K166" s="3" t="s">
        <v>253</v>
      </c>
      <c r="L166" s="3" t="s">
        <v>253</v>
      </c>
      <c r="M166">
        <f>IF(LEN(H166),MATCH(H166,'MPIO_SFIO Table'!$A$11:$A$65525,0)-1,"")</f>
        <v>119</v>
      </c>
      <c r="N166" t="str">
        <f>IF(LEN(I166),MATCH(I166,'MPIO_SFIO Table'!$A$11:$A$65525,0)-1,"")</f>
        <v/>
      </c>
      <c r="O166" t="str">
        <f>IF(LEN(J166),MATCH(J166,'MPIO_SFIO Table'!$A$11:$A$65525,0)-1,"")</f>
        <v/>
      </c>
      <c r="P166" t="str">
        <f>IF(LEN(K166),MATCH(K166,'MPIO_SFIO Table'!$A$11:$A$65525,0)-1,"")</f>
        <v/>
      </c>
      <c r="Q166" t="str">
        <f>IF(LEN(L166),MATCH(L166,'MPIO_SFIO Table'!$A$11:$A$65525,0)-1,"")</f>
        <v/>
      </c>
      <c r="R166" t="str">
        <f ca="1">IF(ISNUMBER(M166),OFFSET('MPIO_SFIO Table'!$AJ$11,M166,0),"")</f>
        <v>unused_LCD_D5</v>
      </c>
      <c r="S166" t="str">
        <f ca="1">IF(ISNUMBER(N166),OFFSET('MPIO_SFIO Table'!$AJ$11,N166,0),"")</f>
        <v/>
      </c>
      <c r="T166" t="str">
        <f ca="1">IF(ISNUMBER(O166),OFFSET('MPIO_SFIO Table'!$AJ$11,O166,0),"")</f>
        <v/>
      </c>
      <c r="U166" t="str">
        <f ca="1">IF(ISNUMBER(P166),OFFSET('MPIO_SFIO Table'!$AJ$11,P166,0),"")</f>
        <v/>
      </c>
      <c r="V166" t="str">
        <f ca="1">IF(ISNUMBER(Q166),OFFSET('MPIO_SFIO Table'!$AJ$11,Q166,0),"")</f>
        <v/>
      </c>
      <c r="W166">
        <f t="shared" ca="1" si="27"/>
        <v>0</v>
      </c>
      <c r="X166">
        <f t="shared" ca="1" si="28"/>
        <v>0</v>
      </c>
      <c r="Y166">
        <f t="shared" ca="1" si="29"/>
        <v>0</v>
      </c>
      <c r="Z166">
        <f t="shared" ca="1" si="30"/>
        <v>0</v>
      </c>
      <c r="AA166">
        <f t="shared" ca="1" si="31"/>
        <v>0</v>
      </c>
    </row>
    <row r="167" spans="1:27" x14ac:dyDescent="0.25">
      <c r="A167">
        <f t="shared" ca="1" si="24"/>
        <v>0</v>
      </c>
      <c r="B167" t="str">
        <f t="shared" ca="1" si="25"/>
        <v/>
      </c>
      <c r="C167" t="str">
        <f t="shared" si="26"/>
        <v>GPIO</v>
      </c>
      <c r="D167" t="s">
        <v>253</v>
      </c>
      <c r="E167" t="s">
        <v>253</v>
      </c>
      <c r="F167" s="3" t="s">
        <v>2641</v>
      </c>
      <c r="G167" s="11" t="s">
        <v>891</v>
      </c>
      <c r="H167" s="11" t="s">
        <v>124</v>
      </c>
      <c r="I167" s="3" t="s">
        <v>253</v>
      </c>
      <c r="J167" s="3" t="s">
        <v>253</v>
      </c>
      <c r="K167" s="3" t="s">
        <v>253</v>
      </c>
      <c r="L167" s="3" t="s">
        <v>253</v>
      </c>
      <c r="M167">
        <f>IF(LEN(H167),MATCH(H167,'MPIO_SFIO Table'!$A$11:$A$65525,0)-1,"")</f>
        <v>120</v>
      </c>
      <c r="N167" t="str">
        <f>IF(LEN(I167),MATCH(I167,'MPIO_SFIO Table'!$A$11:$A$65525,0)-1,"")</f>
        <v/>
      </c>
      <c r="O167" t="str">
        <f>IF(LEN(J167),MATCH(J167,'MPIO_SFIO Table'!$A$11:$A$65525,0)-1,"")</f>
        <v/>
      </c>
      <c r="P167" t="str">
        <f>IF(LEN(K167),MATCH(K167,'MPIO_SFIO Table'!$A$11:$A$65525,0)-1,"")</f>
        <v/>
      </c>
      <c r="Q167" t="str">
        <f>IF(LEN(L167),MATCH(L167,'MPIO_SFIO Table'!$A$11:$A$65525,0)-1,"")</f>
        <v/>
      </c>
      <c r="R167" t="str">
        <f ca="1">IF(ISNUMBER(M167),OFFSET('MPIO_SFIO Table'!$AJ$11,M167,0),"")</f>
        <v>unused_LCD_D6</v>
      </c>
      <c r="S167" t="str">
        <f ca="1">IF(ISNUMBER(N167),OFFSET('MPIO_SFIO Table'!$AJ$11,N167,0),"")</f>
        <v/>
      </c>
      <c r="T167" t="str">
        <f ca="1">IF(ISNUMBER(O167),OFFSET('MPIO_SFIO Table'!$AJ$11,O167,0),"")</f>
        <v/>
      </c>
      <c r="U167" t="str">
        <f ca="1">IF(ISNUMBER(P167),OFFSET('MPIO_SFIO Table'!$AJ$11,P167,0),"")</f>
        <v/>
      </c>
      <c r="V167" t="str">
        <f ca="1">IF(ISNUMBER(Q167),OFFSET('MPIO_SFIO Table'!$AJ$11,Q167,0),"")</f>
        <v/>
      </c>
      <c r="W167">
        <f t="shared" ca="1" si="27"/>
        <v>0</v>
      </c>
      <c r="X167">
        <f t="shared" ca="1" si="28"/>
        <v>0</v>
      </c>
      <c r="Y167">
        <f t="shared" ca="1" si="29"/>
        <v>0</v>
      </c>
      <c r="Z167">
        <f t="shared" ca="1" si="30"/>
        <v>0</v>
      </c>
      <c r="AA167">
        <f t="shared" ca="1" si="31"/>
        <v>0</v>
      </c>
    </row>
    <row r="168" spans="1:27" x14ac:dyDescent="0.25">
      <c r="A168">
        <f t="shared" ca="1" si="24"/>
        <v>0</v>
      </c>
      <c r="B168" t="str">
        <f t="shared" ca="1" si="25"/>
        <v/>
      </c>
      <c r="C168" t="str">
        <f t="shared" si="26"/>
        <v>GPIO</v>
      </c>
      <c r="D168" t="s">
        <v>253</v>
      </c>
      <c r="E168" t="s">
        <v>253</v>
      </c>
      <c r="F168" s="3" t="s">
        <v>2642</v>
      </c>
      <c r="G168" s="11" t="s">
        <v>892</v>
      </c>
      <c r="H168" s="11" t="s">
        <v>125</v>
      </c>
      <c r="I168" s="3" t="s">
        <v>253</v>
      </c>
      <c r="J168" s="3" t="s">
        <v>253</v>
      </c>
      <c r="K168" s="3" t="s">
        <v>253</v>
      </c>
      <c r="L168" s="3" t="s">
        <v>253</v>
      </c>
      <c r="M168">
        <f>IF(LEN(H168),MATCH(H168,'MPIO_SFIO Table'!$A$11:$A$65525,0)-1,"")</f>
        <v>121</v>
      </c>
      <c r="N168" t="str">
        <f>IF(LEN(I168),MATCH(I168,'MPIO_SFIO Table'!$A$11:$A$65525,0)-1,"")</f>
        <v/>
      </c>
      <c r="O168" t="str">
        <f>IF(LEN(J168),MATCH(J168,'MPIO_SFIO Table'!$A$11:$A$65525,0)-1,"")</f>
        <v/>
      </c>
      <c r="P168" t="str">
        <f>IF(LEN(K168),MATCH(K168,'MPIO_SFIO Table'!$A$11:$A$65525,0)-1,"")</f>
        <v/>
      </c>
      <c r="Q168" t="str">
        <f>IF(LEN(L168),MATCH(L168,'MPIO_SFIO Table'!$A$11:$A$65525,0)-1,"")</f>
        <v/>
      </c>
      <c r="R168" t="str">
        <f ca="1">IF(ISNUMBER(M168),OFFSET('MPIO_SFIO Table'!$AJ$11,M168,0),"")</f>
        <v>unused_LCD_D7</v>
      </c>
      <c r="S168" t="str">
        <f ca="1">IF(ISNUMBER(N168),OFFSET('MPIO_SFIO Table'!$AJ$11,N168,0),"")</f>
        <v/>
      </c>
      <c r="T168" t="str">
        <f ca="1">IF(ISNUMBER(O168),OFFSET('MPIO_SFIO Table'!$AJ$11,O168,0),"")</f>
        <v/>
      </c>
      <c r="U168" t="str">
        <f ca="1">IF(ISNUMBER(P168),OFFSET('MPIO_SFIO Table'!$AJ$11,P168,0),"")</f>
        <v/>
      </c>
      <c r="V168" t="str">
        <f ca="1">IF(ISNUMBER(Q168),OFFSET('MPIO_SFIO Table'!$AJ$11,Q168,0),"")</f>
        <v/>
      </c>
      <c r="W168">
        <f t="shared" ca="1" si="27"/>
        <v>0</v>
      </c>
      <c r="X168">
        <f t="shared" ca="1" si="28"/>
        <v>0</v>
      </c>
      <c r="Y168">
        <f t="shared" ca="1" si="29"/>
        <v>0</v>
      </c>
      <c r="Z168">
        <f t="shared" ca="1" si="30"/>
        <v>0</v>
      </c>
      <c r="AA168">
        <f t="shared" ca="1" si="31"/>
        <v>0</v>
      </c>
    </row>
    <row r="169" spans="1:27" x14ac:dyDescent="0.25">
      <c r="A169">
        <f t="shared" ca="1" si="24"/>
        <v>0</v>
      </c>
      <c r="B169" t="str">
        <f t="shared" ca="1" si="25"/>
        <v/>
      </c>
      <c r="C169" t="str">
        <f t="shared" si="26"/>
        <v>GPIO</v>
      </c>
      <c r="D169" t="s">
        <v>253</v>
      </c>
      <c r="E169" t="s">
        <v>253</v>
      </c>
      <c r="F169" s="3" t="s">
        <v>2643</v>
      </c>
      <c r="G169" s="11" t="s">
        <v>979</v>
      </c>
      <c r="H169" s="11" t="s">
        <v>213</v>
      </c>
      <c r="I169" s="3" t="s">
        <v>253</v>
      </c>
      <c r="J169" s="3" t="s">
        <v>253</v>
      </c>
      <c r="K169" s="3" t="s">
        <v>253</v>
      </c>
      <c r="L169" s="3" t="s">
        <v>253</v>
      </c>
      <c r="M169">
        <f>IF(LEN(H169),MATCH(H169,'MPIO_SFIO Table'!$A$11:$A$65525,0)-1,"")</f>
        <v>231</v>
      </c>
      <c r="N169" t="str">
        <f>IF(LEN(I169),MATCH(I169,'MPIO_SFIO Table'!$A$11:$A$65525,0)-1,"")</f>
        <v/>
      </c>
      <c r="O169" t="str">
        <f>IF(LEN(J169),MATCH(J169,'MPIO_SFIO Table'!$A$11:$A$65525,0)-1,"")</f>
        <v/>
      </c>
      <c r="P169" t="str">
        <f>IF(LEN(K169),MATCH(K169,'MPIO_SFIO Table'!$A$11:$A$65525,0)-1,"")</f>
        <v/>
      </c>
      <c r="Q169" t="str">
        <f>IF(LEN(L169),MATCH(L169,'MPIO_SFIO Table'!$A$11:$A$65525,0)-1,"")</f>
        <v/>
      </c>
      <c r="R169" t="str">
        <f ca="1">IF(ISNUMBER(M169),OFFSET('MPIO_SFIO Table'!$AJ$11,M169,0),"")</f>
        <v>unused_CLK3_OUT</v>
      </c>
      <c r="S169" t="str">
        <f ca="1">IF(ISNUMBER(N169),OFFSET('MPIO_SFIO Table'!$AJ$11,N169,0),"")</f>
        <v/>
      </c>
      <c r="T169" t="str">
        <f ca="1">IF(ISNUMBER(O169),OFFSET('MPIO_SFIO Table'!$AJ$11,O169,0),"")</f>
        <v/>
      </c>
      <c r="U169" t="str">
        <f ca="1">IF(ISNUMBER(P169),OFFSET('MPIO_SFIO Table'!$AJ$11,P169,0),"")</f>
        <v/>
      </c>
      <c r="V169" t="str">
        <f ca="1">IF(ISNUMBER(Q169),OFFSET('MPIO_SFIO Table'!$AJ$11,Q169,0),"")</f>
        <v/>
      </c>
      <c r="W169">
        <f t="shared" ca="1" si="27"/>
        <v>0</v>
      </c>
      <c r="X169">
        <f t="shared" ca="1" si="28"/>
        <v>0</v>
      </c>
      <c r="Y169">
        <f t="shared" ca="1" si="29"/>
        <v>0</v>
      </c>
      <c r="Z169">
        <f t="shared" ca="1" si="30"/>
        <v>0</v>
      </c>
      <c r="AA169">
        <f t="shared" ca="1" si="31"/>
        <v>0</v>
      </c>
    </row>
    <row r="170" spans="1:27" x14ac:dyDescent="0.25">
      <c r="A170">
        <f t="shared" ca="1" si="24"/>
        <v>0</v>
      </c>
      <c r="B170" t="str">
        <f t="shared" ca="1" si="25"/>
        <v/>
      </c>
      <c r="C170" t="str">
        <f t="shared" si="26"/>
        <v>GPIO</v>
      </c>
      <c r="D170" t="s">
        <v>253</v>
      </c>
      <c r="E170" t="s">
        <v>253</v>
      </c>
      <c r="F170" s="3" t="s">
        <v>2644</v>
      </c>
      <c r="G170" s="11" t="s">
        <v>980</v>
      </c>
      <c r="H170" s="11" t="s">
        <v>214</v>
      </c>
      <c r="I170" s="3" t="s">
        <v>253</v>
      </c>
      <c r="J170" s="3" t="s">
        <v>253</v>
      </c>
      <c r="K170" s="3" t="s">
        <v>253</v>
      </c>
      <c r="L170" s="3" t="s">
        <v>253</v>
      </c>
      <c r="M170">
        <f>IF(LEN(H170),MATCH(H170,'MPIO_SFIO Table'!$A$11:$A$65525,0)-1,"")</f>
        <v>232</v>
      </c>
      <c r="N170" t="str">
        <f>IF(LEN(I170),MATCH(I170,'MPIO_SFIO Table'!$A$11:$A$65525,0)-1,"")</f>
        <v/>
      </c>
      <c r="O170" t="str">
        <f>IF(LEN(J170),MATCH(J170,'MPIO_SFIO Table'!$A$11:$A$65525,0)-1,"")</f>
        <v/>
      </c>
      <c r="P170" t="str">
        <f>IF(LEN(K170),MATCH(K170,'MPIO_SFIO Table'!$A$11:$A$65525,0)-1,"")</f>
        <v/>
      </c>
      <c r="Q170" t="str">
        <f>IF(LEN(L170),MATCH(L170,'MPIO_SFIO Table'!$A$11:$A$65525,0)-1,"")</f>
        <v/>
      </c>
      <c r="R170" t="str">
        <f ca="1">IF(ISNUMBER(M170),OFFSET('MPIO_SFIO Table'!$AJ$11,M170,0),"")</f>
        <v>unused_CLK3_REQ</v>
      </c>
      <c r="S170" t="str">
        <f ca="1">IF(ISNUMBER(N170),OFFSET('MPIO_SFIO Table'!$AJ$11,N170,0),"")</f>
        <v/>
      </c>
      <c r="T170" t="str">
        <f ca="1">IF(ISNUMBER(O170),OFFSET('MPIO_SFIO Table'!$AJ$11,O170,0),"")</f>
        <v/>
      </c>
      <c r="U170" t="str">
        <f ca="1">IF(ISNUMBER(P170),OFFSET('MPIO_SFIO Table'!$AJ$11,P170,0),"")</f>
        <v/>
      </c>
      <c r="V170" t="str">
        <f ca="1">IF(ISNUMBER(Q170),OFFSET('MPIO_SFIO Table'!$AJ$11,Q170,0),"")</f>
        <v/>
      </c>
      <c r="W170">
        <f t="shared" ca="1" si="27"/>
        <v>0</v>
      </c>
      <c r="X170">
        <f t="shared" ca="1" si="28"/>
        <v>0</v>
      </c>
      <c r="Y170">
        <f t="shared" ca="1" si="29"/>
        <v>0</v>
      </c>
      <c r="Z170">
        <f t="shared" ca="1" si="30"/>
        <v>0</v>
      </c>
      <c r="AA170">
        <f t="shared" ca="1" si="31"/>
        <v>0</v>
      </c>
    </row>
    <row r="171" spans="1:27" x14ac:dyDescent="0.25">
      <c r="A171">
        <f t="shared" ca="1" si="24"/>
        <v>0</v>
      </c>
      <c r="B171" t="str">
        <f t="shared" ca="1" si="25"/>
        <v/>
      </c>
      <c r="C171" t="str">
        <f t="shared" si="26"/>
        <v>GPIO</v>
      </c>
      <c r="D171" t="s">
        <v>253</v>
      </c>
      <c r="E171" t="s">
        <v>253</v>
      </c>
      <c r="F171" s="3" t="s">
        <v>2645</v>
      </c>
      <c r="G171" s="11" t="s">
        <v>776</v>
      </c>
      <c r="H171" s="11" t="s">
        <v>9</v>
      </c>
      <c r="I171" s="3" t="s">
        <v>253</v>
      </c>
      <c r="J171" s="3" t="s">
        <v>253</v>
      </c>
      <c r="K171" s="3" t="s">
        <v>253</v>
      </c>
      <c r="L171" s="3" t="s">
        <v>253</v>
      </c>
      <c r="M171">
        <f>IF(LEN(H171),MATCH(H171,'MPIO_SFIO Table'!$A$11:$A$65525,0)-1,"")</f>
        <v>1</v>
      </c>
      <c r="N171" t="str">
        <f>IF(LEN(I171),MATCH(I171,'MPIO_SFIO Table'!$A$11:$A$65525,0)-1,"")</f>
        <v/>
      </c>
      <c r="O171" t="str">
        <f>IF(LEN(J171),MATCH(J171,'MPIO_SFIO Table'!$A$11:$A$65525,0)-1,"")</f>
        <v/>
      </c>
      <c r="P171" t="str">
        <f>IF(LEN(K171),MATCH(K171,'MPIO_SFIO Table'!$A$11:$A$65525,0)-1,"")</f>
        <v/>
      </c>
      <c r="Q171" t="str">
        <f>IF(LEN(L171),MATCH(L171,'MPIO_SFIO Table'!$A$11:$A$65525,0)-1,"")</f>
        <v/>
      </c>
      <c r="R171" t="str">
        <f ca="1">IF(ISNUMBER(M171),OFFSET('MPIO_SFIO Table'!$AJ$11,M171,0),"")</f>
        <v>unused_CLK1_REQ</v>
      </c>
      <c r="S171" t="str">
        <f ca="1">IF(ISNUMBER(N171),OFFSET('MPIO_SFIO Table'!$AJ$11,N171,0),"")</f>
        <v/>
      </c>
      <c r="T171" t="str">
        <f ca="1">IF(ISNUMBER(O171),OFFSET('MPIO_SFIO Table'!$AJ$11,O171,0),"")</f>
        <v/>
      </c>
      <c r="U171" t="str">
        <f ca="1">IF(ISNUMBER(P171),OFFSET('MPIO_SFIO Table'!$AJ$11,P171,0),"")</f>
        <v/>
      </c>
      <c r="V171" t="str">
        <f ca="1">IF(ISNUMBER(Q171),OFFSET('MPIO_SFIO Table'!$AJ$11,Q171,0),"")</f>
        <v/>
      </c>
      <c r="W171">
        <f t="shared" ca="1" si="27"/>
        <v>0</v>
      </c>
      <c r="X171">
        <f t="shared" ca="1" si="28"/>
        <v>0</v>
      </c>
      <c r="Y171">
        <f t="shared" ca="1" si="29"/>
        <v>0</v>
      </c>
      <c r="Z171">
        <f t="shared" ca="1" si="30"/>
        <v>0</v>
      </c>
      <c r="AA171">
        <f t="shared" ca="1" si="31"/>
        <v>0</v>
      </c>
    </row>
    <row r="172" spans="1:27" x14ac:dyDescent="0.25">
      <c r="A172">
        <f t="shared" ca="1" si="24"/>
        <v>0</v>
      </c>
      <c r="B172" t="str">
        <f t="shared" ca="1" si="25"/>
        <v/>
      </c>
      <c r="C172" t="str">
        <f t="shared" si="26"/>
        <v>GPIO</v>
      </c>
      <c r="D172" t="s">
        <v>253</v>
      </c>
      <c r="E172" t="s">
        <v>253</v>
      </c>
      <c r="F172" s="3" t="s">
        <v>2646</v>
      </c>
      <c r="G172" s="11" t="s">
        <v>951</v>
      </c>
      <c r="H172" s="11" t="s">
        <v>184</v>
      </c>
      <c r="I172" s="3" t="s">
        <v>253</v>
      </c>
      <c r="J172" s="3" t="s">
        <v>253</v>
      </c>
      <c r="K172" s="3" t="s">
        <v>253</v>
      </c>
      <c r="L172" s="3" t="s">
        <v>253</v>
      </c>
      <c r="M172">
        <f>IF(LEN(H172),MATCH(H172,'MPIO_SFIO Table'!$A$11:$A$65525,0)-1,"")</f>
        <v>192</v>
      </c>
      <c r="N172" t="str">
        <f>IF(LEN(I172),MATCH(I172,'MPIO_SFIO Table'!$A$11:$A$65525,0)-1,"")</f>
        <v/>
      </c>
      <c r="O172" t="str">
        <f>IF(LEN(J172),MATCH(J172,'MPIO_SFIO Table'!$A$11:$A$65525,0)-1,"")</f>
        <v/>
      </c>
      <c r="P172" t="str">
        <f>IF(LEN(K172),MATCH(K172,'MPIO_SFIO Table'!$A$11:$A$65525,0)-1,"")</f>
        <v/>
      </c>
      <c r="Q172" t="str">
        <f>IF(LEN(L172),MATCH(L172,'MPIO_SFIO Table'!$A$11:$A$65525,0)-1,"")</f>
        <v/>
      </c>
      <c r="R172" t="str">
        <f ca="1">IF(ISNUMBER(M172),OFFSET('MPIO_SFIO Table'!$AJ$11,M172,0),"")</f>
        <v>unused_HDMI_CEC</v>
      </c>
      <c r="S172" t="str">
        <f ca="1">IF(ISNUMBER(N172),OFFSET('MPIO_SFIO Table'!$AJ$11,N172,0),"")</f>
        <v/>
      </c>
      <c r="T172" t="str">
        <f ca="1">IF(ISNUMBER(O172),OFFSET('MPIO_SFIO Table'!$AJ$11,O172,0),"")</f>
        <v/>
      </c>
      <c r="U172" t="str">
        <f ca="1">IF(ISNUMBER(P172),OFFSET('MPIO_SFIO Table'!$AJ$11,P172,0),"")</f>
        <v/>
      </c>
      <c r="V172" t="str">
        <f ca="1">IF(ISNUMBER(Q172),OFFSET('MPIO_SFIO Table'!$AJ$11,Q172,0),"")</f>
        <v/>
      </c>
      <c r="W172">
        <f t="shared" ca="1" si="27"/>
        <v>0</v>
      </c>
      <c r="X172">
        <f t="shared" ca="1" si="28"/>
        <v>0</v>
      </c>
      <c r="Y172">
        <f t="shared" ca="1" si="29"/>
        <v>0</v>
      </c>
      <c r="Z172">
        <f t="shared" ca="1" si="30"/>
        <v>0</v>
      </c>
      <c r="AA172">
        <f t="shared" ca="1" si="31"/>
        <v>0</v>
      </c>
    </row>
    <row r="173" spans="1:27" x14ac:dyDescent="0.25">
      <c r="A173">
        <f t="shared" ca="1" si="24"/>
        <v>0</v>
      </c>
      <c r="B173" t="str">
        <f t="shared" ca="1" si="25"/>
        <v/>
      </c>
      <c r="C173" t="str">
        <f t="shared" si="26"/>
        <v>GPIO</v>
      </c>
      <c r="D173" t="s">
        <v>253</v>
      </c>
      <c r="E173" t="s">
        <v>253</v>
      </c>
      <c r="F173" s="3" t="s">
        <v>2647</v>
      </c>
      <c r="G173" s="11" t="s">
        <v>893</v>
      </c>
      <c r="H173" s="11" t="s">
        <v>126</v>
      </c>
      <c r="I173" s="3" t="s">
        <v>253</v>
      </c>
      <c r="J173" s="3" t="s">
        <v>253</v>
      </c>
      <c r="K173" s="3" t="s">
        <v>253</v>
      </c>
      <c r="L173" s="3" t="s">
        <v>253</v>
      </c>
      <c r="M173">
        <f>IF(LEN(H173),MATCH(H173,'MPIO_SFIO Table'!$A$11:$A$65525,0)-1,"")</f>
        <v>122</v>
      </c>
      <c r="N173" t="str">
        <f>IF(LEN(I173),MATCH(I173,'MPIO_SFIO Table'!$A$11:$A$65525,0)-1,"")</f>
        <v/>
      </c>
      <c r="O173" t="str">
        <f>IF(LEN(J173),MATCH(J173,'MPIO_SFIO Table'!$A$11:$A$65525,0)-1,"")</f>
        <v/>
      </c>
      <c r="P173" t="str">
        <f>IF(LEN(K173),MATCH(K173,'MPIO_SFIO Table'!$A$11:$A$65525,0)-1,"")</f>
        <v/>
      </c>
      <c r="Q173" t="str">
        <f>IF(LEN(L173),MATCH(L173,'MPIO_SFIO Table'!$A$11:$A$65525,0)-1,"")</f>
        <v/>
      </c>
      <c r="R173" t="str">
        <f ca="1">IF(ISNUMBER(M173),OFFSET('MPIO_SFIO Table'!$AJ$11,M173,0),"")</f>
        <v>unused_LCD_D8</v>
      </c>
      <c r="S173" t="str">
        <f ca="1">IF(ISNUMBER(N173),OFFSET('MPIO_SFIO Table'!$AJ$11,N173,0),"")</f>
        <v/>
      </c>
      <c r="T173" t="str">
        <f ca="1">IF(ISNUMBER(O173),OFFSET('MPIO_SFIO Table'!$AJ$11,O173,0),"")</f>
        <v/>
      </c>
      <c r="U173" t="str">
        <f ca="1">IF(ISNUMBER(P173),OFFSET('MPIO_SFIO Table'!$AJ$11,P173,0),"")</f>
        <v/>
      </c>
      <c r="V173" t="str">
        <f ca="1">IF(ISNUMBER(Q173),OFFSET('MPIO_SFIO Table'!$AJ$11,Q173,0),"")</f>
        <v/>
      </c>
      <c r="W173">
        <f t="shared" ca="1" si="27"/>
        <v>0</v>
      </c>
      <c r="X173">
        <f t="shared" ca="1" si="28"/>
        <v>0</v>
      </c>
      <c r="Y173">
        <f t="shared" ca="1" si="29"/>
        <v>0</v>
      </c>
      <c r="Z173">
        <f t="shared" ca="1" si="30"/>
        <v>0</v>
      </c>
      <c r="AA173">
        <f t="shared" ca="1" si="31"/>
        <v>0</v>
      </c>
    </row>
    <row r="174" spans="1:27" x14ac:dyDescent="0.25">
      <c r="A174">
        <f t="shared" ca="1" si="24"/>
        <v>0</v>
      </c>
      <c r="B174" t="str">
        <f t="shared" ca="1" si="25"/>
        <v/>
      </c>
      <c r="C174" t="str">
        <f t="shared" si="26"/>
        <v>GPIO</v>
      </c>
      <c r="D174" t="s">
        <v>253</v>
      </c>
      <c r="E174" t="s">
        <v>253</v>
      </c>
      <c r="F174" s="3" t="s">
        <v>2648</v>
      </c>
      <c r="G174" s="11" t="s">
        <v>894</v>
      </c>
      <c r="H174" s="11" t="s">
        <v>127</v>
      </c>
      <c r="I174" s="3" t="s">
        <v>253</v>
      </c>
      <c r="J174" s="3" t="s">
        <v>253</v>
      </c>
      <c r="K174" s="3" t="s">
        <v>253</v>
      </c>
      <c r="L174" s="3" t="s">
        <v>253</v>
      </c>
      <c r="M174">
        <f>IF(LEN(H174),MATCH(H174,'MPIO_SFIO Table'!$A$11:$A$65525,0)-1,"")</f>
        <v>123</v>
      </c>
      <c r="N174" t="str">
        <f>IF(LEN(I174),MATCH(I174,'MPIO_SFIO Table'!$A$11:$A$65525,0)-1,"")</f>
        <v/>
      </c>
      <c r="O174" t="str">
        <f>IF(LEN(J174),MATCH(J174,'MPIO_SFIO Table'!$A$11:$A$65525,0)-1,"")</f>
        <v/>
      </c>
      <c r="P174" t="str">
        <f>IF(LEN(K174),MATCH(K174,'MPIO_SFIO Table'!$A$11:$A$65525,0)-1,"")</f>
        <v/>
      </c>
      <c r="Q174" t="str">
        <f>IF(LEN(L174),MATCH(L174,'MPIO_SFIO Table'!$A$11:$A$65525,0)-1,"")</f>
        <v/>
      </c>
      <c r="R174" t="str">
        <f ca="1">IF(ISNUMBER(M174),OFFSET('MPIO_SFIO Table'!$AJ$11,M174,0),"")</f>
        <v>unused_LCD_D9</v>
      </c>
      <c r="S174" t="str">
        <f ca="1">IF(ISNUMBER(N174),OFFSET('MPIO_SFIO Table'!$AJ$11,N174,0),"")</f>
        <v/>
      </c>
      <c r="T174" t="str">
        <f ca="1">IF(ISNUMBER(O174),OFFSET('MPIO_SFIO Table'!$AJ$11,O174,0),"")</f>
        <v/>
      </c>
      <c r="U174" t="str">
        <f ca="1">IF(ISNUMBER(P174),OFFSET('MPIO_SFIO Table'!$AJ$11,P174,0),"")</f>
        <v/>
      </c>
      <c r="V174" t="str">
        <f ca="1">IF(ISNUMBER(Q174),OFFSET('MPIO_SFIO Table'!$AJ$11,Q174,0),"")</f>
        <v/>
      </c>
      <c r="W174">
        <f t="shared" ca="1" si="27"/>
        <v>0</v>
      </c>
      <c r="X174">
        <f t="shared" ca="1" si="28"/>
        <v>0</v>
      </c>
      <c r="Y174">
        <f t="shared" ca="1" si="29"/>
        <v>0</v>
      </c>
      <c r="Z174">
        <f t="shared" ca="1" si="30"/>
        <v>0</v>
      </c>
      <c r="AA174">
        <f t="shared" ca="1" si="31"/>
        <v>0</v>
      </c>
    </row>
    <row r="175" spans="1:27" x14ac:dyDescent="0.25">
      <c r="A175">
        <f t="shared" ca="1" si="24"/>
        <v>0</v>
      </c>
      <c r="B175" t="str">
        <f t="shared" ca="1" si="25"/>
        <v/>
      </c>
      <c r="C175" t="str">
        <f t="shared" si="26"/>
        <v>GPIO</v>
      </c>
      <c r="D175" t="s">
        <v>253</v>
      </c>
      <c r="E175" t="s">
        <v>253</v>
      </c>
      <c r="F175" s="3" t="s">
        <v>2649</v>
      </c>
      <c r="G175" s="11" t="s">
        <v>873</v>
      </c>
      <c r="H175" s="11" t="s">
        <v>106</v>
      </c>
      <c r="I175" s="3" t="s">
        <v>253</v>
      </c>
      <c r="J175" s="3" t="s">
        <v>253</v>
      </c>
      <c r="K175" s="3" t="s">
        <v>253</v>
      </c>
      <c r="L175" s="3" t="s">
        <v>253</v>
      </c>
      <c r="M175">
        <f>IF(LEN(H175),MATCH(H175,'MPIO_SFIO Table'!$A$11:$A$65525,0)-1,"")</f>
        <v>102</v>
      </c>
      <c r="N175" t="str">
        <f>IF(LEN(I175),MATCH(I175,'MPIO_SFIO Table'!$A$11:$A$65525,0)-1,"")</f>
        <v/>
      </c>
      <c r="O175" t="str">
        <f>IF(LEN(J175),MATCH(J175,'MPIO_SFIO Table'!$A$11:$A$65525,0)-1,"")</f>
        <v/>
      </c>
      <c r="P175" t="str">
        <f>IF(LEN(K175),MATCH(K175,'MPIO_SFIO Table'!$A$11:$A$65525,0)-1,"")</f>
        <v/>
      </c>
      <c r="Q175" t="str">
        <f>IF(LEN(L175),MATCH(L175,'MPIO_SFIO Table'!$A$11:$A$65525,0)-1,"")</f>
        <v/>
      </c>
      <c r="R175" t="str">
        <f ca="1">IF(ISNUMBER(M175),OFFSET('MPIO_SFIO Table'!$AJ$11,M175,0),"")</f>
        <v>unused_LCD_D10</v>
      </c>
      <c r="S175" t="str">
        <f ca="1">IF(ISNUMBER(N175),OFFSET('MPIO_SFIO Table'!$AJ$11,N175,0),"")</f>
        <v/>
      </c>
      <c r="T175" t="str">
        <f ca="1">IF(ISNUMBER(O175),OFFSET('MPIO_SFIO Table'!$AJ$11,O175,0),"")</f>
        <v/>
      </c>
      <c r="U175" t="str">
        <f ca="1">IF(ISNUMBER(P175),OFFSET('MPIO_SFIO Table'!$AJ$11,P175,0),"")</f>
        <v/>
      </c>
      <c r="V175" t="str">
        <f ca="1">IF(ISNUMBER(Q175),OFFSET('MPIO_SFIO Table'!$AJ$11,Q175,0),"")</f>
        <v/>
      </c>
      <c r="W175">
        <f t="shared" ca="1" si="27"/>
        <v>0</v>
      </c>
      <c r="X175">
        <f t="shared" ca="1" si="28"/>
        <v>0</v>
      </c>
      <c r="Y175">
        <f t="shared" ca="1" si="29"/>
        <v>0</v>
      </c>
      <c r="Z175">
        <f t="shared" ca="1" si="30"/>
        <v>0</v>
      </c>
      <c r="AA175">
        <f t="shared" ca="1" si="31"/>
        <v>0</v>
      </c>
    </row>
    <row r="176" spans="1:27" x14ac:dyDescent="0.25">
      <c r="A176">
        <f t="shared" ca="1" si="24"/>
        <v>0</v>
      </c>
      <c r="B176" t="str">
        <f t="shared" ca="1" si="25"/>
        <v/>
      </c>
      <c r="C176" t="str">
        <f t="shared" si="26"/>
        <v>GPIO</v>
      </c>
      <c r="D176" t="s">
        <v>253</v>
      </c>
      <c r="E176" t="s">
        <v>253</v>
      </c>
      <c r="F176" s="3" t="s">
        <v>2650</v>
      </c>
      <c r="G176" s="11" t="s">
        <v>874</v>
      </c>
      <c r="H176" s="11" t="s">
        <v>107</v>
      </c>
      <c r="I176" s="3" t="s">
        <v>253</v>
      </c>
      <c r="J176" s="3" t="s">
        <v>253</v>
      </c>
      <c r="K176" s="3" t="s">
        <v>253</v>
      </c>
      <c r="L176" s="3" t="s">
        <v>253</v>
      </c>
      <c r="M176">
        <f>IF(LEN(H176),MATCH(H176,'MPIO_SFIO Table'!$A$11:$A$65525,0)-1,"")</f>
        <v>103</v>
      </c>
      <c r="N176" t="str">
        <f>IF(LEN(I176),MATCH(I176,'MPIO_SFIO Table'!$A$11:$A$65525,0)-1,"")</f>
        <v/>
      </c>
      <c r="O176" t="str">
        <f>IF(LEN(J176),MATCH(J176,'MPIO_SFIO Table'!$A$11:$A$65525,0)-1,"")</f>
        <v/>
      </c>
      <c r="P176" t="str">
        <f>IF(LEN(K176),MATCH(K176,'MPIO_SFIO Table'!$A$11:$A$65525,0)-1,"")</f>
        <v/>
      </c>
      <c r="Q176" t="str">
        <f>IF(LEN(L176),MATCH(L176,'MPIO_SFIO Table'!$A$11:$A$65525,0)-1,"")</f>
        <v/>
      </c>
      <c r="R176" t="str">
        <f ca="1">IF(ISNUMBER(M176),OFFSET('MPIO_SFIO Table'!$AJ$11,M176,0),"")</f>
        <v>unused_LCD_D11</v>
      </c>
      <c r="S176" t="str">
        <f ca="1">IF(ISNUMBER(N176),OFFSET('MPIO_SFIO Table'!$AJ$11,N176,0),"")</f>
        <v/>
      </c>
      <c r="T176" t="str">
        <f ca="1">IF(ISNUMBER(O176),OFFSET('MPIO_SFIO Table'!$AJ$11,O176,0),"")</f>
        <v/>
      </c>
      <c r="U176" t="str">
        <f ca="1">IF(ISNUMBER(P176),OFFSET('MPIO_SFIO Table'!$AJ$11,P176,0),"")</f>
        <v/>
      </c>
      <c r="V176" t="str">
        <f ca="1">IF(ISNUMBER(Q176),OFFSET('MPIO_SFIO Table'!$AJ$11,Q176,0),"")</f>
        <v/>
      </c>
      <c r="W176">
        <f t="shared" ca="1" si="27"/>
        <v>0</v>
      </c>
      <c r="X176">
        <f t="shared" ca="1" si="28"/>
        <v>0</v>
      </c>
      <c r="Y176">
        <f t="shared" ca="1" si="29"/>
        <v>0</v>
      </c>
      <c r="Z176">
        <f t="shared" ca="1" si="30"/>
        <v>0</v>
      </c>
      <c r="AA176">
        <f t="shared" ca="1" si="31"/>
        <v>0</v>
      </c>
    </row>
    <row r="177" spans="1:27" x14ac:dyDescent="0.25">
      <c r="A177">
        <f t="shared" ca="1" si="24"/>
        <v>0</v>
      </c>
      <c r="B177" t="str">
        <f t="shared" ca="1" si="25"/>
        <v/>
      </c>
      <c r="C177" t="str">
        <f t="shared" si="26"/>
        <v>GPIO</v>
      </c>
      <c r="D177" t="s">
        <v>253</v>
      </c>
      <c r="E177" t="s">
        <v>253</v>
      </c>
      <c r="F177" s="3" t="s">
        <v>2651</v>
      </c>
      <c r="G177" s="11" t="s">
        <v>875</v>
      </c>
      <c r="H177" s="11" t="s">
        <v>108</v>
      </c>
      <c r="I177" s="3" t="s">
        <v>253</v>
      </c>
      <c r="J177" s="3" t="s">
        <v>253</v>
      </c>
      <c r="K177" s="3" t="s">
        <v>253</v>
      </c>
      <c r="L177" s="3" t="s">
        <v>253</v>
      </c>
      <c r="M177">
        <f>IF(LEN(H177),MATCH(H177,'MPIO_SFIO Table'!$A$11:$A$65525,0)-1,"")</f>
        <v>104</v>
      </c>
      <c r="N177" t="str">
        <f>IF(LEN(I177),MATCH(I177,'MPIO_SFIO Table'!$A$11:$A$65525,0)-1,"")</f>
        <v/>
      </c>
      <c r="O177" t="str">
        <f>IF(LEN(J177),MATCH(J177,'MPIO_SFIO Table'!$A$11:$A$65525,0)-1,"")</f>
        <v/>
      </c>
      <c r="P177" t="str">
        <f>IF(LEN(K177),MATCH(K177,'MPIO_SFIO Table'!$A$11:$A$65525,0)-1,"")</f>
        <v/>
      </c>
      <c r="Q177" t="str">
        <f>IF(LEN(L177),MATCH(L177,'MPIO_SFIO Table'!$A$11:$A$65525,0)-1,"")</f>
        <v/>
      </c>
      <c r="R177" t="str">
        <f ca="1">IF(ISNUMBER(M177),OFFSET('MPIO_SFIO Table'!$AJ$11,M177,0),"")</f>
        <v>unused_LCD_D12</v>
      </c>
      <c r="S177" t="str">
        <f ca="1">IF(ISNUMBER(N177),OFFSET('MPIO_SFIO Table'!$AJ$11,N177,0),"")</f>
        <v/>
      </c>
      <c r="T177" t="str">
        <f ca="1">IF(ISNUMBER(O177),OFFSET('MPIO_SFIO Table'!$AJ$11,O177,0),"")</f>
        <v/>
      </c>
      <c r="U177" t="str">
        <f ca="1">IF(ISNUMBER(P177),OFFSET('MPIO_SFIO Table'!$AJ$11,P177,0),"")</f>
        <v/>
      </c>
      <c r="V177" t="str">
        <f ca="1">IF(ISNUMBER(Q177),OFFSET('MPIO_SFIO Table'!$AJ$11,Q177,0),"")</f>
        <v/>
      </c>
      <c r="W177">
        <f t="shared" ca="1" si="27"/>
        <v>0</v>
      </c>
      <c r="X177">
        <f t="shared" ca="1" si="28"/>
        <v>0</v>
      </c>
      <c r="Y177">
        <f t="shared" ca="1" si="29"/>
        <v>0</v>
      </c>
      <c r="Z177">
        <f t="shared" ca="1" si="30"/>
        <v>0</v>
      </c>
      <c r="AA177">
        <f t="shared" ca="1" si="31"/>
        <v>0</v>
      </c>
    </row>
    <row r="178" spans="1:27" x14ac:dyDescent="0.25">
      <c r="A178">
        <f t="shared" ca="1" si="24"/>
        <v>0</v>
      </c>
      <c r="B178" t="str">
        <f t="shared" ca="1" si="25"/>
        <v/>
      </c>
      <c r="C178" t="str">
        <f t="shared" si="26"/>
        <v>GPIO</v>
      </c>
      <c r="D178" t="s">
        <v>253</v>
      </c>
      <c r="E178" t="s">
        <v>253</v>
      </c>
      <c r="F178" s="3" t="s">
        <v>2652</v>
      </c>
      <c r="G178" s="11" t="s">
        <v>876</v>
      </c>
      <c r="H178" s="11" t="s">
        <v>109</v>
      </c>
      <c r="I178" s="3" t="s">
        <v>253</v>
      </c>
      <c r="J178" s="3" t="s">
        <v>253</v>
      </c>
      <c r="K178" s="3" t="s">
        <v>253</v>
      </c>
      <c r="L178" s="3" t="s">
        <v>253</v>
      </c>
      <c r="M178">
        <f>IF(LEN(H178),MATCH(H178,'MPIO_SFIO Table'!$A$11:$A$65525,0)-1,"")</f>
        <v>105</v>
      </c>
      <c r="N178" t="str">
        <f>IF(LEN(I178),MATCH(I178,'MPIO_SFIO Table'!$A$11:$A$65525,0)-1,"")</f>
        <v/>
      </c>
      <c r="O178" t="str">
        <f>IF(LEN(J178),MATCH(J178,'MPIO_SFIO Table'!$A$11:$A$65525,0)-1,"")</f>
        <v/>
      </c>
      <c r="P178" t="str">
        <f>IF(LEN(K178),MATCH(K178,'MPIO_SFIO Table'!$A$11:$A$65525,0)-1,"")</f>
        <v/>
      </c>
      <c r="Q178" t="str">
        <f>IF(LEN(L178),MATCH(L178,'MPIO_SFIO Table'!$A$11:$A$65525,0)-1,"")</f>
        <v/>
      </c>
      <c r="R178" t="str">
        <f ca="1">IF(ISNUMBER(M178),OFFSET('MPIO_SFIO Table'!$AJ$11,M178,0),"")</f>
        <v>unused_LCD_D13</v>
      </c>
      <c r="S178" t="str">
        <f ca="1">IF(ISNUMBER(N178),OFFSET('MPIO_SFIO Table'!$AJ$11,N178,0),"")</f>
        <v/>
      </c>
      <c r="T178" t="str">
        <f ca="1">IF(ISNUMBER(O178),OFFSET('MPIO_SFIO Table'!$AJ$11,O178,0),"")</f>
        <v/>
      </c>
      <c r="U178" t="str">
        <f ca="1">IF(ISNUMBER(P178),OFFSET('MPIO_SFIO Table'!$AJ$11,P178,0),"")</f>
        <v/>
      </c>
      <c r="V178" t="str">
        <f ca="1">IF(ISNUMBER(Q178),OFFSET('MPIO_SFIO Table'!$AJ$11,Q178,0),"")</f>
        <v/>
      </c>
      <c r="W178">
        <f t="shared" ca="1" si="27"/>
        <v>0</v>
      </c>
      <c r="X178">
        <f t="shared" ca="1" si="28"/>
        <v>0</v>
      </c>
      <c r="Y178">
        <f t="shared" ca="1" si="29"/>
        <v>0</v>
      </c>
      <c r="Z178">
        <f t="shared" ca="1" si="30"/>
        <v>0</v>
      </c>
      <c r="AA178">
        <f t="shared" ca="1" si="31"/>
        <v>0</v>
      </c>
    </row>
    <row r="179" spans="1:27" x14ac:dyDescent="0.25">
      <c r="A179">
        <f t="shared" ca="1" si="24"/>
        <v>0</v>
      </c>
      <c r="B179" t="str">
        <f t="shared" ca="1" si="25"/>
        <v/>
      </c>
      <c r="C179" t="str">
        <f t="shared" si="26"/>
        <v>GPIO</v>
      </c>
      <c r="D179" t="s">
        <v>253</v>
      </c>
      <c r="E179" t="s">
        <v>253</v>
      </c>
      <c r="F179" s="3" t="s">
        <v>2653</v>
      </c>
      <c r="G179" s="11" t="s">
        <v>877</v>
      </c>
      <c r="H179" s="11" t="s">
        <v>110</v>
      </c>
      <c r="I179" s="3" t="s">
        <v>253</v>
      </c>
      <c r="J179" s="3" t="s">
        <v>253</v>
      </c>
      <c r="K179" s="3" t="s">
        <v>253</v>
      </c>
      <c r="L179" s="3" t="s">
        <v>253</v>
      </c>
      <c r="M179">
        <f>IF(LEN(H179),MATCH(H179,'MPIO_SFIO Table'!$A$11:$A$65525,0)-1,"")</f>
        <v>106</v>
      </c>
      <c r="N179" t="str">
        <f>IF(LEN(I179),MATCH(I179,'MPIO_SFIO Table'!$A$11:$A$65525,0)-1,"")</f>
        <v/>
      </c>
      <c r="O179" t="str">
        <f>IF(LEN(J179),MATCH(J179,'MPIO_SFIO Table'!$A$11:$A$65525,0)-1,"")</f>
        <v/>
      </c>
      <c r="P179" t="str">
        <f>IF(LEN(K179),MATCH(K179,'MPIO_SFIO Table'!$A$11:$A$65525,0)-1,"")</f>
        <v/>
      </c>
      <c r="Q179" t="str">
        <f>IF(LEN(L179),MATCH(L179,'MPIO_SFIO Table'!$A$11:$A$65525,0)-1,"")</f>
        <v/>
      </c>
      <c r="R179" t="str">
        <f ca="1">IF(ISNUMBER(M179),OFFSET('MPIO_SFIO Table'!$AJ$11,M179,0),"")</f>
        <v>unused_LCD_D14</v>
      </c>
      <c r="S179" t="str">
        <f ca="1">IF(ISNUMBER(N179),OFFSET('MPIO_SFIO Table'!$AJ$11,N179,0),"")</f>
        <v/>
      </c>
      <c r="T179" t="str">
        <f ca="1">IF(ISNUMBER(O179),OFFSET('MPIO_SFIO Table'!$AJ$11,O179,0),"")</f>
        <v/>
      </c>
      <c r="U179" t="str">
        <f ca="1">IF(ISNUMBER(P179),OFFSET('MPIO_SFIO Table'!$AJ$11,P179,0),"")</f>
        <v/>
      </c>
      <c r="V179" t="str">
        <f ca="1">IF(ISNUMBER(Q179),OFFSET('MPIO_SFIO Table'!$AJ$11,Q179,0),"")</f>
        <v/>
      </c>
      <c r="W179">
        <f t="shared" ca="1" si="27"/>
        <v>0</v>
      </c>
      <c r="X179">
        <f t="shared" ca="1" si="28"/>
        <v>0</v>
      </c>
      <c r="Y179">
        <f t="shared" ca="1" si="29"/>
        <v>0</v>
      </c>
      <c r="Z179">
        <f t="shared" ca="1" si="30"/>
        <v>0</v>
      </c>
      <c r="AA179">
        <f t="shared" ca="1" si="31"/>
        <v>0</v>
      </c>
    </row>
    <row r="180" spans="1:27" x14ac:dyDescent="0.25">
      <c r="A180">
        <f t="shared" ca="1" si="24"/>
        <v>0</v>
      </c>
      <c r="B180" t="str">
        <f t="shared" ca="1" si="25"/>
        <v/>
      </c>
      <c r="C180" t="str">
        <f t="shared" si="26"/>
        <v>GPIO</v>
      </c>
      <c r="D180" t="s">
        <v>253</v>
      </c>
      <c r="E180" t="s">
        <v>253</v>
      </c>
      <c r="F180" s="3" t="s">
        <v>2654</v>
      </c>
      <c r="G180" s="11" t="s">
        <v>878</v>
      </c>
      <c r="H180" s="11" t="s">
        <v>111</v>
      </c>
      <c r="I180" s="3" t="s">
        <v>253</v>
      </c>
      <c r="J180" s="3" t="s">
        <v>253</v>
      </c>
      <c r="K180" s="3" t="s">
        <v>253</v>
      </c>
      <c r="L180" s="3" t="s">
        <v>253</v>
      </c>
      <c r="M180">
        <f>IF(LEN(H180),MATCH(H180,'MPIO_SFIO Table'!$A$11:$A$65525,0)-1,"")</f>
        <v>107</v>
      </c>
      <c r="N180" t="str">
        <f>IF(LEN(I180),MATCH(I180,'MPIO_SFIO Table'!$A$11:$A$65525,0)-1,"")</f>
        <v/>
      </c>
      <c r="O180" t="str">
        <f>IF(LEN(J180),MATCH(J180,'MPIO_SFIO Table'!$A$11:$A$65525,0)-1,"")</f>
        <v/>
      </c>
      <c r="P180" t="str">
        <f>IF(LEN(K180),MATCH(K180,'MPIO_SFIO Table'!$A$11:$A$65525,0)-1,"")</f>
        <v/>
      </c>
      <c r="Q180" t="str">
        <f>IF(LEN(L180),MATCH(L180,'MPIO_SFIO Table'!$A$11:$A$65525,0)-1,"")</f>
        <v/>
      </c>
      <c r="R180" t="str">
        <f ca="1">IF(ISNUMBER(M180),OFFSET('MPIO_SFIO Table'!$AJ$11,M180,0),"")</f>
        <v>unused_LCD_D15</v>
      </c>
      <c r="S180" t="str">
        <f ca="1">IF(ISNUMBER(N180),OFFSET('MPIO_SFIO Table'!$AJ$11,N180,0),"")</f>
        <v/>
      </c>
      <c r="T180" t="str">
        <f ca="1">IF(ISNUMBER(O180),OFFSET('MPIO_SFIO Table'!$AJ$11,O180,0),"")</f>
        <v/>
      </c>
      <c r="U180" t="str">
        <f ca="1">IF(ISNUMBER(P180),OFFSET('MPIO_SFIO Table'!$AJ$11,P180,0),"")</f>
        <v/>
      </c>
      <c r="V180" t="str">
        <f ca="1">IF(ISNUMBER(Q180),OFFSET('MPIO_SFIO Table'!$AJ$11,Q180,0),"")</f>
        <v/>
      </c>
      <c r="W180">
        <f t="shared" ca="1" si="27"/>
        <v>0</v>
      </c>
      <c r="X180">
        <f t="shared" ca="1" si="28"/>
        <v>0</v>
      </c>
      <c r="Y180">
        <f t="shared" ca="1" si="29"/>
        <v>0</v>
      </c>
      <c r="Z180">
        <f t="shared" ca="1" si="30"/>
        <v>0</v>
      </c>
      <c r="AA180">
        <f t="shared" ca="1" si="31"/>
        <v>0</v>
      </c>
    </row>
    <row r="181" spans="1:27" x14ac:dyDescent="0.25">
      <c r="A181">
        <f t="shared" ca="1" si="24"/>
        <v>0</v>
      </c>
      <c r="B181" t="str">
        <f t="shared" ca="1" si="25"/>
        <v/>
      </c>
      <c r="C181" t="str">
        <f t="shared" si="26"/>
        <v>GPIO</v>
      </c>
      <c r="D181" t="s">
        <v>253</v>
      </c>
      <c r="E181" t="s">
        <v>253</v>
      </c>
      <c r="F181" s="3" t="s">
        <v>2655</v>
      </c>
      <c r="G181" s="11" t="s">
        <v>832</v>
      </c>
      <c r="H181" s="11" t="s">
        <v>65</v>
      </c>
      <c r="I181" s="3" t="s">
        <v>253</v>
      </c>
      <c r="J181" s="3" t="s">
        <v>253</v>
      </c>
      <c r="K181" s="3" t="s">
        <v>253</v>
      </c>
      <c r="L181" s="3" t="s">
        <v>253</v>
      </c>
      <c r="M181">
        <f>IF(LEN(H181),MATCH(H181,'MPIO_SFIO Table'!$A$11:$A$65525,0)-1,"")</f>
        <v>60</v>
      </c>
      <c r="N181" t="str">
        <f>IF(LEN(I181),MATCH(I181,'MPIO_SFIO Table'!$A$11:$A$65525,0)-1,"")</f>
        <v/>
      </c>
      <c r="O181" t="str">
        <f>IF(LEN(J181),MATCH(J181,'MPIO_SFIO Table'!$A$11:$A$65525,0)-1,"")</f>
        <v/>
      </c>
      <c r="P181" t="str">
        <f>IF(LEN(K181),MATCH(K181,'MPIO_SFIO Table'!$A$11:$A$65525,0)-1,"")</f>
        <v/>
      </c>
      <c r="Q181" t="str">
        <f>IF(LEN(L181),MATCH(L181,'MPIO_SFIO Table'!$A$11:$A$65525,0)-1,"")</f>
        <v/>
      </c>
      <c r="R181" t="str">
        <f ca="1">IF(ISNUMBER(M181),OFFSET('MPIO_SFIO Table'!$AJ$11,M181,0),"")</f>
        <v>unused_GMI_AD0</v>
      </c>
      <c r="S181" t="str">
        <f ca="1">IF(ISNUMBER(N181),OFFSET('MPIO_SFIO Table'!$AJ$11,N181,0),"")</f>
        <v/>
      </c>
      <c r="T181" t="str">
        <f ca="1">IF(ISNUMBER(O181),OFFSET('MPIO_SFIO Table'!$AJ$11,O181,0),"")</f>
        <v/>
      </c>
      <c r="U181" t="str">
        <f ca="1">IF(ISNUMBER(P181),OFFSET('MPIO_SFIO Table'!$AJ$11,P181,0),"")</f>
        <v/>
      </c>
      <c r="V181" t="str">
        <f ca="1">IF(ISNUMBER(Q181),OFFSET('MPIO_SFIO Table'!$AJ$11,Q181,0),"")</f>
        <v/>
      </c>
      <c r="W181">
        <f t="shared" ca="1" si="27"/>
        <v>0</v>
      </c>
      <c r="X181">
        <f t="shared" ca="1" si="28"/>
        <v>0</v>
      </c>
      <c r="Y181">
        <f t="shared" ca="1" si="29"/>
        <v>0</v>
      </c>
      <c r="Z181">
        <f t="shared" ca="1" si="30"/>
        <v>0</v>
      </c>
      <c r="AA181">
        <f t="shared" ca="1" si="31"/>
        <v>0</v>
      </c>
    </row>
    <row r="182" spans="1:27" x14ac:dyDescent="0.25">
      <c r="A182">
        <f t="shared" ca="1" si="24"/>
        <v>0</v>
      </c>
      <c r="B182" t="str">
        <f t="shared" ca="1" si="25"/>
        <v/>
      </c>
      <c r="C182" t="str">
        <f t="shared" si="26"/>
        <v>GPIO</v>
      </c>
      <c r="D182" t="s">
        <v>253</v>
      </c>
      <c r="E182" t="s">
        <v>253</v>
      </c>
      <c r="F182" s="3" t="s">
        <v>2656</v>
      </c>
      <c r="G182" s="11" t="s">
        <v>833</v>
      </c>
      <c r="H182" s="11" t="s">
        <v>66</v>
      </c>
      <c r="I182" s="3" t="s">
        <v>253</v>
      </c>
      <c r="J182" s="3" t="s">
        <v>253</v>
      </c>
      <c r="K182" s="3" t="s">
        <v>253</v>
      </c>
      <c r="L182" s="3" t="s">
        <v>253</v>
      </c>
      <c r="M182">
        <f>IF(LEN(H182),MATCH(H182,'MPIO_SFIO Table'!$A$11:$A$65525,0)-1,"")</f>
        <v>61</v>
      </c>
      <c r="N182" t="str">
        <f>IF(LEN(I182),MATCH(I182,'MPIO_SFIO Table'!$A$11:$A$65525,0)-1,"")</f>
        <v/>
      </c>
      <c r="O182" t="str">
        <f>IF(LEN(J182),MATCH(J182,'MPIO_SFIO Table'!$A$11:$A$65525,0)-1,"")</f>
        <v/>
      </c>
      <c r="P182" t="str">
        <f>IF(LEN(K182),MATCH(K182,'MPIO_SFIO Table'!$A$11:$A$65525,0)-1,"")</f>
        <v/>
      </c>
      <c r="Q182" t="str">
        <f>IF(LEN(L182),MATCH(L182,'MPIO_SFIO Table'!$A$11:$A$65525,0)-1,"")</f>
        <v/>
      </c>
      <c r="R182" t="str">
        <f ca="1">IF(ISNUMBER(M182),OFFSET('MPIO_SFIO Table'!$AJ$11,M182,0),"")</f>
        <v>unused_GMI_AD1</v>
      </c>
      <c r="S182" t="str">
        <f ca="1">IF(ISNUMBER(N182),OFFSET('MPIO_SFIO Table'!$AJ$11,N182,0),"")</f>
        <v/>
      </c>
      <c r="T182" t="str">
        <f ca="1">IF(ISNUMBER(O182),OFFSET('MPIO_SFIO Table'!$AJ$11,O182,0),"")</f>
        <v/>
      </c>
      <c r="U182" t="str">
        <f ca="1">IF(ISNUMBER(P182),OFFSET('MPIO_SFIO Table'!$AJ$11,P182,0),"")</f>
        <v/>
      </c>
      <c r="V182" t="str">
        <f ca="1">IF(ISNUMBER(Q182),OFFSET('MPIO_SFIO Table'!$AJ$11,Q182,0),"")</f>
        <v/>
      </c>
      <c r="W182">
        <f t="shared" ca="1" si="27"/>
        <v>0</v>
      </c>
      <c r="X182">
        <f t="shared" ca="1" si="28"/>
        <v>0</v>
      </c>
      <c r="Y182">
        <f t="shared" ca="1" si="29"/>
        <v>0</v>
      </c>
      <c r="Z182">
        <f t="shared" ca="1" si="30"/>
        <v>0</v>
      </c>
      <c r="AA182">
        <f t="shared" ca="1" si="31"/>
        <v>0</v>
      </c>
    </row>
    <row r="183" spans="1:27" x14ac:dyDescent="0.25">
      <c r="A183">
        <f t="shared" ca="1" si="24"/>
        <v>0</v>
      </c>
      <c r="B183" t="str">
        <f t="shared" ca="1" si="25"/>
        <v/>
      </c>
      <c r="C183" t="str">
        <f t="shared" si="26"/>
        <v>GPIO</v>
      </c>
      <c r="D183" t="s">
        <v>253</v>
      </c>
      <c r="E183" t="s">
        <v>253</v>
      </c>
      <c r="F183" s="3" t="s">
        <v>2657</v>
      </c>
      <c r="G183" s="11" t="s">
        <v>840</v>
      </c>
      <c r="H183" s="11" t="s">
        <v>73</v>
      </c>
      <c r="I183" s="3" t="s">
        <v>253</v>
      </c>
      <c r="J183" s="3" t="s">
        <v>253</v>
      </c>
      <c r="K183" s="3" t="s">
        <v>253</v>
      </c>
      <c r="L183" s="3" t="s">
        <v>253</v>
      </c>
      <c r="M183">
        <f>IF(LEN(H183),MATCH(H183,'MPIO_SFIO Table'!$A$11:$A$65525,0)-1,"")</f>
        <v>68</v>
      </c>
      <c r="N183" t="str">
        <f>IF(LEN(I183),MATCH(I183,'MPIO_SFIO Table'!$A$11:$A$65525,0)-1,"")</f>
        <v/>
      </c>
      <c r="O183" t="str">
        <f>IF(LEN(J183),MATCH(J183,'MPIO_SFIO Table'!$A$11:$A$65525,0)-1,"")</f>
        <v/>
      </c>
      <c r="P183" t="str">
        <f>IF(LEN(K183),MATCH(K183,'MPIO_SFIO Table'!$A$11:$A$65525,0)-1,"")</f>
        <v/>
      </c>
      <c r="Q183" t="str">
        <f>IF(LEN(L183),MATCH(L183,'MPIO_SFIO Table'!$A$11:$A$65525,0)-1,"")</f>
        <v/>
      </c>
      <c r="R183" t="str">
        <f ca="1">IF(ISNUMBER(M183),OFFSET('MPIO_SFIO Table'!$AJ$11,M183,0),"")</f>
        <v>unused_GMI_AD2</v>
      </c>
      <c r="S183" t="str">
        <f ca="1">IF(ISNUMBER(N183),OFFSET('MPIO_SFIO Table'!$AJ$11,N183,0),"")</f>
        <v/>
      </c>
      <c r="T183" t="str">
        <f ca="1">IF(ISNUMBER(O183),OFFSET('MPIO_SFIO Table'!$AJ$11,O183,0),"")</f>
        <v/>
      </c>
      <c r="U183" t="str">
        <f ca="1">IF(ISNUMBER(P183),OFFSET('MPIO_SFIO Table'!$AJ$11,P183,0),"")</f>
        <v/>
      </c>
      <c r="V183" t="str">
        <f ca="1">IF(ISNUMBER(Q183),OFFSET('MPIO_SFIO Table'!$AJ$11,Q183,0),"")</f>
        <v/>
      </c>
      <c r="W183">
        <f t="shared" ca="1" si="27"/>
        <v>0</v>
      </c>
      <c r="X183">
        <f t="shared" ca="1" si="28"/>
        <v>0</v>
      </c>
      <c r="Y183">
        <f t="shared" ca="1" si="29"/>
        <v>0</v>
      </c>
      <c r="Z183">
        <f t="shared" ca="1" si="30"/>
        <v>0</v>
      </c>
      <c r="AA183">
        <f t="shared" ca="1" si="31"/>
        <v>0</v>
      </c>
    </row>
    <row r="184" spans="1:27" x14ac:dyDescent="0.25">
      <c r="A184">
        <f t="shared" ca="1" si="24"/>
        <v>0</v>
      </c>
      <c r="B184" t="str">
        <f t="shared" ca="1" si="25"/>
        <v/>
      </c>
      <c r="C184" t="str">
        <f t="shared" si="26"/>
        <v>GPIO</v>
      </c>
      <c r="D184" t="s">
        <v>253</v>
      </c>
      <c r="E184" t="s">
        <v>253</v>
      </c>
      <c r="F184" s="3" t="s">
        <v>2658</v>
      </c>
      <c r="G184" s="11" t="s">
        <v>841</v>
      </c>
      <c r="H184" s="11" t="s">
        <v>74</v>
      </c>
      <c r="I184" s="3" t="s">
        <v>253</v>
      </c>
      <c r="J184" s="3" t="s">
        <v>253</v>
      </c>
      <c r="K184" s="3" t="s">
        <v>253</v>
      </c>
      <c r="L184" s="3" t="s">
        <v>253</v>
      </c>
      <c r="M184">
        <f>IF(LEN(H184),MATCH(H184,'MPIO_SFIO Table'!$A$11:$A$65525,0)-1,"")</f>
        <v>69</v>
      </c>
      <c r="N184" t="str">
        <f>IF(LEN(I184),MATCH(I184,'MPIO_SFIO Table'!$A$11:$A$65525,0)-1,"")</f>
        <v/>
      </c>
      <c r="O184" t="str">
        <f>IF(LEN(J184),MATCH(J184,'MPIO_SFIO Table'!$A$11:$A$65525,0)-1,"")</f>
        <v/>
      </c>
      <c r="P184" t="str">
        <f>IF(LEN(K184),MATCH(K184,'MPIO_SFIO Table'!$A$11:$A$65525,0)-1,"")</f>
        <v/>
      </c>
      <c r="Q184" t="str">
        <f>IF(LEN(L184),MATCH(L184,'MPIO_SFIO Table'!$A$11:$A$65525,0)-1,"")</f>
        <v/>
      </c>
      <c r="R184" t="str">
        <f ca="1">IF(ISNUMBER(M184),OFFSET('MPIO_SFIO Table'!$AJ$11,M184,0),"")</f>
        <v>unused_GMI_AD3</v>
      </c>
      <c r="S184" t="str">
        <f ca="1">IF(ISNUMBER(N184),OFFSET('MPIO_SFIO Table'!$AJ$11,N184,0),"")</f>
        <v/>
      </c>
      <c r="T184" t="str">
        <f ca="1">IF(ISNUMBER(O184),OFFSET('MPIO_SFIO Table'!$AJ$11,O184,0),"")</f>
        <v/>
      </c>
      <c r="U184" t="str">
        <f ca="1">IF(ISNUMBER(P184),OFFSET('MPIO_SFIO Table'!$AJ$11,P184,0),"")</f>
        <v/>
      </c>
      <c r="V184" t="str">
        <f ca="1">IF(ISNUMBER(Q184),OFFSET('MPIO_SFIO Table'!$AJ$11,Q184,0),"")</f>
        <v/>
      </c>
      <c r="W184">
        <f t="shared" ca="1" si="27"/>
        <v>0</v>
      </c>
      <c r="X184">
        <f t="shared" ca="1" si="28"/>
        <v>0</v>
      </c>
      <c r="Y184">
        <f t="shared" ca="1" si="29"/>
        <v>0</v>
      </c>
      <c r="Z184">
        <f t="shared" ca="1" si="30"/>
        <v>0</v>
      </c>
      <c r="AA184">
        <f t="shared" ca="1" si="31"/>
        <v>0</v>
      </c>
    </row>
    <row r="185" spans="1:27" x14ac:dyDescent="0.25">
      <c r="A185">
        <f t="shared" ca="1" si="24"/>
        <v>0</v>
      </c>
      <c r="B185" t="str">
        <f t="shared" ca="1" si="25"/>
        <v/>
      </c>
      <c r="C185" t="str">
        <f t="shared" si="26"/>
        <v>GPIO</v>
      </c>
      <c r="D185" t="s">
        <v>253</v>
      </c>
      <c r="E185" t="s">
        <v>253</v>
      </c>
      <c r="F185" s="3" t="s">
        <v>2659</v>
      </c>
      <c r="G185" s="11" t="s">
        <v>842</v>
      </c>
      <c r="H185" s="11" t="s">
        <v>75</v>
      </c>
      <c r="I185" s="3" t="s">
        <v>253</v>
      </c>
      <c r="J185" s="3" t="s">
        <v>253</v>
      </c>
      <c r="K185" s="3" t="s">
        <v>253</v>
      </c>
      <c r="L185" s="3" t="s">
        <v>253</v>
      </c>
      <c r="M185">
        <f>IF(LEN(H185),MATCH(H185,'MPIO_SFIO Table'!$A$11:$A$65525,0)-1,"")</f>
        <v>70</v>
      </c>
      <c r="N185" t="str">
        <f>IF(LEN(I185),MATCH(I185,'MPIO_SFIO Table'!$A$11:$A$65525,0)-1,"")</f>
        <v/>
      </c>
      <c r="O185" t="str">
        <f>IF(LEN(J185),MATCH(J185,'MPIO_SFIO Table'!$A$11:$A$65525,0)-1,"")</f>
        <v/>
      </c>
      <c r="P185" t="str">
        <f>IF(LEN(K185),MATCH(K185,'MPIO_SFIO Table'!$A$11:$A$65525,0)-1,"")</f>
        <v/>
      </c>
      <c r="Q185" t="str">
        <f>IF(LEN(L185),MATCH(L185,'MPIO_SFIO Table'!$A$11:$A$65525,0)-1,"")</f>
        <v/>
      </c>
      <c r="R185" t="str">
        <f ca="1">IF(ISNUMBER(M185),OFFSET('MPIO_SFIO Table'!$AJ$11,M185,0),"")</f>
        <v>unused_GMI_AD4</v>
      </c>
      <c r="S185" t="str">
        <f ca="1">IF(ISNUMBER(N185),OFFSET('MPIO_SFIO Table'!$AJ$11,N185,0),"")</f>
        <v/>
      </c>
      <c r="T185" t="str">
        <f ca="1">IF(ISNUMBER(O185),OFFSET('MPIO_SFIO Table'!$AJ$11,O185,0),"")</f>
        <v/>
      </c>
      <c r="U185" t="str">
        <f ca="1">IF(ISNUMBER(P185),OFFSET('MPIO_SFIO Table'!$AJ$11,P185,0),"")</f>
        <v/>
      </c>
      <c r="V185" t="str">
        <f ca="1">IF(ISNUMBER(Q185),OFFSET('MPIO_SFIO Table'!$AJ$11,Q185,0),"")</f>
        <v/>
      </c>
      <c r="W185">
        <f t="shared" ca="1" si="27"/>
        <v>0</v>
      </c>
      <c r="X185">
        <f t="shared" ca="1" si="28"/>
        <v>0</v>
      </c>
      <c r="Y185">
        <f t="shared" ca="1" si="29"/>
        <v>0</v>
      </c>
      <c r="Z185">
        <f t="shared" ca="1" si="30"/>
        <v>0</v>
      </c>
      <c r="AA185">
        <f t="shared" ca="1" si="31"/>
        <v>0</v>
      </c>
    </row>
    <row r="186" spans="1:27" x14ac:dyDescent="0.25">
      <c r="A186">
        <f t="shared" ca="1" si="24"/>
        <v>0</v>
      </c>
      <c r="B186" t="str">
        <f t="shared" ca="1" si="25"/>
        <v/>
      </c>
      <c r="C186" t="str">
        <f t="shared" si="26"/>
        <v>GPIO</v>
      </c>
      <c r="D186" t="s">
        <v>253</v>
      </c>
      <c r="E186" t="s">
        <v>253</v>
      </c>
      <c r="F186" s="3" t="s">
        <v>2660</v>
      </c>
      <c r="G186" s="11" t="s">
        <v>843</v>
      </c>
      <c r="H186" s="11" t="s">
        <v>76</v>
      </c>
      <c r="I186" s="3" t="s">
        <v>253</v>
      </c>
      <c r="J186" s="3" t="s">
        <v>253</v>
      </c>
      <c r="K186" s="3" t="s">
        <v>253</v>
      </c>
      <c r="L186" s="3" t="s">
        <v>253</v>
      </c>
      <c r="M186">
        <f>IF(LEN(H186),MATCH(H186,'MPIO_SFIO Table'!$A$11:$A$65525,0)-1,"")</f>
        <v>71</v>
      </c>
      <c r="N186" t="str">
        <f>IF(LEN(I186),MATCH(I186,'MPIO_SFIO Table'!$A$11:$A$65525,0)-1,"")</f>
        <v/>
      </c>
      <c r="O186" t="str">
        <f>IF(LEN(J186),MATCH(J186,'MPIO_SFIO Table'!$A$11:$A$65525,0)-1,"")</f>
        <v/>
      </c>
      <c r="P186" t="str">
        <f>IF(LEN(K186),MATCH(K186,'MPIO_SFIO Table'!$A$11:$A$65525,0)-1,"")</f>
        <v/>
      </c>
      <c r="Q186" t="str">
        <f>IF(LEN(L186),MATCH(L186,'MPIO_SFIO Table'!$A$11:$A$65525,0)-1,"")</f>
        <v/>
      </c>
      <c r="R186" t="str">
        <f ca="1">IF(ISNUMBER(M186),OFFSET('MPIO_SFIO Table'!$AJ$11,M186,0),"")</f>
        <v>unused_GMI_AD5</v>
      </c>
      <c r="S186" t="str">
        <f ca="1">IF(ISNUMBER(N186),OFFSET('MPIO_SFIO Table'!$AJ$11,N186,0),"")</f>
        <v/>
      </c>
      <c r="T186" t="str">
        <f ca="1">IF(ISNUMBER(O186),OFFSET('MPIO_SFIO Table'!$AJ$11,O186,0),"")</f>
        <v/>
      </c>
      <c r="U186" t="str">
        <f ca="1">IF(ISNUMBER(P186),OFFSET('MPIO_SFIO Table'!$AJ$11,P186,0),"")</f>
        <v/>
      </c>
      <c r="V186" t="str">
        <f ca="1">IF(ISNUMBER(Q186),OFFSET('MPIO_SFIO Table'!$AJ$11,Q186,0),"")</f>
        <v/>
      </c>
      <c r="W186">
        <f t="shared" ca="1" si="27"/>
        <v>0</v>
      </c>
      <c r="X186">
        <f t="shared" ca="1" si="28"/>
        <v>0</v>
      </c>
      <c r="Y186">
        <f t="shared" ca="1" si="29"/>
        <v>0</v>
      </c>
      <c r="Z186">
        <f t="shared" ca="1" si="30"/>
        <v>0</v>
      </c>
      <c r="AA186">
        <f t="shared" ca="1" si="31"/>
        <v>0</v>
      </c>
    </row>
    <row r="187" spans="1:27" x14ac:dyDescent="0.25">
      <c r="A187">
        <f t="shared" ca="1" si="24"/>
        <v>0</v>
      </c>
      <c r="B187" t="str">
        <f t="shared" ca="1" si="25"/>
        <v/>
      </c>
      <c r="C187" t="str">
        <f t="shared" si="26"/>
        <v>GPIO</v>
      </c>
      <c r="D187" t="s">
        <v>253</v>
      </c>
      <c r="E187" t="s">
        <v>253</v>
      </c>
      <c r="F187" s="3" t="s">
        <v>2661</v>
      </c>
      <c r="G187" s="11" t="s">
        <v>844</v>
      </c>
      <c r="H187" s="11" t="s">
        <v>77</v>
      </c>
      <c r="I187" s="3" t="s">
        <v>253</v>
      </c>
      <c r="J187" s="3" t="s">
        <v>253</v>
      </c>
      <c r="K187" s="3" t="s">
        <v>253</v>
      </c>
      <c r="L187" s="3" t="s">
        <v>253</v>
      </c>
      <c r="M187">
        <f>IF(LEN(H187),MATCH(H187,'MPIO_SFIO Table'!$A$11:$A$65525,0)-1,"")</f>
        <v>72</v>
      </c>
      <c r="N187" t="str">
        <f>IF(LEN(I187),MATCH(I187,'MPIO_SFIO Table'!$A$11:$A$65525,0)-1,"")</f>
        <v/>
      </c>
      <c r="O187" t="str">
        <f>IF(LEN(J187),MATCH(J187,'MPIO_SFIO Table'!$A$11:$A$65525,0)-1,"")</f>
        <v/>
      </c>
      <c r="P187" t="str">
        <f>IF(LEN(K187),MATCH(K187,'MPIO_SFIO Table'!$A$11:$A$65525,0)-1,"")</f>
        <v/>
      </c>
      <c r="Q187" t="str">
        <f>IF(LEN(L187),MATCH(L187,'MPIO_SFIO Table'!$A$11:$A$65525,0)-1,"")</f>
        <v/>
      </c>
      <c r="R187" t="str">
        <f ca="1">IF(ISNUMBER(M187),OFFSET('MPIO_SFIO Table'!$AJ$11,M187,0),"")</f>
        <v>unused_GMI_AD6</v>
      </c>
      <c r="S187" t="str">
        <f ca="1">IF(ISNUMBER(N187),OFFSET('MPIO_SFIO Table'!$AJ$11,N187,0),"")</f>
        <v/>
      </c>
      <c r="T187" t="str">
        <f ca="1">IF(ISNUMBER(O187),OFFSET('MPIO_SFIO Table'!$AJ$11,O187,0),"")</f>
        <v/>
      </c>
      <c r="U187" t="str">
        <f ca="1">IF(ISNUMBER(P187),OFFSET('MPIO_SFIO Table'!$AJ$11,P187,0),"")</f>
        <v/>
      </c>
      <c r="V187" t="str">
        <f ca="1">IF(ISNUMBER(Q187),OFFSET('MPIO_SFIO Table'!$AJ$11,Q187,0),"")</f>
        <v/>
      </c>
      <c r="W187">
        <f t="shared" ca="1" si="27"/>
        <v>0</v>
      </c>
      <c r="X187">
        <f t="shared" ca="1" si="28"/>
        <v>0</v>
      </c>
      <c r="Y187">
        <f t="shared" ca="1" si="29"/>
        <v>0</v>
      </c>
      <c r="Z187">
        <f t="shared" ca="1" si="30"/>
        <v>0</v>
      </c>
      <c r="AA187">
        <f t="shared" ca="1" si="31"/>
        <v>0</v>
      </c>
    </row>
    <row r="188" spans="1:27" x14ac:dyDescent="0.25">
      <c r="A188">
        <f t="shared" ca="1" si="24"/>
        <v>0</v>
      </c>
      <c r="B188" t="str">
        <f t="shared" ca="1" si="25"/>
        <v/>
      </c>
      <c r="C188" t="str">
        <f t="shared" si="26"/>
        <v>GPIO</v>
      </c>
      <c r="D188" t="s">
        <v>253</v>
      </c>
      <c r="E188" t="s">
        <v>253</v>
      </c>
      <c r="F188" s="3" t="s">
        <v>2662</v>
      </c>
      <c r="G188" s="11" t="s">
        <v>845</v>
      </c>
      <c r="H188" s="11" t="s">
        <v>78</v>
      </c>
      <c r="I188" s="3" t="s">
        <v>253</v>
      </c>
      <c r="J188" s="3" t="s">
        <v>253</v>
      </c>
      <c r="K188" s="3" t="s">
        <v>253</v>
      </c>
      <c r="L188" s="3" t="s">
        <v>253</v>
      </c>
      <c r="M188">
        <f>IF(LEN(H188),MATCH(H188,'MPIO_SFIO Table'!$A$11:$A$65525,0)-1,"")</f>
        <v>73</v>
      </c>
      <c r="N188" t="str">
        <f>IF(LEN(I188),MATCH(I188,'MPIO_SFIO Table'!$A$11:$A$65525,0)-1,"")</f>
        <v/>
      </c>
      <c r="O188" t="str">
        <f>IF(LEN(J188),MATCH(J188,'MPIO_SFIO Table'!$A$11:$A$65525,0)-1,"")</f>
        <v/>
      </c>
      <c r="P188" t="str">
        <f>IF(LEN(K188),MATCH(K188,'MPIO_SFIO Table'!$A$11:$A$65525,0)-1,"")</f>
        <v/>
      </c>
      <c r="Q188" t="str">
        <f>IF(LEN(L188),MATCH(L188,'MPIO_SFIO Table'!$A$11:$A$65525,0)-1,"")</f>
        <v/>
      </c>
      <c r="R188" t="str">
        <f ca="1">IF(ISNUMBER(M188),OFFSET('MPIO_SFIO Table'!$AJ$11,M188,0),"")</f>
        <v>unused_GMI_AD7</v>
      </c>
      <c r="S188" t="str">
        <f ca="1">IF(ISNUMBER(N188),OFFSET('MPIO_SFIO Table'!$AJ$11,N188,0),"")</f>
        <v/>
      </c>
      <c r="T188" t="str">
        <f ca="1">IF(ISNUMBER(O188),OFFSET('MPIO_SFIO Table'!$AJ$11,O188,0),"")</f>
        <v/>
      </c>
      <c r="U188" t="str">
        <f ca="1">IF(ISNUMBER(P188),OFFSET('MPIO_SFIO Table'!$AJ$11,P188,0),"")</f>
        <v/>
      </c>
      <c r="V188" t="str">
        <f ca="1">IF(ISNUMBER(Q188),OFFSET('MPIO_SFIO Table'!$AJ$11,Q188,0),"")</f>
        <v/>
      </c>
      <c r="W188">
        <f t="shared" ca="1" si="27"/>
        <v>0</v>
      </c>
      <c r="X188">
        <f t="shared" ca="1" si="28"/>
        <v>0</v>
      </c>
      <c r="Y188">
        <f t="shared" ca="1" si="29"/>
        <v>0</v>
      </c>
      <c r="Z188">
        <f t="shared" ca="1" si="30"/>
        <v>0</v>
      </c>
      <c r="AA188">
        <f t="shared" ca="1" si="31"/>
        <v>0</v>
      </c>
    </row>
    <row r="189" spans="1:27" x14ac:dyDescent="0.25">
      <c r="A189">
        <f t="shared" ca="1" si="24"/>
        <v>0</v>
      </c>
      <c r="B189" t="str">
        <f t="shared" ca="1" si="25"/>
        <v/>
      </c>
      <c r="C189" t="str">
        <f t="shared" si="26"/>
        <v>GPIO</v>
      </c>
      <c r="D189" t="s">
        <v>253</v>
      </c>
      <c r="E189" t="s">
        <v>253</v>
      </c>
      <c r="F189" s="3" t="s">
        <v>2663</v>
      </c>
      <c r="G189" s="11" t="s">
        <v>846</v>
      </c>
      <c r="H189" s="11" t="s">
        <v>79</v>
      </c>
      <c r="I189" s="3" t="s">
        <v>253</v>
      </c>
      <c r="J189" s="3" t="s">
        <v>253</v>
      </c>
      <c r="K189" s="3" t="s">
        <v>253</v>
      </c>
      <c r="L189" s="3" t="s">
        <v>253</v>
      </c>
      <c r="M189">
        <f>IF(LEN(H189),MATCH(H189,'MPIO_SFIO Table'!$A$11:$A$65525,0)-1,"")</f>
        <v>74</v>
      </c>
      <c r="N189" t="str">
        <f>IF(LEN(I189),MATCH(I189,'MPIO_SFIO Table'!$A$11:$A$65525,0)-1,"")</f>
        <v/>
      </c>
      <c r="O189" t="str">
        <f>IF(LEN(J189),MATCH(J189,'MPIO_SFIO Table'!$A$11:$A$65525,0)-1,"")</f>
        <v/>
      </c>
      <c r="P189" t="str">
        <f>IF(LEN(K189),MATCH(K189,'MPIO_SFIO Table'!$A$11:$A$65525,0)-1,"")</f>
        <v/>
      </c>
      <c r="Q189" t="str">
        <f>IF(LEN(L189),MATCH(L189,'MPIO_SFIO Table'!$A$11:$A$65525,0)-1,"")</f>
        <v/>
      </c>
      <c r="R189" t="str">
        <f ca="1">IF(ISNUMBER(M189),OFFSET('MPIO_SFIO Table'!$AJ$11,M189,0),"")</f>
        <v>unused_GMI_AD8</v>
      </c>
      <c r="S189" t="str">
        <f ca="1">IF(ISNUMBER(N189),OFFSET('MPIO_SFIO Table'!$AJ$11,N189,0),"")</f>
        <v/>
      </c>
      <c r="T189" t="str">
        <f ca="1">IF(ISNUMBER(O189),OFFSET('MPIO_SFIO Table'!$AJ$11,O189,0),"")</f>
        <v/>
      </c>
      <c r="U189" t="str">
        <f ca="1">IF(ISNUMBER(P189),OFFSET('MPIO_SFIO Table'!$AJ$11,P189,0),"")</f>
        <v/>
      </c>
      <c r="V189" t="str">
        <f ca="1">IF(ISNUMBER(Q189),OFFSET('MPIO_SFIO Table'!$AJ$11,Q189,0),"")</f>
        <v/>
      </c>
      <c r="W189">
        <f t="shared" ca="1" si="27"/>
        <v>0</v>
      </c>
      <c r="X189">
        <f t="shared" ca="1" si="28"/>
        <v>0</v>
      </c>
      <c r="Y189">
        <f t="shared" ca="1" si="29"/>
        <v>0</v>
      </c>
      <c r="Z189">
        <f t="shared" ca="1" si="30"/>
        <v>0</v>
      </c>
      <c r="AA189">
        <f t="shared" ca="1" si="31"/>
        <v>0</v>
      </c>
    </row>
    <row r="190" spans="1:27" x14ac:dyDescent="0.25">
      <c r="A190">
        <f t="shared" ca="1" si="24"/>
        <v>0</v>
      </c>
      <c r="B190" t="str">
        <f t="shared" ca="1" si="25"/>
        <v/>
      </c>
      <c r="C190" t="str">
        <f t="shared" si="26"/>
        <v>GPIO</v>
      </c>
      <c r="D190" t="s">
        <v>253</v>
      </c>
      <c r="E190" t="s">
        <v>253</v>
      </c>
      <c r="F190" s="3" t="s">
        <v>2664</v>
      </c>
      <c r="G190" s="11" t="s">
        <v>847</v>
      </c>
      <c r="H190" s="11" t="s">
        <v>80</v>
      </c>
      <c r="I190" s="3" t="s">
        <v>253</v>
      </c>
      <c r="J190" s="3" t="s">
        <v>253</v>
      </c>
      <c r="K190" s="3" t="s">
        <v>253</v>
      </c>
      <c r="L190" s="3" t="s">
        <v>253</v>
      </c>
      <c r="M190">
        <f>IF(LEN(H190),MATCH(H190,'MPIO_SFIO Table'!$A$11:$A$65525,0)-1,"")</f>
        <v>75</v>
      </c>
      <c r="N190" t="str">
        <f>IF(LEN(I190),MATCH(I190,'MPIO_SFIO Table'!$A$11:$A$65525,0)-1,"")</f>
        <v/>
      </c>
      <c r="O190" t="str">
        <f>IF(LEN(J190),MATCH(J190,'MPIO_SFIO Table'!$A$11:$A$65525,0)-1,"")</f>
        <v/>
      </c>
      <c r="P190" t="str">
        <f>IF(LEN(K190),MATCH(K190,'MPIO_SFIO Table'!$A$11:$A$65525,0)-1,"")</f>
        <v/>
      </c>
      <c r="Q190" t="str">
        <f>IF(LEN(L190),MATCH(L190,'MPIO_SFIO Table'!$A$11:$A$65525,0)-1,"")</f>
        <v/>
      </c>
      <c r="R190" t="str">
        <f ca="1">IF(ISNUMBER(M190),OFFSET('MPIO_SFIO Table'!$AJ$11,M190,0),"")</f>
        <v>unused_GMI_AD9</v>
      </c>
      <c r="S190" t="str">
        <f ca="1">IF(ISNUMBER(N190),OFFSET('MPIO_SFIO Table'!$AJ$11,N190,0),"")</f>
        <v/>
      </c>
      <c r="T190" t="str">
        <f ca="1">IF(ISNUMBER(O190),OFFSET('MPIO_SFIO Table'!$AJ$11,O190,0),"")</f>
        <v/>
      </c>
      <c r="U190" t="str">
        <f ca="1">IF(ISNUMBER(P190),OFFSET('MPIO_SFIO Table'!$AJ$11,P190,0),"")</f>
        <v/>
      </c>
      <c r="V190" t="str">
        <f ca="1">IF(ISNUMBER(Q190),OFFSET('MPIO_SFIO Table'!$AJ$11,Q190,0),"")</f>
        <v/>
      </c>
      <c r="W190">
        <f t="shared" ca="1" si="27"/>
        <v>0</v>
      </c>
      <c r="X190">
        <f t="shared" ca="1" si="28"/>
        <v>0</v>
      </c>
      <c r="Y190">
        <f t="shared" ca="1" si="29"/>
        <v>0</v>
      </c>
      <c r="Z190">
        <f t="shared" ca="1" si="30"/>
        <v>0</v>
      </c>
      <c r="AA190">
        <f t="shared" ca="1" si="31"/>
        <v>0</v>
      </c>
    </row>
    <row r="191" spans="1:27" x14ac:dyDescent="0.25">
      <c r="A191">
        <f t="shared" ca="1" si="24"/>
        <v>0</v>
      </c>
      <c r="B191" t="str">
        <f t="shared" ca="1" si="25"/>
        <v/>
      </c>
      <c r="C191" t="str">
        <f t="shared" si="26"/>
        <v>GPIO</v>
      </c>
      <c r="D191" t="s">
        <v>253</v>
      </c>
      <c r="E191" t="s">
        <v>253</v>
      </c>
      <c r="F191" s="3" t="s">
        <v>2665</v>
      </c>
      <c r="G191" s="11" t="s">
        <v>834</v>
      </c>
      <c r="H191" s="11" t="s">
        <v>67</v>
      </c>
      <c r="I191" s="3" t="s">
        <v>253</v>
      </c>
      <c r="J191" s="3" t="s">
        <v>253</v>
      </c>
      <c r="K191" s="3" t="s">
        <v>253</v>
      </c>
      <c r="L191" s="3" t="s">
        <v>253</v>
      </c>
      <c r="M191">
        <f>IF(LEN(H191),MATCH(H191,'MPIO_SFIO Table'!$A$11:$A$65525,0)-1,"")</f>
        <v>62</v>
      </c>
      <c r="N191" t="str">
        <f>IF(LEN(I191),MATCH(I191,'MPIO_SFIO Table'!$A$11:$A$65525,0)-1,"")</f>
        <v/>
      </c>
      <c r="O191" t="str">
        <f>IF(LEN(J191),MATCH(J191,'MPIO_SFIO Table'!$A$11:$A$65525,0)-1,"")</f>
        <v/>
      </c>
      <c r="P191" t="str">
        <f>IF(LEN(K191),MATCH(K191,'MPIO_SFIO Table'!$A$11:$A$65525,0)-1,"")</f>
        <v/>
      </c>
      <c r="Q191" t="str">
        <f>IF(LEN(L191),MATCH(L191,'MPIO_SFIO Table'!$A$11:$A$65525,0)-1,"")</f>
        <v/>
      </c>
      <c r="R191" t="str">
        <f ca="1">IF(ISNUMBER(M191),OFFSET('MPIO_SFIO Table'!$AJ$11,M191,0),"")</f>
        <v>unused_GMI_AD10</v>
      </c>
      <c r="S191" t="str">
        <f ca="1">IF(ISNUMBER(N191),OFFSET('MPIO_SFIO Table'!$AJ$11,N191,0),"")</f>
        <v/>
      </c>
      <c r="T191" t="str">
        <f ca="1">IF(ISNUMBER(O191),OFFSET('MPIO_SFIO Table'!$AJ$11,O191,0),"")</f>
        <v/>
      </c>
      <c r="U191" t="str">
        <f ca="1">IF(ISNUMBER(P191),OFFSET('MPIO_SFIO Table'!$AJ$11,P191,0),"")</f>
        <v/>
      </c>
      <c r="V191" t="str">
        <f ca="1">IF(ISNUMBER(Q191),OFFSET('MPIO_SFIO Table'!$AJ$11,Q191,0),"")</f>
        <v/>
      </c>
      <c r="W191">
        <f t="shared" ca="1" si="27"/>
        <v>0</v>
      </c>
      <c r="X191">
        <f t="shared" ca="1" si="28"/>
        <v>0</v>
      </c>
      <c r="Y191">
        <f t="shared" ca="1" si="29"/>
        <v>0</v>
      </c>
      <c r="Z191">
        <f t="shared" ca="1" si="30"/>
        <v>0</v>
      </c>
      <c r="AA191">
        <f t="shared" ca="1" si="31"/>
        <v>0</v>
      </c>
    </row>
    <row r="192" spans="1:27" x14ac:dyDescent="0.25">
      <c r="A192">
        <f t="shared" ca="1" si="24"/>
        <v>0</v>
      </c>
      <c r="B192" t="str">
        <f t="shared" ca="1" si="25"/>
        <v/>
      </c>
      <c r="C192" t="str">
        <f t="shared" si="26"/>
        <v>GPIO</v>
      </c>
      <c r="D192" t="s">
        <v>253</v>
      </c>
      <c r="E192" t="s">
        <v>253</v>
      </c>
      <c r="F192" s="3" t="s">
        <v>2666</v>
      </c>
      <c r="G192" s="11" t="s">
        <v>835</v>
      </c>
      <c r="H192" s="11" t="s">
        <v>68</v>
      </c>
      <c r="I192" s="3" t="s">
        <v>253</v>
      </c>
      <c r="J192" s="3" t="s">
        <v>253</v>
      </c>
      <c r="K192" s="3" t="s">
        <v>253</v>
      </c>
      <c r="L192" s="3" t="s">
        <v>253</v>
      </c>
      <c r="M192">
        <f>IF(LEN(H192),MATCH(H192,'MPIO_SFIO Table'!$A$11:$A$65525,0)-1,"")</f>
        <v>63</v>
      </c>
      <c r="N192" t="str">
        <f>IF(LEN(I192),MATCH(I192,'MPIO_SFIO Table'!$A$11:$A$65525,0)-1,"")</f>
        <v/>
      </c>
      <c r="O192" t="str">
        <f>IF(LEN(J192),MATCH(J192,'MPIO_SFIO Table'!$A$11:$A$65525,0)-1,"")</f>
        <v/>
      </c>
      <c r="P192" t="str">
        <f>IF(LEN(K192),MATCH(K192,'MPIO_SFIO Table'!$A$11:$A$65525,0)-1,"")</f>
        <v/>
      </c>
      <c r="Q192" t="str">
        <f>IF(LEN(L192),MATCH(L192,'MPIO_SFIO Table'!$A$11:$A$65525,0)-1,"")</f>
        <v/>
      </c>
      <c r="R192" t="str">
        <f ca="1">IF(ISNUMBER(M192),OFFSET('MPIO_SFIO Table'!$AJ$11,M192,0),"")</f>
        <v>unused_GMI_AD11</v>
      </c>
      <c r="S192" t="str">
        <f ca="1">IF(ISNUMBER(N192),OFFSET('MPIO_SFIO Table'!$AJ$11,N192,0),"")</f>
        <v/>
      </c>
      <c r="T192" t="str">
        <f ca="1">IF(ISNUMBER(O192),OFFSET('MPIO_SFIO Table'!$AJ$11,O192,0),"")</f>
        <v/>
      </c>
      <c r="U192" t="str">
        <f ca="1">IF(ISNUMBER(P192),OFFSET('MPIO_SFIO Table'!$AJ$11,P192,0),"")</f>
        <v/>
      </c>
      <c r="V192" t="str">
        <f ca="1">IF(ISNUMBER(Q192),OFFSET('MPIO_SFIO Table'!$AJ$11,Q192,0),"")</f>
        <v/>
      </c>
      <c r="W192">
        <f t="shared" ca="1" si="27"/>
        <v>0</v>
      </c>
      <c r="X192">
        <f t="shared" ca="1" si="28"/>
        <v>0</v>
      </c>
      <c r="Y192">
        <f t="shared" ca="1" si="29"/>
        <v>0</v>
      </c>
      <c r="Z192">
        <f t="shared" ca="1" si="30"/>
        <v>0</v>
      </c>
      <c r="AA192">
        <f t="shared" ca="1" si="31"/>
        <v>0</v>
      </c>
    </row>
    <row r="193" spans="1:27" x14ac:dyDescent="0.25">
      <c r="A193">
        <f t="shared" ca="1" si="24"/>
        <v>0</v>
      </c>
      <c r="B193" t="str">
        <f t="shared" ca="1" si="25"/>
        <v/>
      </c>
      <c r="C193" t="str">
        <f t="shared" si="26"/>
        <v>GPIO</v>
      </c>
      <c r="D193" t="s">
        <v>253</v>
      </c>
      <c r="E193" t="s">
        <v>253</v>
      </c>
      <c r="F193" s="3" t="s">
        <v>2667</v>
      </c>
      <c r="G193" s="11" t="s">
        <v>836</v>
      </c>
      <c r="H193" s="11" t="s">
        <v>69</v>
      </c>
      <c r="I193" s="3" t="s">
        <v>253</v>
      </c>
      <c r="J193" s="3" t="s">
        <v>253</v>
      </c>
      <c r="K193" s="3" t="s">
        <v>253</v>
      </c>
      <c r="L193" s="3" t="s">
        <v>253</v>
      </c>
      <c r="M193">
        <f>IF(LEN(H193),MATCH(H193,'MPIO_SFIO Table'!$A$11:$A$65525,0)-1,"")</f>
        <v>64</v>
      </c>
      <c r="N193" t="str">
        <f>IF(LEN(I193),MATCH(I193,'MPIO_SFIO Table'!$A$11:$A$65525,0)-1,"")</f>
        <v/>
      </c>
      <c r="O193" t="str">
        <f>IF(LEN(J193),MATCH(J193,'MPIO_SFIO Table'!$A$11:$A$65525,0)-1,"")</f>
        <v/>
      </c>
      <c r="P193" t="str">
        <f>IF(LEN(K193),MATCH(K193,'MPIO_SFIO Table'!$A$11:$A$65525,0)-1,"")</f>
        <v/>
      </c>
      <c r="Q193" t="str">
        <f>IF(LEN(L193),MATCH(L193,'MPIO_SFIO Table'!$A$11:$A$65525,0)-1,"")</f>
        <v/>
      </c>
      <c r="R193" t="str">
        <f ca="1">IF(ISNUMBER(M193),OFFSET('MPIO_SFIO Table'!$AJ$11,M193,0),"")</f>
        <v>unused_GMI_AD12</v>
      </c>
      <c r="S193" t="str">
        <f ca="1">IF(ISNUMBER(N193),OFFSET('MPIO_SFIO Table'!$AJ$11,N193,0),"")</f>
        <v/>
      </c>
      <c r="T193" t="str">
        <f ca="1">IF(ISNUMBER(O193),OFFSET('MPIO_SFIO Table'!$AJ$11,O193,0),"")</f>
        <v/>
      </c>
      <c r="U193" t="str">
        <f ca="1">IF(ISNUMBER(P193),OFFSET('MPIO_SFIO Table'!$AJ$11,P193,0),"")</f>
        <v/>
      </c>
      <c r="V193" t="str">
        <f ca="1">IF(ISNUMBER(Q193),OFFSET('MPIO_SFIO Table'!$AJ$11,Q193,0),"")</f>
        <v/>
      </c>
      <c r="W193">
        <f t="shared" ca="1" si="27"/>
        <v>0</v>
      </c>
      <c r="X193">
        <f t="shared" ca="1" si="28"/>
        <v>0</v>
      </c>
      <c r="Y193">
        <f t="shared" ca="1" si="29"/>
        <v>0</v>
      </c>
      <c r="Z193">
        <f t="shared" ca="1" si="30"/>
        <v>0</v>
      </c>
      <c r="AA193">
        <f t="shared" ca="1" si="31"/>
        <v>0</v>
      </c>
    </row>
    <row r="194" spans="1:27" x14ac:dyDescent="0.25">
      <c r="A194">
        <f t="shared" ca="1" si="24"/>
        <v>0</v>
      </c>
      <c r="B194" t="str">
        <f t="shared" ca="1" si="25"/>
        <v/>
      </c>
      <c r="C194" t="str">
        <f t="shared" si="26"/>
        <v>GPIO</v>
      </c>
      <c r="D194" t="s">
        <v>253</v>
      </c>
      <c r="E194" t="s">
        <v>253</v>
      </c>
      <c r="F194" s="3" t="s">
        <v>2668</v>
      </c>
      <c r="G194" s="11" t="s">
        <v>837</v>
      </c>
      <c r="H194" s="11" t="s">
        <v>70</v>
      </c>
      <c r="I194" s="3" t="s">
        <v>253</v>
      </c>
      <c r="J194" s="3" t="s">
        <v>253</v>
      </c>
      <c r="K194" s="3" t="s">
        <v>253</v>
      </c>
      <c r="L194" s="3" t="s">
        <v>253</v>
      </c>
      <c r="M194">
        <f>IF(LEN(H194),MATCH(H194,'MPIO_SFIO Table'!$A$11:$A$65525,0)-1,"")</f>
        <v>65</v>
      </c>
      <c r="N194" t="str">
        <f>IF(LEN(I194),MATCH(I194,'MPIO_SFIO Table'!$A$11:$A$65525,0)-1,"")</f>
        <v/>
      </c>
      <c r="O194" t="str">
        <f>IF(LEN(J194),MATCH(J194,'MPIO_SFIO Table'!$A$11:$A$65525,0)-1,"")</f>
        <v/>
      </c>
      <c r="P194" t="str">
        <f>IF(LEN(K194),MATCH(K194,'MPIO_SFIO Table'!$A$11:$A$65525,0)-1,"")</f>
        <v/>
      </c>
      <c r="Q194" t="str">
        <f>IF(LEN(L194),MATCH(L194,'MPIO_SFIO Table'!$A$11:$A$65525,0)-1,"")</f>
        <v/>
      </c>
      <c r="R194" t="str">
        <f ca="1">IF(ISNUMBER(M194),OFFSET('MPIO_SFIO Table'!$AJ$11,M194,0),"")</f>
        <v>unused_GMI_AD13</v>
      </c>
      <c r="S194" t="str">
        <f ca="1">IF(ISNUMBER(N194),OFFSET('MPIO_SFIO Table'!$AJ$11,N194,0),"")</f>
        <v/>
      </c>
      <c r="T194" t="str">
        <f ca="1">IF(ISNUMBER(O194),OFFSET('MPIO_SFIO Table'!$AJ$11,O194,0),"")</f>
        <v/>
      </c>
      <c r="U194" t="str">
        <f ca="1">IF(ISNUMBER(P194),OFFSET('MPIO_SFIO Table'!$AJ$11,P194,0),"")</f>
        <v/>
      </c>
      <c r="V194" t="str">
        <f ca="1">IF(ISNUMBER(Q194),OFFSET('MPIO_SFIO Table'!$AJ$11,Q194,0),"")</f>
        <v/>
      </c>
      <c r="W194">
        <f t="shared" ca="1" si="27"/>
        <v>0</v>
      </c>
      <c r="X194">
        <f t="shared" ca="1" si="28"/>
        <v>0</v>
      </c>
      <c r="Y194">
        <f t="shared" ca="1" si="29"/>
        <v>0</v>
      </c>
      <c r="Z194">
        <f t="shared" ca="1" si="30"/>
        <v>0</v>
      </c>
      <c r="AA194">
        <f t="shared" ca="1" si="31"/>
        <v>0</v>
      </c>
    </row>
    <row r="195" spans="1:27" x14ac:dyDescent="0.25">
      <c r="A195">
        <f t="shared" ca="1" si="24"/>
        <v>0</v>
      </c>
      <c r="B195" t="str">
        <f t="shared" ca="1" si="25"/>
        <v/>
      </c>
      <c r="C195" t="str">
        <f t="shared" si="26"/>
        <v>GPIO</v>
      </c>
      <c r="D195" t="s">
        <v>253</v>
      </c>
      <c r="E195" t="s">
        <v>253</v>
      </c>
      <c r="F195" s="3" t="s">
        <v>2669</v>
      </c>
      <c r="G195" s="11" t="s">
        <v>838</v>
      </c>
      <c r="H195" s="11" t="s">
        <v>71</v>
      </c>
      <c r="I195" s="3" t="s">
        <v>253</v>
      </c>
      <c r="J195" s="3" t="s">
        <v>253</v>
      </c>
      <c r="K195" s="3" t="s">
        <v>253</v>
      </c>
      <c r="L195" s="3" t="s">
        <v>253</v>
      </c>
      <c r="M195">
        <f>IF(LEN(H195),MATCH(H195,'MPIO_SFIO Table'!$A$11:$A$65525,0)-1,"")</f>
        <v>66</v>
      </c>
      <c r="N195" t="str">
        <f>IF(LEN(I195),MATCH(I195,'MPIO_SFIO Table'!$A$11:$A$65525,0)-1,"")</f>
        <v/>
      </c>
      <c r="O195" t="str">
        <f>IF(LEN(J195),MATCH(J195,'MPIO_SFIO Table'!$A$11:$A$65525,0)-1,"")</f>
        <v/>
      </c>
      <c r="P195" t="str">
        <f>IF(LEN(K195),MATCH(K195,'MPIO_SFIO Table'!$A$11:$A$65525,0)-1,"")</f>
        <v/>
      </c>
      <c r="Q195" t="str">
        <f>IF(LEN(L195),MATCH(L195,'MPIO_SFIO Table'!$A$11:$A$65525,0)-1,"")</f>
        <v/>
      </c>
      <c r="R195" t="str">
        <f ca="1">IF(ISNUMBER(M195),OFFSET('MPIO_SFIO Table'!$AJ$11,M195,0),"")</f>
        <v>unused_GMI_AD14</v>
      </c>
      <c r="S195" t="str">
        <f ca="1">IF(ISNUMBER(N195),OFFSET('MPIO_SFIO Table'!$AJ$11,N195,0),"")</f>
        <v/>
      </c>
      <c r="T195" t="str">
        <f ca="1">IF(ISNUMBER(O195),OFFSET('MPIO_SFIO Table'!$AJ$11,O195,0),"")</f>
        <v/>
      </c>
      <c r="U195" t="str">
        <f ca="1">IF(ISNUMBER(P195),OFFSET('MPIO_SFIO Table'!$AJ$11,P195,0),"")</f>
        <v/>
      </c>
      <c r="V195" t="str">
        <f ca="1">IF(ISNUMBER(Q195),OFFSET('MPIO_SFIO Table'!$AJ$11,Q195,0),"")</f>
        <v/>
      </c>
      <c r="W195">
        <f t="shared" ca="1" si="27"/>
        <v>0</v>
      </c>
      <c r="X195">
        <f t="shared" ca="1" si="28"/>
        <v>0</v>
      </c>
      <c r="Y195">
        <f t="shared" ca="1" si="29"/>
        <v>0</v>
      </c>
      <c r="Z195">
        <f t="shared" ca="1" si="30"/>
        <v>0</v>
      </c>
      <c r="AA195">
        <f t="shared" ca="1" si="31"/>
        <v>0</v>
      </c>
    </row>
    <row r="196" spans="1:27" x14ac:dyDescent="0.25">
      <c r="A196">
        <f t="shared" ca="1" si="24"/>
        <v>0</v>
      </c>
      <c r="B196" t="str">
        <f t="shared" ca="1" si="25"/>
        <v/>
      </c>
      <c r="C196" t="str">
        <f t="shared" si="26"/>
        <v>GPIO</v>
      </c>
      <c r="D196" t="s">
        <v>253</v>
      </c>
      <c r="E196" t="s">
        <v>253</v>
      </c>
      <c r="F196" s="3" t="s">
        <v>2670</v>
      </c>
      <c r="G196" s="11" t="s">
        <v>839</v>
      </c>
      <c r="H196" s="11" t="s">
        <v>72</v>
      </c>
      <c r="I196" s="3" t="s">
        <v>253</v>
      </c>
      <c r="J196" s="3" t="s">
        <v>253</v>
      </c>
      <c r="K196" s="3" t="s">
        <v>253</v>
      </c>
      <c r="L196" s="3" t="s">
        <v>253</v>
      </c>
      <c r="M196">
        <f>IF(LEN(H196),MATCH(H196,'MPIO_SFIO Table'!$A$11:$A$65525,0)-1,"")</f>
        <v>67</v>
      </c>
      <c r="N196" t="str">
        <f>IF(LEN(I196),MATCH(I196,'MPIO_SFIO Table'!$A$11:$A$65525,0)-1,"")</f>
        <v/>
      </c>
      <c r="O196" t="str">
        <f>IF(LEN(J196),MATCH(J196,'MPIO_SFIO Table'!$A$11:$A$65525,0)-1,"")</f>
        <v/>
      </c>
      <c r="P196" t="str">
        <f>IF(LEN(K196),MATCH(K196,'MPIO_SFIO Table'!$A$11:$A$65525,0)-1,"")</f>
        <v/>
      </c>
      <c r="Q196" t="str">
        <f>IF(LEN(L196),MATCH(L196,'MPIO_SFIO Table'!$A$11:$A$65525,0)-1,"")</f>
        <v/>
      </c>
      <c r="R196" t="str">
        <f ca="1">IF(ISNUMBER(M196),OFFSET('MPIO_SFIO Table'!$AJ$11,M196,0),"")</f>
        <v>unused_GMI_AD15</v>
      </c>
      <c r="S196" t="str">
        <f ca="1">IF(ISNUMBER(N196),OFFSET('MPIO_SFIO Table'!$AJ$11,N196,0),"")</f>
        <v/>
      </c>
      <c r="T196" t="str">
        <f ca="1">IF(ISNUMBER(O196),OFFSET('MPIO_SFIO Table'!$AJ$11,O196,0),"")</f>
        <v/>
      </c>
      <c r="U196" t="str">
        <f ca="1">IF(ISNUMBER(P196),OFFSET('MPIO_SFIO Table'!$AJ$11,P196,0),"")</f>
        <v/>
      </c>
      <c r="V196" t="str">
        <f ca="1">IF(ISNUMBER(Q196),OFFSET('MPIO_SFIO Table'!$AJ$11,Q196,0),"")</f>
        <v/>
      </c>
      <c r="W196">
        <f t="shared" ca="1" si="27"/>
        <v>0</v>
      </c>
      <c r="X196">
        <f t="shared" ca="1" si="28"/>
        <v>0</v>
      </c>
      <c r="Y196">
        <f t="shared" ca="1" si="29"/>
        <v>0</v>
      </c>
      <c r="Z196">
        <f t="shared" ca="1" si="30"/>
        <v>0</v>
      </c>
      <c r="AA196">
        <f t="shared" ca="1" si="31"/>
        <v>0</v>
      </c>
    </row>
    <row r="197" spans="1:27" x14ac:dyDescent="0.25">
      <c r="A197">
        <f t="shared" ca="1" si="24"/>
        <v>0</v>
      </c>
      <c r="B197" t="str">
        <f t="shared" ca="1" si="25"/>
        <v/>
      </c>
      <c r="C197" t="str">
        <f t="shared" si="26"/>
        <v>GPIO</v>
      </c>
      <c r="D197" t="s">
        <v>253</v>
      </c>
      <c r="E197" t="s">
        <v>253</v>
      </c>
      <c r="F197" s="3" t="s">
        <v>2671</v>
      </c>
      <c r="G197" s="11" t="s">
        <v>863</v>
      </c>
      <c r="H197" s="11" t="s">
        <v>96</v>
      </c>
      <c r="I197" s="3" t="s">
        <v>253</v>
      </c>
      <c r="J197" s="3" t="s">
        <v>253</v>
      </c>
      <c r="K197" s="3" t="s">
        <v>253</v>
      </c>
      <c r="L197" s="3" t="s">
        <v>253</v>
      </c>
      <c r="M197">
        <f>IF(LEN(H197),MATCH(H197,'MPIO_SFIO Table'!$A$11:$A$65525,0)-1,"")</f>
        <v>91</v>
      </c>
      <c r="N197" t="str">
        <f>IF(LEN(I197),MATCH(I197,'MPIO_SFIO Table'!$A$11:$A$65525,0)-1,"")</f>
        <v/>
      </c>
      <c r="O197" t="str">
        <f>IF(LEN(J197),MATCH(J197,'MPIO_SFIO Table'!$A$11:$A$65525,0)-1,"")</f>
        <v/>
      </c>
      <c r="P197" t="str">
        <f>IF(LEN(K197),MATCH(K197,'MPIO_SFIO Table'!$A$11:$A$65525,0)-1,"")</f>
        <v/>
      </c>
      <c r="Q197" t="str">
        <f>IF(LEN(L197),MATCH(L197,'MPIO_SFIO Table'!$A$11:$A$65525,0)-1,"")</f>
        <v/>
      </c>
      <c r="R197" t="str">
        <f ca="1">IF(ISNUMBER(M197),OFFSET('MPIO_SFIO Table'!$AJ$11,M197,0),"")</f>
        <v>unused_GMI_WR_N</v>
      </c>
      <c r="S197" t="str">
        <f ca="1">IF(ISNUMBER(N197),OFFSET('MPIO_SFIO Table'!$AJ$11,N197,0),"")</f>
        <v/>
      </c>
      <c r="T197" t="str">
        <f ca="1">IF(ISNUMBER(O197),OFFSET('MPIO_SFIO Table'!$AJ$11,O197,0),"")</f>
        <v/>
      </c>
      <c r="U197" t="str">
        <f ca="1">IF(ISNUMBER(P197),OFFSET('MPIO_SFIO Table'!$AJ$11,P197,0),"")</f>
        <v/>
      </c>
      <c r="V197" t="str">
        <f ca="1">IF(ISNUMBER(Q197),OFFSET('MPIO_SFIO Table'!$AJ$11,Q197,0),"")</f>
        <v/>
      </c>
      <c r="W197">
        <f t="shared" ca="1" si="27"/>
        <v>0</v>
      </c>
      <c r="X197">
        <f t="shared" ca="1" si="28"/>
        <v>0</v>
      </c>
      <c r="Y197">
        <f t="shared" ca="1" si="29"/>
        <v>0</v>
      </c>
      <c r="Z197">
        <f t="shared" ca="1" si="30"/>
        <v>0</v>
      </c>
      <c r="AA197">
        <f t="shared" ca="1" si="31"/>
        <v>0</v>
      </c>
    </row>
    <row r="198" spans="1:27" x14ac:dyDescent="0.25">
      <c r="A198">
        <f t="shared" ca="1" si="24"/>
        <v>0</v>
      </c>
      <c r="B198" t="str">
        <f t="shared" ca="1" si="25"/>
        <v/>
      </c>
      <c r="C198" t="str">
        <f t="shared" si="26"/>
        <v>GPIO</v>
      </c>
      <c r="D198" t="s">
        <v>253</v>
      </c>
      <c r="E198" t="s">
        <v>253</v>
      </c>
      <c r="F198" s="3" t="s">
        <v>2672</v>
      </c>
      <c r="G198" s="11" t="s">
        <v>859</v>
      </c>
      <c r="H198" s="11" t="s">
        <v>92</v>
      </c>
      <c r="I198" s="3" t="s">
        <v>253</v>
      </c>
      <c r="J198" s="3" t="s">
        <v>253</v>
      </c>
      <c r="K198" s="3" t="s">
        <v>253</v>
      </c>
      <c r="L198" s="3" t="s">
        <v>253</v>
      </c>
      <c r="M198">
        <f>IF(LEN(H198),MATCH(H198,'MPIO_SFIO Table'!$A$11:$A$65525,0)-1,"")</f>
        <v>87</v>
      </c>
      <c r="N198" t="str">
        <f>IF(LEN(I198),MATCH(I198,'MPIO_SFIO Table'!$A$11:$A$65525,0)-1,"")</f>
        <v/>
      </c>
      <c r="O198" t="str">
        <f>IF(LEN(J198),MATCH(J198,'MPIO_SFIO Table'!$A$11:$A$65525,0)-1,"")</f>
        <v/>
      </c>
      <c r="P198" t="str">
        <f>IF(LEN(K198),MATCH(K198,'MPIO_SFIO Table'!$A$11:$A$65525,0)-1,"")</f>
        <v/>
      </c>
      <c r="Q198" t="str">
        <f>IF(LEN(L198),MATCH(L198,'MPIO_SFIO Table'!$A$11:$A$65525,0)-1,"")</f>
        <v/>
      </c>
      <c r="R198" t="str">
        <f ca="1">IF(ISNUMBER(M198),OFFSET('MPIO_SFIO Table'!$AJ$11,M198,0),"")</f>
        <v>unused_GMI_OE_N</v>
      </c>
      <c r="S198" t="str">
        <f ca="1">IF(ISNUMBER(N198),OFFSET('MPIO_SFIO Table'!$AJ$11,N198,0),"")</f>
        <v/>
      </c>
      <c r="T198" t="str">
        <f ca="1">IF(ISNUMBER(O198),OFFSET('MPIO_SFIO Table'!$AJ$11,O198,0),"")</f>
        <v/>
      </c>
      <c r="U198" t="str">
        <f ca="1">IF(ISNUMBER(P198),OFFSET('MPIO_SFIO Table'!$AJ$11,P198,0),"")</f>
        <v/>
      </c>
      <c r="V198" t="str">
        <f ca="1">IF(ISNUMBER(Q198),OFFSET('MPIO_SFIO Table'!$AJ$11,Q198,0),"")</f>
        <v/>
      </c>
      <c r="W198">
        <f t="shared" ca="1" si="27"/>
        <v>0</v>
      </c>
      <c r="X198">
        <f t="shared" ca="1" si="28"/>
        <v>0</v>
      </c>
      <c r="Y198">
        <f t="shared" ca="1" si="29"/>
        <v>0</v>
      </c>
      <c r="Z198">
        <f t="shared" ca="1" si="30"/>
        <v>0</v>
      </c>
      <c r="AA198">
        <f t="shared" ca="1" si="31"/>
        <v>0</v>
      </c>
    </row>
    <row r="199" spans="1:27" x14ac:dyDescent="0.25">
      <c r="A199">
        <f t="shared" ca="1" si="24"/>
        <v>0</v>
      </c>
      <c r="B199" t="str">
        <f t="shared" ca="1" si="25"/>
        <v/>
      </c>
      <c r="C199" t="str">
        <f t="shared" si="26"/>
        <v>GPIO</v>
      </c>
      <c r="D199" t="s">
        <v>253</v>
      </c>
      <c r="E199" t="s">
        <v>253</v>
      </c>
      <c r="F199" s="3" t="s">
        <v>2673</v>
      </c>
      <c r="G199" s="11" t="s">
        <v>857</v>
      </c>
      <c r="H199" s="11" t="s">
        <v>90</v>
      </c>
      <c r="I199" s="3" t="s">
        <v>253</v>
      </c>
      <c r="J199" s="3" t="s">
        <v>253</v>
      </c>
      <c r="K199" s="3" t="s">
        <v>253</v>
      </c>
      <c r="L199" s="3" t="s">
        <v>253</v>
      </c>
      <c r="M199">
        <f>IF(LEN(H199),MATCH(H199,'MPIO_SFIO Table'!$A$11:$A$65525,0)-1,"")</f>
        <v>85</v>
      </c>
      <c r="N199" t="str">
        <f>IF(LEN(I199),MATCH(I199,'MPIO_SFIO Table'!$A$11:$A$65525,0)-1,"")</f>
        <v/>
      </c>
      <c r="O199" t="str">
        <f>IF(LEN(J199),MATCH(J199,'MPIO_SFIO Table'!$A$11:$A$65525,0)-1,"")</f>
        <v/>
      </c>
      <c r="P199" t="str">
        <f>IF(LEN(K199),MATCH(K199,'MPIO_SFIO Table'!$A$11:$A$65525,0)-1,"")</f>
        <v/>
      </c>
      <c r="Q199" t="str">
        <f>IF(LEN(L199),MATCH(L199,'MPIO_SFIO Table'!$A$11:$A$65525,0)-1,"")</f>
        <v/>
      </c>
      <c r="R199" t="str">
        <f ca="1">IF(ISNUMBER(M199),OFFSET('MPIO_SFIO Table'!$AJ$11,M199,0),"")</f>
        <v>unused_GMI_DQS</v>
      </c>
      <c r="S199" t="str">
        <f ca="1">IF(ISNUMBER(N199),OFFSET('MPIO_SFIO Table'!$AJ$11,N199,0),"")</f>
        <v/>
      </c>
      <c r="T199" t="str">
        <f ca="1">IF(ISNUMBER(O199),OFFSET('MPIO_SFIO Table'!$AJ$11,O199,0),"")</f>
        <v/>
      </c>
      <c r="U199" t="str">
        <f ca="1">IF(ISNUMBER(P199),OFFSET('MPIO_SFIO Table'!$AJ$11,P199,0),"")</f>
        <v/>
      </c>
      <c r="V199" t="str">
        <f ca="1">IF(ISNUMBER(Q199),OFFSET('MPIO_SFIO Table'!$AJ$11,Q199,0),"")</f>
        <v/>
      </c>
      <c r="W199">
        <f t="shared" ca="1" si="27"/>
        <v>0</v>
      </c>
      <c r="X199">
        <f t="shared" ca="1" si="28"/>
        <v>0</v>
      </c>
      <c r="Y199">
        <f t="shared" ca="1" si="29"/>
        <v>0</v>
      </c>
      <c r="Z199">
        <f t="shared" ca="1" si="30"/>
        <v>0</v>
      </c>
      <c r="AA199">
        <f t="shared" ca="1" si="31"/>
        <v>0</v>
      </c>
    </row>
    <row r="200" spans="1:27" x14ac:dyDescent="0.25">
      <c r="A200">
        <f t="shared" ref="A200:A263" ca="1" si="32">SUM($W200:$AA200)</f>
        <v>0</v>
      </c>
      <c r="B200" t="str">
        <f t="shared" ref="B200:B263" ca="1" si="33">IF(A200&lt;&gt;0,REPLACE(G200,FIND("-",G200),LEN(G200),""),"")</f>
        <v/>
      </c>
      <c r="C200" t="str">
        <f t="shared" si="26"/>
        <v>GPIO</v>
      </c>
      <c r="D200" t="s">
        <v>253</v>
      </c>
      <c r="E200" t="s">
        <v>253</v>
      </c>
      <c r="F200" s="3" t="s">
        <v>2674</v>
      </c>
      <c r="G200" s="11" t="s">
        <v>855</v>
      </c>
      <c r="H200" s="11" t="s">
        <v>88</v>
      </c>
      <c r="I200" s="3" t="s">
        <v>253</v>
      </c>
      <c r="J200" s="3" t="s">
        <v>253</v>
      </c>
      <c r="K200" s="3" t="s">
        <v>253</v>
      </c>
      <c r="L200" s="3" t="s">
        <v>253</v>
      </c>
      <c r="M200">
        <f>IF(LEN(H200),MATCH(H200,'MPIO_SFIO Table'!$A$11:$A$65525,0)-1,"")</f>
        <v>83</v>
      </c>
      <c r="N200" t="str">
        <f>IF(LEN(I200),MATCH(I200,'MPIO_SFIO Table'!$A$11:$A$65525,0)-1,"")</f>
        <v/>
      </c>
      <c r="O200" t="str">
        <f>IF(LEN(J200),MATCH(J200,'MPIO_SFIO Table'!$A$11:$A$65525,0)-1,"")</f>
        <v/>
      </c>
      <c r="P200" t="str">
        <f>IF(LEN(K200),MATCH(K200,'MPIO_SFIO Table'!$A$11:$A$65525,0)-1,"")</f>
        <v/>
      </c>
      <c r="Q200" t="str">
        <f>IF(LEN(L200),MATCH(L200,'MPIO_SFIO Table'!$A$11:$A$65525,0)-1,"")</f>
        <v/>
      </c>
      <c r="R200" t="str">
        <f ca="1">IF(ISNUMBER(M200),OFFSET('MPIO_SFIO Table'!$AJ$11,M200,0),"")</f>
        <v>unused_GMI_CS6_N</v>
      </c>
      <c r="S200" t="str">
        <f ca="1">IF(ISNUMBER(N200),OFFSET('MPIO_SFIO Table'!$AJ$11,N200,0),"")</f>
        <v/>
      </c>
      <c r="T200" t="str">
        <f ca="1">IF(ISNUMBER(O200),OFFSET('MPIO_SFIO Table'!$AJ$11,O200,0),"")</f>
        <v/>
      </c>
      <c r="U200" t="str">
        <f ca="1">IF(ISNUMBER(P200),OFFSET('MPIO_SFIO Table'!$AJ$11,P200,0),"")</f>
        <v/>
      </c>
      <c r="V200" t="str">
        <f ca="1">IF(ISNUMBER(Q200),OFFSET('MPIO_SFIO Table'!$AJ$11,Q200,0),"")</f>
        <v/>
      </c>
      <c r="W200">
        <f t="shared" ca="1" si="27"/>
        <v>0</v>
      </c>
      <c r="X200">
        <f t="shared" ca="1" si="28"/>
        <v>0</v>
      </c>
      <c r="Y200">
        <f t="shared" ca="1" si="29"/>
        <v>0</v>
      </c>
      <c r="Z200">
        <f t="shared" ca="1" si="30"/>
        <v>0</v>
      </c>
      <c r="AA200">
        <f t="shared" ca="1" si="31"/>
        <v>0</v>
      </c>
    </row>
    <row r="201" spans="1:27" x14ac:dyDescent="0.25">
      <c r="A201">
        <f t="shared" ca="1" si="32"/>
        <v>0</v>
      </c>
      <c r="B201" t="str">
        <f t="shared" ca="1" si="33"/>
        <v/>
      </c>
      <c r="C201" t="str">
        <f t="shared" ref="C201:C264" si="34">REPLACE(G201,FIND(".",CONCATENATE(REPLACE(G201,FIND("-",CONCATENATE(G201,"-")),LEN(G201),""),".")),LEN(G201),"")</f>
        <v>GPIO</v>
      </c>
      <c r="D201" t="s">
        <v>253</v>
      </c>
      <c r="E201" t="s">
        <v>253</v>
      </c>
      <c r="F201" s="3" t="s">
        <v>2675</v>
      </c>
      <c r="G201" s="11" t="s">
        <v>860</v>
      </c>
      <c r="H201" s="11" t="s">
        <v>93</v>
      </c>
      <c r="I201" s="3" t="s">
        <v>253</v>
      </c>
      <c r="J201" s="3" t="s">
        <v>253</v>
      </c>
      <c r="K201" s="3" t="s">
        <v>253</v>
      </c>
      <c r="L201" s="3" t="s">
        <v>253</v>
      </c>
      <c r="M201">
        <f>IF(LEN(H201),MATCH(H201,'MPIO_SFIO Table'!$A$11:$A$65525,0)-1,"")</f>
        <v>88</v>
      </c>
      <c r="N201" t="str">
        <f>IF(LEN(I201),MATCH(I201,'MPIO_SFIO Table'!$A$11:$A$65525,0)-1,"")</f>
        <v/>
      </c>
      <c r="O201" t="str">
        <f>IF(LEN(J201),MATCH(J201,'MPIO_SFIO Table'!$A$11:$A$65525,0)-1,"")</f>
        <v/>
      </c>
      <c r="P201" t="str">
        <f>IF(LEN(K201),MATCH(K201,'MPIO_SFIO Table'!$A$11:$A$65525,0)-1,"")</f>
        <v/>
      </c>
      <c r="Q201" t="str">
        <f>IF(LEN(L201),MATCH(L201,'MPIO_SFIO Table'!$A$11:$A$65525,0)-1,"")</f>
        <v/>
      </c>
      <c r="R201" t="str">
        <f ca="1">IF(ISNUMBER(M201),OFFSET('MPIO_SFIO Table'!$AJ$11,M201,0),"")</f>
        <v>unused_GMI_RST_N</v>
      </c>
      <c r="S201" t="str">
        <f ca="1">IF(ISNUMBER(N201),OFFSET('MPIO_SFIO Table'!$AJ$11,N201,0),"")</f>
        <v/>
      </c>
      <c r="T201" t="str">
        <f ca="1">IF(ISNUMBER(O201),OFFSET('MPIO_SFIO Table'!$AJ$11,O201,0),"")</f>
        <v/>
      </c>
      <c r="U201" t="str">
        <f ca="1">IF(ISNUMBER(P201),OFFSET('MPIO_SFIO Table'!$AJ$11,P201,0),"")</f>
        <v/>
      </c>
      <c r="V201" t="str">
        <f ca="1">IF(ISNUMBER(Q201),OFFSET('MPIO_SFIO Table'!$AJ$11,Q201,0),"")</f>
        <v/>
      </c>
      <c r="W201">
        <f t="shared" ref="W201:W264" ca="1" si="35">1*AND(ISTEXT(R201),LEN(R201),R201=$G201)</f>
        <v>0</v>
      </c>
      <c r="X201">
        <f t="shared" ref="X201:X264" ca="1" si="36">1*AND(ISTEXT(S201),LEN(S201),S201=$G201)</f>
        <v>0</v>
      </c>
      <c r="Y201">
        <f t="shared" ref="Y201:Y264" ca="1" si="37">1*AND(ISTEXT(T201),LEN(T201),T201=$G201)</f>
        <v>0</v>
      </c>
      <c r="Z201">
        <f t="shared" ref="Z201:Z264" ca="1" si="38">1*AND(ISTEXT(U201),LEN(U201),U201=$G201)</f>
        <v>0</v>
      </c>
      <c r="AA201">
        <f t="shared" ref="AA201:AA264" ca="1" si="39">1*AND(ISTEXT(V201),LEN(V201),V201=$G201)</f>
        <v>0</v>
      </c>
    </row>
    <row r="202" spans="1:27" x14ac:dyDescent="0.25">
      <c r="A202">
        <f t="shared" ca="1" si="32"/>
        <v>0</v>
      </c>
      <c r="B202" t="str">
        <f t="shared" ca="1" si="33"/>
        <v/>
      </c>
      <c r="C202" t="str">
        <f t="shared" si="34"/>
        <v>GPIO</v>
      </c>
      <c r="D202" t="s">
        <v>253</v>
      </c>
      <c r="E202" t="s">
        <v>253</v>
      </c>
      <c r="F202" s="3" t="s">
        <v>2676</v>
      </c>
      <c r="G202" s="11" t="s">
        <v>858</v>
      </c>
      <c r="H202" s="11" t="s">
        <v>91</v>
      </c>
      <c r="I202" s="3" t="s">
        <v>253</v>
      </c>
      <c r="J202" s="3" t="s">
        <v>253</v>
      </c>
      <c r="K202" s="3" t="s">
        <v>253</v>
      </c>
      <c r="L202" s="3" t="s">
        <v>253</v>
      </c>
      <c r="M202">
        <f>IF(LEN(H202),MATCH(H202,'MPIO_SFIO Table'!$A$11:$A$65525,0)-1,"")</f>
        <v>86</v>
      </c>
      <c r="N202" t="str">
        <f>IF(LEN(I202),MATCH(I202,'MPIO_SFIO Table'!$A$11:$A$65525,0)-1,"")</f>
        <v/>
      </c>
      <c r="O202" t="str">
        <f>IF(LEN(J202),MATCH(J202,'MPIO_SFIO Table'!$A$11:$A$65525,0)-1,"")</f>
        <v/>
      </c>
      <c r="P202" t="str">
        <f>IF(LEN(K202),MATCH(K202,'MPIO_SFIO Table'!$A$11:$A$65525,0)-1,"")</f>
        <v/>
      </c>
      <c r="Q202" t="str">
        <f>IF(LEN(L202),MATCH(L202,'MPIO_SFIO Table'!$A$11:$A$65525,0)-1,"")</f>
        <v/>
      </c>
      <c r="R202" t="str">
        <f ca="1">IF(ISNUMBER(M202),OFFSET('MPIO_SFIO Table'!$AJ$11,M202,0),"")</f>
        <v>unused_GMI_IORDY</v>
      </c>
      <c r="S202" t="str">
        <f ca="1">IF(ISNUMBER(N202),OFFSET('MPIO_SFIO Table'!$AJ$11,N202,0),"")</f>
        <v/>
      </c>
      <c r="T202" t="str">
        <f ca="1">IF(ISNUMBER(O202),OFFSET('MPIO_SFIO Table'!$AJ$11,O202,0),"")</f>
        <v/>
      </c>
      <c r="U202" t="str">
        <f ca="1">IF(ISNUMBER(P202),OFFSET('MPIO_SFIO Table'!$AJ$11,P202,0),"")</f>
        <v/>
      </c>
      <c r="V202" t="str">
        <f ca="1">IF(ISNUMBER(Q202),OFFSET('MPIO_SFIO Table'!$AJ$11,Q202,0),"")</f>
        <v/>
      </c>
      <c r="W202">
        <f t="shared" ca="1" si="35"/>
        <v>0</v>
      </c>
      <c r="X202">
        <f t="shared" ca="1" si="36"/>
        <v>0</v>
      </c>
      <c r="Y202">
        <f t="shared" ca="1" si="37"/>
        <v>0</v>
      </c>
      <c r="Z202">
        <f t="shared" ca="1" si="38"/>
        <v>0</v>
      </c>
      <c r="AA202">
        <f t="shared" ca="1" si="39"/>
        <v>0</v>
      </c>
    </row>
    <row r="203" spans="1:27" x14ac:dyDescent="0.25">
      <c r="A203">
        <f t="shared" ca="1" si="32"/>
        <v>0</v>
      </c>
      <c r="B203" t="str">
        <f t="shared" ca="1" si="33"/>
        <v/>
      </c>
      <c r="C203" t="str">
        <f t="shared" si="34"/>
        <v>GPIO</v>
      </c>
      <c r="D203" t="s">
        <v>253</v>
      </c>
      <c r="E203" t="s">
        <v>253</v>
      </c>
      <c r="F203" s="3" t="s">
        <v>2677</v>
      </c>
      <c r="G203" s="11" t="s">
        <v>856</v>
      </c>
      <c r="H203" s="11" t="s">
        <v>89</v>
      </c>
      <c r="I203" s="3" t="s">
        <v>253</v>
      </c>
      <c r="J203" s="3" t="s">
        <v>253</v>
      </c>
      <c r="K203" s="3" t="s">
        <v>253</v>
      </c>
      <c r="L203" s="3" t="s">
        <v>253</v>
      </c>
      <c r="M203">
        <f>IF(LEN(H203),MATCH(H203,'MPIO_SFIO Table'!$A$11:$A$65525,0)-1,"")</f>
        <v>84</v>
      </c>
      <c r="N203" t="str">
        <f>IF(LEN(I203),MATCH(I203,'MPIO_SFIO Table'!$A$11:$A$65525,0)-1,"")</f>
        <v/>
      </c>
      <c r="O203" t="str">
        <f>IF(LEN(J203),MATCH(J203,'MPIO_SFIO Table'!$A$11:$A$65525,0)-1,"")</f>
        <v/>
      </c>
      <c r="P203" t="str">
        <f>IF(LEN(K203),MATCH(K203,'MPIO_SFIO Table'!$A$11:$A$65525,0)-1,"")</f>
        <v/>
      </c>
      <c r="Q203" t="str">
        <f>IF(LEN(L203),MATCH(L203,'MPIO_SFIO Table'!$A$11:$A$65525,0)-1,"")</f>
        <v/>
      </c>
      <c r="R203" t="str">
        <f ca="1">IF(ISNUMBER(M203),OFFSET('MPIO_SFIO Table'!$AJ$11,M203,0),"")</f>
        <v>unused_GMI_CS7_N</v>
      </c>
      <c r="S203" t="str">
        <f ca="1">IF(ISNUMBER(N203),OFFSET('MPIO_SFIO Table'!$AJ$11,N203,0),"")</f>
        <v/>
      </c>
      <c r="T203" t="str">
        <f ca="1">IF(ISNUMBER(O203),OFFSET('MPIO_SFIO Table'!$AJ$11,O203,0),"")</f>
        <v/>
      </c>
      <c r="U203" t="str">
        <f ca="1">IF(ISNUMBER(P203),OFFSET('MPIO_SFIO Table'!$AJ$11,P203,0),"")</f>
        <v/>
      </c>
      <c r="V203" t="str">
        <f ca="1">IF(ISNUMBER(Q203),OFFSET('MPIO_SFIO Table'!$AJ$11,Q203,0),"")</f>
        <v/>
      </c>
      <c r="W203">
        <f t="shared" ca="1" si="35"/>
        <v>0</v>
      </c>
      <c r="X203">
        <f t="shared" ca="1" si="36"/>
        <v>0</v>
      </c>
      <c r="Y203">
        <f t="shared" ca="1" si="37"/>
        <v>0</v>
      </c>
      <c r="Z203">
        <f t="shared" ca="1" si="38"/>
        <v>0</v>
      </c>
      <c r="AA203">
        <f t="shared" ca="1" si="39"/>
        <v>0</v>
      </c>
    </row>
    <row r="204" spans="1:27" x14ac:dyDescent="0.25">
      <c r="A204">
        <f t="shared" ca="1" si="32"/>
        <v>0</v>
      </c>
      <c r="B204" t="str">
        <f t="shared" ca="1" si="33"/>
        <v/>
      </c>
      <c r="C204" t="str">
        <f t="shared" si="34"/>
        <v>GPIO</v>
      </c>
      <c r="D204" t="s">
        <v>253</v>
      </c>
      <c r="E204" t="s">
        <v>253</v>
      </c>
      <c r="F204" s="3" t="s">
        <v>2678</v>
      </c>
      <c r="G204" s="11" t="s">
        <v>861</v>
      </c>
      <c r="H204" s="11" t="s">
        <v>94</v>
      </c>
      <c r="I204" s="3" t="s">
        <v>253</v>
      </c>
      <c r="J204" s="3" t="s">
        <v>253</v>
      </c>
      <c r="K204" s="3" t="s">
        <v>253</v>
      </c>
      <c r="L204" s="3" t="s">
        <v>253</v>
      </c>
      <c r="M204">
        <f>IF(LEN(H204),MATCH(H204,'MPIO_SFIO Table'!$A$11:$A$65525,0)-1,"")</f>
        <v>89</v>
      </c>
      <c r="N204" t="str">
        <f>IF(LEN(I204),MATCH(I204,'MPIO_SFIO Table'!$A$11:$A$65525,0)-1,"")</f>
        <v/>
      </c>
      <c r="O204" t="str">
        <f>IF(LEN(J204),MATCH(J204,'MPIO_SFIO Table'!$A$11:$A$65525,0)-1,"")</f>
        <v/>
      </c>
      <c r="P204" t="str">
        <f>IF(LEN(K204),MATCH(K204,'MPIO_SFIO Table'!$A$11:$A$65525,0)-1,"")</f>
        <v/>
      </c>
      <c r="Q204" t="str">
        <f>IF(LEN(L204),MATCH(L204,'MPIO_SFIO Table'!$A$11:$A$65525,0)-1,"")</f>
        <v/>
      </c>
      <c r="R204" t="str">
        <f ca="1">IF(ISNUMBER(M204),OFFSET('MPIO_SFIO Table'!$AJ$11,M204,0),"")</f>
        <v>unused_GMI_WAIT</v>
      </c>
      <c r="S204" t="str">
        <f ca="1">IF(ISNUMBER(N204),OFFSET('MPIO_SFIO Table'!$AJ$11,N204,0),"")</f>
        <v/>
      </c>
      <c r="T204" t="str">
        <f ca="1">IF(ISNUMBER(O204),OFFSET('MPIO_SFIO Table'!$AJ$11,O204,0),"")</f>
        <v/>
      </c>
      <c r="U204" t="str">
        <f ca="1">IF(ISNUMBER(P204),OFFSET('MPIO_SFIO Table'!$AJ$11,P204,0),"")</f>
        <v/>
      </c>
      <c r="V204" t="str">
        <f ca="1">IF(ISNUMBER(Q204),OFFSET('MPIO_SFIO Table'!$AJ$11,Q204,0),"")</f>
        <v/>
      </c>
      <c r="W204">
        <f t="shared" ca="1" si="35"/>
        <v>0</v>
      </c>
      <c r="X204">
        <f t="shared" ca="1" si="36"/>
        <v>0</v>
      </c>
      <c r="Y204">
        <f t="shared" ca="1" si="37"/>
        <v>0</v>
      </c>
      <c r="Z204">
        <f t="shared" ca="1" si="38"/>
        <v>0</v>
      </c>
      <c r="AA204">
        <f t="shared" ca="1" si="39"/>
        <v>0</v>
      </c>
    </row>
    <row r="205" spans="1:27" x14ac:dyDescent="0.25">
      <c r="A205">
        <f t="shared" ca="1" si="32"/>
        <v>0</v>
      </c>
      <c r="B205" t="str">
        <f t="shared" ca="1" si="33"/>
        <v/>
      </c>
      <c r="C205" t="str">
        <f t="shared" si="34"/>
        <v>GPIO</v>
      </c>
      <c r="D205" t="s">
        <v>253</v>
      </c>
      <c r="E205" t="s">
        <v>253</v>
      </c>
      <c r="F205" s="3" t="s">
        <v>2679</v>
      </c>
      <c r="G205" s="11" t="s">
        <v>850</v>
      </c>
      <c r="H205" s="11" t="s">
        <v>83</v>
      </c>
      <c r="I205" s="3" t="s">
        <v>253</v>
      </c>
      <c r="J205" s="3" t="s">
        <v>253</v>
      </c>
      <c r="K205" s="3" t="s">
        <v>253</v>
      </c>
      <c r="L205" s="3" t="s">
        <v>253</v>
      </c>
      <c r="M205">
        <f>IF(LEN(H205),MATCH(H205,'MPIO_SFIO Table'!$A$11:$A$65525,0)-1,"")</f>
        <v>78</v>
      </c>
      <c r="N205" t="str">
        <f>IF(LEN(I205),MATCH(I205,'MPIO_SFIO Table'!$A$11:$A$65525,0)-1,"")</f>
        <v/>
      </c>
      <c r="O205" t="str">
        <f>IF(LEN(J205),MATCH(J205,'MPIO_SFIO Table'!$A$11:$A$65525,0)-1,"")</f>
        <v/>
      </c>
      <c r="P205" t="str">
        <f>IF(LEN(K205),MATCH(K205,'MPIO_SFIO Table'!$A$11:$A$65525,0)-1,"")</f>
        <v/>
      </c>
      <c r="Q205" t="str">
        <f>IF(LEN(L205),MATCH(L205,'MPIO_SFIO Table'!$A$11:$A$65525,0)-1,"")</f>
        <v/>
      </c>
      <c r="R205" t="str">
        <f ca="1">IF(ISNUMBER(M205),OFFSET('MPIO_SFIO Table'!$AJ$11,M205,0),"")</f>
        <v>unused_GMI_CS0_N</v>
      </c>
      <c r="S205" t="str">
        <f ca="1">IF(ISNUMBER(N205),OFFSET('MPIO_SFIO Table'!$AJ$11,N205,0),"")</f>
        <v/>
      </c>
      <c r="T205" t="str">
        <f ca="1">IF(ISNUMBER(O205),OFFSET('MPIO_SFIO Table'!$AJ$11,O205,0),"")</f>
        <v/>
      </c>
      <c r="U205" t="str">
        <f ca="1">IF(ISNUMBER(P205),OFFSET('MPIO_SFIO Table'!$AJ$11,P205,0),"")</f>
        <v/>
      </c>
      <c r="V205" t="str">
        <f ca="1">IF(ISNUMBER(Q205),OFFSET('MPIO_SFIO Table'!$AJ$11,Q205,0),"")</f>
        <v/>
      </c>
      <c r="W205">
        <f t="shared" ca="1" si="35"/>
        <v>0</v>
      </c>
      <c r="X205">
        <f t="shared" ca="1" si="36"/>
        <v>0</v>
      </c>
      <c r="Y205">
        <f t="shared" ca="1" si="37"/>
        <v>0</v>
      </c>
      <c r="Z205">
        <f t="shared" ca="1" si="38"/>
        <v>0</v>
      </c>
      <c r="AA205">
        <f t="shared" ca="1" si="39"/>
        <v>0</v>
      </c>
    </row>
    <row r="206" spans="1:27" x14ac:dyDescent="0.25">
      <c r="A206">
        <f t="shared" ca="1" si="32"/>
        <v>0</v>
      </c>
      <c r="B206" t="str">
        <f t="shared" ca="1" si="33"/>
        <v/>
      </c>
      <c r="C206" t="str">
        <f t="shared" si="34"/>
        <v>GPIO</v>
      </c>
      <c r="D206" t="s">
        <v>253</v>
      </c>
      <c r="E206" t="s">
        <v>253</v>
      </c>
      <c r="F206" s="3" t="s">
        <v>2680</v>
      </c>
      <c r="G206" s="11" t="s">
        <v>897</v>
      </c>
      <c r="H206" s="11" t="s">
        <v>130</v>
      </c>
      <c r="I206" s="3" t="s">
        <v>253</v>
      </c>
      <c r="J206" s="3" t="s">
        <v>253</v>
      </c>
      <c r="K206" s="3" t="s">
        <v>253</v>
      </c>
      <c r="L206" s="3" t="s">
        <v>253</v>
      </c>
      <c r="M206">
        <f>IF(LEN(H206),MATCH(H206,'MPIO_SFIO Table'!$A$11:$A$65525,0)-1,"")</f>
        <v>126</v>
      </c>
      <c r="N206" t="str">
        <f>IF(LEN(I206),MATCH(I206,'MPIO_SFIO Table'!$A$11:$A$65525,0)-1,"")</f>
        <v/>
      </c>
      <c r="O206" t="str">
        <f>IF(LEN(J206),MATCH(J206,'MPIO_SFIO Table'!$A$11:$A$65525,0)-1,"")</f>
        <v/>
      </c>
      <c r="P206" t="str">
        <f>IF(LEN(K206),MATCH(K206,'MPIO_SFIO Table'!$A$11:$A$65525,0)-1,"")</f>
        <v/>
      </c>
      <c r="Q206" t="str">
        <f>IF(LEN(L206),MATCH(L206,'MPIO_SFIO Table'!$A$11:$A$65525,0)-1,"")</f>
        <v/>
      </c>
      <c r="R206" t="str">
        <f ca="1">IF(ISNUMBER(M206),OFFSET('MPIO_SFIO Table'!$AJ$11,M206,0),"")</f>
        <v>unused_LCD_DE</v>
      </c>
      <c r="S206" t="str">
        <f ca="1">IF(ISNUMBER(N206),OFFSET('MPIO_SFIO Table'!$AJ$11,N206,0),"")</f>
        <v/>
      </c>
      <c r="T206" t="str">
        <f ca="1">IF(ISNUMBER(O206),OFFSET('MPIO_SFIO Table'!$AJ$11,O206,0),"")</f>
        <v/>
      </c>
      <c r="U206" t="str">
        <f ca="1">IF(ISNUMBER(P206),OFFSET('MPIO_SFIO Table'!$AJ$11,P206,0),"")</f>
        <v/>
      </c>
      <c r="V206" t="str">
        <f ca="1">IF(ISNUMBER(Q206),OFFSET('MPIO_SFIO Table'!$AJ$11,Q206,0),"")</f>
        <v/>
      </c>
      <c r="W206">
        <f t="shared" ca="1" si="35"/>
        <v>0</v>
      </c>
      <c r="X206">
        <f t="shared" ca="1" si="36"/>
        <v>0</v>
      </c>
      <c r="Y206">
        <f t="shared" ca="1" si="37"/>
        <v>0</v>
      </c>
      <c r="Z206">
        <f t="shared" ca="1" si="38"/>
        <v>0</v>
      </c>
      <c r="AA206">
        <f t="shared" ca="1" si="39"/>
        <v>0</v>
      </c>
    </row>
    <row r="207" spans="1:27" x14ac:dyDescent="0.25">
      <c r="A207">
        <f t="shared" ca="1" si="32"/>
        <v>0</v>
      </c>
      <c r="B207" t="str">
        <f t="shared" ca="1" si="33"/>
        <v/>
      </c>
      <c r="C207" t="str">
        <f t="shared" si="34"/>
        <v>GPIO</v>
      </c>
      <c r="D207" t="s">
        <v>253</v>
      </c>
      <c r="E207" t="s">
        <v>253</v>
      </c>
      <c r="F207" s="3" t="s">
        <v>2681</v>
      </c>
      <c r="G207" s="11" t="s">
        <v>851</v>
      </c>
      <c r="H207" s="11" t="s">
        <v>84</v>
      </c>
      <c r="I207" s="3" t="s">
        <v>253</v>
      </c>
      <c r="J207" s="3" t="s">
        <v>253</v>
      </c>
      <c r="K207" s="3" t="s">
        <v>253</v>
      </c>
      <c r="L207" s="3" t="s">
        <v>253</v>
      </c>
      <c r="M207">
        <f>IF(LEN(H207),MATCH(H207,'MPIO_SFIO Table'!$A$11:$A$65525,0)-1,"")</f>
        <v>79</v>
      </c>
      <c r="N207" t="str">
        <f>IF(LEN(I207),MATCH(I207,'MPIO_SFIO Table'!$A$11:$A$65525,0)-1,"")</f>
        <v/>
      </c>
      <c r="O207" t="str">
        <f>IF(LEN(J207),MATCH(J207,'MPIO_SFIO Table'!$A$11:$A$65525,0)-1,"")</f>
        <v/>
      </c>
      <c r="P207" t="str">
        <f>IF(LEN(K207),MATCH(K207,'MPIO_SFIO Table'!$A$11:$A$65525,0)-1,"")</f>
        <v/>
      </c>
      <c r="Q207" t="str">
        <f>IF(LEN(L207),MATCH(L207,'MPIO_SFIO Table'!$A$11:$A$65525,0)-1,"")</f>
        <v/>
      </c>
      <c r="R207" t="str">
        <f ca="1">IF(ISNUMBER(M207),OFFSET('MPIO_SFIO Table'!$AJ$11,M207,0),"")</f>
        <v>unused_GMI_CS1_N</v>
      </c>
      <c r="S207" t="str">
        <f ca="1">IF(ISNUMBER(N207),OFFSET('MPIO_SFIO Table'!$AJ$11,N207,0),"")</f>
        <v/>
      </c>
      <c r="T207" t="str">
        <f ca="1">IF(ISNUMBER(O207),OFFSET('MPIO_SFIO Table'!$AJ$11,O207,0),"")</f>
        <v/>
      </c>
      <c r="U207" t="str">
        <f ca="1">IF(ISNUMBER(P207),OFFSET('MPIO_SFIO Table'!$AJ$11,P207,0),"")</f>
        <v/>
      </c>
      <c r="V207" t="str">
        <f ca="1">IF(ISNUMBER(Q207),OFFSET('MPIO_SFIO Table'!$AJ$11,Q207,0),"")</f>
        <v/>
      </c>
      <c r="W207">
        <f t="shared" ca="1" si="35"/>
        <v>0</v>
      </c>
      <c r="X207">
        <f t="shared" ca="1" si="36"/>
        <v>0</v>
      </c>
      <c r="Y207">
        <f t="shared" ca="1" si="37"/>
        <v>0</v>
      </c>
      <c r="Z207">
        <f t="shared" ca="1" si="38"/>
        <v>0</v>
      </c>
      <c r="AA207">
        <f t="shared" ca="1" si="39"/>
        <v>0</v>
      </c>
    </row>
    <row r="208" spans="1:27" x14ac:dyDescent="0.25">
      <c r="A208">
        <f t="shared" ca="1" si="32"/>
        <v>0</v>
      </c>
      <c r="B208" t="str">
        <f t="shared" ca="1" si="33"/>
        <v/>
      </c>
      <c r="C208" t="str">
        <f t="shared" si="34"/>
        <v>GPIO</v>
      </c>
      <c r="D208" t="s">
        <v>253</v>
      </c>
      <c r="E208" t="s">
        <v>253</v>
      </c>
      <c r="F208" s="3" t="s">
        <v>2682</v>
      </c>
      <c r="G208" s="11" t="s">
        <v>898</v>
      </c>
      <c r="H208" s="11" t="s">
        <v>131</v>
      </c>
      <c r="I208" s="3" t="s">
        <v>253</v>
      </c>
      <c r="J208" s="3" t="s">
        <v>253</v>
      </c>
      <c r="K208" s="3" t="s">
        <v>253</v>
      </c>
      <c r="L208" s="3" t="s">
        <v>253</v>
      </c>
      <c r="M208">
        <f>IF(LEN(H208),MATCH(H208,'MPIO_SFIO Table'!$A$11:$A$65525,0)-1,"")</f>
        <v>127</v>
      </c>
      <c r="N208" t="str">
        <f>IF(LEN(I208),MATCH(I208,'MPIO_SFIO Table'!$A$11:$A$65525,0)-1,"")</f>
        <v/>
      </c>
      <c r="O208" t="str">
        <f>IF(LEN(J208),MATCH(J208,'MPIO_SFIO Table'!$A$11:$A$65525,0)-1,"")</f>
        <v/>
      </c>
      <c r="P208" t="str">
        <f>IF(LEN(K208),MATCH(K208,'MPIO_SFIO Table'!$A$11:$A$65525,0)-1,"")</f>
        <v/>
      </c>
      <c r="Q208" t="str">
        <f>IF(LEN(L208),MATCH(L208,'MPIO_SFIO Table'!$A$11:$A$65525,0)-1,"")</f>
        <v/>
      </c>
      <c r="R208" t="str">
        <f ca="1">IF(ISNUMBER(M208),OFFSET('MPIO_SFIO Table'!$AJ$11,M208,0),"")</f>
        <v>unused_LCD_HSYNC</v>
      </c>
      <c r="S208" t="str">
        <f ca="1">IF(ISNUMBER(N208),OFFSET('MPIO_SFIO Table'!$AJ$11,N208,0),"")</f>
        <v/>
      </c>
      <c r="T208" t="str">
        <f ca="1">IF(ISNUMBER(O208),OFFSET('MPIO_SFIO Table'!$AJ$11,O208,0),"")</f>
        <v/>
      </c>
      <c r="U208" t="str">
        <f ca="1">IF(ISNUMBER(P208),OFFSET('MPIO_SFIO Table'!$AJ$11,P208,0),"")</f>
        <v/>
      </c>
      <c r="V208" t="str">
        <f ca="1">IF(ISNUMBER(Q208),OFFSET('MPIO_SFIO Table'!$AJ$11,Q208,0),"")</f>
        <v/>
      </c>
      <c r="W208">
        <f t="shared" ca="1" si="35"/>
        <v>0</v>
      </c>
      <c r="X208">
        <f t="shared" ca="1" si="36"/>
        <v>0</v>
      </c>
      <c r="Y208">
        <f t="shared" ca="1" si="37"/>
        <v>0</v>
      </c>
      <c r="Z208">
        <f t="shared" ca="1" si="38"/>
        <v>0</v>
      </c>
      <c r="AA208">
        <f t="shared" ca="1" si="39"/>
        <v>0</v>
      </c>
    </row>
    <row r="209" spans="1:27" x14ac:dyDescent="0.25">
      <c r="A209">
        <f t="shared" ca="1" si="32"/>
        <v>0</v>
      </c>
      <c r="B209" t="str">
        <f t="shared" ca="1" si="33"/>
        <v/>
      </c>
      <c r="C209" t="str">
        <f t="shared" si="34"/>
        <v>GPIO</v>
      </c>
      <c r="D209" t="s">
        <v>253</v>
      </c>
      <c r="E209" t="s">
        <v>253</v>
      </c>
      <c r="F209" s="3" t="s">
        <v>2683</v>
      </c>
      <c r="G209" s="11" t="s">
        <v>907</v>
      </c>
      <c r="H209" s="11" t="s">
        <v>140</v>
      </c>
      <c r="I209" s="3" t="s">
        <v>253</v>
      </c>
      <c r="J209" s="3" t="s">
        <v>253</v>
      </c>
      <c r="K209" s="3" t="s">
        <v>253</v>
      </c>
      <c r="L209" s="3" t="s">
        <v>253</v>
      </c>
      <c r="M209">
        <f>IF(LEN(H209),MATCH(H209,'MPIO_SFIO Table'!$A$11:$A$65525,0)-1,"")</f>
        <v>136</v>
      </c>
      <c r="N209" t="str">
        <f>IF(LEN(I209),MATCH(I209,'MPIO_SFIO Table'!$A$11:$A$65525,0)-1,"")</f>
        <v/>
      </c>
      <c r="O209" t="str">
        <f>IF(LEN(J209),MATCH(J209,'MPIO_SFIO Table'!$A$11:$A$65525,0)-1,"")</f>
        <v/>
      </c>
      <c r="P209" t="str">
        <f>IF(LEN(K209),MATCH(K209,'MPIO_SFIO Table'!$A$11:$A$65525,0)-1,"")</f>
        <v/>
      </c>
      <c r="Q209" t="str">
        <f>IF(LEN(L209),MATCH(L209,'MPIO_SFIO Table'!$A$11:$A$65525,0)-1,"")</f>
        <v/>
      </c>
      <c r="R209" t="str">
        <f ca="1">IF(ISNUMBER(M209),OFFSET('MPIO_SFIO Table'!$AJ$11,M209,0),"")</f>
        <v>unused_LCD_VSYNC</v>
      </c>
      <c r="S209" t="str">
        <f ca="1">IF(ISNUMBER(N209),OFFSET('MPIO_SFIO Table'!$AJ$11,N209,0),"")</f>
        <v/>
      </c>
      <c r="T209" t="str">
        <f ca="1">IF(ISNUMBER(O209),OFFSET('MPIO_SFIO Table'!$AJ$11,O209,0),"")</f>
        <v/>
      </c>
      <c r="U209" t="str">
        <f ca="1">IF(ISNUMBER(P209),OFFSET('MPIO_SFIO Table'!$AJ$11,P209,0),"")</f>
        <v/>
      </c>
      <c r="V209" t="str">
        <f ca="1">IF(ISNUMBER(Q209),OFFSET('MPIO_SFIO Table'!$AJ$11,Q209,0),"")</f>
        <v/>
      </c>
      <c r="W209">
        <f t="shared" ca="1" si="35"/>
        <v>0</v>
      </c>
      <c r="X209">
        <f t="shared" ca="1" si="36"/>
        <v>0</v>
      </c>
      <c r="Y209">
        <f t="shared" ca="1" si="37"/>
        <v>0</v>
      </c>
      <c r="Z209">
        <f t="shared" ca="1" si="38"/>
        <v>0</v>
      </c>
      <c r="AA209">
        <f t="shared" ca="1" si="39"/>
        <v>0</v>
      </c>
    </row>
    <row r="210" spans="1:27" x14ac:dyDescent="0.25">
      <c r="A210">
        <f t="shared" ca="1" si="32"/>
        <v>0</v>
      </c>
      <c r="B210" t="str">
        <f t="shared" ca="1" si="33"/>
        <v/>
      </c>
      <c r="C210" t="str">
        <f t="shared" si="34"/>
        <v>GPIO</v>
      </c>
      <c r="D210" t="s">
        <v>253</v>
      </c>
      <c r="E210" t="s">
        <v>253</v>
      </c>
      <c r="F210" s="3" t="s">
        <v>2684</v>
      </c>
      <c r="G210" s="11" t="s">
        <v>994</v>
      </c>
      <c r="H210" s="11" t="s">
        <v>228</v>
      </c>
      <c r="I210" s="3" t="s">
        <v>253</v>
      </c>
      <c r="J210" s="3" t="s">
        <v>253</v>
      </c>
      <c r="K210" s="3" t="s">
        <v>253</v>
      </c>
      <c r="L210" s="3" t="s">
        <v>253</v>
      </c>
      <c r="M210">
        <f>IF(LEN(H210),MATCH(H210,'MPIO_SFIO Table'!$A$11:$A$65525,0)-1,"")</f>
        <v>246</v>
      </c>
      <c r="N210" t="str">
        <f>IF(LEN(I210),MATCH(I210,'MPIO_SFIO Table'!$A$11:$A$65525,0)-1,"")</f>
        <v/>
      </c>
      <c r="O210" t="str">
        <f>IF(LEN(J210),MATCH(J210,'MPIO_SFIO Table'!$A$11:$A$65525,0)-1,"")</f>
        <v/>
      </c>
      <c r="P210" t="str">
        <f>IF(LEN(K210),MATCH(K210,'MPIO_SFIO Table'!$A$11:$A$65525,0)-1,"")</f>
        <v/>
      </c>
      <c r="Q210" t="str">
        <f>IF(LEN(L210),MATCH(L210,'MPIO_SFIO Table'!$A$11:$A$65525,0)-1,"")</f>
        <v/>
      </c>
      <c r="R210" t="str">
        <f ca="1">IF(ISNUMBER(M210),OFFSET('MPIO_SFIO Table'!$AJ$11,M210,0),"")</f>
        <v>unused_UART2_CTS_N</v>
      </c>
      <c r="S210" t="str">
        <f ca="1">IF(ISNUMBER(N210),OFFSET('MPIO_SFIO Table'!$AJ$11,N210,0),"")</f>
        <v/>
      </c>
      <c r="T210" t="str">
        <f ca="1">IF(ISNUMBER(O210),OFFSET('MPIO_SFIO Table'!$AJ$11,O210,0),"")</f>
        <v/>
      </c>
      <c r="U210" t="str">
        <f ca="1">IF(ISNUMBER(P210),OFFSET('MPIO_SFIO Table'!$AJ$11,P210,0),"")</f>
        <v/>
      </c>
      <c r="V210" t="str">
        <f ca="1">IF(ISNUMBER(Q210),OFFSET('MPIO_SFIO Table'!$AJ$11,Q210,0),"")</f>
        <v/>
      </c>
      <c r="W210">
        <f t="shared" ca="1" si="35"/>
        <v>0</v>
      </c>
      <c r="X210">
        <f t="shared" ca="1" si="36"/>
        <v>0</v>
      </c>
      <c r="Y210">
        <f t="shared" ca="1" si="37"/>
        <v>0</v>
      </c>
      <c r="Z210">
        <f t="shared" ca="1" si="38"/>
        <v>0</v>
      </c>
      <c r="AA210">
        <f t="shared" ca="1" si="39"/>
        <v>0</v>
      </c>
    </row>
    <row r="211" spans="1:27" x14ac:dyDescent="0.25">
      <c r="A211">
        <f t="shared" ca="1" si="32"/>
        <v>0</v>
      </c>
      <c r="B211" t="str">
        <f t="shared" ca="1" si="33"/>
        <v/>
      </c>
      <c r="C211" t="str">
        <f t="shared" si="34"/>
        <v>GPIO</v>
      </c>
      <c r="D211" t="s">
        <v>253</v>
      </c>
      <c r="E211" t="s">
        <v>253</v>
      </c>
      <c r="F211" s="3" t="s">
        <v>2685</v>
      </c>
      <c r="G211" s="11" t="s">
        <v>995</v>
      </c>
      <c r="H211" s="11" t="s">
        <v>229</v>
      </c>
      <c r="I211" s="3" t="s">
        <v>253</v>
      </c>
      <c r="J211" s="3" t="s">
        <v>253</v>
      </c>
      <c r="K211" s="3" t="s">
        <v>253</v>
      </c>
      <c r="L211" s="3" t="s">
        <v>253</v>
      </c>
      <c r="M211">
        <f>IF(LEN(H211),MATCH(H211,'MPIO_SFIO Table'!$A$11:$A$65525,0)-1,"")</f>
        <v>247</v>
      </c>
      <c r="N211" t="str">
        <f>IF(LEN(I211),MATCH(I211,'MPIO_SFIO Table'!$A$11:$A$65525,0)-1,"")</f>
        <v/>
      </c>
      <c r="O211" t="str">
        <f>IF(LEN(J211),MATCH(J211,'MPIO_SFIO Table'!$A$11:$A$65525,0)-1,"")</f>
        <v/>
      </c>
      <c r="P211" t="str">
        <f>IF(LEN(K211),MATCH(K211,'MPIO_SFIO Table'!$A$11:$A$65525,0)-1,"")</f>
        <v/>
      </c>
      <c r="Q211" t="str">
        <f>IF(LEN(L211),MATCH(L211,'MPIO_SFIO Table'!$A$11:$A$65525,0)-1,"")</f>
        <v/>
      </c>
      <c r="R211" t="str">
        <f ca="1">IF(ISNUMBER(M211),OFFSET('MPIO_SFIO Table'!$AJ$11,M211,0),"")</f>
        <v>unused_UART2_RTS_N</v>
      </c>
      <c r="S211" t="str">
        <f ca="1">IF(ISNUMBER(N211),OFFSET('MPIO_SFIO Table'!$AJ$11,N211,0),"")</f>
        <v/>
      </c>
      <c r="T211" t="str">
        <f ca="1">IF(ISNUMBER(O211),OFFSET('MPIO_SFIO Table'!$AJ$11,O211,0),"")</f>
        <v/>
      </c>
      <c r="U211" t="str">
        <f ca="1">IF(ISNUMBER(P211),OFFSET('MPIO_SFIO Table'!$AJ$11,P211,0),"")</f>
        <v/>
      </c>
      <c r="V211" t="str">
        <f ca="1">IF(ISNUMBER(Q211),OFFSET('MPIO_SFIO Table'!$AJ$11,Q211,0),"")</f>
        <v/>
      </c>
      <c r="W211">
        <f t="shared" ca="1" si="35"/>
        <v>0</v>
      </c>
      <c r="X211">
        <f t="shared" ca="1" si="36"/>
        <v>0</v>
      </c>
      <c r="Y211">
        <f t="shared" ca="1" si="37"/>
        <v>0</v>
      </c>
      <c r="Z211">
        <f t="shared" ca="1" si="38"/>
        <v>0</v>
      </c>
      <c r="AA211">
        <f t="shared" ca="1" si="39"/>
        <v>0</v>
      </c>
    </row>
    <row r="212" spans="1:27" x14ac:dyDescent="0.25">
      <c r="A212">
        <f t="shared" ca="1" si="32"/>
        <v>0</v>
      </c>
      <c r="B212" t="str">
        <f t="shared" ca="1" si="33"/>
        <v/>
      </c>
      <c r="C212" t="str">
        <f t="shared" si="34"/>
        <v>GPIO</v>
      </c>
      <c r="D212" t="s">
        <v>253</v>
      </c>
      <c r="E212" t="s">
        <v>253</v>
      </c>
      <c r="F212" s="3" t="s">
        <v>2686</v>
      </c>
      <c r="G212" s="11" t="s">
        <v>828</v>
      </c>
      <c r="H212" s="11" t="s">
        <v>61</v>
      </c>
      <c r="I212" s="3" t="s">
        <v>253</v>
      </c>
      <c r="J212" s="3" t="s">
        <v>253</v>
      </c>
      <c r="K212" s="3" t="s">
        <v>253</v>
      </c>
      <c r="L212" s="3" t="s">
        <v>253</v>
      </c>
      <c r="M212">
        <f>IF(LEN(H212),MATCH(H212,'MPIO_SFIO Table'!$A$11:$A$65525,0)-1,"")</f>
        <v>56</v>
      </c>
      <c r="N212" t="str">
        <f>IF(LEN(I212),MATCH(I212,'MPIO_SFIO Table'!$A$11:$A$65525,0)-1,"")</f>
        <v/>
      </c>
      <c r="O212" t="str">
        <f>IF(LEN(J212),MATCH(J212,'MPIO_SFIO Table'!$A$11:$A$65525,0)-1,"")</f>
        <v/>
      </c>
      <c r="P212" t="str">
        <f>IF(LEN(K212),MATCH(K212,'MPIO_SFIO Table'!$A$11:$A$65525,0)-1,"")</f>
        <v/>
      </c>
      <c r="Q212" t="str">
        <f>IF(LEN(L212),MATCH(L212,'MPIO_SFIO Table'!$A$11:$A$65525,0)-1,"")</f>
        <v/>
      </c>
      <c r="R212" t="str">
        <f ca="1">IF(ISNUMBER(M212),OFFSET('MPIO_SFIO Table'!$AJ$11,M212,0),"")</f>
        <v>unused_GMI_A16</v>
      </c>
      <c r="S212" t="str">
        <f ca="1">IF(ISNUMBER(N212),OFFSET('MPIO_SFIO Table'!$AJ$11,N212,0),"")</f>
        <v/>
      </c>
      <c r="T212" t="str">
        <f ca="1">IF(ISNUMBER(O212),OFFSET('MPIO_SFIO Table'!$AJ$11,O212,0),"")</f>
        <v/>
      </c>
      <c r="U212" t="str">
        <f ca="1">IF(ISNUMBER(P212),OFFSET('MPIO_SFIO Table'!$AJ$11,P212,0),"")</f>
        <v/>
      </c>
      <c r="V212" t="str">
        <f ca="1">IF(ISNUMBER(Q212),OFFSET('MPIO_SFIO Table'!$AJ$11,Q212,0),"")</f>
        <v/>
      </c>
      <c r="W212">
        <f t="shared" ca="1" si="35"/>
        <v>0</v>
      </c>
      <c r="X212">
        <f t="shared" ca="1" si="36"/>
        <v>0</v>
      </c>
      <c r="Y212">
        <f t="shared" ca="1" si="37"/>
        <v>0</v>
      </c>
      <c r="Z212">
        <f t="shared" ca="1" si="38"/>
        <v>0</v>
      </c>
      <c r="AA212">
        <f t="shared" ca="1" si="39"/>
        <v>0</v>
      </c>
    </row>
    <row r="213" spans="1:27" x14ac:dyDescent="0.25">
      <c r="A213">
        <f t="shared" ca="1" si="32"/>
        <v>0</v>
      </c>
      <c r="B213" t="str">
        <f t="shared" ca="1" si="33"/>
        <v/>
      </c>
      <c r="C213" t="str">
        <f t="shared" si="34"/>
        <v>GPIO</v>
      </c>
      <c r="D213" t="s">
        <v>253</v>
      </c>
      <c r="E213" t="s">
        <v>253</v>
      </c>
      <c r="F213" s="3" t="s">
        <v>2687</v>
      </c>
      <c r="G213" s="11" t="s">
        <v>848</v>
      </c>
      <c r="H213" s="11" t="s">
        <v>81</v>
      </c>
      <c r="I213" s="3" t="s">
        <v>253</v>
      </c>
      <c r="J213" s="3" t="s">
        <v>253</v>
      </c>
      <c r="K213" s="3" t="s">
        <v>253</v>
      </c>
      <c r="L213" s="3" t="s">
        <v>253</v>
      </c>
      <c r="M213">
        <f>IF(LEN(H213),MATCH(H213,'MPIO_SFIO Table'!$A$11:$A$65525,0)-1,"")</f>
        <v>76</v>
      </c>
      <c r="N213" t="str">
        <f>IF(LEN(I213),MATCH(I213,'MPIO_SFIO Table'!$A$11:$A$65525,0)-1,"")</f>
        <v/>
      </c>
      <c r="O213" t="str">
        <f>IF(LEN(J213),MATCH(J213,'MPIO_SFIO Table'!$A$11:$A$65525,0)-1,"")</f>
        <v/>
      </c>
      <c r="P213" t="str">
        <f>IF(LEN(K213),MATCH(K213,'MPIO_SFIO Table'!$A$11:$A$65525,0)-1,"")</f>
        <v/>
      </c>
      <c r="Q213" t="str">
        <f>IF(LEN(L213),MATCH(L213,'MPIO_SFIO Table'!$A$11:$A$65525,0)-1,"")</f>
        <v/>
      </c>
      <c r="R213" t="str">
        <f ca="1">IF(ISNUMBER(M213),OFFSET('MPIO_SFIO Table'!$AJ$11,M213,0),"")</f>
        <v>unused_GMI_ADV_N</v>
      </c>
      <c r="S213" t="str">
        <f ca="1">IF(ISNUMBER(N213),OFFSET('MPIO_SFIO Table'!$AJ$11,N213,0),"")</f>
        <v/>
      </c>
      <c r="T213" t="str">
        <f ca="1">IF(ISNUMBER(O213),OFFSET('MPIO_SFIO Table'!$AJ$11,O213,0),"")</f>
        <v/>
      </c>
      <c r="U213" t="str">
        <f ca="1">IF(ISNUMBER(P213),OFFSET('MPIO_SFIO Table'!$AJ$11,P213,0),"")</f>
        <v/>
      </c>
      <c r="V213" t="str">
        <f ca="1">IF(ISNUMBER(Q213),OFFSET('MPIO_SFIO Table'!$AJ$11,Q213,0),"")</f>
        <v/>
      </c>
      <c r="W213">
        <f t="shared" ca="1" si="35"/>
        <v>0</v>
      </c>
      <c r="X213">
        <f t="shared" ca="1" si="36"/>
        <v>0</v>
      </c>
      <c r="Y213">
        <f t="shared" ca="1" si="37"/>
        <v>0</v>
      </c>
      <c r="Z213">
        <f t="shared" ca="1" si="38"/>
        <v>0</v>
      </c>
      <c r="AA213">
        <f t="shared" ca="1" si="39"/>
        <v>0</v>
      </c>
    </row>
    <row r="214" spans="1:27" x14ac:dyDescent="0.25">
      <c r="A214">
        <f t="shared" ca="1" si="32"/>
        <v>0</v>
      </c>
      <c r="B214" t="str">
        <f t="shared" ca="1" si="33"/>
        <v/>
      </c>
      <c r="C214" t="str">
        <f t="shared" si="34"/>
        <v>GPIO</v>
      </c>
      <c r="D214" t="s">
        <v>253</v>
      </c>
      <c r="E214" t="s">
        <v>253</v>
      </c>
      <c r="F214" s="3" t="s">
        <v>2688</v>
      </c>
      <c r="G214" s="11" t="s">
        <v>849</v>
      </c>
      <c r="H214" s="11" t="s">
        <v>82</v>
      </c>
      <c r="I214" s="3" t="s">
        <v>253</v>
      </c>
      <c r="J214" s="3" t="s">
        <v>253</v>
      </c>
      <c r="K214" s="3" t="s">
        <v>253</v>
      </c>
      <c r="L214" s="3" t="s">
        <v>253</v>
      </c>
      <c r="M214">
        <f>IF(LEN(H214),MATCH(H214,'MPIO_SFIO Table'!$A$11:$A$65525,0)-1,"")</f>
        <v>77</v>
      </c>
      <c r="N214" t="str">
        <f>IF(LEN(I214),MATCH(I214,'MPIO_SFIO Table'!$A$11:$A$65525,0)-1,"")</f>
        <v/>
      </c>
      <c r="O214" t="str">
        <f>IF(LEN(J214),MATCH(J214,'MPIO_SFIO Table'!$A$11:$A$65525,0)-1,"")</f>
        <v/>
      </c>
      <c r="P214" t="str">
        <f>IF(LEN(K214),MATCH(K214,'MPIO_SFIO Table'!$A$11:$A$65525,0)-1,"")</f>
        <v/>
      </c>
      <c r="Q214" t="str">
        <f>IF(LEN(L214),MATCH(L214,'MPIO_SFIO Table'!$A$11:$A$65525,0)-1,"")</f>
        <v/>
      </c>
      <c r="R214" t="str">
        <f ca="1">IF(ISNUMBER(M214),OFFSET('MPIO_SFIO Table'!$AJ$11,M214,0),"")</f>
        <v>unused_GMI_CLK</v>
      </c>
      <c r="S214" t="str">
        <f ca="1">IF(ISNUMBER(N214),OFFSET('MPIO_SFIO Table'!$AJ$11,N214,0),"")</f>
        <v/>
      </c>
      <c r="T214" t="str">
        <f ca="1">IF(ISNUMBER(O214),OFFSET('MPIO_SFIO Table'!$AJ$11,O214,0),"")</f>
        <v/>
      </c>
      <c r="U214" t="str">
        <f ca="1">IF(ISNUMBER(P214),OFFSET('MPIO_SFIO Table'!$AJ$11,P214,0),"")</f>
        <v/>
      </c>
      <c r="V214" t="str">
        <f ca="1">IF(ISNUMBER(Q214),OFFSET('MPIO_SFIO Table'!$AJ$11,Q214,0),"")</f>
        <v/>
      </c>
      <c r="W214">
        <f t="shared" ca="1" si="35"/>
        <v>0</v>
      </c>
      <c r="X214">
        <f t="shared" ca="1" si="36"/>
        <v>0</v>
      </c>
      <c r="Y214">
        <f t="shared" ca="1" si="37"/>
        <v>0</v>
      </c>
      <c r="Z214">
        <f t="shared" ca="1" si="38"/>
        <v>0</v>
      </c>
      <c r="AA214">
        <f t="shared" ca="1" si="39"/>
        <v>0</v>
      </c>
    </row>
    <row r="215" spans="1:27" x14ac:dyDescent="0.25">
      <c r="A215">
        <f t="shared" ca="1" si="32"/>
        <v>0</v>
      </c>
      <c r="B215" t="str">
        <f t="shared" ca="1" si="33"/>
        <v/>
      </c>
      <c r="C215" t="str">
        <f t="shared" si="34"/>
        <v>GPIO</v>
      </c>
      <c r="D215" t="s">
        <v>253</v>
      </c>
      <c r="E215" t="s">
        <v>253</v>
      </c>
      <c r="F215" s="3" t="s">
        <v>2689</v>
      </c>
      <c r="G215" s="11" t="s">
        <v>854</v>
      </c>
      <c r="H215" s="11" t="s">
        <v>87</v>
      </c>
      <c r="I215" s="3" t="s">
        <v>253</v>
      </c>
      <c r="J215" s="3" t="s">
        <v>253</v>
      </c>
      <c r="K215" s="3" t="s">
        <v>253</v>
      </c>
      <c r="L215" s="3" t="s">
        <v>253</v>
      </c>
      <c r="M215">
        <f>IF(LEN(H215),MATCH(H215,'MPIO_SFIO Table'!$A$11:$A$65525,0)-1,"")</f>
        <v>82</v>
      </c>
      <c r="N215" t="str">
        <f>IF(LEN(I215),MATCH(I215,'MPIO_SFIO Table'!$A$11:$A$65525,0)-1,"")</f>
        <v/>
      </c>
      <c r="O215" t="str">
        <f>IF(LEN(J215),MATCH(J215,'MPIO_SFIO Table'!$A$11:$A$65525,0)-1,"")</f>
        <v/>
      </c>
      <c r="P215" t="str">
        <f>IF(LEN(K215),MATCH(K215,'MPIO_SFIO Table'!$A$11:$A$65525,0)-1,"")</f>
        <v/>
      </c>
      <c r="Q215" t="str">
        <f>IF(LEN(L215),MATCH(L215,'MPIO_SFIO Table'!$A$11:$A$65525,0)-1,"")</f>
        <v/>
      </c>
      <c r="R215" t="str">
        <f ca="1">IF(ISNUMBER(M215),OFFSET('MPIO_SFIO Table'!$AJ$11,M215,0),"")</f>
        <v>unused_GMI_CS4_N</v>
      </c>
      <c r="S215" t="str">
        <f ca="1">IF(ISNUMBER(N215),OFFSET('MPIO_SFIO Table'!$AJ$11,N215,0),"")</f>
        <v/>
      </c>
      <c r="T215" t="str">
        <f ca="1">IF(ISNUMBER(O215),OFFSET('MPIO_SFIO Table'!$AJ$11,O215,0),"")</f>
        <v/>
      </c>
      <c r="U215" t="str">
        <f ca="1">IF(ISNUMBER(P215),OFFSET('MPIO_SFIO Table'!$AJ$11,P215,0),"")</f>
        <v/>
      </c>
      <c r="V215" t="str">
        <f ca="1">IF(ISNUMBER(Q215),OFFSET('MPIO_SFIO Table'!$AJ$11,Q215,0),"")</f>
        <v/>
      </c>
      <c r="W215">
        <f t="shared" ca="1" si="35"/>
        <v>0</v>
      </c>
      <c r="X215">
        <f t="shared" ca="1" si="36"/>
        <v>0</v>
      </c>
      <c r="Y215">
        <f t="shared" ca="1" si="37"/>
        <v>0</v>
      </c>
      <c r="Z215">
        <f t="shared" ca="1" si="38"/>
        <v>0</v>
      </c>
      <c r="AA215">
        <f t="shared" ca="1" si="39"/>
        <v>0</v>
      </c>
    </row>
    <row r="216" spans="1:27" x14ac:dyDescent="0.25">
      <c r="A216">
        <f t="shared" ca="1" si="32"/>
        <v>0</v>
      </c>
      <c r="B216" t="str">
        <f t="shared" ca="1" si="33"/>
        <v/>
      </c>
      <c r="C216" t="str">
        <f t="shared" si="34"/>
        <v>GPIO</v>
      </c>
      <c r="D216" t="s">
        <v>253</v>
      </c>
      <c r="E216" t="s">
        <v>253</v>
      </c>
      <c r="F216" s="3" t="s">
        <v>2690</v>
      </c>
      <c r="G216" s="11" t="s">
        <v>852</v>
      </c>
      <c r="H216" s="11" t="s">
        <v>85</v>
      </c>
      <c r="I216" s="3" t="s">
        <v>253</v>
      </c>
      <c r="J216" s="3" t="s">
        <v>253</v>
      </c>
      <c r="K216" s="3" t="s">
        <v>253</v>
      </c>
      <c r="L216" s="3" t="s">
        <v>253</v>
      </c>
      <c r="M216">
        <f>IF(LEN(H216),MATCH(H216,'MPIO_SFIO Table'!$A$11:$A$65525,0)-1,"")</f>
        <v>80</v>
      </c>
      <c r="N216" t="str">
        <f>IF(LEN(I216),MATCH(I216,'MPIO_SFIO Table'!$A$11:$A$65525,0)-1,"")</f>
        <v/>
      </c>
      <c r="O216" t="str">
        <f>IF(LEN(J216),MATCH(J216,'MPIO_SFIO Table'!$A$11:$A$65525,0)-1,"")</f>
        <v/>
      </c>
      <c r="P216" t="str">
        <f>IF(LEN(K216),MATCH(K216,'MPIO_SFIO Table'!$A$11:$A$65525,0)-1,"")</f>
        <v/>
      </c>
      <c r="Q216" t="str">
        <f>IF(LEN(L216),MATCH(L216,'MPIO_SFIO Table'!$A$11:$A$65525,0)-1,"")</f>
        <v/>
      </c>
      <c r="R216" t="str">
        <f ca="1">IF(ISNUMBER(M216),OFFSET('MPIO_SFIO Table'!$AJ$11,M216,0),"")</f>
        <v>unused_GMI_CS2_N</v>
      </c>
      <c r="S216" t="str">
        <f ca="1">IF(ISNUMBER(N216),OFFSET('MPIO_SFIO Table'!$AJ$11,N216,0),"")</f>
        <v/>
      </c>
      <c r="T216" t="str">
        <f ca="1">IF(ISNUMBER(O216),OFFSET('MPIO_SFIO Table'!$AJ$11,O216,0),"")</f>
        <v/>
      </c>
      <c r="U216" t="str">
        <f ca="1">IF(ISNUMBER(P216),OFFSET('MPIO_SFIO Table'!$AJ$11,P216,0),"")</f>
        <v/>
      </c>
      <c r="V216" t="str">
        <f ca="1">IF(ISNUMBER(Q216),OFFSET('MPIO_SFIO Table'!$AJ$11,Q216,0),"")</f>
        <v/>
      </c>
      <c r="W216">
        <f t="shared" ca="1" si="35"/>
        <v>0</v>
      </c>
      <c r="X216">
        <f t="shared" ca="1" si="36"/>
        <v>0</v>
      </c>
      <c r="Y216">
        <f t="shared" ca="1" si="37"/>
        <v>0</v>
      </c>
      <c r="Z216">
        <f t="shared" ca="1" si="38"/>
        <v>0</v>
      </c>
      <c r="AA216">
        <f t="shared" ca="1" si="39"/>
        <v>0</v>
      </c>
    </row>
    <row r="217" spans="1:27" x14ac:dyDescent="0.25">
      <c r="A217">
        <f t="shared" ca="1" si="32"/>
        <v>0</v>
      </c>
      <c r="B217" t="str">
        <f t="shared" ca="1" si="33"/>
        <v/>
      </c>
      <c r="C217" t="str">
        <f t="shared" si="34"/>
        <v>GPIO</v>
      </c>
      <c r="D217" t="s">
        <v>253</v>
      </c>
      <c r="E217" t="s">
        <v>253</v>
      </c>
      <c r="F217" s="3" t="s">
        <v>2691</v>
      </c>
      <c r="G217" s="11" t="s">
        <v>853</v>
      </c>
      <c r="H217" s="11" t="s">
        <v>86</v>
      </c>
      <c r="I217" s="3" t="s">
        <v>253</v>
      </c>
      <c r="J217" s="3" t="s">
        <v>253</v>
      </c>
      <c r="K217" s="3" t="s">
        <v>253</v>
      </c>
      <c r="L217" s="3" t="s">
        <v>253</v>
      </c>
      <c r="M217">
        <f>IF(LEN(H217),MATCH(H217,'MPIO_SFIO Table'!$A$11:$A$65525,0)-1,"")</f>
        <v>81</v>
      </c>
      <c r="N217" t="str">
        <f>IF(LEN(I217),MATCH(I217,'MPIO_SFIO Table'!$A$11:$A$65525,0)-1,"")</f>
        <v/>
      </c>
      <c r="O217" t="str">
        <f>IF(LEN(J217),MATCH(J217,'MPIO_SFIO Table'!$A$11:$A$65525,0)-1,"")</f>
        <v/>
      </c>
      <c r="P217" t="str">
        <f>IF(LEN(K217),MATCH(K217,'MPIO_SFIO Table'!$A$11:$A$65525,0)-1,"")</f>
        <v/>
      </c>
      <c r="Q217" t="str">
        <f>IF(LEN(L217),MATCH(L217,'MPIO_SFIO Table'!$A$11:$A$65525,0)-1,"")</f>
        <v/>
      </c>
      <c r="R217" t="str">
        <f ca="1">IF(ISNUMBER(M217),OFFSET('MPIO_SFIO Table'!$AJ$11,M217,0),"")</f>
        <v>unused_GMI_CS3_N</v>
      </c>
      <c r="S217" t="str">
        <f ca="1">IF(ISNUMBER(N217),OFFSET('MPIO_SFIO Table'!$AJ$11,N217,0),"")</f>
        <v/>
      </c>
      <c r="T217" t="str">
        <f ca="1">IF(ISNUMBER(O217),OFFSET('MPIO_SFIO Table'!$AJ$11,O217,0),"")</f>
        <v/>
      </c>
      <c r="U217" t="str">
        <f ca="1">IF(ISNUMBER(P217),OFFSET('MPIO_SFIO Table'!$AJ$11,P217,0),"")</f>
        <v/>
      </c>
      <c r="V217" t="str">
        <f ca="1">IF(ISNUMBER(Q217),OFFSET('MPIO_SFIO Table'!$AJ$11,Q217,0),"")</f>
        <v/>
      </c>
      <c r="W217">
        <f t="shared" ca="1" si="35"/>
        <v>0</v>
      </c>
      <c r="X217">
        <f t="shared" ca="1" si="36"/>
        <v>0</v>
      </c>
      <c r="Y217">
        <f t="shared" ca="1" si="37"/>
        <v>0</v>
      </c>
      <c r="Z217">
        <f t="shared" ca="1" si="38"/>
        <v>0</v>
      </c>
      <c r="AA217">
        <f t="shared" ca="1" si="39"/>
        <v>0</v>
      </c>
    </row>
    <row r="218" spans="1:27" x14ac:dyDescent="0.25">
      <c r="A218">
        <f t="shared" ca="1" si="32"/>
        <v>0</v>
      </c>
      <c r="B218" t="str">
        <f t="shared" ca="1" si="33"/>
        <v/>
      </c>
      <c r="C218" t="str">
        <f t="shared" si="34"/>
        <v>GPIO</v>
      </c>
      <c r="D218" t="s">
        <v>253</v>
      </c>
      <c r="E218" t="s">
        <v>253</v>
      </c>
      <c r="F218" s="3" t="s">
        <v>2692</v>
      </c>
      <c r="G218" s="11" t="s">
        <v>786</v>
      </c>
      <c r="H218" s="11" t="s">
        <v>19</v>
      </c>
      <c r="I218" s="3" t="s">
        <v>253</v>
      </c>
      <c r="J218" s="3" t="s">
        <v>253</v>
      </c>
      <c r="K218" s="3" t="s">
        <v>253</v>
      </c>
      <c r="L218" s="3" t="s">
        <v>253</v>
      </c>
      <c r="M218">
        <f>IF(LEN(H218),MATCH(H218,'MPIO_SFIO Table'!$A$11:$A$65525,0)-1,"")</f>
        <v>11</v>
      </c>
      <c r="N218" t="str">
        <f>IF(LEN(I218),MATCH(I218,'MPIO_SFIO Table'!$A$11:$A$65525,0)-1,"")</f>
        <v/>
      </c>
      <c r="O218" t="str">
        <f>IF(LEN(J218),MATCH(J218,'MPIO_SFIO Table'!$A$11:$A$65525,0)-1,"")</f>
        <v/>
      </c>
      <c r="P218" t="str">
        <f>IF(LEN(K218),MATCH(K218,'MPIO_SFIO Table'!$A$11:$A$65525,0)-1,"")</f>
        <v/>
      </c>
      <c r="Q218" t="str">
        <f>IF(LEN(L218),MATCH(L218,'MPIO_SFIO Table'!$A$11:$A$65525,0)-1,"")</f>
        <v/>
      </c>
      <c r="R218" t="str">
        <f ca="1">IF(ISNUMBER(M218),OFFSET('MPIO_SFIO Table'!$AJ$11,M218,0),"")</f>
        <v>unused_SPDIF_OUT</v>
      </c>
      <c r="S218" t="str">
        <f ca="1">IF(ISNUMBER(N218),OFFSET('MPIO_SFIO Table'!$AJ$11,N218,0),"")</f>
        <v/>
      </c>
      <c r="T218" t="str">
        <f ca="1">IF(ISNUMBER(O218),OFFSET('MPIO_SFIO Table'!$AJ$11,O218,0),"")</f>
        <v/>
      </c>
      <c r="U218" t="str">
        <f ca="1">IF(ISNUMBER(P218),OFFSET('MPIO_SFIO Table'!$AJ$11,P218,0),"")</f>
        <v/>
      </c>
      <c r="V218" t="str">
        <f ca="1">IF(ISNUMBER(Q218),OFFSET('MPIO_SFIO Table'!$AJ$11,Q218,0),"")</f>
        <v/>
      </c>
      <c r="W218">
        <f t="shared" ca="1" si="35"/>
        <v>0</v>
      </c>
      <c r="X218">
        <f t="shared" ca="1" si="36"/>
        <v>0</v>
      </c>
      <c r="Y218">
        <f t="shared" ca="1" si="37"/>
        <v>0</v>
      </c>
      <c r="Z218">
        <f t="shared" ca="1" si="38"/>
        <v>0</v>
      </c>
      <c r="AA218">
        <f t="shared" ca="1" si="39"/>
        <v>0</v>
      </c>
    </row>
    <row r="219" spans="1:27" x14ac:dyDescent="0.25">
      <c r="A219">
        <f t="shared" ca="1" si="32"/>
        <v>0</v>
      </c>
      <c r="B219" t="str">
        <f t="shared" ca="1" si="33"/>
        <v/>
      </c>
      <c r="C219" t="str">
        <f t="shared" si="34"/>
        <v>GPIO</v>
      </c>
      <c r="D219" t="s">
        <v>253</v>
      </c>
      <c r="E219" t="s">
        <v>253</v>
      </c>
      <c r="F219" s="3" t="s">
        <v>2693</v>
      </c>
      <c r="G219" s="11" t="s">
        <v>785</v>
      </c>
      <c r="H219" s="11" t="s">
        <v>18</v>
      </c>
      <c r="I219" s="3" t="s">
        <v>253</v>
      </c>
      <c r="J219" s="3" t="s">
        <v>253</v>
      </c>
      <c r="K219" s="3" t="s">
        <v>253</v>
      </c>
      <c r="L219" s="3" t="s">
        <v>253</v>
      </c>
      <c r="M219">
        <f>IF(LEN(H219),MATCH(H219,'MPIO_SFIO Table'!$A$11:$A$65525,0)-1,"")</f>
        <v>10</v>
      </c>
      <c r="N219" t="str">
        <f>IF(LEN(I219),MATCH(I219,'MPIO_SFIO Table'!$A$11:$A$65525,0)-1,"")</f>
        <v/>
      </c>
      <c r="O219" t="str">
        <f>IF(LEN(J219),MATCH(J219,'MPIO_SFIO Table'!$A$11:$A$65525,0)-1,"")</f>
        <v/>
      </c>
      <c r="P219" t="str">
        <f>IF(LEN(K219),MATCH(K219,'MPIO_SFIO Table'!$A$11:$A$65525,0)-1,"")</f>
        <v/>
      </c>
      <c r="Q219" t="str">
        <f>IF(LEN(L219),MATCH(L219,'MPIO_SFIO Table'!$A$11:$A$65525,0)-1,"")</f>
        <v/>
      </c>
      <c r="R219" t="str">
        <f ca="1">IF(ISNUMBER(M219),OFFSET('MPIO_SFIO Table'!$AJ$11,M219,0),"")</f>
        <v>unused_SPDIF_IN</v>
      </c>
      <c r="S219" t="str">
        <f ca="1">IF(ISNUMBER(N219),OFFSET('MPIO_SFIO Table'!$AJ$11,N219,0),"")</f>
        <v/>
      </c>
      <c r="T219" t="str">
        <f ca="1">IF(ISNUMBER(O219),OFFSET('MPIO_SFIO Table'!$AJ$11,O219,0),"")</f>
        <v/>
      </c>
      <c r="U219" t="str">
        <f ca="1">IF(ISNUMBER(P219),OFFSET('MPIO_SFIO Table'!$AJ$11,P219,0),"")</f>
        <v/>
      </c>
      <c r="V219" t="str">
        <f ca="1">IF(ISNUMBER(Q219),OFFSET('MPIO_SFIO Table'!$AJ$11,Q219,0),"")</f>
        <v/>
      </c>
      <c r="W219">
        <f t="shared" ca="1" si="35"/>
        <v>0</v>
      </c>
      <c r="X219">
        <f t="shared" ca="1" si="36"/>
        <v>0</v>
      </c>
      <c r="Y219">
        <f t="shared" ca="1" si="37"/>
        <v>0</v>
      </c>
      <c r="Z219">
        <f t="shared" ca="1" si="38"/>
        <v>0</v>
      </c>
      <c r="AA219">
        <f t="shared" ca="1" si="39"/>
        <v>0</v>
      </c>
    </row>
    <row r="220" spans="1:27" x14ac:dyDescent="0.25">
      <c r="A220">
        <f t="shared" ca="1" si="32"/>
        <v>0</v>
      </c>
      <c r="B220" t="str">
        <f t="shared" ca="1" si="33"/>
        <v/>
      </c>
      <c r="C220" t="str">
        <f t="shared" si="34"/>
        <v>GPIO</v>
      </c>
      <c r="D220" t="s">
        <v>253</v>
      </c>
      <c r="E220" t="s">
        <v>253</v>
      </c>
      <c r="F220" s="3" t="s">
        <v>2694</v>
      </c>
      <c r="G220" s="11" t="s">
        <v>831</v>
      </c>
      <c r="H220" s="11" t="s">
        <v>64</v>
      </c>
      <c r="I220" s="3" t="s">
        <v>253</v>
      </c>
      <c r="J220" s="3" t="s">
        <v>253</v>
      </c>
      <c r="K220" s="3" t="s">
        <v>253</v>
      </c>
      <c r="L220" s="3" t="s">
        <v>253</v>
      </c>
      <c r="M220">
        <f>IF(LEN(H220),MATCH(H220,'MPIO_SFIO Table'!$A$11:$A$65525,0)-1,"")</f>
        <v>59</v>
      </c>
      <c r="N220" t="str">
        <f>IF(LEN(I220),MATCH(I220,'MPIO_SFIO Table'!$A$11:$A$65525,0)-1,"")</f>
        <v/>
      </c>
      <c r="O220" t="str">
        <f>IF(LEN(J220),MATCH(J220,'MPIO_SFIO Table'!$A$11:$A$65525,0)-1,"")</f>
        <v/>
      </c>
      <c r="P220" t="str">
        <f>IF(LEN(K220),MATCH(K220,'MPIO_SFIO Table'!$A$11:$A$65525,0)-1,"")</f>
        <v/>
      </c>
      <c r="Q220" t="str">
        <f>IF(LEN(L220),MATCH(L220,'MPIO_SFIO Table'!$A$11:$A$65525,0)-1,"")</f>
        <v/>
      </c>
      <c r="R220" t="str">
        <f ca="1">IF(ISNUMBER(M220),OFFSET('MPIO_SFIO Table'!$AJ$11,M220,0),"")</f>
        <v>unused_GMI_A19</v>
      </c>
      <c r="S220" t="str">
        <f ca="1">IF(ISNUMBER(N220),OFFSET('MPIO_SFIO Table'!$AJ$11,N220,0),"")</f>
        <v/>
      </c>
      <c r="T220" t="str">
        <f ca="1">IF(ISNUMBER(O220),OFFSET('MPIO_SFIO Table'!$AJ$11,O220,0),"")</f>
        <v/>
      </c>
      <c r="U220" t="str">
        <f ca="1">IF(ISNUMBER(P220),OFFSET('MPIO_SFIO Table'!$AJ$11,P220,0),"")</f>
        <v/>
      </c>
      <c r="V220" t="str">
        <f ca="1">IF(ISNUMBER(Q220),OFFSET('MPIO_SFIO Table'!$AJ$11,Q220,0),"")</f>
        <v/>
      </c>
      <c r="W220">
        <f t="shared" ca="1" si="35"/>
        <v>0</v>
      </c>
      <c r="X220">
        <f t="shared" ca="1" si="36"/>
        <v>0</v>
      </c>
      <c r="Y220">
        <f t="shared" ca="1" si="37"/>
        <v>0</v>
      </c>
      <c r="Z220">
        <f t="shared" ca="1" si="38"/>
        <v>0</v>
      </c>
      <c r="AA220">
        <f t="shared" ca="1" si="39"/>
        <v>0</v>
      </c>
    </row>
    <row r="221" spans="1:27" x14ac:dyDescent="0.25">
      <c r="A221">
        <f t="shared" ca="1" si="32"/>
        <v>0</v>
      </c>
      <c r="B221" t="str">
        <f t="shared" ca="1" si="33"/>
        <v/>
      </c>
      <c r="C221" t="str">
        <f t="shared" si="34"/>
        <v>GPIO</v>
      </c>
      <c r="D221" t="s">
        <v>253</v>
      </c>
      <c r="E221" t="s">
        <v>253</v>
      </c>
      <c r="F221" s="3" t="s">
        <v>2695</v>
      </c>
      <c r="G221" s="11" t="s">
        <v>1006</v>
      </c>
      <c r="H221" s="11" t="s">
        <v>240</v>
      </c>
      <c r="I221" s="3" t="s">
        <v>253</v>
      </c>
      <c r="J221" s="3" t="s">
        <v>253</v>
      </c>
      <c r="K221" s="3" t="s">
        <v>253</v>
      </c>
      <c r="L221" s="3" t="s">
        <v>253</v>
      </c>
      <c r="M221">
        <f>IF(LEN(H221),MATCH(H221,'MPIO_SFIO Table'!$A$11:$A$65525,0)-1,"")</f>
        <v>259</v>
      </c>
      <c r="N221" t="str">
        <f>IF(LEN(I221),MATCH(I221,'MPIO_SFIO Table'!$A$11:$A$65525,0)-1,"")</f>
        <v/>
      </c>
      <c r="O221" t="str">
        <f>IF(LEN(J221),MATCH(J221,'MPIO_SFIO Table'!$A$11:$A$65525,0)-1,"")</f>
        <v/>
      </c>
      <c r="P221" t="str">
        <f>IF(LEN(K221),MATCH(K221,'MPIO_SFIO Table'!$A$11:$A$65525,0)-1,"")</f>
        <v/>
      </c>
      <c r="Q221" t="str">
        <f>IF(LEN(L221),MATCH(L221,'MPIO_SFIO Table'!$A$11:$A$65525,0)-1,"")</f>
        <v/>
      </c>
      <c r="R221" t="str">
        <f ca="1">IF(ISNUMBER(M221),OFFSET('MPIO_SFIO Table'!$AJ$11,M221,0),"")</f>
        <v>unused_VI_D2</v>
      </c>
      <c r="S221" t="str">
        <f ca="1">IF(ISNUMBER(N221),OFFSET('MPIO_SFIO Table'!$AJ$11,N221,0),"")</f>
        <v/>
      </c>
      <c r="T221" t="str">
        <f ca="1">IF(ISNUMBER(O221),OFFSET('MPIO_SFIO Table'!$AJ$11,O221,0),"")</f>
        <v/>
      </c>
      <c r="U221" t="str">
        <f ca="1">IF(ISNUMBER(P221),OFFSET('MPIO_SFIO Table'!$AJ$11,P221,0),"")</f>
        <v/>
      </c>
      <c r="V221" t="str">
        <f ca="1">IF(ISNUMBER(Q221),OFFSET('MPIO_SFIO Table'!$AJ$11,Q221,0),"")</f>
        <v/>
      </c>
      <c r="W221">
        <f t="shared" ca="1" si="35"/>
        <v>0</v>
      </c>
      <c r="X221">
        <f t="shared" ca="1" si="36"/>
        <v>0</v>
      </c>
      <c r="Y221">
        <f t="shared" ca="1" si="37"/>
        <v>0</v>
      </c>
      <c r="Z221">
        <f t="shared" ca="1" si="38"/>
        <v>0</v>
      </c>
      <c r="AA221">
        <f t="shared" ca="1" si="39"/>
        <v>0</v>
      </c>
    </row>
    <row r="222" spans="1:27" x14ac:dyDescent="0.25">
      <c r="A222">
        <f t="shared" ca="1" si="32"/>
        <v>0</v>
      </c>
      <c r="B222" t="str">
        <f t="shared" ca="1" si="33"/>
        <v/>
      </c>
      <c r="C222" t="str">
        <f t="shared" si="34"/>
        <v>GPIO</v>
      </c>
      <c r="D222" t="s">
        <v>253</v>
      </c>
      <c r="E222" t="s">
        <v>253</v>
      </c>
      <c r="F222" s="3" t="s">
        <v>2696</v>
      </c>
      <c r="G222" s="11" t="s">
        <v>1007</v>
      </c>
      <c r="H222" s="11" t="s">
        <v>241</v>
      </c>
      <c r="I222" s="3" t="s">
        <v>253</v>
      </c>
      <c r="J222" s="3" t="s">
        <v>253</v>
      </c>
      <c r="K222" s="3" t="s">
        <v>253</v>
      </c>
      <c r="L222" s="3" t="s">
        <v>253</v>
      </c>
      <c r="M222">
        <f>IF(LEN(H222),MATCH(H222,'MPIO_SFIO Table'!$A$11:$A$65525,0)-1,"")</f>
        <v>260</v>
      </c>
      <c r="N222" t="str">
        <f>IF(LEN(I222),MATCH(I222,'MPIO_SFIO Table'!$A$11:$A$65525,0)-1,"")</f>
        <v/>
      </c>
      <c r="O222" t="str">
        <f>IF(LEN(J222),MATCH(J222,'MPIO_SFIO Table'!$A$11:$A$65525,0)-1,"")</f>
        <v/>
      </c>
      <c r="P222" t="str">
        <f>IF(LEN(K222),MATCH(K222,'MPIO_SFIO Table'!$A$11:$A$65525,0)-1,"")</f>
        <v/>
      </c>
      <c r="Q222" t="str">
        <f>IF(LEN(L222),MATCH(L222,'MPIO_SFIO Table'!$A$11:$A$65525,0)-1,"")</f>
        <v/>
      </c>
      <c r="R222" t="str">
        <f ca="1">IF(ISNUMBER(M222),OFFSET('MPIO_SFIO Table'!$AJ$11,M222,0),"")</f>
        <v>unused_VI_D3</v>
      </c>
      <c r="S222" t="str">
        <f ca="1">IF(ISNUMBER(N222),OFFSET('MPIO_SFIO Table'!$AJ$11,N222,0),"")</f>
        <v/>
      </c>
      <c r="T222" t="str">
        <f ca="1">IF(ISNUMBER(O222),OFFSET('MPIO_SFIO Table'!$AJ$11,O222,0),"")</f>
        <v/>
      </c>
      <c r="U222" t="str">
        <f ca="1">IF(ISNUMBER(P222),OFFSET('MPIO_SFIO Table'!$AJ$11,P222,0),"")</f>
        <v/>
      </c>
      <c r="V222" t="str">
        <f ca="1">IF(ISNUMBER(Q222),OFFSET('MPIO_SFIO Table'!$AJ$11,Q222,0),"")</f>
        <v/>
      </c>
      <c r="W222">
        <f t="shared" ca="1" si="35"/>
        <v>0</v>
      </c>
      <c r="X222">
        <f t="shared" ca="1" si="36"/>
        <v>0</v>
      </c>
      <c r="Y222">
        <f t="shared" ca="1" si="37"/>
        <v>0</v>
      </c>
      <c r="Z222">
        <f t="shared" ca="1" si="38"/>
        <v>0</v>
      </c>
      <c r="AA222">
        <f t="shared" ca="1" si="39"/>
        <v>0</v>
      </c>
    </row>
    <row r="223" spans="1:27" x14ac:dyDescent="0.25">
      <c r="A223">
        <f t="shared" ca="1" si="32"/>
        <v>0</v>
      </c>
      <c r="B223" t="str">
        <f t="shared" ca="1" si="33"/>
        <v/>
      </c>
      <c r="C223" t="str">
        <f t="shared" si="34"/>
        <v>GPIO</v>
      </c>
      <c r="D223" t="s">
        <v>253</v>
      </c>
      <c r="E223" t="s">
        <v>253</v>
      </c>
      <c r="F223" s="3" t="s">
        <v>2697</v>
      </c>
      <c r="G223" s="11" t="s">
        <v>1008</v>
      </c>
      <c r="H223" s="11" t="s">
        <v>242</v>
      </c>
      <c r="I223" s="3" t="s">
        <v>253</v>
      </c>
      <c r="J223" s="3" t="s">
        <v>253</v>
      </c>
      <c r="K223" s="3" t="s">
        <v>253</v>
      </c>
      <c r="L223" s="3" t="s">
        <v>253</v>
      </c>
      <c r="M223">
        <f>IF(LEN(H223),MATCH(H223,'MPIO_SFIO Table'!$A$11:$A$65525,0)-1,"")</f>
        <v>261</v>
      </c>
      <c r="N223" t="str">
        <f>IF(LEN(I223),MATCH(I223,'MPIO_SFIO Table'!$A$11:$A$65525,0)-1,"")</f>
        <v/>
      </c>
      <c r="O223" t="str">
        <f>IF(LEN(J223),MATCH(J223,'MPIO_SFIO Table'!$A$11:$A$65525,0)-1,"")</f>
        <v/>
      </c>
      <c r="P223" t="str">
        <f>IF(LEN(K223),MATCH(K223,'MPIO_SFIO Table'!$A$11:$A$65525,0)-1,"")</f>
        <v/>
      </c>
      <c r="Q223" t="str">
        <f>IF(LEN(L223),MATCH(L223,'MPIO_SFIO Table'!$A$11:$A$65525,0)-1,"")</f>
        <v/>
      </c>
      <c r="R223" t="str">
        <f ca="1">IF(ISNUMBER(M223),OFFSET('MPIO_SFIO Table'!$AJ$11,M223,0),"")</f>
        <v>unused_VI_D4</v>
      </c>
      <c r="S223" t="str">
        <f ca="1">IF(ISNUMBER(N223),OFFSET('MPIO_SFIO Table'!$AJ$11,N223,0),"")</f>
        <v/>
      </c>
      <c r="T223" t="str">
        <f ca="1">IF(ISNUMBER(O223),OFFSET('MPIO_SFIO Table'!$AJ$11,O223,0),"")</f>
        <v/>
      </c>
      <c r="U223" t="str">
        <f ca="1">IF(ISNUMBER(P223),OFFSET('MPIO_SFIO Table'!$AJ$11,P223,0),"")</f>
        <v/>
      </c>
      <c r="V223" t="str">
        <f ca="1">IF(ISNUMBER(Q223),OFFSET('MPIO_SFIO Table'!$AJ$11,Q223,0),"")</f>
        <v/>
      </c>
      <c r="W223">
        <f t="shared" ca="1" si="35"/>
        <v>0</v>
      </c>
      <c r="X223">
        <f t="shared" ca="1" si="36"/>
        <v>0</v>
      </c>
      <c r="Y223">
        <f t="shared" ca="1" si="37"/>
        <v>0</v>
      </c>
      <c r="Z223">
        <f t="shared" ca="1" si="38"/>
        <v>0</v>
      </c>
      <c r="AA223">
        <f t="shared" ca="1" si="39"/>
        <v>0</v>
      </c>
    </row>
    <row r="224" spans="1:27" x14ac:dyDescent="0.25">
      <c r="A224">
        <f t="shared" ca="1" si="32"/>
        <v>0</v>
      </c>
      <c r="B224" t="str">
        <f t="shared" ca="1" si="33"/>
        <v/>
      </c>
      <c r="C224" t="str">
        <f t="shared" si="34"/>
        <v>GPIO</v>
      </c>
      <c r="D224" t="s">
        <v>253</v>
      </c>
      <c r="E224" t="s">
        <v>253</v>
      </c>
      <c r="F224" s="3" t="s">
        <v>2698</v>
      </c>
      <c r="G224" s="11" t="s">
        <v>1009</v>
      </c>
      <c r="H224" s="11" t="s">
        <v>243</v>
      </c>
      <c r="I224" s="3" t="s">
        <v>253</v>
      </c>
      <c r="J224" s="3" t="s">
        <v>253</v>
      </c>
      <c r="K224" s="3" t="s">
        <v>253</v>
      </c>
      <c r="L224" s="3" t="s">
        <v>253</v>
      </c>
      <c r="M224">
        <f>IF(LEN(H224),MATCH(H224,'MPIO_SFIO Table'!$A$11:$A$65525,0)-1,"")</f>
        <v>262</v>
      </c>
      <c r="N224" t="str">
        <f>IF(LEN(I224),MATCH(I224,'MPIO_SFIO Table'!$A$11:$A$65525,0)-1,"")</f>
        <v/>
      </c>
      <c r="O224" t="str">
        <f>IF(LEN(J224),MATCH(J224,'MPIO_SFIO Table'!$A$11:$A$65525,0)-1,"")</f>
        <v/>
      </c>
      <c r="P224" t="str">
        <f>IF(LEN(K224),MATCH(K224,'MPIO_SFIO Table'!$A$11:$A$65525,0)-1,"")</f>
        <v/>
      </c>
      <c r="Q224" t="str">
        <f>IF(LEN(L224),MATCH(L224,'MPIO_SFIO Table'!$A$11:$A$65525,0)-1,"")</f>
        <v/>
      </c>
      <c r="R224" t="str">
        <f ca="1">IF(ISNUMBER(M224),OFFSET('MPIO_SFIO Table'!$AJ$11,M224,0),"")</f>
        <v>unused_VI_D5</v>
      </c>
      <c r="S224" t="str">
        <f ca="1">IF(ISNUMBER(N224),OFFSET('MPIO_SFIO Table'!$AJ$11,N224,0),"")</f>
        <v/>
      </c>
      <c r="T224" t="str">
        <f ca="1">IF(ISNUMBER(O224),OFFSET('MPIO_SFIO Table'!$AJ$11,O224,0),"")</f>
        <v/>
      </c>
      <c r="U224" t="str">
        <f ca="1">IF(ISNUMBER(P224),OFFSET('MPIO_SFIO Table'!$AJ$11,P224,0),"")</f>
        <v/>
      </c>
      <c r="V224" t="str">
        <f ca="1">IF(ISNUMBER(Q224),OFFSET('MPIO_SFIO Table'!$AJ$11,Q224,0),"")</f>
        <v/>
      </c>
      <c r="W224">
        <f t="shared" ca="1" si="35"/>
        <v>0</v>
      </c>
      <c r="X224">
        <f t="shared" ca="1" si="36"/>
        <v>0</v>
      </c>
      <c r="Y224">
        <f t="shared" ca="1" si="37"/>
        <v>0</v>
      </c>
      <c r="Z224">
        <f t="shared" ca="1" si="38"/>
        <v>0</v>
      </c>
      <c r="AA224">
        <f t="shared" ca="1" si="39"/>
        <v>0</v>
      </c>
    </row>
    <row r="225" spans="1:27" x14ac:dyDescent="0.25">
      <c r="A225">
        <f t="shared" ca="1" si="32"/>
        <v>0</v>
      </c>
      <c r="B225" t="str">
        <f t="shared" ca="1" si="33"/>
        <v/>
      </c>
      <c r="C225" t="str">
        <f t="shared" si="34"/>
        <v>GPIO</v>
      </c>
      <c r="D225" t="s">
        <v>253</v>
      </c>
      <c r="E225" t="s">
        <v>253</v>
      </c>
      <c r="F225" s="3" t="s">
        <v>2699</v>
      </c>
      <c r="G225" s="11" t="s">
        <v>1010</v>
      </c>
      <c r="H225" s="11" t="s">
        <v>244</v>
      </c>
      <c r="I225" s="3" t="s">
        <v>253</v>
      </c>
      <c r="J225" s="3" t="s">
        <v>253</v>
      </c>
      <c r="K225" s="3" t="s">
        <v>253</v>
      </c>
      <c r="L225" s="3" t="s">
        <v>253</v>
      </c>
      <c r="M225">
        <f>IF(LEN(H225),MATCH(H225,'MPIO_SFIO Table'!$A$11:$A$65525,0)-1,"")</f>
        <v>263</v>
      </c>
      <c r="N225" t="str">
        <f>IF(LEN(I225),MATCH(I225,'MPIO_SFIO Table'!$A$11:$A$65525,0)-1,"")</f>
        <v/>
      </c>
      <c r="O225" t="str">
        <f>IF(LEN(J225),MATCH(J225,'MPIO_SFIO Table'!$A$11:$A$65525,0)-1,"")</f>
        <v/>
      </c>
      <c r="P225" t="str">
        <f>IF(LEN(K225),MATCH(K225,'MPIO_SFIO Table'!$A$11:$A$65525,0)-1,"")</f>
        <v/>
      </c>
      <c r="Q225" t="str">
        <f>IF(LEN(L225),MATCH(L225,'MPIO_SFIO Table'!$A$11:$A$65525,0)-1,"")</f>
        <v/>
      </c>
      <c r="R225" t="str">
        <f ca="1">IF(ISNUMBER(M225),OFFSET('MPIO_SFIO Table'!$AJ$11,M225,0),"")</f>
        <v>unused_VI_D6</v>
      </c>
      <c r="S225" t="str">
        <f ca="1">IF(ISNUMBER(N225),OFFSET('MPIO_SFIO Table'!$AJ$11,N225,0),"")</f>
        <v/>
      </c>
      <c r="T225" t="str">
        <f ca="1">IF(ISNUMBER(O225),OFFSET('MPIO_SFIO Table'!$AJ$11,O225,0),"")</f>
        <v/>
      </c>
      <c r="U225" t="str">
        <f ca="1">IF(ISNUMBER(P225),OFFSET('MPIO_SFIO Table'!$AJ$11,P225,0),"")</f>
        <v/>
      </c>
      <c r="V225" t="str">
        <f ca="1">IF(ISNUMBER(Q225),OFFSET('MPIO_SFIO Table'!$AJ$11,Q225,0),"")</f>
        <v/>
      </c>
      <c r="W225">
        <f t="shared" ca="1" si="35"/>
        <v>0</v>
      </c>
      <c r="X225">
        <f t="shared" ca="1" si="36"/>
        <v>0</v>
      </c>
      <c r="Y225">
        <f t="shared" ca="1" si="37"/>
        <v>0</v>
      </c>
      <c r="Z225">
        <f t="shared" ca="1" si="38"/>
        <v>0</v>
      </c>
      <c r="AA225">
        <f t="shared" ca="1" si="39"/>
        <v>0</v>
      </c>
    </row>
    <row r="226" spans="1:27" x14ac:dyDescent="0.25">
      <c r="A226">
        <f t="shared" ca="1" si="32"/>
        <v>0</v>
      </c>
      <c r="B226" t="str">
        <f t="shared" ca="1" si="33"/>
        <v/>
      </c>
      <c r="C226" t="str">
        <f t="shared" si="34"/>
        <v>GPIO</v>
      </c>
      <c r="D226" t="s">
        <v>253</v>
      </c>
      <c r="E226" t="s">
        <v>253</v>
      </c>
      <c r="F226" s="3" t="s">
        <v>2700</v>
      </c>
      <c r="G226" s="11" t="s">
        <v>1011</v>
      </c>
      <c r="H226" s="11" t="s">
        <v>245</v>
      </c>
      <c r="I226" s="3" t="s">
        <v>253</v>
      </c>
      <c r="J226" s="3" t="s">
        <v>253</v>
      </c>
      <c r="K226" s="3" t="s">
        <v>253</v>
      </c>
      <c r="L226" s="3" t="s">
        <v>253</v>
      </c>
      <c r="M226">
        <f>IF(LEN(H226),MATCH(H226,'MPIO_SFIO Table'!$A$11:$A$65525,0)-1,"")</f>
        <v>264</v>
      </c>
      <c r="N226" t="str">
        <f>IF(LEN(I226),MATCH(I226,'MPIO_SFIO Table'!$A$11:$A$65525,0)-1,"")</f>
        <v/>
      </c>
      <c r="O226" t="str">
        <f>IF(LEN(J226),MATCH(J226,'MPIO_SFIO Table'!$A$11:$A$65525,0)-1,"")</f>
        <v/>
      </c>
      <c r="P226" t="str">
        <f>IF(LEN(K226),MATCH(K226,'MPIO_SFIO Table'!$A$11:$A$65525,0)-1,"")</f>
        <v/>
      </c>
      <c r="Q226" t="str">
        <f>IF(LEN(L226),MATCH(L226,'MPIO_SFIO Table'!$A$11:$A$65525,0)-1,"")</f>
        <v/>
      </c>
      <c r="R226" t="str">
        <f ca="1">IF(ISNUMBER(M226),OFFSET('MPIO_SFIO Table'!$AJ$11,M226,0),"")</f>
        <v>unused_VI_D7</v>
      </c>
      <c r="S226" t="str">
        <f ca="1">IF(ISNUMBER(N226),OFFSET('MPIO_SFIO Table'!$AJ$11,N226,0),"")</f>
        <v/>
      </c>
      <c r="T226" t="str">
        <f ca="1">IF(ISNUMBER(O226),OFFSET('MPIO_SFIO Table'!$AJ$11,O226,0),"")</f>
        <v/>
      </c>
      <c r="U226" t="str">
        <f ca="1">IF(ISNUMBER(P226),OFFSET('MPIO_SFIO Table'!$AJ$11,P226,0),"")</f>
        <v/>
      </c>
      <c r="V226" t="str">
        <f ca="1">IF(ISNUMBER(Q226),OFFSET('MPIO_SFIO Table'!$AJ$11,Q226,0),"")</f>
        <v/>
      </c>
      <c r="W226">
        <f t="shared" ca="1" si="35"/>
        <v>0</v>
      </c>
      <c r="X226">
        <f t="shared" ca="1" si="36"/>
        <v>0</v>
      </c>
      <c r="Y226">
        <f t="shared" ca="1" si="37"/>
        <v>0</v>
      </c>
      <c r="Z226">
        <f t="shared" ca="1" si="38"/>
        <v>0</v>
      </c>
      <c r="AA226">
        <f t="shared" ca="1" si="39"/>
        <v>0</v>
      </c>
    </row>
    <row r="227" spans="1:27" x14ac:dyDescent="0.25">
      <c r="A227">
        <f t="shared" ca="1" si="32"/>
        <v>0</v>
      </c>
      <c r="B227" t="str">
        <f t="shared" ca="1" si="33"/>
        <v/>
      </c>
      <c r="C227" t="str">
        <f t="shared" si="34"/>
        <v>GPIO</v>
      </c>
      <c r="D227" t="s">
        <v>253</v>
      </c>
      <c r="E227" t="s">
        <v>253</v>
      </c>
      <c r="F227" s="3" t="s">
        <v>2701</v>
      </c>
      <c r="G227" s="11" t="s">
        <v>1012</v>
      </c>
      <c r="H227" s="11" t="s">
        <v>246</v>
      </c>
      <c r="I227" s="3" t="s">
        <v>253</v>
      </c>
      <c r="J227" s="3" t="s">
        <v>253</v>
      </c>
      <c r="K227" s="3" t="s">
        <v>253</v>
      </c>
      <c r="L227" s="3" t="s">
        <v>253</v>
      </c>
      <c r="M227">
        <f>IF(LEN(H227),MATCH(H227,'MPIO_SFIO Table'!$A$11:$A$65525,0)-1,"")</f>
        <v>265</v>
      </c>
      <c r="N227" t="str">
        <f>IF(LEN(I227),MATCH(I227,'MPIO_SFIO Table'!$A$11:$A$65525,0)-1,"")</f>
        <v/>
      </c>
      <c r="O227" t="str">
        <f>IF(LEN(J227),MATCH(J227,'MPIO_SFIO Table'!$A$11:$A$65525,0)-1,"")</f>
        <v/>
      </c>
      <c r="P227" t="str">
        <f>IF(LEN(K227),MATCH(K227,'MPIO_SFIO Table'!$A$11:$A$65525,0)-1,"")</f>
        <v/>
      </c>
      <c r="Q227" t="str">
        <f>IF(LEN(L227),MATCH(L227,'MPIO_SFIO Table'!$A$11:$A$65525,0)-1,"")</f>
        <v/>
      </c>
      <c r="R227" t="str">
        <f ca="1">IF(ISNUMBER(M227),OFFSET('MPIO_SFIO Table'!$AJ$11,M227,0),"")</f>
        <v>unused_VI_D8</v>
      </c>
      <c r="S227" t="str">
        <f ca="1">IF(ISNUMBER(N227),OFFSET('MPIO_SFIO Table'!$AJ$11,N227,0),"")</f>
        <v/>
      </c>
      <c r="T227" t="str">
        <f ca="1">IF(ISNUMBER(O227),OFFSET('MPIO_SFIO Table'!$AJ$11,O227,0),"")</f>
        <v/>
      </c>
      <c r="U227" t="str">
        <f ca="1">IF(ISNUMBER(P227),OFFSET('MPIO_SFIO Table'!$AJ$11,P227,0),"")</f>
        <v/>
      </c>
      <c r="V227" t="str">
        <f ca="1">IF(ISNUMBER(Q227),OFFSET('MPIO_SFIO Table'!$AJ$11,Q227,0),"")</f>
        <v/>
      </c>
      <c r="W227">
        <f t="shared" ca="1" si="35"/>
        <v>0</v>
      </c>
      <c r="X227">
        <f t="shared" ca="1" si="36"/>
        <v>0</v>
      </c>
      <c r="Y227">
        <f t="shared" ca="1" si="37"/>
        <v>0</v>
      </c>
      <c r="Z227">
        <f t="shared" ca="1" si="38"/>
        <v>0</v>
      </c>
      <c r="AA227">
        <f t="shared" ca="1" si="39"/>
        <v>0</v>
      </c>
    </row>
    <row r="228" spans="1:27" x14ac:dyDescent="0.25">
      <c r="A228">
        <f t="shared" ca="1" si="32"/>
        <v>0</v>
      </c>
      <c r="B228" t="str">
        <f t="shared" ca="1" si="33"/>
        <v/>
      </c>
      <c r="C228" t="str">
        <f t="shared" si="34"/>
        <v>GPIO</v>
      </c>
      <c r="D228" t="s">
        <v>253</v>
      </c>
      <c r="E228" t="s">
        <v>253</v>
      </c>
      <c r="F228" s="3" t="s">
        <v>2702</v>
      </c>
      <c r="G228" s="11" t="s">
        <v>1013</v>
      </c>
      <c r="H228" s="11" t="s">
        <v>247</v>
      </c>
      <c r="I228" s="3" t="s">
        <v>253</v>
      </c>
      <c r="J228" s="3" t="s">
        <v>253</v>
      </c>
      <c r="K228" s="3" t="s">
        <v>253</v>
      </c>
      <c r="L228" s="3" t="s">
        <v>253</v>
      </c>
      <c r="M228">
        <f>IF(LEN(H228),MATCH(H228,'MPIO_SFIO Table'!$A$11:$A$65525,0)-1,"")</f>
        <v>266</v>
      </c>
      <c r="N228" t="str">
        <f>IF(LEN(I228),MATCH(I228,'MPIO_SFIO Table'!$A$11:$A$65525,0)-1,"")</f>
        <v/>
      </c>
      <c r="O228" t="str">
        <f>IF(LEN(J228),MATCH(J228,'MPIO_SFIO Table'!$A$11:$A$65525,0)-1,"")</f>
        <v/>
      </c>
      <c r="P228" t="str">
        <f>IF(LEN(K228),MATCH(K228,'MPIO_SFIO Table'!$A$11:$A$65525,0)-1,"")</f>
        <v/>
      </c>
      <c r="Q228" t="str">
        <f>IF(LEN(L228),MATCH(L228,'MPIO_SFIO Table'!$A$11:$A$65525,0)-1,"")</f>
        <v/>
      </c>
      <c r="R228" t="str">
        <f ca="1">IF(ISNUMBER(M228),OFFSET('MPIO_SFIO Table'!$AJ$11,M228,0),"")</f>
        <v>unused_VI_D9</v>
      </c>
      <c r="S228" t="str">
        <f ca="1">IF(ISNUMBER(N228),OFFSET('MPIO_SFIO Table'!$AJ$11,N228,0),"")</f>
        <v/>
      </c>
      <c r="T228" t="str">
        <f ca="1">IF(ISNUMBER(O228),OFFSET('MPIO_SFIO Table'!$AJ$11,O228,0),"")</f>
        <v/>
      </c>
      <c r="U228" t="str">
        <f ca="1">IF(ISNUMBER(P228),OFFSET('MPIO_SFIO Table'!$AJ$11,P228,0),"")</f>
        <v/>
      </c>
      <c r="V228" t="str">
        <f ca="1">IF(ISNUMBER(Q228),OFFSET('MPIO_SFIO Table'!$AJ$11,Q228,0),"")</f>
        <v/>
      </c>
      <c r="W228">
        <f t="shared" ca="1" si="35"/>
        <v>0</v>
      </c>
      <c r="X228">
        <f t="shared" ca="1" si="36"/>
        <v>0</v>
      </c>
      <c r="Y228">
        <f t="shared" ca="1" si="37"/>
        <v>0</v>
      </c>
      <c r="Z228">
        <f t="shared" ca="1" si="38"/>
        <v>0</v>
      </c>
      <c r="AA228">
        <f t="shared" ca="1" si="39"/>
        <v>0</v>
      </c>
    </row>
    <row r="229" spans="1:27" x14ac:dyDescent="0.25">
      <c r="A229">
        <f t="shared" ca="1" si="32"/>
        <v>0</v>
      </c>
      <c r="B229" t="str">
        <f t="shared" ca="1" si="33"/>
        <v/>
      </c>
      <c r="C229" t="str">
        <f t="shared" si="34"/>
        <v>GPIO</v>
      </c>
      <c r="D229" t="s">
        <v>253</v>
      </c>
      <c r="E229" t="s">
        <v>253</v>
      </c>
      <c r="F229" s="3" t="s">
        <v>2703</v>
      </c>
      <c r="G229" s="11" t="s">
        <v>879</v>
      </c>
      <c r="H229" s="11" t="s">
        <v>112</v>
      </c>
      <c r="I229" s="3" t="s">
        <v>253</v>
      </c>
      <c r="J229" s="3" t="s">
        <v>253</v>
      </c>
      <c r="K229" s="3" t="s">
        <v>253</v>
      </c>
      <c r="L229" s="3" t="s">
        <v>253</v>
      </c>
      <c r="M229">
        <f>IF(LEN(H229),MATCH(H229,'MPIO_SFIO Table'!$A$11:$A$65525,0)-1,"")</f>
        <v>108</v>
      </c>
      <c r="N229" t="str">
        <f>IF(LEN(I229),MATCH(I229,'MPIO_SFIO Table'!$A$11:$A$65525,0)-1,"")</f>
        <v/>
      </c>
      <c r="O229" t="str">
        <f>IF(LEN(J229),MATCH(J229,'MPIO_SFIO Table'!$A$11:$A$65525,0)-1,"")</f>
        <v/>
      </c>
      <c r="P229" t="str">
        <f>IF(LEN(K229),MATCH(K229,'MPIO_SFIO Table'!$A$11:$A$65525,0)-1,"")</f>
        <v/>
      </c>
      <c r="Q229" t="str">
        <f>IF(LEN(L229),MATCH(L229,'MPIO_SFIO Table'!$A$11:$A$65525,0)-1,"")</f>
        <v/>
      </c>
      <c r="R229" t="str">
        <f ca="1">IF(ISNUMBER(M229),OFFSET('MPIO_SFIO Table'!$AJ$11,M229,0),"")</f>
        <v>unused_LCD_D16</v>
      </c>
      <c r="S229" t="str">
        <f ca="1">IF(ISNUMBER(N229),OFFSET('MPIO_SFIO Table'!$AJ$11,N229,0),"")</f>
        <v/>
      </c>
      <c r="T229" t="str">
        <f ca="1">IF(ISNUMBER(O229),OFFSET('MPIO_SFIO Table'!$AJ$11,O229,0),"")</f>
        <v/>
      </c>
      <c r="U229" t="str">
        <f ca="1">IF(ISNUMBER(P229),OFFSET('MPIO_SFIO Table'!$AJ$11,P229,0),"")</f>
        <v/>
      </c>
      <c r="V229" t="str">
        <f ca="1">IF(ISNUMBER(Q229),OFFSET('MPIO_SFIO Table'!$AJ$11,Q229,0),"")</f>
        <v/>
      </c>
      <c r="W229">
        <f t="shared" ca="1" si="35"/>
        <v>0</v>
      </c>
      <c r="X229">
        <f t="shared" ca="1" si="36"/>
        <v>0</v>
      </c>
      <c r="Y229">
        <f t="shared" ca="1" si="37"/>
        <v>0</v>
      </c>
      <c r="Z229">
        <f t="shared" ca="1" si="38"/>
        <v>0</v>
      </c>
      <c r="AA229">
        <f t="shared" ca="1" si="39"/>
        <v>0</v>
      </c>
    </row>
    <row r="230" spans="1:27" x14ac:dyDescent="0.25">
      <c r="A230">
        <f t="shared" ca="1" si="32"/>
        <v>0</v>
      </c>
      <c r="B230" t="str">
        <f t="shared" ca="1" si="33"/>
        <v/>
      </c>
      <c r="C230" t="str">
        <f t="shared" si="34"/>
        <v>GPIO</v>
      </c>
      <c r="D230" t="s">
        <v>253</v>
      </c>
      <c r="E230" t="s">
        <v>253</v>
      </c>
      <c r="F230" s="3" t="s">
        <v>2704</v>
      </c>
      <c r="G230" s="11" t="s">
        <v>880</v>
      </c>
      <c r="H230" s="11" t="s">
        <v>113</v>
      </c>
      <c r="I230" s="3" t="s">
        <v>253</v>
      </c>
      <c r="J230" s="3" t="s">
        <v>253</v>
      </c>
      <c r="K230" s="3" t="s">
        <v>253</v>
      </c>
      <c r="L230" s="3" t="s">
        <v>253</v>
      </c>
      <c r="M230">
        <f>IF(LEN(H230),MATCH(H230,'MPIO_SFIO Table'!$A$11:$A$65525,0)-1,"")</f>
        <v>109</v>
      </c>
      <c r="N230" t="str">
        <f>IF(LEN(I230),MATCH(I230,'MPIO_SFIO Table'!$A$11:$A$65525,0)-1,"")</f>
        <v/>
      </c>
      <c r="O230" t="str">
        <f>IF(LEN(J230),MATCH(J230,'MPIO_SFIO Table'!$A$11:$A$65525,0)-1,"")</f>
        <v/>
      </c>
      <c r="P230" t="str">
        <f>IF(LEN(K230),MATCH(K230,'MPIO_SFIO Table'!$A$11:$A$65525,0)-1,"")</f>
        <v/>
      </c>
      <c r="Q230" t="str">
        <f>IF(LEN(L230),MATCH(L230,'MPIO_SFIO Table'!$A$11:$A$65525,0)-1,"")</f>
        <v/>
      </c>
      <c r="R230" t="str">
        <f ca="1">IF(ISNUMBER(M230),OFFSET('MPIO_SFIO Table'!$AJ$11,M230,0),"")</f>
        <v>unused_LCD_D17</v>
      </c>
      <c r="S230" t="str">
        <f ca="1">IF(ISNUMBER(N230),OFFSET('MPIO_SFIO Table'!$AJ$11,N230,0),"")</f>
        <v/>
      </c>
      <c r="T230" t="str">
        <f ca="1">IF(ISNUMBER(O230),OFFSET('MPIO_SFIO Table'!$AJ$11,O230,0),"")</f>
        <v/>
      </c>
      <c r="U230" t="str">
        <f ca="1">IF(ISNUMBER(P230),OFFSET('MPIO_SFIO Table'!$AJ$11,P230,0),"")</f>
        <v/>
      </c>
      <c r="V230" t="str">
        <f ca="1">IF(ISNUMBER(Q230),OFFSET('MPIO_SFIO Table'!$AJ$11,Q230,0),"")</f>
        <v/>
      </c>
      <c r="W230">
        <f t="shared" ca="1" si="35"/>
        <v>0</v>
      </c>
      <c r="X230">
        <f t="shared" ca="1" si="36"/>
        <v>0</v>
      </c>
      <c r="Y230">
        <f t="shared" ca="1" si="37"/>
        <v>0</v>
      </c>
      <c r="Z230">
        <f t="shared" ca="1" si="38"/>
        <v>0</v>
      </c>
      <c r="AA230">
        <f t="shared" ca="1" si="39"/>
        <v>0</v>
      </c>
    </row>
    <row r="231" spans="1:27" x14ac:dyDescent="0.25">
      <c r="A231">
        <f t="shared" ca="1" si="32"/>
        <v>0</v>
      </c>
      <c r="B231" t="str">
        <f t="shared" ca="1" si="33"/>
        <v/>
      </c>
      <c r="C231" t="str">
        <f t="shared" si="34"/>
        <v>GPIO</v>
      </c>
      <c r="D231" t="s">
        <v>253</v>
      </c>
      <c r="E231" t="s">
        <v>253</v>
      </c>
      <c r="F231" s="3" t="s">
        <v>2705</v>
      </c>
      <c r="G231" s="11" t="s">
        <v>881</v>
      </c>
      <c r="H231" s="11" t="s">
        <v>114</v>
      </c>
      <c r="I231" s="3" t="s">
        <v>253</v>
      </c>
      <c r="J231" s="3" t="s">
        <v>253</v>
      </c>
      <c r="K231" s="3" t="s">
        <v>253</v>
      </c>
      <c r="L231" s="3" t="s">
        <v>253</v>
      </c>
      <c r="M231">
        <f>IF(LEN(H231),MATCH(H231,'MPIO_SFIO Table'!$A$11:$A$65525,0)-1,"")</f>
        <v>110</v>
      </c>
      <c r="N231" t="str">
        <f>IF(LEN(I231),MATCH(I231,'MPIO_SFIO Table'!$A$11:$A$65525,0)-1,"")</f>
        <v/>
      </c>
      <c r="O231" t="str">
        <f>IF(LEN(J231),MATCH(J231,'MPIO_SFIO Table'!$A$11:$A$65525,0)-1,"")</f>
        <v/>
      </c>
      <c r="P231" t="str">
        <f>IF(LEN(K231),MATCH(K231,'MPIO_SFIO Table'!$A$11:$A$65525,0)-1,"")</f>
        <v/>
      </c>
      <c r="Q231" t="str">
        <f>IF(LEN(L231),MATCH(L231,'MPIO_SFIO Table'!$A$11:$A$65525,0)-1,"")</f>
        <v/>
      </c>
      <c r="R231" t="str">
        <f ca="1">IF(ISNUMBER(M231),OFFSET('MPIO_SFIO Table'!$AJ$11,M231,0),"")</f>
        <v>unused_LCD_D18</v>
      </c>
      <c r="S231" t="str">
        <f ca="1">IF(ISNUMBER(N231),OFFSET('MPIO_SFIO Table'!$AJ$11,N231,0),"")</f>
        <v/>
      </c>
      <c r="T231" t="str">
        <f ca="1">IF(ISNUMBER(O231),OFFSET('MPIO_SFIO Table'!$AJ$11,O231,0),"")</f>
        <v/>
      </c>
      <c r="U231" t="str">
        <f ca="1">IF(ISNUMBER(P231),OFFSET('MPIO_SFIO Table'!$AJ$11,P231,0),"")</f>
        <v/>
      </c>
      <c r="V231" t="str">
        <f ca="1">IF(ISNUMBER(Q231),OFFSET('MPIO_SFIO Table'!$AJ$11,Q231,0),"")</f>
        <v/>
      </c>
      <c r="W231">
        <f t="shared" ca="1" si="35"/>
        <v>0</v>
      </c>
      <c r="X231">
        <f t="shared" ca="1" si="36"/>
        <v>0</v>
      </c>
      <c r="Y231">
        <f t="shared" ca="1" si="37"/>
        <v>0</v>
      </c>
      <c r="Z231">
        <f t="shared" ca="1" si="38"/>
        <v>0</v>
      </c>
      <c r="AA231">
        <f t="shared" ca="1" si="39"/>
        <v>0</v>
      </c>
    </row>
    <row r="232" spans="1:27" x14ac:dyDescent="0.25">
      <c r="A232">
        <f t="shared" ca="1" si="32"/>
        <v>0</v>
      </c>
      <c r="B232" t="str">
        <f t="shared" ca="1" si="33"/>
        <v/>
      </c>
      <c r="C232" t="str">
        <f t="shared" si="34"/>
        <v>GPIO</v>
      </c>
      <c r="D232" t="s">
        <v>253</v>
      </c>
      <c r="E232" t="s">
        <v>253</v>
      </c>
      <c r="F232" s="3" t="s">
        <v>2706</v>
      </c>
      <c r="G232" s="11" t="s">
        <v>882</v>
      </c>
      <c r="H232" s="11" t="s">
        <v>115</v>
      </c>
      <c r="I232" s="3" t="s">
        <v>253</v>
      </c>
      <c r="J232" s="3" t="s">
        <v>253</v>
      </c>
      <c r="K232" s="3" t="s">
        <v>253</v>
      </c>
      <c r="L232" s="3" t="s">
        <v>253</v>
      </c>
      <c r="M232">
        <f>IF(LEN(H232),MATCH(H232,'MPIO_SFIO Table'!$A$11:$A$65525,0)-1,"")</f>
        <v>111</v>
      </c>
      <c r="N232" t="str">
        <f>IF(LEN(I232),MATCH(I232,'MPIO_SFIO Table'!$A$11:$A$65525,0)-1,"")</f>
        <v/>
      </c>
      <c r="O232" t="str">
        <f>IF(LEN(J232),MATCH(J232,'MPIO_SFIO Table'!$A$11:$A$65525,0)-1,"")</f>
        <v/>
      </c>
      <c r="P232" t="str">
        <f>IF(LEN(K232),MATCH(K232,'MPIO_SFIO Table'!$A$11:$A$65525,0)-1,"")</f>
        <v/>
      </c>
      <c r="Q232" t="str">
        <f>IF(LEN(L232),MATCH(L232,'MPIO_SFIO Table'!$A$11:$A$65525,0)-1,"")</f>
        <v/>
      </c>
      <c r="R232" t="str">
        <f ca="1">IF(ISNUMBER(M232),OFFSET('MPIO_SFIO Table'!$AJ$11,M232,0),"")</f>
        <v>unused_LCD_D19</v>
      </c>
      <c r="S232" t="str">
        <f ca="1">IF(ISNUMBER(N232),OFFSET('MPIO_SFIO Table'!$AJ$11,N232,0),"")</f>
        <v/>
      </c>
      <c r="T232" t="str">
        <f ca="1">IF(ISNUMBER(O232),OFFSET('MPIO_SFIO Table'!$AJ$11,O232,0),"")</f>
        <v/>
      </c>
      <c r="U232" t="str">
        <f ca="1">IF(ISNUMBER(P232),OFFSET('MPIO_SFIO Table'!$AJ$11,P232,0),"")</f>
        <v/>
      </c>
      <c r="V232" t="str">
        <f ca="1">IF(ISNUMBER(Q232),OFFSET('MPIO_SFIO Table'!$AJ$11,Q232,0),"")</f>
        <v/>
      </c>
      <c r="W232">
        <f t="shared" ca="1" si="35"/>
        <v>0</v>
      </c>
      <c r="X232">
        <f t="shared" ca="1" si="36"/>
        <v>0</v>
      </c>
      <c r="Y232">
        <f t="shared" ca="1" si="37"/>
        <v>0</v>
      </c>
      <c r="Z232">
        <f t="shared" ca="1" si="38"/>
        <v>0</v>
      </c>
      <c r="AA232">
        <f t="shared" ca="1" si="39"/>
        <v>0</v>
      </c>
    </row>
    <row r="233" spans="1:27" x14ac:dyDescent="0.25">
      <c r="A233">
        <f t="shared" ca="1" si="32"/>
        <v>0</v>
      </c>
      <c r="B233" t="str">
        <f t="shared" ca="1" si="33"/>
        <v/>
      </c>
      <c r="C233" t="str">
        <f t="shared" si="34"/>
        <v>GPIO</v>
      </c>
      <c r="D233" t="s">
        <v>253</v>
      </c>
      <c r="E233" t="s">
        <v>253</v>
      </c>
      <c r="F233" s="3" t="s">
        <v>2707</v>
      </c>
      <c r="G233" s="11" t="s">
        <v>884</v>
      </c>
      <c r="H233" s="11" t="s">
        <v>117</v>
      </c>
      <c r="I233" s="3" t="s">
        <v>253</v>
      </c>
      <c r="J233" s="3" t="s">
        <v>253</v>
      </c>
      <c r="K233" s="3" t="s">
        <v>253</v>
      </c>
      <c r="L233" s="3" t="s">
        <v>253</v>
      </c>
      <c r="M233">
        <f>IF(LEN(H233),MATCH(H233,'MPIO_SFIO Table'!$A$11:$A$65525,0)-1,"")</f>
        <v>113</v>
      </c>
      <c r="N233" t="str">
        <f>IF(LEN(I233),MATCH(I233,'MPIO_SFIO Table'!$A$11:$A$65525,0)-1,"")</f>
        <v/>
      </c>
      <c r="O233" t="str">
        <f>IF(LEN(J233),MATCH(J233,'MPIO_SFIO Table'!$A$11:$A$65525,0)-1,"")</f>
        <v/>
      </c>
      <c r="P233" t="str">
        <f>IF(LEN(K233),MATCH(K233,'MPIO_SFIO Table'!$A$11:$A$65525,0)-1,"")</f>
        <v/>
      </c>
      <c r="Q233" t="str">
        <f>IF(LEN(L233),MATCH(L233,'MPIO_SFIO Table'!$A$11:$A$65525,0)-1,"")</f>
        <v/>
      </c>
      <c r="R233" t="str">
        <f ca="1">IF(ISNUMBER(M233),OFFSET('MPIO_SFIO Table'!$AJ$11,M233,0),"")</f>
        <v>unused_LCD_D20</v>
      </c>
      <c r="S233" t="str">
        <f ca="1">IF(ISNUMBER(N233),OFFSET('MPIO_SFIO Table'!$AJ$11,N233,0),"")</f>
        <v/>
      </c>
      <c r="T233" t="str">
        <f ca="1">IF(ISNUMBER(O233),OFFSET('MPIO_SFIO Table'!$AJ$11,O233,0),"")</f>
        <v/>
      </c>
      <c r="U233" t="str">
        <f ca="1">IF(ISNUMBER(P233),OFFSET('MPIO_SFIO Table'!$AJ$11,P233,0),"")</f>
        <v/>
      </c>
      <c r="V233" t="str">
        <f ca="1">IF(ISNUMBER(Q233),OFFSET('MPIO_SFIO Table'!$AJ$11,Q233,0),"")</f>
        <v/>
      </c>
      <c r="W233">
        <f t="shared" ca="1" si="35"/>
        <v>0</v>
      </c>
      <c r="X233">
        <f t="shared" ca="1" si="36"/>
        <v>0</v>
      </c>
      <c r="Y233">
        <f t="shared" ca="1" si="37"/>
        <v>0</v>
      </c>
      <c r="Z233">
        <f t="shared" ca="1" si="38"/>
        <v>0</v>
      </c>
      <c r="AA233">
        <f t="shared" ca="1" si="39"/>
        <v>0</v>
      </c>
    </row>
    <row r="234" spans="1:27" x14ac:dyDescent="0.25">
      <c r="A234">
        <f t="shared" ca="1" si="32"/>
        <v>0</v>
      </c>
      <c r="B234" t="str">
        <f t="shared" ca="1" si="33"/>
        <v/>
      </c>
      <c r="C234" t="str">
        <f t="shared" si="34"/>
        <v>GPIO</v>
      </c>
      <c r="D234" t="s">
        <v>253</v>
      </c>
      <c r="E234" t="s">
        <v>253</v>
      </c>
      <c r="F234" s="3" t="s">
        <v>2708</v>
      </c>
      <c r="G234" s="11" t="s">
        <v>885</v>
      </c>
      <c r="H234" s="11" t="s">
        <v>118</v>
      </c>
      <c r="I234" s="3" t="s">
        <v>253</v>
      </c>
      <c r="J234" s="3" t="s">
        <v>253</v>
      </c>
      <c r="K234" s="3" t="s">
        <v>253</v>
      </c>
      <c r="L234" s="3" t="s">
        <v>253</v>
      </c>
      <c r="M234">
        <f>IF(LEN(H234),MATCH(H234,'MPIO_SFIO Table'!$A$11:$A$65525,0)-1,"")</f>
        <v>114</v>
      </c>
      <c r="N234" t="str">
        <f>IF(LEN(I234),MATCH(I234,'MPIO_SFIO Table'!$A$11:$A$65525,0)-1,"")</f>
        <v/>
      </c>
      <c r="O234" t="str">
        <f>IF(LEN(J234),MATCH(J234,'MPIO_SFIO Table'!$A$11:$A$65525,0)-1,"")</f>
        <v/>
      </c>
      <c r="P234" t="str">
        <f>IF(LEN(K234),MATCH(K234,'MPIO_SFIO Table'!$A$11:$A$65525,0)-1,"")</f>
        <v/>
      </c>
      <c r="Q234" t="str">
        <f>IF(LEN(L234),MATCH(L234,'MPIO_SFIO Table'!$A$11:$A$65525,0)-1,"")</f>
        <v/>
      </c>
      <c r="R234" t="str">
        <f ca="1">IF(ISNUMBER(M234),OFFSET('MPIO_SFIO Table'!$AJ$11,M234,0),"")</f>
        <v>unused_LCD_D21</v>
      </c>
      <c r="S234" t="str">
        <f ca="1">IF(ISNUMBER(N234),OFFSET('MPIO_SFIO Table'!$AJ$11,N234,0),"")</f>
        <v/>
      </c>
      <c r="T234" t="str">
        <f ca="1">IF(ISNUMBER(O234),OFFSET('MPIO_SFIO Table'!$AJ$11,O234,0),"")</f>
        <v/>
      </c>
      <c r="U234" t="str">
        <f ca="1">IF(ISNUMBER(P234),OFFSET('MPIO_SFIO Table'!$AJ$11,P234,0),"")</f>
        <v/>
      </c>
      <c r="V234" t="str">
        <f ca="1">IF(ISNUMBER(Q234),OFFSET('MPIO_SFIO Table'!$AJ$11,Q234,0),"")</f>
        <v/>
      </c>
      <c r="W234">
        <f t="shared" ca="1" si="35"/>
        <v>0</v>
      </c>
      <c r="X234">
        <f t="shared" ca="1" si="36"/>
        <v>0</v>
      </c>
      <c r="Y234">
        <f t="shared" ca="1" si="37"/>
        <v>0</v>
      </c>
      <c r="Z234">
        <f t="shared" ca="1" si="38"/>
        <v>0</v>
      </c>
      <c r="AA234">
        <f t="shared" ca="1" si="39"/>
        <v>0</v>
      </c>
    </row>
    <row r="235" spans="1:27" x14ac:dyDescent="0.25">
      <c r="A235">
        <f t="shared" ca="1" si="32"/>
        <v>0</v>
      </c>
      <c r="B235" t="str">
        <f t="shared" ca="1" si="33"/>
        <v/>
      </c>
      <c r="C235" t="str">
        <f t="shared" si="34"/>
        <v>GPIO</v>
      </c>
      <c r="D235" t="s">
        <v>253</v>
      </c>
      <c r="E235" t="s">
        <v>253</v>
      </c>
      <c r="F235" s="3" t="s">
        <v>2709</v>
      </c>
      <c r="G235" s="11" t="s">
        <v>886</v>
      </c>
      <c r="H235" s="11" t="s">
        <v>119</v>
      </c>
      <c r="I235" s="3" t="s">
        <v>253</v>
      </c>
      <c r="J235" s="3" t="s">
        <v>253</v>
      </c>
      <c r="K235" s="3" t="s">
        <v>253</v>
      </c>
      <c r="L235" s="3" t="s">
        <v>253</v>
      </c>
      <c r="M235">
        <f>IF(LEN(H235),MATCH(H235,'MPIO_SFIO Table'!$A$11:$A$65525,0)-1,"")</f>
        <v>115</v>
      </c>
      <c r="N235" t="str">
        <f>IF(LEN(I235),MATCH(I235,'MPIO_SFIO Table'!$A$11:$A$65525,0)-1,"")</f>
        <v/>
      </c>
      <c r="O235" t="str">
        <f>IF(LEN(J235),MATCH(J235,'MPIO_SFIO Table'!$A$11:$A$65525,0)-1,"")</f>
        <v/>
      </c>
      <c r="P235" t="str">
        <f>IF(LEN(K235),MATCH(K235,'MPIO_SFIO Table'!$A$11:$A$65525,0)-1,"")</f>
        <v/>
      </c>
      <c r="Q235" t="str">
        <f>IF(LEN(L235),MATCH(L235,'MPIO_SFIO Table'!$A$11:$A$65525,0)-1,"")</f>
        <v/>
      </c>
      <c r="R235" t="str">
        <f ca="1">IF(ISNUMBER(M235),OFFSET('MPIO_SFIO Table'!$AJ$11,M235,0),"")</f>
        <v>unused_LCD_D22</v>
      </c>
      <c r="S235" t="str">
        <f ca="1">IF(ISNUMBER(N235),OFFSET('MPIO_SFIO Table'!$AJ$11,N235,0),"")</f>
        <v/>
      </c>
      <c r="T235" t="str">
        <f ca="1">IF(ISNUMBER(O235),OFFSET('MPIO_SFIO Table'!$AJ$11,O235,0),"")</f>
        <v/>
      </c>
      <c r="U235" t="str">
        <f ca="1">IF(ISNUMBER(P235),OFFSET('MPIO_SFIO Table'!$AJ$11,P235,0),"")</f>
        <v/>
      </c>
      <c r="V235" t="str">
        <f ca="1">IF(ISNUMBER(Q235),OFFSET('MPIO_SFIO Table'!$AJ$11,Q235,0),"")</f>
        <v/>
      </c>
      <c r="W235">
        <f t="shared" ca="1" si="35"/>
        <v>0</v>
      </c>
      <c r="X235">
        <f t="shared" ca="1" si="36"/>
        <v>0</v>
      </c>
      <c r="Y235">
        <f t="shared" ca="1" si="37"/>
        <v>0</v>
      </c>
      <c r="Z235">
        <f t="shared" ca="1" si="38"/>
        <v>0</v>
      </c>
      <c r="AA235">
        <f t="shared" ca="1" si="39"/>
        <v>0</v>
      </c>
    </row>
    <row r="236" spans="1:27" x14ac:dyDescent="0.25">
      <c r="A236">
        <f t="shared" ca="1" si="32"/>
        <v>0</v>
      </c>
      <c r="B236" t="str">
        <f t="shared" ca="1" si="33"/>
        <v/>
      </c>
      <c r="C236" t="str">
        <f t="shared" si="34"/>
        <v>GPIO</v>
      </c>
      <c r="D236" t="s">
        <v>253</v>
      </c>
      <c r="E236" t="s">
        <v>253</v>
      </c>
      <c r="F236" s="3" t="s">
        <v>2710</v>
      </c>
      <c r="G236" s="11" t="s">
        <v>887</v>
      </c>
      <c r="H236" s="11" t="s">
        <v>120</v>
      </c>
      <c r="I236" s="3" t="s">
        <v>253</v>
      </c>
      <c r="J236" s="3" t="s">
        <v>253</v>
      </c>
      <c r="K236" s="3" t="s">
        <v>253</v>
      </c>
      <c r="L236" s="3" t="s">
        <v>253</v>
      </c>
      <c r="M236">
        <f>IF(LEN(H236),MATCH(H236,'MPIO_SFIO Table'!$A$11:$A$65525,0)-1,"")</f>
        <v>116</v>
      </c>
      <c r="N236" t="str">
        <f>IF(LEN(I236),MATCH(I236,'MPIO_SFIO Table'!$A$11:$A$65525,0)-1,"")</f>
        <v/>
      </c>
      <c r="O236" t="str">
        <f>IF(LEN(J236),MATCH(J236,'MPIO_SFIO Table'!$A$11:$A$65525,0)-1,"")</f>
        <v/>
      </c>
      <c r="P236" t="str">
        <f>IF(LEN(K236),MATCH(K236,'MPIO_SFIO Table'!$A$11:$A$65525,0)-1,"")</f>
        <v/>
      </c>
      <c r="Q236" t="str">
        <f>IF(LEN(L236),MATCH(L236,'MPIO_SFIO Table'!$A$11:$A$65525,0)-1,"")</f>
        <v/>
      </c>
      <c r="R236" t="str">
        <f ca="1">IF(ISNUMBER(M236),OFFSET('MPIO_SFIO Table'!$AJ$11,M236,0),"")</f>
        <v>unused_LCD_D23</v>
      </c>
      <c r="S236" t="str">
        <f ca="1">IF(ISNUMBER(N236),OFFSET('MPIO_SFIO Table'!$AJ$11,N236,0),"")</f>
        <v/>
      </c>
      <c r="T236" t="str">
        <f ca="1">IF(ISNUMBER(O236),OFFSET('MPIO_SFIO Table'!$AJ$11,O236,0),"")</f>
        <v/>
      </c>
      <c r="U236" t="str">
        <f ca="1">IF(ISNUMBER(P236),OFFSET('MPIO_SFIO Table'!$AJ$11,P236,0),"")</f>
        <v/>
      </c>
      <c r="V236" t="str">
        <f ca="1">IF(ISNUMBER(Q236),OFFSET('MPIO_SFIO Table'!$AJ$11,Q236,0),"")</f>
        <v/>
      </c>
      <c r="W236">
        <f t="shared" ca="1" si="35"/>
        <v>0</v>
      </c>
      <c r="X236">
        <f t="shared" ca="1" si="36"/>
        <v>0</v>
      </c>
      <c r="Y236">
        <f t="shared" ca="1" si="37"/>
        <v>0</v>
      </c>
      <c r="Z236">
        <f t="shared" ca="1" si="38"/>
        <v>0</v>
      </c>
      <c r="AA236">
        <f t="shared" ca="1" si="39"/>
        <v>0</v>
      </c>
    </row>
    <row r="237" spans="1:27" x14ac:dyDescent="0.25">
      <c r="A237">
        <f t="shared" ca="1" si="32"/>
        <v>0</v>
      </c>
      <c r="B237" t="str">
        <f t="shared" ca="1" si="33"/>
        <v/>
      </c>
      <c r="C237" t="str">
        <f t="shared" si="34"/>
        <v>GPIO</v>
      </c>
      <c r="D237" t="s">
        <v>253</v>
      </c>
      <c r="E237" t="s">
        <v>253</v>
      </c>
      <c r="F237" s="3" t="s">
        <v>2711</v>
      </c>
      <c r="G237" s="11" t="s">
        <v>779</v>
      </c>
      <c r="H237" s="11" t="s">
        <v>12</v>
      </c>
      <c r="I237" s="3" t="s">
        <v>253</v>
      </c>
      <c r="J237" s="3" t="s">
        <v>253</v>
      </c>
      <c r="K237" s="3" t="s">
        <v>253</v>
      </c>
      <c r="L237" s="3" t="s">
        <v>253</v>
      </c>
      <c r="M237">
        <f>IF(LEN(H237),MATCH(H237,'MPIO_SFIO Table'!$A$11:$A$65525,0)-1,"")</f>
        <v>4</v>
      </c>
      <c r="N237" t="str">
        <f>IF(LEN(I237),MATCH(I237,'MPIO_SFIO Table'!$A$11:$A$65525,0)-1,"")</f>
        <v/>
      </c>
      <c r="O237" t="str">
        <f>IF(LEN(J237),MATCH(J237,'MPIO_SFIO Table'!$A$11:$A$65525,0)-1,"")</f>
        <v/>
      </c>
      <c r="P237" t="str">
        <f>IF(LEN(K237),MATCH(K237,'MPIO_SFIO Table'!$A$11:$A$65525,0)-1,"")</f>
        <v/>
      </c>
      <c r="Q237" t="str">
        <f>IF(LEN(L237),MATCH(L237,'MPIO_SFIO Table'!$A$11:$A$65525,0)-1,"")</f>
        <v/>
      </c>
      <c r="R237" t="str">
        <f ca="1">IF(ISNUMBER(M237),OFFSET('MPIO_SFIO Table'!$AJ$11,M237,0),"")</f>
        <v>unused_DAP1_FS</v>
      </c>
      <c r="S237" t="str">
        <f ca="1">IF(ISNUMBER(N237),OFFSET('MPIO_SFIO Table'!$AJ$11,N237,0),"")</f>
        <v/>
      </c>
      <c r="T237" t="str">
        <f ca="1">IF(ISNUMBER(O237),OFFSET('MPIO_SFIO Table'!$AJ$11,O237,0),"")</f>
        <v/>
      </c>
      <c r="U237" t="str">
        <f ca="1">IF(ISNUMBER(P237),OFFSET('MPIO_SFIO Table'!$AJ$11,P237,0),"")</f>
        <v/>
      </c>
      <c r="V237" t="str">
        <f ca="1">IF(ISNUMBER(Q237),OFFSET('MPIO_SFIO Table'!$AJ$11,Q237,0),"")</f>
        <v/>
      </c>
      <c r="W237">
        <f t="shared" ca="1" si="35"/>
        <v>0</v>
      </c>
      <c r="X237">
        <f t="shared" ca="1" si="36"/>
        <v>0</v>
      </c>
      <c r="Y237">
        <f t="shared" ca="1" si="37"/>
        <v>0</v>
      </c>
      <c r="Z237">
        <f t="shared" ca="1" si="38"/>
        <v>0</v>
      </c>
      <c r="AA237">
        <f t="shared" ca="1" si="39"/>
        <v>0</v>
      </c>
    </row>
    <row r="238" spans="1:27" x14ac:dyDescent="0.25">
      <c r="A238">
        <f t="shared" ca="1" si="32"/>
        <v>0</v>
      </c>
      <c r="B238" t="str">
        <f t="shared" ca="1" si="33"/>
        <v/>
      </c>
      <c r="C238" t="str">
        <f t="shared" si="34"/>
        <v>GPIO</v>
      </c>
      <c r="D238" t="s">
        <v>253</v>
      </c>
      <c r="E238" t="s">
        <v>253</v>
      </c>
      <c r="F238" s="3" t="s">
        <v>2712</v>
      </c>
      <c r="G238" s="11" t="s">
        <v>777</v>
      </c>
      <c r="H238" s="11" t="s">
        <v>10</v>
      </c>
      <c r="I238" s="3" t="s">
        <v>253</v>
      </c>
      <c r="J238" s="3" t="s">
        <v>253</v>
      </c>
      <c r="K238" s="3" t="s">
        <v>253</v>
      </c>
      <c r="L238" s="3" t="s">
        <v>253</v>
      </c>
      <c r="M238">
        <f>IF(LEN(H238),MATCH(H238,'MPIO_SFIO Table'!$A$11:$A$65525,0)-1,"")</f>
        <v>2</v>
      </c>
      <c r="N238" t="str">
        <f>IF(LEN(I238),MATCH(I238,'MPIO_SFIO Table'!$A$11:$A$65525,0)-1,"")</f>
        <v/>
      </c>
      <c r="O238" t="str">
        <f>IF(LEN(J238),MATCH(J238,'MPIO_SFIO Table'!$A$11:$A$65525,0)-1,"")</f>
        <v/>
      </c>
      <c r="P238" t="str">
        <f>IF(LEN(K238),MATCH(K238,'MPIO_SFIO Table'!$A$11:$A$65525,0)-1,"")</f>
        <v/>
      </c>
      <c r="Q238" t="str">
        <f>IF(LEN(L238),MATCH(L238,'MPIO_SFIO Table'!$A$11:$A$65525,0)-1,"")</f>
        <v/>
      </c>
      <c r="R238" t="str">
        <f ca="1">IF(ISNUMBER(M238),OFFSET('MPIO_SFIO Table'!$AJ$11,M238,0),"")</f>
        <v>unused_DAP1_DIN</v>
      </c>
      <c r="S238" t="str">
        <f ca="1">IF(ISNUMBER(N238),OFFSET('MPIO_SFIO Table'!$AJ$11,N238,0),"")</f>
        <v/>
      </c>
      <c r="T238" t="str">
        <f ca="1">IF(ISNUMBER(O238),OFFSET('MPIO_SFIO Table'!$AJ$11,O238,0),"")</f>
        <v/>
      </c>
      <c r="U238" t="str">
        <f ca="1">IF(ISNUMBER(P238),OFFSET('MPIO_SFIO Table'!$AJ$11,P238,0),"")</f>
        <v/>
      </c>
      <c r="V238" t="str">
        <f ca="1">IF(ISNUMBER(Q238),OFFSET('MPIO_SFIO Table'!$AJ$11,Q238,0),"")</f>
        <v/>
      </c>
      <c r="W238">
        <f t="shared" ca="1" si="35"/>
        <v>0</v>
      </c>
      <c r="X238">
        <f t="shared" ca="1" si="36"/>
        <v>0</v>
      </c>
      <c r="Y238">
        <f t="shared" ca="1" si="37"/>
        <v>0</v>
      </c>
      <c r="Z238">
        <f t="shared" ca="1" si="38"/>
        <v>0</v>
      </c>
      <c r="AA238">
        <f t="shared" ca="1" si="39"/>
        <v>0</v>
      </c>
    </row>
    <row r="239" spans="1:27" x14ac:dyDescent="0.25">
      <c r="A239">
        <f t="shared" ca="1" si="32"/>
        <v>0</v>
      </c>
      <c r="B239" t="str">
        <f t="shared" ca="1" si="33"/>
        <v/>
      </c>
      <c r="C239" t="str">
        <f t="shared" si="34"/>
        <v>GPIO</v>
      </c>
      <c r="D239" t="s">
        <v>253</v>
      </c>
      <c r="E239" t="s">
        <v>253</v>
      </c>
      <c r="F239" s="3" t="s">
        <v>2713</v>
      </c>
      <c r="G239" s="11" t="s">
        <v>778</v>
      </c>
      <c r="H239" s="11" t="s">
        <v>11</v>
      </c>
      <c r="I239" s="3" t="s">
        <v>253</v>
      </c>
      <c r="J239" s="3" t="s">
        <v>253</v>
      </c>
      <c r="K239" s="3" t="s">
        <v>253</v>
      </c>
      <c r="L239" s="3" t="s">
        <v>253</v>
      </c>
      <c r="M239">
        <f>IF(LEN(H239),MATCH(H239,'MPIO_SFIO Table'!$A$11:$A$65525,0)-1,"")</f>
        <v>3</v>
      </c>
      <c r="N239" t="str">
        <f>IF(LEN(I239),MATCH(I239,'MPIO_SFIO Table'!$A$11:$A$65525,0)-1,"")</f>
        <v/>
      </c>
      <c r="O239" t="str">
        <f>IF(LEN(J239),MATCH(J239,'MPIO_SFIO Table'!$A$11:$A$65525,0)-1,"")</f>
        <v/>
      </c>
      <c r="P239" t="str">
        <f>IF(LEN(K239),MATCH(K239,'MPIO_SFIO Table'!$A$11:$A$65525,0)-1,"")</f>
        <v/>
      </c>
      <c r="Q239" t="str">
        <f>IF(LEN(L239),MATCH(L239,'MPIO_SFIO Table'!$A$11:$A$65525,0)-1,"")</f>
        <v/>
      </c>
      <c r="R239" t="str">
        <f ca="1">IF(ISNUMBER(M239),OFFSET('MPIO_SFIO Table'!$AJ$11,M239,0),"")</f>
        <v>unused_DAP1_DOUT</v>
      </c>
      <c r="S239" t="str">
        <f ca="1">IF(ISNUMBER(N239),OFFSET('MPIO_SFIO Table'!$AJ$11,N239,0),"")</f>
        <v/>
      </c>
      <c r="T239" t="str">
        <f ca="1">IF(ISNUMBER(O239),OFFSET('MPIO_SFIO Table'!$AJ$11,O239,0),"")</f>
        <v/>
      </c>
      <c r="U239" t="str">
        <f ca="1">IF(ISNUMBER(P239),OFFSET('MPIO_SFIO Table'!$AJ$11,P239,0),"")</f>
        <v/>
      </c>
      <c r="V239" t="str">
        <f ca="1">IF(ISNUMBER(Q239),OFFSET('MPIO_SFIO Table'!$AJ$11,Q239,0),"")</f>
        <v/>
      </c>
      <c r="W239">
        <f t="shared" ca="1" si="35"/>
        <v>0</v>
      </c>
      <c r="X239">
        <f t="shared" ca="1" si="36"/>
        <v>0</v>
      </c>
      <c r="Y239">
        <f t="shared" ca="1" si="37"/>
        <v>0</v>
      </c>
      <c r="Z239">
        <f t="shared" ca="1" si="38"/>
        <v>0</v>
      </c>
      <c r="AA239">
        <f t="shared" ca="1" si="39"/>
        <v>0</v>
      </c>
    </row>
    <row r="240" spans="1:27" x14ac:dyDescent="0.25">
      <c r="A240">
        <f t="shared" ca="1" si="32"/>
        <v>0</v>
      </c>
      <c r="B240" t="str">
        <f t="shared" ca="1" si="33"/>
        <v/>
      </c>
      <c r="C240" t="str">
        <f t="shared" si="34"/>
        <v>GPIO</v>
      </c>
      <c r="D240" t="s">
        <v>253</v>
      </c>
      <c r="E240" t="s">
        <v>253</v>
      </c>
      <c r="F240" s="3" t="s">
        <v>2714</v>
      </c>
      <c r="G240" s="11" t="s">
        <v>780</v>
      </c>
      <c r="H240" s="11" t="s">
        <v>13</v>
      </c>
      <c r="I240" s="3" t="s">
        <v>253</v>
      </c>
      <c r="J240" s="3" t="s">
        <v>253</v>
      </c>
      <c r="K240" s="3" t="s">
        <v>253</v>
      </c>
      <c r="L240" s="3" t="s">
        <v>253</v>
      </c>
      <c r="M240">
        <f>IF(LEN(H240),MATCH(H240,'MPIO_SFIO Table'!$A$11:$A$65525,0)-1,"")</f>
        <v>5</v>
      </c>
      <c r="N240" t="str">
        <f>IF(LEN(I240),MATCH(I240,'MPIO_SFIO Table'!$A$11:$A$65525,0)-1,"")</f>
        <v/>
      </c>
      <c r="O240" t="str">
        <f>IF(LEN(J240),MATCH(J240,'MPIO_SFIO Table'!$A$11:$A$65525,0)-1,"")</f>
        <v/>
      </c>
      <c r="P240" t="str">
        <f>IF(LEN(K240),MATCH(K240,'MPIO_SFIO Table'!$A$11:$A$65525,0)-1,"")</f>
        <v/>
      </c>
      <c r="Q240" t="str">
        <f>IF(LEN(L240),MATCH(L240,'MPIO_SFIO Table'!$A$11:$A$65525,0)-1,"")</f>
        <v/>
      </c>
      <c r="R240" t="str">
        <f ca="1">IF(ISNUMBER(M240),OFFSET('MPIO_SFIO Table'!$AJ$11,M240,0),"")</f>
        <v>unused_DAP1_SCLK</v>
      </c>
      <c r="S240" t="str">
        <f ca="1">IF(ISNUMBER(N240),OFFSET('MPIO_SFIO Table'!$AJ$11,N240,0),"")</f>
        <v/>
      </c>
      <c r="T240" t="str">
        <f ca="1">IF(ISNUMBER(O240),OFFSET('MPIO_SFIO Table'!$AJ$11,O240,0),"")</f>
        <v/>
      </c>
      <c r="U240" t="str">
        <f ca="1">IF(ISNUMBER(P240),OFFSET('MPIO_SFIO Table'!$AJ$11,P240,0),"")</f>
        <v/>
      </c>
      <c r="V240" t="str">
        <f ca="1">IF(ISNUMBER(Q240),OFFSET('MPIO_SFIO Table'!$AJ$11,Q240,0),"")</f>
        <v/>
      </c>
      <c r="W240">
        <f t="shared" ca="1" si="35"/>
        <v>0</v>
      </c>
      <c r="X240">
        <f t="shared" ca="1" si="36"/>
        <v>0</v>
      </c>
      <c r="Y240">
        <f t="shared" ca="1" si="37"/>
        <v>0</v>
      </c>
      <c r="Z240">
        <f t="shared" ca="1" si="38"/>
        <v>0</v>
      </c>
      <c r="AA240">
        <f t="shared" ca="1" si="39"/>
        <v>0</v>
      </c>
    </row>
    <row r="241" spans="1:27" x14ac:dyDescent="0.25">
      <c r="A241">
        <f t="shared" ca="1" si="32"/>
        <v>0</v>
      </c>
      <c r="B241" t="str">
        <f t="shared" ca="1" si="33"/>
        <v/>
      </c>
      <c r="C241" t="str">
        <f t="shared" si="34"/>
        <v>GPIO</v>
      </c>
      <c r="D241" t="s">
        <v>253</v>
      </c>
      <c r="E241" t="s">
        <v>253</v>
      </c>
      <c r="F241" s="3" t="s">
        <v>2715</v>
      </c>
      <c r="G241" s="11" t="s">
        <v>869</v>
      </c>
      <c r="H241" s="11" t="s">
        <v>102</v>
      </c>
      <c r="I241" s="3" t="s">
        <v>253</v>
      </c>
      <c r="J241" s="3" t="s">
        <v>253</v>
      </c>
      <c r="K241" s="3" t="s">
        <v>253</v>
      </c>
      <c r="L241" s="3" t="s">
        <v>253</v>
      </c>
      <c r="M241">
        <f>IF(LEN(H241),MATCH(H241,'MPIO_SFIO Table'!$A$11:$A$65525,0)-1,"")</f>
        <v>98</v>
      </c>
      <c r="N241" t="str">
        <f>IF(LEN(I241),MATCH(I241,'MPIO_SFIO Table'!$A$11:$A$65525,0)-1,"")</f>
        <v/>
      </c>
      <c r="O241" t="str">
        <f>IF(LEN(J241),MATCH(J241,'MPIO_SFIO Table'!$A$11:$A$65525,0)-1,"")</f>
        <v/>
      </c>
      <c r="P241" t="str">
        <f>IF(LEN(K241),MATCH(K241,'MPIO_SFIO Table'!$A$11:$A$65525,0)-1,"")</f>
        <v/>
      </c>
      <c r="Q241" t="str">
        <f>IF(LEN(L241),MATCH(L241,'MPIO_SFIO Table'!$A$11:$A$65525,0)-1,"")</f>
        <v/>
      </c>
      <c r="R241" t="str">
        <f ca="1">IF(ISNUMBER(M241),OFFSET('MPIO_SFIO Table'!$AJ$11,M241,0),"")</f>
        <v>unused_LCD_CS0_N</v>
      </c>
      <c r="S241" t="str">
        <f ca="1">IF(ISNUMBER(N241),OFFSET('MPIO_SFIO Table'!$AJ$11,N241,0),"")</f>
        <v/>
      </c>
      <c r="T241" t="str">
        <f ca="1">IF(ISNUMBER(O241),OFFSET('MPIO_SFIO Table'!$AJ$11,O241,0),"")</f>
        <v/>
      </c>
      <c r="U241" t="str">
        <f ca="1">IF(ISNUMBER(P241),OFFSET('MPIO_SFIO Table'!$AJ$11,P241,0),"")</f>
        <v/>
      </c>
      <c r="V241" t="str">
        <f ca="1">IF(ISNUMBER(Q241),OFFSET('MPIO_SFIO Table'!$AJ$11,Q241,0),"")</f>
        <v/>
      </c>
      <c r="W241">
        <f t="shared" ca="1" si="35"/>
        <v>0</v>
      </c>
      <c r="X241">
        <f t="shared" ca="1" si="36"/>
        <v>0</v>
      </c>
      <c r="Y241">
        <f t="shared" ca="1" si="37"/>
        <v>0</v>
      </c>
      <c r="Z241">
        <f t="shared" ca="1" si="38"/>
        <v>0</v>
      </c>
      <c r="AA241">
        <f t="shared" ca="1" si="39"/>
        <v>0</v>
      </c>
    </row>
    <row r="242" spans="1:27" x14ac:dyDescent="0.25">
      <c r="A242">
        <f t="shared" ca="1" si="32"/>
        <v>0</v>
      </c>
      <c r="B242" t="str">
        <f t="shared" ca="1" si="33"/>
        <v/>
      </c>
      <c r="C242" t="str">
        <f t="shared" si="34"/>
        <v>GPIO</v>
      </c>
      <c r="D242" t="s">
        <v>253</v>
      </c>
      <c r="E242" t="s">
        <v>253</v>
      </c>
      <c r="F242" s="3" t="s">
        <v>2716</v>
      </c>
      <c r="G242" s="11" t="s">
        <v>906</v>
      </c>
      <c r="H242" s="11" t="s">
        <v>139</v>
      </c>
      <c r="I242" s="3" t="s">
        <v>253</v>
      </c>
      <c r="J242" s="3" t="s">
        <v>253</v>
      </c>
      <c r="K242" s="3" t="s">
        <v>253</v>
      </c>
      <c r="L242" s="3" t="s">
        <v>253</v>
      </c>
      <c r="M242">
        <f>IF(LEN(H242),MATCH(H242,'MPIO_SFIO Table'!$A$11:$A$65525,0)-1,"")</f>
        <v>135</v>
      </c>
      <c r="N242" t="str">
        <f>IF(LEN(I242),MATCH(I242,'MPIO_SFIO Table'!$A$11:$A$65525,0)-1,"")</f>
        <v/>
      </c>
      <c r="O242" t="str">
        <f>IF(LEN(J242),MATCH(J242,'MPIO_SFIO Table'!$A$11:$A$65525,0)-1,"")</f>
        <v/>
      </c>
      <c r="P242" t="str">
        <f>IF(LEN(K242),MATCH(K242,'MPIO_SFIO Table'!$A$11:$A$65525,0)-1,"")</f>
        <v/>
      </c>
      <c r="Q242" t="str">
        <f>IF(LEN(L242),MATCH(L242,'MPIO_SFIO Table'!$A$11:$A$65525,0)-1,"")</f>
        <v/>
      </c>
      <c r="R242" t="str">
        <f ca="1">IF(ISNUMBER(M242),OFFSET('MPIO_SFIO Table'!$AJ$11,M242,0),"")</f>
        <v>unused_LCD_SDOUT</v>
      </c>
      <c r="S242" t="str">
        <f ca="1">IF(ISNUMBER(N242),OFFSET('MPIO_SFIO Table'!$AJ$11,N242,0),"")</f>
        <v/>
      </c>
      <c r="T242" t="str">
        <f ca="1">IF(ISNUMBER(O242),OFFSET('MPIO_SFIO Table'!$AJ$11,O242,0),"")</f>
        <v/>
      </c>
      <c r="U242" t="str">
        <f ca="1">IF(ISNUMBER(P242),OFFSET('MPIO_SFIO Table'!$AJ$11,P242,0),"")</f>
        <v/>
      </c>
      <c r="V242" t="str">
        <f ca="1">IF(ISNUMBER(Q242),OFFSET('MPIO_SFIO Table'!$AJ$11,Q242,0),"")</f>
        <v/>
      </c>
      <c r="W242">
        <f t="shared" ca="1" si="35"/>
        <v>0</v>
      </c>
      <c r="X242">
        <f t="shared" ca="1" si="36"/>
        <v>0</v>
      </c>
      <c r="Y242">
        <f t="shared" ca="1" si="37"/>
        <v>0</v>
      </c>
      <c r="Z242">
        <f t="shared" ca="1" si="38"/>
        <v>0</v>
      </c>
      <c r="AA242">
        <f t="shared" ca="1" si="39"/>
        <v>0</v>
      </c>
    </row>
    <row r="243" spans="1:27" x14ac:dyDescent="0.25">
      <c r="A243">
        <f t="shared" ca="1" si="32"/>
        <v>0</v>
      </c>
      <c r="B243" t="str">
        <f t="shared" ca="1" si="33"/>
        <v/>
      </c>
      <c r="C243" t="str">
        <f t="shared" si="34"/>
        <v>GPIO</v>
      </c>
      <c r="D243" t="s">
        <v>253</v>
      </c>
      <c r="E243" t="s">
        <v>253</v>
      </c>
      <c r="F243" s="3" t="s">
        <v>2717</v>
      </c>
      <c r="G243" s="11" t="s">
        <v>895</v>
      </c>
      <c r="H243" s="11" t="s">
        <v>128</v>
      </c>
      <c r="I243" s="3" t="s">
        <v>253</v>
      </c>
      <c r="J243" s="3" t="s">
        <v>253</v>
      </c>
      <c r="K243" s="3" t="s">
        <v>253</v>
      </c>
      <c r="L243" s="3" t="s">
        <v>253</v>
      </c>
      <c r="M243">
        <f>IF(LEN(H243),MATCH(H243,'MPIO_SFIO Table'!$A$11:$A$65525,0)-1,"")</f>
        <v>124</v>
      </c>
      <c r="N243" t="str">
        <f>IF(LEN(I243),MATCH(I243,'MPIO_SFIO Table'!$A$11:$A$65525,0)-1,"")</f>
        <v/>
      </c>
      <c r="O243" t="str">
        <f>IF(LEN(J243),MATCH(J243,'MPIO_SFIO Table'!$A$11:$A$65525,0)-1,"")</f>
        <v/>
      </c>
      <c r="P243" t="str">
        <f>IF(LEN(K243),MATCH(K243,'MPIO_SFIO Table'!$A$11:$A$65525,0)-1,"")</f>
        <v/>
      </c>
      <c r="Q243" t="str">
        <f>IF(LEN(L243),MATCH(L243,'MPIO_SFIO Table'!$A$11:$A$65525,0)-1,"")</f>
        <v/>
      </c>
      <c r="R243" t="str">
        <f ca="1">IF(ISNUMBER(M243),OFFSET('MPIO_SFIO Table'!$AJ$11,M243,0),"")</f>
        <v>unused_LCD_DC0</v>
      </c>
      <c r="S243" t="str">
        <f ca="1">IF(ISNUMBER(N243),OFFSET('MPIO_SFIO Table'!$AJ$11,N243,0),"")</f>
        <v/>
      </c>
      <c r="T243" t="str">
        <f ca="1">IF(ISNUMBER(O243),OFFSET('MPIO_SFIO Table'!$AJ$11,O243,0),"")</f>
        <v/>
      </c>
      <c r="U243" t="str">
        <f ca="1">IF(ISNUMBER(P243),OFFSET('MPIO_SFIO Table'!$AJ$11,P243,0),"")</f>
        <v/>
      </c>
      <c r="V243" t="str">
        <f ca="1">IF(ISNUMBER(Q243),OFFSET('MPIO_SFIO Table'!$AJ$11,Q243,0),"")</f>
        <v/>
      </c>
      <c r="W243">
        <f t="shared" ca="1" si="35"/>
        <v>0</v>
      </c>
      <c r="X243">
        <f t="shared" ca="1" si="36"/>
        <v>0</v>
      </c>
      <c r="Y243">
        <f t="shared" ca="1" si="37"/>
        <v>0</v>
      </c>
      <c r="Z243">
        <f t="shared" ca="1" si="38"/>
        <v>0</v>
      </c>
      <c r="AA243">
        <f t="shared" ca="1" si="39"/>
        <v>0</v>
      </c>
    </row>
    <row r="244" spans="1:27" x14ac:dyDescent="0.25">
      <c r="A244">
        <f t="shared" ca="1" si="32"/>
        <v>0</v>
      </c>
      <c r="B244" t="str">
        <f t="shared" ca="1" si="33"/>
        <v/>
      </c>
      <c r="C244" t="str">
        <f t="shared" si="34"/>
        <v>GPIO</v>
      </c>
      <c r="D244" t="s">
        <v>253</v>
      </c>
      <c r="E244" t="s">
        <v>253</v>
      </c>
      <c r="F244" s="3" t="s">
        <v>2718</v>
      </c>
      <c r="G244" s="11" t="s">
        <v>868</v>
      </c>
      <c r="H244" s="11" t="s">
        <v>101</v>
      </c>
      <c r="I244" s="3" t="s">
        <v>253</v>
      </c>
      <c r="J244" s="3" t="s">
        <v>253</v>
      </c>
      <c r="K244" s="3" t="s">
        <v>253</v>
      </c>
      <c r="L244" s="3" t="s">
        <v>253</v>
      </c>
      <c r="M244">
        <f>IF(LEN(H244),MATCH(H244,'MPIO_SFIO Table'!$A$11:$A$65525,0)-1,"")</f>
        <v>97</v>
      </c>
      <c r="N244" t="str">
        <f>IF(LEN(I244),MATCH(I244,'MPIO_SFIO Table'!$A$11:$A$65525,0)-1,"")</f>
        <v/>
      </c>
      <c r="O244" t="str">
        <f>IF(LEN(J244),MATCH(J244,'MPIO_SFIO Table'!$A$11:$A$65525,0)-1,"")</f>
        <v/>
      </c>
      <c r="P244" t="str">
        <f>IF(LEN(K244),MATCH(K244,'MPIO_SFIO Table'!$A$11:$A$65525,0)-1,"")</f>
        <v/>
      </c>
      <c r="Q244" t="str">
        <f>IF(LEN(L244),MATCH(L244,'MPIO_SFIO Table'!$A$11:$A$65525,0)-1,"")</f>
        <v/>
      </c>
      <c r="R244" t="str">
        <f ca="1">IF(ISNUMBER(M244),OFFSET('MPIO_SFIO Table'!$AJ$11,M244,0),"")</f>
        <v>unused_HDMI_INT</v>
      </c>
      <c r="S244" t="str">
        <f ca="1">IF(ISNUMBER(N244),OFFSET('MPIO_SFIO Table'!$AJ$11,N244,0),"")</f>
        <v/>
      </c>
      <c r="T244" t="str">
        <f ca="1">IF(ISNUMBER(O244),OFFSET('MPIO_SFIO Table'!$AJ$11,O244,0),"")</f>
        <v/>
      </c>
      <c r="U244" t="str">
        <f ca="1">IF(ISNUMBER(P244),OFFSET('MPIO_SFIO Table'!$AJ$11,P244,0),"")</f>
        <v/>
      </c>
      <c r="V244" t="str">
        <f ca="1">IF(ISNUMBER(Q244),OFFSET('MPIO_SFIO Table'!$AJ$11,Q244,0),"")</f>
        <v/>
      </c>
      <c r="W244">
        <f t="shared" ca="1" si="35"/>
        <v>0</v>
      </c>
      <c r="X244">
        <f t="shared" ca="1" si="36"/>
        <v>0</v>
      </c>
      <c r="Y244">
        <f t="shared" ca="1" si="37"/>
        <v>0</v>
      </c>
      <c r="Z244">
        <f t="shared" ca="1" si="38"/>
        <v>0</v>
      </c>
      <c r="AA244">
        <f t="shared" ca="1" si="39"/>
        <v>0</v>
      </c>
    </row>
    <row r="245" spans="1:27" x14ac:dyDescent="0.25">
      <c r="A245">
        <f t="shared" ca="1" si="32"/>
        <v>0</v>
      </c>
      <c r="B245" t="str">
        <f t="shared" ca="1" si="33"/>
        <v/>
      </c>
      <c r="C245" t="str">
        <f t="shared" si="34"/>
        <v>GPIO</v>
      </c>
      <c r="D245" t="s">
        <v>253</v>
      </c>
      <c r="E245" t="s">
        <v>253</v>
      </c>
      <c r="F245" s="3" t="s">
        <v>2719</v>
      </c>
      <c r="G245" s="11" t="s">
        <v>811</v>
      </c>
      <c r="H245" s="11" t="s">
        <v>44</v>
      </c>
      <c r="I245" s="3" t="s">
        <v>253</v>
      </c>
      <c r="J245" s="3" t="s">
        <v>253</v>
      </c>
      <c r="K245" s="3" t="s">
        <v>253</v>
      </c>
      <c r="L245" s="3" t="s">
        <v>253</v>
      </c>
      <c r="M245">
        <f>IF(LEN(H245),MATCH(H245,'MPIO_SFIO Table'!$A$11:$A$65525,0)-1,"")</f>
        <v>37</v>
      </c>
      <c r="N245" t="str">
        <f>IF(LEN(I245),MATCH(I245,'MPIO_SFIO Table'!$A$11:$A$65525,0)-1,"")</f>
        <v/>
      </c>
      <c r="O245" t="str">
        <f>IF(LEN(J245),MATCH(J245,'MPIO_SFIO Table'!$A$11:$A$65525,0)-1,"")</f>
        <v/>
      </c>
      <c r="P245" t="str">
        <f>IF(LEN(K245),MATCH(K245,'MPIO_SFIO Table'!$A$11:$A$65525,0)-1,"")</f>
        <v/>
      </c>
      <c r="Q245" t="str">
        <f>IF(LEN(L245),MATCH(L245,'MPIO_SFIO Table'!$A$11:$A$65525,0)-1,"")</f>
        <v/>
      </c>
      <c r="R245" t="str">
        <f ca="1">IF(ISNUMBER(M245),OFFSET('MPIO_SFIO Table'!$AJ$11,M245,0),"")</f>
        <v>unused_ULPI_DATA7</v>
      </c>
      <c r="S245" t="str">
        <f ca="1">IF(ISNUMBER(N245),OFFSET('MPIO_SFIO Table'!$AJ$11,N245,0),"")</f>
        <v/>
      </c>
      <c r="T245" t="str">
        <f ca="1">IF(ISNUMBER(O245),OFFSET('MPIO_SFIO Table'!$AJ$11,O245,0),"")</f>
        <v/>
      </c>
      <c r="U245" t="str">
        <f ca="1">IF(ISNUMBER(P245),OFFSET('MPIO_SFIO Table'!$AJ$11,P245,0),"")</f>
        <v/>
      </c>
      <c r="V245" t="str">
        <f ca="1">IF(ISNUMBER(Q245),OFFSET('MPIO_SFIO Table'!$AJ$11,Q245,0),"")</f>
        <v/>
      </c>
      <c r="W245">
        <f t="shared" ca="1" si="35"/>
        <v>0</v>
      </c>
      <c r="X245">
        <f t="shared" ca="1" si="36"/>
        <v>0</v>
      </c>
      <c r="Y245">
        <f t="shared" ca="1" si="37"/>
        <v>0</v>
      </c>
      <c r="Z245">
        <f t="shared" ca="1" si="38"/>
        <v>0</v>
      </c>
      <c r="AA245">
        <f t="shared" ca="1" si="39"/>
        <v>0</v>
      </c>
    </row>
    <row r="246" spans="1:27" x14ac:dyDescent="0.25">
      <c r="A246">
        <f t="shared" ca="1" si="32"/>
        <v>0</v>
      </c>
      <c r="B246" t="str">
        <f t="shared" ca="1" si="33"/>
        <v/>
      </c>
      <c r="C246" t="str">
        <f t="shared" si="34"/>
        <v>GPIO</v>
      </c>
      <c r="D246" t="s">
        <v>253</v>
      </c>
      <c r="E246" t="s">
        <v>253</v>
      </c>
      <c r="F246" s="3" t="s">
        <v>2720</v>
      </c>
      <c r="G246" s="11" t="s">
        <v>804</v>
      </c>
      <c r="H246" s="11" t="s">
        <v>37</v>
      </c>
      <c r="I246" s="3" t="s">
        <v>253</v>
      </c>
      <c r="J246" s="3" t="s">
        <v>253</v>
      </c>
      <c r="K246" s="3" t="s">
        <v>253</v>
      </c>
      <c r="L246" s="3" t="s">
        <v>253</v>
      </c>
      <c r="M246">
        <f>IF(LEN(H246),MATCH(H246,'MPIO_SFIO Table'!$A$11:$A$65525,0)-1,"")</f>
        <v>30</v>
      </c>
      <c r="N246" t="str">
        <f>IF(LEN(I246),MATCH(I246,'MPIO_SFIO Table'!$A$11:$A$65525,0)-1,"")</f>
        <v/>
      </c>
      <c r="O246" t="str">
        <f>IF(LEN(J246),MATCH(J246,'MPIO_SFIO Table'!$A$11:$A$65525,0)-1,"")</f>
        <v/>
      </c>
      <c r="P246" t="str">
        <f>IF(LEN(K246),MATCH(K246,'MPIO_SFIO Table'!$A$11:$A$65525,0)-1,"")</f>
        <v/>
      </c>
      <c r="Q246" t="str">
        <f>IF(LEN(L246),MATCH(L246,'MPIO_SFIO Table'!$A$11:$A$65525,0)-1,"")</f>
        <v/>
      </c>
      <c r="R246" t="str">
        <f ca="1">IF(ISNUMBER(M246),OFFSET('MPIO_SFIO Table'!$AJ$11,M246,0),"")</f>
        <v>unused_ULPI_DATA0</v>
      </c>
      <c r="S246" t="str">
        <f ca="1">IF(ISNUMBER(N246),OFFSET('MPIO_SFIO Table'!$AJ$11,N246,0),"")</f>
        <v/>
      </c>
      <c r="T246" t="str">
        <f ca="1">IF(ISNUMBER(O246),OFFSET('MPIO_SFIO Table'!$AJ$11,O246,0),"")</f>
        <v/>
      </c>
      <c r="U246" t="str">
        <f ca="1">IF(ISNUMBER(P246),OFFSET('MPIO_SFIO Table'!$AJ$11,P246,0),"")</f>
        <v/>
      </c>
      <c r="V246" t="str">
        <f ca="1">IF(ISNUMBER(Q246),OFFSET('MPIO_SFIO Table'!$AJ$11,Q246,0),"")</f>
        <v/>
      </c>
      <c r="W246">
        <f t="shared" ca="1" si="35"/>
        <v>0</v>
      </c>
      <c r="X246">
        <f t="shared" ca="1" si="36"/>
        <v>0</v>
      </c>
      <c r="Y246">
        <f t="shared" ca="1" si="37"/>
        <v>0</v>
      </c>
      <c r="Z246">
        <f t="shared" ca="1" si="38"/>
        <v>0</v>
      </c>
      <c r="AA246">
        <f t="shared" ca="1" si="39"/>
        <v>0</v>
      </c>
    </row>
    <row r="247" spans="1:27" x14ac:dyDescent="0.25">
      <c r="A247">
        <f t="shared" ca="1" si="32"/>
        <v>0</v>
      </c>
      <c r="B247" t="str">
        <f t="shared" ca="1" si="33"/>
        <v/>
      </c>
      <c r="C247" t="str">
        <f t="shared" si="34"/>
        <v>GPIO</v>
      </c>
      <c r="D247" t="s">
        <v>253</v>
      </c>
      <c r="E247" t="s">
        <v>253</v>
      </c>
      <c r="F247" s="3" t="s">
        <v>2721</v>
      </c>
      <c r="G247" s="11" t="s">
        <v>805</v>
      </c>
      <c r="H247" s="11" t="s">
        <v>38</v>
      </c>
      <c r="I247" s="3" t="s">
        <v>253</v>
      </c>
      <c r="J247" s="3" t="s">
        <v>253</v>
      </c>
      <c r="K247" s="3" t="s">
        <v>253</v>
      </c>
      <c r="L247" s="3" t="s">
        <v>253</v>
      </c>
      <c r="M247">
        <f>IF(LEN(H247),MATCH(H247,'MPIO_SFIO Table'!$A$11:$A$65525,0)-1,"")</f>
        <v>31</v>
      </c>
      <c r="N247" t="str">
        <f>IF(LEN(I247),MATCH(I247,'MPIO_SFIO Table'!$A$11:$A$65525,0)-1,"")</f>
        <v/>
      </c>
      <c r="O247" t="str">
        <f>IF(LEN(J247),MATCH(J247,'MPIO_SFIO Table'!$A$11:$A$65525,0)-1,"")</f>
        <v/>
      </c>
      <c r="P247" t="str">
        <f>IF(LEN(K247),MATCH(K247,'MPIO_SFIO Table'!$A$11:$A$65525,0)-1,"")</f>
        <v/>
      </c>
      <c r="Q247" t="str">
        <f>IF(LEN(L247),MATCH(L247,'MPIO_SFIO Table'!$A$11:$A$65525,0)-1,"")</f>
        <v/>
      </c>
      <c r="R247" t="str">
        <f ca="1">IF(ISNUMBER(M247),OFFSET('MPIO_SFIO Table'!$AJ$11,M247,0),"")</f>
        <v>unused_ULPI_DATA1</v>
      </c>
      <c r="S247" t="str">
        <f ca="1">IF(ISNUMBER(N247),OFFSET('MPIO_SFIO Table'!$AJ$11,N247,0),"")</f>
        <v/>
      </c>
      <c r="T247" t="str">
        <f ca="1">IF(ISNUMBER(O247),OFFSET('MPIO_SFIO Table'!$AJ$11,O247,0),"")</f>
        <v/>
      </c>
      <c r="U247" t="str">
        <f ca="1">IF(ISNUMBER(P247),OFFSET('MPIO_SFIO Table'!$AJ$11,P247,0),"")</f>
        <v/>
      </c>
      <c r="V247" t="str">
        <f ca="1">IF(ISNUMBER(Q247),OFFSET('MPIO_SFIO Table'!$AJ$11,Q247,0),"")</f>
        <v/>
      </c>
      <c r="W247">
        <f t="shared" ca="1" si="35"/>
        <v>0</v>
      </c>
      <c r="X247">
        <f t="shared" ca="1" si="36"/>
        <v>0</v>
      </c>
      <c r="Y247">
        <f t="shared" ca="1" si="37"/>
        <v>0</v>
      </c>
      <c r="Z247">
        <f t="shared" ca="1" si="38"/>
        <v>0</v>
      </c>
      <c r="AA247">
        <f t="shared" ca="1" si="39"/>
        <v>0</v>
      </c>
    </row>
    <row r="248" spans="1:27" x14ac:dyDescent="0.25">
      <c r="A248">
        <f t="shared" ca="1" si="32"/>
        <v>0</v>
      </c>
      <c r="B248" t="str">
        <f t="shared" ca="1" si="33"/>
        <v/>
      </c>
      <c r="C248" t="str">
        <f t="shared" si="34"/>
        <v>GPIO</v>
      </c>
      <c r="D248" t="s">
        <v>253</v>
      </c>
      <c r="E248" t="s">
        <v>253</v>
      </c>
      <c r="F248" s="3" t="s">
        <v>2722</v>
      </c>
      <c r="G248" s="11" t="s">
        <v>806</v>
      </c>
      <c r="H248" s="11" t="s">
        <v>39</v>
      </c>
      <c r="I248" s="3" t="s">
        <v>253</v>
      </c>
      <c r="J248" s="3" t="s">
        <v>253</v>
      </c>
      <c r="K248" s="3" t="s">
        <v>253</v>
      </c>
      <c r="L248" s="3" t="s">
        <v>253</v>
      </c>
      <c r="M248">
        <f>IF(LEN(H248),MATCH(H248,'MPIO_SFIO Table'!$A$11:$A$65525,0)-1,"")</f>
        <v>32</v>
      </c>
      <c r="N248" t="str">
        <f>IF(LEN(I248),MATCH(I248,'MPIO_SFIO Table'!$A$11:$A$65525,0)-1,"")</f>
        <v/>
      </c>
      <c r="O248" t="str">
        <f>IF(LEN(J248),MATCH(J248,'MPIO_SFIO Table'!$A$11:$A$65525,0)-1,"")</f>
        <v/>
      </c>
      <c r="P248" t="str">
        <f>IF(LEN(K248),MATCH(K248,'MPIO_SFIO Table'!$A$11:$A$65525,0)-1,"")</f>
        <v/>
      </c>
      <c r="Q248" t="str">
        <f>IF(LEN(L248),MATCH(L248,'MPIO_SFIO Table'!$A$11:$A$65525,0)-1,"")</f>
        <v/>
      </c>
      <c r="R248" t="str">
        <f ca="1">IF(ISNUMBER(M248),OFFSET('MPIO_SFIO Table'!$AJ$11,M248,0),"")</f>
        <v>unused_ULPI_DATA2</v>
      </c>
      <c r="S248" t="str">
        <f ca="1">IF(ISNUMBER(N248),OFFSET('MPIO_SFIO Table'!$AJ$11,N248,0),"")</f>
        <v/>
      </c>
      <c r="T248" t="str">
        <f ca="1">IF(ISNUMBER(O248),OFFSET('MPIO_SFIO Table'!$AJ$11,O248,0),"")</f>
        <v/>
      </c>
      <c r="U248" t="str">
        <f ca="1">IF(ISNUMBER(P248),OFFSET('MPIO_SFIO Table'!$AJ$11,P248,0),"")</f>
        <v/>
      </c>
      <c r="V248" t="str">
        <f ca="1">IF(ISNUMBER(Q248),OFFSET('MPIO_SFIO Table'!$AJ$11,Q248,0),"")</f>
        <v/>
      </c>
      <c r="W248">
        <f t="shared" ca="1" si="35"/>
        <v>0</v>
      </c>
      <c r="X248">
        <f t="shared" ca="1" si="36"/>
        <v>0</v>
      </c>
      <c r="Y248">
        <f t="shared" ca="1" si="37"/>
        <v>0</v>
      </c>
      <c r="Z248">
        <f t="shared" ca="1" si="38"/>
        <v>0</v>
      </c>
      <c r="AA248">
        <f t="shared" ca="1" si="39"/>
        <v>0</v>
      </c>
    </row>
    <row r="249" spans="1:27" x14ac:dyDescent="0.25">
      <c r="A249">
        <f t="shared" ca="1" si="32"/>
        <v>0</v>
      </c>
      <c r="B249" t="str">
        <f t="shared" ca="1" si="33"/>
        <v/>
      </c>
      <c r="C249" t="str">
        <f t="shared" si="34"/>
        <v>GPIO</v>
      </c>
      <c r="D249" t="s">
        <v>253</v>
      </c>
      <c r="E249" t="s">
        <v>253</v>
      </c>
      <c r="F249" s="3" t="s">
        <v>2723</v>
      </c>
      <c r="G249" s="11" t="s">
        <v>807</v>
      </c>
      <c r="H249" s="11" t="s">
        <v>40</v>
      </c>
      <c r="I249" s="3" t="s">
        <v>253</v>
      </c>
      <c r="J249" s="3" t="s">
        <v>253</v>
      </c>
      <c r="K249" s="3" t="s">
        <v>253</v>
      </c>
      <c r="L249" s="3" t="s">
        <v>253</v>
      </c>
      <c r="M249">
        <f>IF(LEN(H249),MATCH(H249,'MPIO_SFIO Table'!$A$11:$A$65525,0)-1,"")</f>
        <v>33</v>
      </c>
      <c r="N249" t="str">
        <f>IF(LEN(I249),MATCH(I249,'MPIO_SFIO Table'!$A$11:$A$65525,0)-1,"")</f>
        <v/>
      </c>
      <c r="O249" t="str">
        <f>IF(LEN(J249),MATCH(J249,'MPIO_SFIO Table'!$A$11:$A$65525,0)-1,"")</f>
        <v/>
      </c>
      <c r="P249" t="str">
        <f>IF(LEN(K249),MATCH(K249,'MPIO_SFIO Table'!$A$11:$A$65525,0)-1,"")</f>
        <v/>
      </c>
      <c r="Q249" t="str">
        <f>IF(LEN(L249),MATCH(L249,'MPIO_SFIO Table'!$A$11:$A$65525,0)-1,"")</f>
        <v/>
      </c>
      <c r="R249" t="str">
        <f ca="1">IF(ISNUMBER(M249),OFFSET('MPIO_SFIO Table'!$AJ$11,M249,0),"")</f>
        <v>unused_ULPI_DATA3</v>
      </c>
      <c r="S249" t="str">
        <f ca="1">IF(ISNUMBER(N249),OFFSET('MPIO_SFIO Table'!$AJ$11,N249,0),"")</f>
        <v/>
      </c>
      <c r="T249" t="str">
        <f ca="1">IF(ISNUMBER(O249),OFFSET('MPIO_SFIO Table'!$AJ$11,O249,0),"")</f>
        <v/>
      </c>
      <c r="U249" t="str">
        <f ca="1">IF(ISNUMBER(P249),OFFSET('MPIO_SFIO Table'!$AJ$11,P249,0),"")</f>
        <v/>
      </c>
      <c r="V249" t="str">
        <f ca="1">IF(ISNUMBER(Q249),OFFSET('MPIO_SFIO Table'!$AJ$11,Q249,0),"")</f>
        <v/>
      </c>
      <c r="W249">
        <f t="shared" ca="1" si="35"/>
        <v>0</v>
      </c>
      <c r="X249">
        <f t="shared" ca="1" si="36"/>
        <v>0</v>
      </c>
      <c r="Y249">
        <f t="shared" ca="1" si="37"/>
        <v>0</v>
      </c>
      <c r="Z249">
        <f t="shared" ca="1" si="38"/>
        <v>0</v>
      </c>
      <c r="AA249">
        <f t="shared" ca="1" si="39"/>
        <v>0</v>
      </c>
    </row>
    <row r="250" spans="1:27" x14ac:dyDescent="0.25">
      <c r="A250">
        <f t="shared" ca="1" si="32"/>
        <v>0</v>
      </c>
      <c r="B250" t="str">
        <f t="shared" ca="1" si="33"/>
        <v/>
      </c>
      <c r="C250" t="str">
        <f t="shared" si="34"/>
        <v>GPIO</v>
      </c>
      <c r="D250" t="s">
        <v>253</v>
      </c>
      <c r="E250" t="s">
        <v>253</v>
      </c>
      <c r="F250" s="3" t="s">
        <v>2724</v>
      </c>
      <c r="G250" s="11" t="s">
        <v>808</v>
      </c>
      <c r="H250" s="11" t="s">
        <v>41</v>
      </c>
      <c r="I250" s="3" t="s">
        <v>253</v>
      </c>
      <c r="J250" s="3" t="s">
        <v>253</v>
      </c>
      <c r="K250" s="3" t="s">
        <v>253</v>
      </c>
      <c r="L250" s="3" t="s">
        <v>253</v>
      </c>
      <c r="M250">
        <f>IF(LEN(H250),MATCH(H250,'MPIO_SFIO Table'!$A$11:$A$65525,0)-1,"")</f>
        <v>34</v>
      </c>
      <c r="N250" t="str">
        <f>IF(LEN(I250),MATCH(I250,'MPIO_SFIO Table'!$A$11:$A$65525,0)-1,"")</f>
        <v/>
      </c>
      <c r="O250" t="str">
        <f>IF(LEN(J250),MATCH(J250,'MPIO_SFIO Table'!$A$11:$A$65525,0)-1,"")</f>
        <v/>
      </c>
      <c r="P250" t="str">
        <f>IF(LEN(K250),MATCH(K250,'MPIO_SFIO Table'!$A$11:$A$65525,0)-1,"")</f>
        <v/>
      </c>
      <c r="Q250" t="str">
        <f>IF(LEN(L250),MATCH(L250,'MPIO_SFIO Table'!$A$11:$A$65525,0)-1,"")</f>
        <v/>
      </c>
      <c r="R250" t="str">
        <f ca="1">IF(ISNUMBER(M250),OFFSET('MPIO_SFIO Table'!$AJ$11,M250,0),"")</f>
        <v>unused_ULPI_DATA4</v>
      </c>
      <c r="S250" t="str">
        <f ca="1">IF(ISNUMBER(N250),OFFSET('MPIO_SFIO Table'!$AJ$11,N250,0),"")</f>
        <v/>
      </c>
      <c r="T250" t="str">
        <f ca="1">IF(ISNUMBER(O250),OFFSET('MPIO_SFIO Table'!$AJ$11,O250,0),"")</f>
        <v/>
      </c>
      <c r="U250" t="str">
        <f ca="1">IF(ISNUMBER(P250),OFFSET('MPIO_SFIO Table'!$AJ$11,P250,0),"")</f>
        <v/>
      </c>
      <c r="V250" t="str">
        <f ca="1">IF(ISNUMBER(Q250),OFFSET('MPIO_SFIO Table'!$AJ$11,Q250,0),"")</f>
        <v/>
      </c>
      <c r="W250">
        <f t="shared" ca="1" si="35"/>
        <v>0</v>
      </c>
      <c r="X250">
        <f t="shared" ca="1" si="36"/>
        <v>0</v>
      </c>
      <c r="Y250">
        <f t="shared" ca="1" si="37"/>
        <v>0</v>
      </c>
      <c r="Z250">
        <f t="shared" ca="1" si="38"/>
        <v>0</v>
      </c>
      <c r="AA250">
        <f t="shared" ca="1" si="39"/>
        <v>0</v>
      </c>
    </row>
    <row r="251" spans="1:27" x14ac:dyDescent="0.25">
      <c r="A251">
        <f t="shared" ca="1" si="32"/>
        <v>0</v>
      </c>
      <c r="B251" t="str">
        <f t="shared" ca="1" si="33"/>
        <v/>
      </c>
      <c r="C251" t="str">
        <f t="shared" si="34"/>
        <v>GPIO</v>
      </c>
      <c r="D251" t="s">
        <v>253</v>
      </c>
      <c r="E251" t="s">
        <v>253</v>
      </c>
      <c r="F251" s="3" t="s">
        <v>2725</v>
      </c>
      <c r="G251" s="11" t="s">
        <v>809</v>
      </c>
      <c r="H251" s="11" t="s">
        <v>42</v>
      </c>
      <c r="I251" s="3" t="s">
        <v>253</v>
      </c>
      <c r="J251" s="3" t="s">
        <v>253</v>
      </c>
      <c r="K251" s="3" t="s">
        <v>253</v>
      </c>
      <c r="L251" s="3" t="s">
        <v>253</v>
      </c>
      <c r="M251">
        <f>IF(LEN(H251),MATCH(H251,'MPIO_SFIO Table'!$A$11:$A$65525,0)-1,"")</f>
        <v>35</v>
      </c>
      <c r="N251" t="str">
        <f>IF(LEN(I251),MATCH(I251,'MPIO_SFIO Table'!$A$11:$A$65525,0)-1,"")</f>
        <v/>
      </c>
      <c r="O251" t="str">
        <f>IF(LEN(J251),MATCH(J251,'MPIO_SFIO Table'!$A$11:$A$65525,0)-1,"")</f>
        <v/>
      </c>
      <c r="P251" t="str">
        <f>IF(LEN(K251),MATCH(K251,'MPIO_SFIO Table'!$A$11:$A$65525,0)-1,"")</f>
        <v/>
      </c>
      <c r="Q251" t="str">
        <f>IF(LEN(L251),MATCH(L251,'MPIO_SFIO Table'!$A$11:$A$65525,0)-1,"")</f>
        <v/>
      </c>
      <c r="R251" t="str">
        <f ca="1">IF(ISNUMBER(M251),OFFSET('MPIO_SFIO Table'!$AJ$11,M251,0),"")</f>
        <v>unused_ULPI_DATA5</v>
      </c>
      <c r="S251" t="str">
        <f ca="1">IF(ISNUMBER(N251),OFFSET('MPIO_SFIO Table'!$AJ$11,N251,0),"")</f>
        <v/>
      </c>
      <c r="T251" t="str">
        <f ca="1">IF(ISNUMBER(O251),OFFSET('MPIO_SFIO Table'!$AJ$11,O251,0),"")</f>
        <v/>
      </c>
      <c r="U251" t="str">
        <f ca="1">IF(ISNUMBER(P251),OFFSET('MPIO_SFIO Table'!$AJ$11,P251,0),"")</f>
        <v/>
      </c>
      <c r="V251" t="str">
        <f ca="1">IF(ISNUMBER(Q251),OFFSET('MPIO_SFIO Table'!$AJ$11,Q251,0),"")</f>
        <v/>
      </c>
      <c r="W251">
        <f t="shared" ca="1" si="35"/>
        <v>0</v>
      </c>
      <c r="X251">
        <f t="shared" ca="1" si="36"/>
        <v>0</v>
      </c>
      <c r="Y251">
        <f t="shared" ca="1" si="37"/>
        <v>0</v>
      </c>
      <c r="Z251">
        <f t="shared" ca="1" si="38"/>
        <v>0</v>
      </c>
      <c r="AA251">
        <f t="shared" ca="1" si="39"/>
        <v>0</v>
      </c>
    </row>
    <row r="252" spans="1:27" x14ac:dyDescent="0.25">
      <c r="A252">
        <f t="shared" ca="1" si="32"/>
        <v>0</v>
      </c>
      <c r="B252" t="str">
        <f t="shared" ca="1" si="33"/>
        <v/>
      </c>
      <c r="C252" t="str">
        <f t="shared" si="34"/>
        <v>GPIO</v>
      </c>
      <c r="D252" t="s">
        <v>253</v>
      </c>
      <c r="E252" t="s">
        <v>253</v>
      </c>
      <c r="F252" s="3" t="s">
        <v>2726</v>
      </c>
      <c r="G252" s="11" t="s">
        <v>810</v>
      </c>
      <c r="H252" s="11" t="s">
        <v>43</v>
      </c>
      <c r="I252" s="3" t="s">
        <v>253</v>
      </c>
      <c r="J252" s="3" t="s">
        <v>253</v>
      </c>
      <c r="K252" s="3" t="s">
        <v>253</v>
      </c>
      <c r="L252" s="3" t="s">
        <v>253</v>
      </c>
      <c r="M252">
        <f>IF(LEN(H252),MATCH(H252,'MPIO_SFIO Table'!$A$11:$A$65525,0)-1,"")</f>
        <v>36</v>
      </c>
      <c r="N252" t="str">
        <f>IF(LEN(I252),MATCH(I252,'MPIO_SFIO Table'!$A$11:$A$65525,0)-1,"")</f>
        <v/>
      </c>
      <c r="O252" t="str">
        <f>IF(LEN(J252),MATCH(J252,'MPIO_SFIO Table'!$A$11:$A$65525,0)-1,"")</f>
        <v/>
      </c>
      <c r="P252" t="str">
        <f>IF(LEN(K252),MATCH(K252,'MPIO_SFIO Table'!$A$11:$A$65525,0)-1,"")</f>
        <v/>
      </c>
      <c r="Q252" t="str">
        <f>IF(LEN(L252),MATCH(L252,'MPIO_SFIO Table'!$A$11:$A$65525,0)-1,"")</f>
        <v/>
      </c>
      <c r="R252" t="str">
        <f ca="1">IF(ISNUMBER(M252),OFFSET('MPIO_SFIO Table'!$AJ$11,M252,0),"")</f>
        <v>unused_ULPI_DATA6</v>
      </c>
      <c r="S252" t="str">
        <f ca="1">IF(ISNUMBER(N252),OFFSET('MPIO_SFIO Table'!$AJ$11,N252,0),"")</f>
        <v/>
      </c>
      <c r="T252" t="str">
        <f ca="1">IF(ISNUMBER(O252),OFFSET('MPIO_SFIO Table'!$AJ$11,O252,0),"")</f>
        <v/>
      </c>
      <c r="U252" t="str">
        <f ca="1">IF(ISNUMBER(P252),OFFSET('MPIO_SFIO Table'!$AJ$11,P252,0),"")</f>
        <v/>
      </c>
      <c r="V252" t="str">
        <f ca="1">IF(ISNUMBER(Q252),OFFSET('MPIO_SFIO Table'!$AJ$11,Q252,0),"")</f>
        <v/>
      </c>
      <c r="W252">
        <f t="shared" ca="1" si="35"/>
        <v>0</v>
      </c>
      <c r="X252">
        <f t="shared" ca="1" si="36"/>
        <v>0</v>
      </c>
      <c r="Y252">
        <f t="shared" ca="1" si="37"/>
        <v>0</v>
      </c>
      <c r="Z252">
        <f t="shared" ca="1" si="38"/>
        <v>0</v>
      </c>
      <c r="AA252">
        <f t="shared" ca="1" si="39"/>
        <v>0</v>
      </c>
    </row>
    <row r="253" spans="1:27" x14ac:dyDescent="0.25">
      <c r="A253">
        <f t="shared" ca="1" si="32"/>
        <v>0</v>
      </c>
      <c r="B253" t="str">
        <f t="shared" ca="1" si="33"/>
        <v/>
      </c>
      <c r="C253" t="str">
        <f t="shared" si="34"/>
        <v>GPIO</v>
      </c>
      <c r="D253" t="s">
        <v>253</v>
      </c>
      <c r="E253" t="s">
        <v>253</v>
      </c>
      <c r="F253" s="3" t="s">
        <v>2727</v>
      </c>
      <c r="G253" s="11" t="s">
        <v>799</v>
      </c>
      <c r="H253" s="11" t="s">
        <v>32</v>
      </c>
      <c r="I253" s="3" t="s">
        <v>253</v>
      </c>
      <c r="J253" s="3" t="s">
        <v>253</v>
      </c>
      <c r="K253" s="3" t="s">
        <v>253</v>
      </c>
      <c r="L253" s="3" t="s">
        <v>253</v>
      </c>
      <c r="M253">
        <f>IF(LEN(H253),MATCH(H253,'MPIO_SFIO Table'!$A$11:$A$65525,0)-1,"")</f>
        <v>25</v>
      </c>
      <c r="N253" t="str">
        <f>IF(LEN(I253),MATCH(I253,'MPIO_SFIO Table'!$A$11:$A$65525,0)-1,"")</f>
        <v/>
      </c>
      <c r="O253" t="str">
        <f>IF(LEN(J253),MATCH(J253,'MPIO_SFIO Table'!$A$11:$A$65525,0)-1,"")</f>
        <v/>
      </c>
      <c r="P253" t="str">
        <f>IF(LEN(K253),MATCH(K253,'MPIO_SFIO Table'!$A$11:$A$65525,0)-1,"")</f>
        <v/>
      </c>
      <c r="Q253" t="str">
        <f>IF(LEN(L253),MATCH(L253,'MPIO_SFIO Table'!$A$11:$A$65525,0)-1,"")</f>
        <v/>
      </c>
      <c r="R253" t="str">
        <f ca="1">IF(ISNUMBER(M253),OFFSET('MPIO_SFIO Table'!$AJ$11,M253,0),"")</f>
        <v>unused_DAP3_FS</v>
      </c>
      <c r="S253" t="str">
        <f ca="1">IF(ISNUMBER(N253),OFFSET('MPIO_SFIO Table'!$AJ$11,N253,0),"")</f>
        <v/>
      </c>
      <c r="T253" t="str">
        <f ca="1">IF(ISNUMBER(O253),OFFSET('MPIO_SFIO Table'!$AJ$11,O253,0),"")</f>
        <v/>
      </c>
      <c r="U253" t="str">
        <f ca="1">IF(ISNUMBER(P253),OFFSET('MPIO_SFIO Table'!$AJ$11,P253,0),"")</f>
        <v/>
      </c>
      <c r="V253" t="str">
        <f ca="1">IF(ISNUMBER(Q253),OFFSET('MPIO_SFIO Table'!$AJ$11,Q253,0),"")</f>
        <v/>
      </c>
      <c r="W253">
        <f t="shared" ca="1" si="35"/>
        <v>0</v>
      </c>
      <c r="X253">
        <f t="shared" ca="1" si="36"/>
        <v>0</v>
      </c>
      <c r="Y253">
        <f t="shared" ca="1" si="37"/>
        <v>0</v>
      </c>
      <c r="Z253">
        <f t="shared" ca="1" si="38"/>
        <v>0</v>
      </c>
      <c r="AA253">
        <f t="shared" ca="1" si="39"/>
        <v>0</v>
      </c>
    </row>
    <row r="254" spans="1:27" x14ac:dyDescent="0.25">
      <c r="A254">
        <f t="shared" ca="1" si="32"/>
        <v>0</v>
      </c>
      <c r="B254" t="str">
        <f t="shared" ca="1" si="33"/>
        <v/>
      </c>
      <c r="C254" t="str">
        <f t="shared" si="34"/>
        <v>GPIO</v>
      </c>
      <c r="D254" t="s">
        <v>253</v>
      </c>
      <c r="E254" t="s">
        <v>253</v>
      </c>
      <c r="F254" s="3" t="s">
        <v>2728</v>
      </c>
      <c r="G254" s="11" t="s">
        <v>797</v>
      </c>
      <c r="H254" s="11" t="s">
        <v>30</v>
      </c>
      <c r="I254" s="3" t="s">
        <v>253</v>
      </c>
      <c r="J254" s="3" t="s">
        <v>253</v>
      </c>
      <c r="K254" s="3" t="s">
        <v>253</v>
      </c>
      <c r="L254" s="3" t="s">
        <v>253</v>
      </c>
      <c r="M254">
        <f>IF(LEN(H254),MATCH(H254,'MPIO_SFIO Table'!$A$11:$A$65525,0)-1,"")</f>
        <v>23</v>
      </c>
      <c r="N254" t="str">
        <f>IF(LEN(I254),MATCH(I254,'MPIO_SFIO Table'!$A$11:$A$65525,0)-1,"")</f>
        <v/>
      </c>
      <c r="O254" t="str">
        <f>IF(LEN(J254),MATCH(J254,'MPIO_SFIO Table'!$A$11:$A$65525,0)-1,"")</f>
        <v/>
      </c>
      <c r="P254" t="str">
        <f>IF(LEN(K254),MATCH(K254,'MPIO_SFIO Table'!$A$11:$A$65525,0)-1,"")</f>
        <v/>
      </c>
      <c r="Q254" t="str">
        <f>IF(LEN(L254),MATCH(L254,'MPIO_SFIO Table'!$A$11:$A$65525,0)-1,"")</f>
        <v/>
      </c>
      <c r="R254" t="str">
        <f ca="1">IF(ISNUMBER(M254),OFFSET('MPIO_SFIO Table'!$AJ$11,M254,0),"")</f>
        <v>unused_DAP3_DIN</v>
      </c>
      <c r="S254" t="str">
        <f ca="1">IF(ISNUMBER(N254),OFFSET('MPIO_SFIO Table'!$AJ$11,N254,0),"")</f>
        <v/>
      </c>
      <c r="T254" t="str">
        <f ca="1">IF(ISNUMBER(O254),OFFSET('MPIO_SFIO Table'!$AJ$11,O254,0),"")</f>
        <v/>
      </c>
      <c r="U254" t="str">
        <f ca="1">IF(ISNUMBER(P254),OFFSET('MPIO_SFIO Table'!$AJ$11,P254,0),"")</f>
        <v/>
      </c>
      <c r="V254" t="str">
        <f ca="1">IF(ISNUMBER(Q254),OFFSET('MPIO_SFIO Table'!$AJ$11,Q254,0),"")</f>
        <v/>
      </c>
      <c r="W254">
        <f t="shared" ca="1" si="35"/>
        <v>0</v>
      </c>
      <c r="X254">
        <f t="shared" ca="1" si="36"/>
        <v>0</v>
      </c>
      <c r="Y254">
        <f t="shared" ca="1" si="37"/>
        <v>0</v>
      </c>
      <c r="Z254">
        <f t="shared" ca="1" si="38"/>
        <v>0</v>
      </c>
      <c r="AA254">
        <f t="shared" ca="1" si="39"/>
        <v>0</v>
      </c>
    </row>
    <row r="255" spans="1:27" x14ac:dyDescent="0.25">
      <c r="A255">
        <f t="shared" ca="1" si="32"/>
        <v>0</v>
      </c>
      <c r="B255" t="str">
        <f t="shared" ca="1" si="33"/>
        <v/>
      </c>
      <c r="C255" t="str">
        <f t="shared" si="34"/>
        <v>GPIO</v>
      </c>
      <c r="D255" t="s">
        <v>253</v>
      </c>
      <c r="E255" t="s">
        <v>253</v>
      </c>
      <c r="F255" s="3" t="s">
        <v>2729</v>
      </c>
      <c r="G255" s="11" t="s">
        <v>798</v>
      </c>
      <c r="H255" s="11" t="s">
        <v>31</v>
      </c>
      <c r="I255" s="3" t="s">
        <v>253</v>
      </c>
      <c r="J255" s="3" t="s">
        <v>253</v>
      </c>
      <c r="K255" s="3" t="s">
        <v>253</v>
      </c>
      <c r="L255" s="3" t="s">
        <v>253</v>
      </c>
      <c r="M255">
        <f>IF(LEN(H255),MATCH(H255,'MPIO_SFIO Table'!$A$11:$A$65525,0)-1,"")</f>
        <v>24</v>
      </c>
      <c r="N255" t="str">
        <f>IF(LEN(I255),MATCH(I255,'MPIO_SFIO Table'!$A$11:$A$65525,0)-1,"")</f>
        <v/>
      </c>
      <c r="O255" t="str">
        <f>IF(LEN(J255),MATCH(J255,'MPIO_SFIO Table'!$A$11:$A$65525,0)-1,"")</f>
        <v/>
      </c>
      <c r="P255" t="str">
        <f>IF(LEN(K255),MATCH(K255,'MPIO_SFIO Table'!$A$11:$A$65525,0)-1,"")</f>
        <v/>
      </c>
      <c r="Q255" t="str">
        <f>IF(LEN(L255),MATCH(L255,'MPIO_SFIO Table'!$A$11:$A$65525,0)-1,"")</f>
        <v/>
      </c>
      <c r="R255" t="str">
        <f ca="1">IF(ISNUMBER(M255),OFFSET('MPIO_SFIO Table'!$AJ$11,M255,0),"")</f>
        <v>unused_DAP3_DOUT</v>
      </c>
      <c r="S255" t="str">
        <f ca="1">IF(ISNUMBER(N255),OFFSET('MPIO_SFIO Table'!$AJ$11,N255,0),"")</f>
        <v/>
      </c>
      <c r="T255" t="str">
        <f ca="1">IF(ISNUMBER(O255),OFFSET('MPIO_SFIO Table'!$AJ$11,O255,0),"")</f>
        <v/>
      </c>
      <c r="U255" t="str">
        <f ca="1">IF(ISNUMBER(P255),OFFSET('MPIO_SFIO Table'!$AJ$11,P255,0),"")</f>
        <v/>
      </c>
      <c r="V255" t="str">
        <f ca="1">IF(ISNUMBER(Q255),OFFSET('MPIO_SFIO Table'!$AJ$11,Q255,0),"")</f>
        <v/>
      </c>
      <c r="W255">
        <f t="shared" ca="1" si="35"/>
        <v>0</v>
      </c>
      <c r="X255">
        <f t="shared" ca="1" si="36"/>
        <v>0</v>
      </c>
      <c r="Y255">
        <f t="shared" ca="1" si="37"/>
        <v>0</v>
      </c>
      <c r="Z255">
        <f t="shared" ca="1" si="38"/>
        <v>0</v>
      </c>
      <c r="AA255">
        <f t="shared" ca="1" si="39"/>
        <v>0</v>
      </c>
    </row>
    <row r="256" spans="1:27" x14ac:dyDescent="0.25">
      <c r="A256">
        <f t="shared" ca="1" si="32"/>
        <v>0</v>
      </c>
      <c r="B256" t="str">
        <f t="shared" ca="1" si="33"/>
        <v/>
      </c>
      <c r="C256" t="str">
        <f t="shared" si="34"/>
        <v>GPIO</v>
      </c>
      <c r="D256" t="s">
        <v>253</v>
      </c>
      <c r="E256" t="s">
        <v>253</v>
      </c>
      <c r="F256" s="3" t="s">
        <v>2730</v>
      </c>
      <c r="G256" s="11" t="s">
        <v>800</v>
      </c>
      <c r="H256" s="11" t="s">
        <v>33</v>
      </c>
      <c r="I256" s="3" t="s">
        <v>253</v>
      </c>
      <c r="J256" s="3" t="s">
        <v>253</v>
      </c>
      <c r="K256" s="3" t="s">
        <v>253</v>
      </c>
      <c r="L256" s="3" t="s">
        <v>253</v>
      </c>
      <c r="M256">
        <f>IF(LEN(H256),MATCH(H256,'MPIO_SFIO Table'!$A$11:$A$65525,0)-1,"")</f>
        <v>26</v>
      </c>
      <c r="N256" t="str">
        <f>IF(LEN(I256),MATCH(I256,'MPIO_SFIO Table'!$A$11:$A$65525,0)-1,"")</f>
        <v/>
      </c>
      <c r="O256" t="str">
        <f>IF(LEN(J256),MATCH(J256,'MPIO_SFIO Table'!$A$11:$A$65525,0)-1,"")</f>
        <v/>
      </c>
      <c r="P256" t="str">
        <f>IF(LEN(K256),MATCH(K256,'MPIO_SFIO Table'!$A$11:$A$65525,0)-1,"")</f>
        <v/>
      </c>
      <c r="Q256" t="str">
        <f>IF(LEN(L256),MATCH(L256,'MPIO_SFIO Table'!$A$11:$A$65525,0)-1,"")</f>
        <v/>
      </c>
      <c r="R256" t="str">
        <f ca="1">IF(ISNUMBER(M256),OFFSET('MPIO_SFIO Table'!$AJ$11,M256,0),"")</f>
        <v>unused_DAP3_SCLK</v>
      </c>
      <c r="S256" t="str">
        <f ca="1">IF(ISNUMBER(N256),OFFSET('MPIO_SFIO Table'!$AJ$11,N256,0),"")</f>
        <v/>
      </c>
      <c r="T256" t="str">
        <f ca="1">IF(ISNUMBER(O256),OFFSET('MPIO_SFIO Table'!$AJ$11,O256,0),"")</f>
        <v/>
      </c>
      <c r="U256" t="str">
        <f ca="1">IF(ISNUMBER(P256),OFFSET('MPIO_SFIO Table'!$AJ$11,P256,0),"")</f>
        <v/>
      </c>
      <c r="V256" t="str">
        <f ca="1">IF(ISNUMBER(Q256),OFFSET('MPIO_SFIO Table'!$AJ$11,Q256,0),"")</f>
        <v/>
      </c>
      <c r="W256">
        <f t="shared" ca="1" si="35"/>
        <v>0</v>
      </c>
      <c r="X256">
        <f t="shared" ca="1" si="36"/>
        <v>0</v>
      </c>
      <c r="Y256">
        <f t="shared" ca="1" si="37"/>
        <v>0</v>
      </c>
      <c r="Z256">
        <f t="shared" ca="1" si="38"/>
        <v>0</v>
      </c>
      <c r="AA256">
        <f t="shared" ca="1" si="39"/>
        <v>0</v>
      </c>
    </row>
    <row r="257" spans="1:27" x14ac:dyDescent="0.25">
      <c r="A257">
        <f t="shared" ca="1" si="32"/>
        <v>0</v>
      </c>
      <c r="B257" t="str">
        <f t="shared" ca="1" si="33"/>
        <v/>
      </c>
      <c r="C257" t="str">
        <f t="shared" si="34"/>
        <v>GPIO</v>
      </c>
      <c r="D257" t="s">
        <v>253</v>
      </c>
      <c r="E257" t="s">
        <v>253</v>
      </c>
      <c r="F257" s="3" t="s">
        <v>2731</v>
      </c>
      <c r="G257" s="11" t="s">
        <v>983</v>
      </c>
      <c r="H257" s="11" t="s">
        <v>217</v>
      </c>
      <c r="I257" s="3" t="s">
        <v>253</v>
      </c>
      <c r="J257" s="3" t="s">
        <v>253</v>
      </c>
      <c r="K257" s="3" t="s">
        <v>253</v>
      </c>
      <c r="L257" s="3" t="s">
        <v>253</v>
      </c>
      <c r="M257">
        <f>IF(LEN(H257),MATCH(H257,'MPIO_SFIO Table'!$A$11:$A$65525,0)-1,"")</f>
        <v>235</v>
      </c>
      <c r="N257" t="str">
        <f>IF(LEN(I257),MATCH(I257,'MPIO_SFIO Table'!$A$11:$A$65525,0)-1,"")</f>
        <v/>
      </c>
      <c r="O257" t="str">
        <f>IF(LEN(J257),MATCH(J257,'MPIO_SFIO Table'!$A$11:$A$65525,0)-1,"")</f>
        <v/>
      </c>
      <c r="P257" t="str">
        <f>IF(LEN(K257),MATCH(K257,'MPIO_SFIO Table'!$A$11:$A$65525,0)-1,"")</f>
        <v/>
      </c>
      <c r="Q257" t="str">
        <f>IF(LEN(L257),MATCH(L257,'MPIO_SFIO Table'!$A$11:$A$65525,0)-1,"")</f>
        <v/>
      </c>
      <c r="R257" t="str">
        <f ca="1">IF(ISNUMBER(M257),OFFSET('MPIO_SFIO Table'!$AJ$11,M257,0),"")</f>
        <v>unused_DAP4_FS</v>
      </c>
      <c r="S257" t="str">
        <f ca="1">IF(ISNUMBER(N257),OFFSET('MPIO_SFIO Table'!$AJ$11,N257,0),"")</f>
        <v/>
      </c>
      <c r="T257" t="str">
        <f ca="1">IF(ISNUMBER(O257),OFFSET('MPIO_SFIO Table'!$AJ$11,O257,0),"")</f>
        <v/>
      </c>
      <c r="U257" t="str">
        <f ca="1">IF(ISNUMBER(P257),OFFSET('MPIO_SFIO Table'!$AJ$11,P257,0),"")</f>
        <v/>
      </c>
      <c r="V257" t="str">
        <f ca="1">IF(ISNUMBER(Q257),OFFSET('MPIO_SFIO Table'!$AJ$11,Q257,0),"")</f>
        <v/>
      </c>
      <c r="W257">
        <f t="shared" ca="1" si="35"/>
        <v>0</v>
      </c>
      <c r="X257">
        <f t="shared" ca="1" si="36"/>
        <v>0</v>
      </c>
      <c r="Y257">
        <f t="shared" ca="1" si="37"/>
        <v>0</v>
      </c>
      <c r="Z257">
        <f t="shared" ca="1" si="38"/>
        <v>0</v>
      </c>
      <c r="AA257">
        <f t="shared" ca="1" si="39"/>
        <v>0</v>
      </c>
    </row>
    <row r="258" spans="1:27" x14ac:dyDescent="0.25">
      <c r="A258">
        <f t="shared" ca="1" si="32"/>
        <v>0</v>
      </c>
      <c r="B258" t="str">
        <f t="shared" ca="1" si="33"/>
        <v/>
      </c>
      <c r="C258" t="str">
        <f t="shared" si="34"/>
        <v>GPIO</v>
      </c>
      <c r="D258" t="s">
        <v>253</v>
      </c>
      <c r="E258" t="s">
        <v>253</v>
      </c>
      <c r="F258" s="3" t="s">
        <v>2732</v>
      </c>
      <c r="G258" s="11" t="s">
        <v>981</v>
      </c>
      <c r="H258" s="11" t="s">
        <v>215</v>
      </c>
      <c r="I258" s="3" t="s">
        <v>253</v>
      </c>
      <c r="J258" s="3" t="s">
        <v>253</v>
      </c>
      <c r="K258" s="3" t="s">
        <v>253</v>
      </c>
      <c r="L258" s="3" t="s">
        <v>253</v>
      </c>
      <c r="M258">
        <f>IF(LEN(H258),MATCH(H258,'MPIO_SFIO Table'!$A$11:$A$65525,0)-1,"")</f>
        <v>233</v>
      </c>
      <c r="N258" t="str">
        <f>IF(LEN(I258),MATCH(I258,'MPIO_SFIO Table'!$A$11:$A$65525,0)-1,"")</f>
        <v/>
      </c>
      <c r="O258" t="str">
        <f>IF(LEN(J258),MATCH(J258,'MPIO_SFIO Table'!$A$11:$A$65525,0)-1,"")</f>
        <v/>
      </c>
      <c r="P258" t="str">
        <f>IF(LEN(K258),MATCH(K258,'MPIO_SFIO Table'!$A$11:$A$65525,0)-1,"")</f>
        <v/>
      </c>
      <c r="Q258" t="str">
        <f>IF(LEN(L258),MATCH(L258,'MPIO_SFIO Table'!$A$11:$A$65525,0)-1,"")</f>
        <v/>
      </c>
      <c r="R258" t="str">
        <f ca="1">IF(ISNUMBER(M258),OFFSET('MPIO_SFIO Table'!$AJ$11,M258,0),"")</f>
        <v>unused_DAP4_DIN</v>
      </c>
      <c r="S258" t="str">
        <f ca="1">IF(ISNUMBER(N258),OFFSET('MPIO_SFIO Table'!$AJ$11,N258,0),"")</f>
        <v/>
      </c>
      <c r="T258" t="str">
        <f ca="1">IF(ISNUMBER(O258),OFFSET('MPIO_SFIO Table'!$AJ$11,O258,0),"")</f>
        <v/>
      </c>
      <c r="U258" t="str">
        <f ca="1">IF(ISNUMBER(P258),OFFSET('MPIO_SFIO Table'!$AJ$11,P258,0),"")</f>
        <v/>
      </c>
      <c r="V258" t="str">
        <f ca="1">IF(ISNUMBER(Q258),OFFSET('MPIO_SFIO Table'!$AJ$11,Q258,0),"")</f>
        <v/>
      </c>
      <c r="W258">
        <f t="shared" ca="1" si="35"/>
        <v>0</v>
      </c>
      <c r="X258">
        <f t="shared" ca="1" si="36"/>
        <v>0</v>
      </c>
      <c r="Y258">
        <f t="shared" ca="1" si="37"/>
        <v>0</v>
      </c>
      <c r="Z258">
        <f t="shared" ca="1" si="38"/>
        <v>0</v>
      </c>
      <c r="AA258">
        <f t="shared" ca="1" si="39"/>
        <v>0</v>
      </c>
    </row>
    <row r="259" spans="1:27" x14ac:dyDescent="0.25">
      <c r="A259">
        <f t="shared" ca="1" si="32"/>
        <v>0</v>
      </c>
      <c r="B259" t="str">
        <f t="shared" ca="1" si="33"/>
        <v/>
      </c>
      <c r="C259" t="str">
        <f t="shared" si="34"/>
        <v>GPIO</v>
      </c>
      <c r="D259" t="s">
        <v>253</v>
      </c>
      <c r="E259" t="s">
        <v>253</v>
      </c>
      <c r="F259" s="3" t="s">
        <v>2733</v>
      </c>
      <c r="G259" s="11" t="s">
        <v>982</v>
      </c>
      <c r="H259" s="11" t="s">
        <v>216</v>
      </c>
      <c r="I259" s="3" t="s">
        <v>253</v>
      </c>
      <c r="J259" s="3" t="s">
        <v>253</v>
      </c>
      <c r="K259" s="3" t="s">
        <v>253</v>
      </c>
      <c r="L259" s="3" t="s">
        <v>253</v>
      </c>
      <c r="M259">
        <f>IF(LEN(H259),MATCH(H259,'MPIO_SFIO Table'!$A$11:$A$65525,0)-1,"")</f>
        <v>234</v>
      </c>
      <c r="N259" t="str">
        <f>IF(LEN(I259),MATCH(I259,'MPIO_SFIO Table'!$A$11:$A$65525,0)-1,"")</f>
        <v/>
      </c>
      <c r="O259" t="str">
        <f>IF(LEN(J259),MATCH(J259,'MPIO_SFIO Table'!$A$11:$A$65525,0)-1,"")</f>
        <v/>
      </c>
      <c r="P259" t="str">
        <f>IF(LEN(K259),MATCH(K259,'MPIO_SFIO Table'!$A$11:$A$65525,0)-1,"")</f>
        <v/>
      </c>
      <c r="Q259" t="str">
        <f>IF(LEN(L259),MATCH(L259,'MPIO_SFIO Table'!$A$11:$A$65525,0)-1,"")</f>
        <v/>
      </c>
      <c r="R259" t="str">
        <f ca="1">IF(ISNUMBER(M259),OFFSET('MPIO_SFIO Table'!$AJ$11,M259,0),"")</f>
        <v>unused_DAP4_DOUT</v>
      </c>
      <c r="S259" t="str">
        <f ca="1">IF(ISNUMBER(N259),OFFSET('MPIO_SFIO Table'!$AJ$11,N259,0),"")</f>
        <v/>
      </c>
      <c r="T259" t="str">
        <f ca="1">IF(ISNUMBER(O259),OFFSET('MPIO_SFIO Table'!$AJ$11,O259,0),"")</f>
        <v/>
      </c>
      <c r="U259" t="str">
        <f ca="1">IF(ISNUMBER(P259),OFFSET('MPIO_SFIO Table'!$AJ$11,P259,0),"")</f>
        <v/>
      </c>
      <c r="V259" t="str">
        <f ca="1">IF(ISNUMBER(Q259),OFFSET('MPIO_SFIO Table'!$AJ$11,Q259,0),"")</f>
        <v/>
      </c>
      <c r="W259">
        <f t="shared" ca="1" si="35"/>
        <v>0</v>
      </c>
      <c r="X259">
        <f t="shared" ca="1" si="36"/>
        <v>0</v>
      </c>
      <c r="Y259">
        <f t="shared" ca="1" si="37"/>
        <v>0</v>
      </c>
      <c r="Z259">
        <f t="shared" ca="1" si="38"/>
        <v>0</v>
      </c>
      <c r="AA259">
        <f t="shared" ca="1" si="39"/>
        <v>0</v>
      </c>
    </row>
    <row r="260" spans="1:27" x14ac:dyDescent="0.25">
      <c r="A260">
        <f t="shared" ca="1" si="32"/>
        <v>0</v>
      </c>
      <c r="B260" t="str">
        <f t="shared" ca="1" si="33"/>
        <v/>
      </c>
      <c r="C260" t="str">
        <f t="shared" si="34"/>
        <v>GPIO</v>
      </c>
      <c r="D260" t="s">
        <v>253</v>
      </c>
      <c r="E260" t="s">
        <v>253</v>
      </c>
      <c r="F260" s="3" t="s">
        <v>2734</v>
      </c>
      <c r="G260" s="11" t="s">
        <v>984</v>
      </c>
      <c r="H260" s="11" t="s">
        <v>218</v>
      </c>
      <c r="I260" s="3" t="s">
        <v>253</v>
      </c>
      <c r="J260" s="3" t="s">
        <v>253</v>
      </c>
      <c r="K260" s="3" t="s">
        <v>253</v>
      </c>
      <c r="L260" s="3" t="s">
        <v>253</v>
      </c>
      <c r="M260">
        <f>IF(LEN(H260),MATCH(H260,'MPIO_SFIO Table'!$A$11:$A$65525,0)-1,"")</f>
        <v>236</v>
      </c>
      <c r="N260" t="str">
        <f>IF(LEN(I260),MATCH(I260,'MPIO_SFIO Table'!$A$11:$A$65525,0)-1,"")</f>
        <v/>
      </c>
      <c r="O260" t="str">
        <f>IF(LEN(J260),MATCH(J260,'MPIO_SFIO Table'!$A$11:$A$65525,0)-1,"")</f>
        <v/>
      </c>
      <c r="P260" t="str">
        <f>IF(LEN(K260),MATCH(K260,'MPIO_SFIO Table'!$A$11:$A$65525,0)-1,"")</f>
        <v/>
      </c>
      <c r="Q260" t="str">
        <f>IF(LEN(L260),MATCH(L260,'MPIO_SFIO Table'!$A$11:$A$65525,0)-1,"")</f>
        <v/>
      </c>
      <c r="R260" t="str">
        <f ca="1">IF(ISNUMBER(M260),OFFSET('MPIO_SFIO Table'!$AJ$11,M260,0),"")</f>
        <v>unused_DAP4_SCLK</v>
      </c>
      <c r="S260" t="str">
        <f ca="1">IF(ISNUMBER(N260),OFFSET('MPIO_SFIO Table'!$AJ$11,N260,0),"")</f>
        <v/>
      </c>
      <c r="T260" t="str">
        <f ca="1">IF(ISNUMBER(O260),OFFSET('MPIO_SFIO Table'!$AJ$11,O260,0),"")</f>
        <v/>
      </c>
      <c r="U260" t="str">
        <f ca="1">IF(ISNUMBER(P260),OFFSET('MPIO_SFIO Table'!$AJ$11,P260,0),"")</f>
        <v/>
      </c>
      <c r="V260" t="str">
        <f ca="1">IF(ISNUMBER(Q260),OFFSET('MPIO_SFIO Table'!$AJ$11,Q260,0),"")</f>
        <v/>
      </c>
      <c r="W260">
        <f t="shared" ca="1" si="35"/>
        <v>0</v>
      </c>
      <c r="X260">
        <f t="shared" ca="1" si="36"/>
        <v>0</v>
      </c>
      <c r="Y260">
        <f t="shared" ca="1" si="37"/>
        <v>0</v>
      </c>
      <c r="Z260">
        <f t="shared" ca="1" si="38"/>
        <v>0</v>
      </c>
      <c r="AA260">
        <f t="shared" ca="1" si="39"/>
        <v>0</v>
      </c>
    </row>
    <row r="261" spans="1:27" x14ac:dyDescent="0.25">
      <c r="A261">
        <f t="shared" ca="1" si="32"/>
        <v>0</v>
      </c>
      <c r="B261" t="str">
        <f t="shared" ca="1" si="33"/>
        <v/>
      </c>
      <c r="C261" t="str">
        <f t="shared" si="34"/>
        <v>GPIO</v>
      </c>
      <c r="D261" t="s">
        <v>253</v>
      </c>
      <c r="E261" t="s">
        <v>253</v>
      </c>
      <c r="F261" s="3" t="s">
        <v>2735</v>
      </c>
      <c r="G261" s="11" t="s">
        <v>952</v>
      </c>
      <c r="H261" s="11" t="s">
        <v>185</v>
      </c>
      <c r="I261" s="3" t="s">
        <v>253</v>
      </c>
      <c r="J261" s="3" t="s">
        <v>253</v>
      </c>
      <c r="K261" s="3" t="s">
        <v>253</v>
      </c>
      <c r="L261" s="3" t="s">
        <v>253</v>
      </c>
      <c r="M261">
        <f>IF(LEN(H261),MATCH(H261,'MPIO_SFIO Table'!$A$11:$A$65525,0)-1,"")</f>
        <v>199</v>
      </c>
      <c r="N261" t="str">
        <f>IF(LEN(I261),MATCH(I261,'MPIO_SFIO Table'!$A$11:$A$65525,0)-1,"")</f>
        <v/>
      </c>
      <c r="O261" t="str">
        <f>IF(LEN(J261),MATCH(J261,'MPIO_SFIO Table'!$A$11:$A$65525,0)-1,"")</f>
        <v/>
      </c>
      <c r="P261" t="str">
        <f>IF(LEN(K261),MATCH(K261,'MPIO_SFIO Table'!$A$11:$A$65525,0)-1,"")</f>
        <v/>
      </c>
      <c r="Q261" t="str">
        <f>IF(LEN(L261),MATCH(L261,'MPIO_SFIO Table'!$A$11:$A$65525,0)-1,"")</f>
        <v/>
      </c>
      <c r="R261" t="str">
        <f ca="1">IF(ISNUMBER(M261),OFFSET('MPIO_SFIO Table'!$AJ$11,M261,0),"")</f>
        <v>unused_KB_COL0</v>
      </c>
      <c r="S261" t="str">
        <f ca="1">IF(ISNUMBER(N261),OFFSET('MPIO_SFIO Table'!$AJ$11,N261,0),"")</f>
        <v/>
      </c>
      <c r="T261" t="str">
        <f ca="1">IF(ISNUMBER(O261),OFFSET('MPIO_SFIO Table'!$AJ$11,O261,0),"")</f>
        <v/>
      </c>
      <c r="U261" t="str">
        <f ca="1">IF(ISNUMBER(P261),OFFSET('MPIO_SFIO Table'!$AJ$11,P261,0),"")</f>
        <v/>
      </c>
      <c r="V261" t="str">
        <f ca="1">IF(ISNUMBER(Q261),OFFSET('MPIO_SFIO Table'!$AJ$11,Q261,0),"")</f>
        <v/>
      </c>
      <c r="W261">
        <f t="shared" ca="1" si="35"/>
        <v>0</v>
      </c>
      <c r="X261">
        <f t="shared" ca="1" si="36"/>
        <v>0</v>
      </c>
      <c r="Y261">
        <f t="shared" ca="1" si="37"/>
        <v>0</v>
      </c>
      <c r="Z261">
        <f t="shared" ca="1" si="38"/>
        <v>0</v>
      </c>
      <c r="AA261">
        <f t="shared" ca="1" si="39"/>
        <v>0</v>
      </c>
    </row>
    <row r="262" spans="1:27" x14ac:dyDescent="0.25">
      <c r="A262">
        <f t="shared" ca="1" si="32"/>
        <v>0</v>
      </c>
      <c r="B262" t="str">
        <f t="shared" ca="1" si="33"/>
        <v/>
      </c>
      <c r="C262" t="str">
        <f t="shared" si="34"/>
        <v>GPIO</v>
      </c>
      <c r="D262" t="s">
        <v>253</v>
      </c>
      <c r="E262" t="s">
        <v>253</v>
      </c>
      <c r="F262" s="3" t="s">
        <v>2736</v>
      </c>
      <c r="G262" s="11" t="s">
        <v>953</v>
      </c>
      <c r="H262" s="11" t="s">
        <v>186</v>
      </c>
      <c r="I262" s="3" t="s">
        <v>253</v>
      </c>
      <c r="J262" s="3" t="s">
        <v>253</v>
      </c>
      <c r="K262" s="3" t="s">
        <v>253</v>
      </c>
      <c r="L262" s="3" t="s">
        <v>253</v>
      </c>
      <c r="M262">
        <f>IF(LEN(H262),MATCH(H262,'MPIO_SFIO Table'!$A$11:$A$65525,0)-1,"")</f>
        <v>200</v>
      </c>
      <c r="N262" t="str">
        <f>IF(LEN(I262),MATCH(I262,'MPIO_SFIO Table'!$A$11:$A$65525,0)-1,"")</f>
        <v/>
      </c>
      <c r="O262" t="str">
        <f>IF(LEN(J262),MATCH(J262,'MPIO_SFIO Table'!$A$11:$A$65525,0)-1,"")</f>
        <v/>
      </c>
      <c r="P262" t="str">
        <f>IF(LEN(K262),MATCH(K262,'MPIO_SFIO Table'!$A$11:$A$65525,0)-1,"")</f>
        <v/>
      </c>
      <c r="Q262" t="str">
        <f>IF(LEN(L262),MATCH(L262,'MPIO_SFIO Table'!$A$11:$A$65525,0)-1,"")</f>
        <v/>
      </c>
      <c r="R262" t="str">
        <f ca="1">IF(ISNUMBER(M262),OFFSET('MPIO_SFIO Table'!$AJ$11,M262,0),"")</f>
        <v>unused_KB_COL1</v>
      </c>
      <c r="S262" t="str">
        <f ca="1">IF(ISNUMBER(N262),OFFSET('MPIO_SFIO Table'!$AJ$11,N262,0),"")</f>
        <v/>
      </c>
      <c r="T262" t="str">
        <f ca="1">IF(ISNUMBER(O262),OFFSET('MPIO_SFIO Table'!$AJ$11,O262,0),"")</f>
        <v/>
      </c>
      <c r="U262" t="str">
        <f ca="1">IF(ISNUMBER(P262),OFFSET('MPIO_SFIO Table'!$AJ$11,P262,0),"")</f>
        <v/>
      </c>
      <c r="V262" t="str">
        <f ca="1">IF(ISNUMBER(Q262),OFFSET('MPIO_SFIO Table'!$AJ$11,Q262,0),"")</f>
        <v/>
      </c>
      <c r="W262">
        <f t="shared" ca="1" si="35"/>
        <v>0</v>
      </c>
      <c r="X262">
        <f t="shared" ca="1" si="36"/>
        <v>0</v>
      </c>
      <c r="Y262">
        <f t="shared" ca="1" si="37"/>
        <v>0</v>
      </c>
      <c r="Z262">
        <f t="shared" ca="1" si="38"/>
        <v>0</v>
      </c>
      <c r="AA262">
        <f t="shared" ca="1" si="39"/>
        <v>0</v>
      </c>
    </row>
    <row r="263" spans="1:27" x14ac:dyDescent="0.25">
      <c r="A263">
        <f t="shared" ca="1" si="32"/>
        <v>0</v>
      </c>
      <c r="B263" t="str">
        <f t="shared" ca="1" si="33"/>
        <v/>
      </c>
      <c r="C263" t="str">
        <f t="shared" si="34"/>
        <v>GPIO</v>
      </c>
      <c r="D263" t="s">
        <v>253</v>
      </c>
      <c r="E263" t="s">
        <v>253</v>
      </c>
      <c r="F263" s="3" t="s">
        <v>2737</v>
      </c>
      <c r="G263" s="11" t="s">
        <v>954</v>
      </c>
      <c r="H263" s="11" t="s">
        <v>187</v>
      </c>
      <c r="I263" s="3" t="s">
        <v>253</v>
      </c>
      <c r="J263" s="3" t="s">
        <v>253</v>
      </c>
      <c r="K263" s="3" t="s">
        <v>253</v>
      </c>
      <c r="L263" s="3" t="s">
        <v>253</v>
      </c>
      <c r="M263">
        <f>IF(LEN(H263),MATCH(H263,'MPIO_SFIO Table'!$A$11:$A$65525,0)-1,"")</f>
        <v>201</v>
      </c>
      <c r="N263" t="str">
        <f>IF(LEN(I263),MATCH(I263,'MPIO_SFIO Table'!$A$11:$A$65525,0)-1,"")</f>
        <v/>
      </c>
      <c r="O263" t="str">
        <f>IF(LEN(J263),MATCH(J263,'MPIO_SFIO Table'!$A$11:$A$65525,0)-1,"")</f>
        <v/>
      </c>
      <c r="P263" t="str">
        <f>IF(LEN(K263),MATCH(K263,'MPIO_SFIO Table'!$A$11:$A$65525,0)-1,"")</f>
        <v/>
      </c>
      <c r="Q263" t="str">
        <f>IF(LEN(L263),MATCH(L263,'MPIO_SFIO Table'!$A$11:$A$65525,0)-1,"")</f>
        <v/>
      </c>
      <c r="R263" t="str">
        <f ca="1">IF(ISNUMBER(M263),OFFSET('MPIO_SFIO Table'!$AJ$11,M263,0),"")</f>
        <v>unused_KB_COL2</v>
      </c>
      <c r="S263" t="str">
        <f ca="1">IF(ISNUMBER(N263),OFFSET('MPIO_SFIO Table'!$AJ$11,N263,0),"")</f>
        <v/>
      </c>
      <c r="T263" t="str">
        <f ca="1">IF(ISNUMBER(O263),OFFSET('MPIO_SFIO Table'!$AJ$11,O263,0),"")</f>
        <v/>
      </c>
      <c r="U263" t="str">
        <f ca="1">IF(ISNUMBER(P263),OFFSET('MPIO_SFIO Table'!$AJ$11,P263,0),"")</f>
        <v/>
      </c>
      <c r="V263" t="str">
        <f ca="1">IF(ISNUMBER(Q263),OFFSET('MPIO_SFIO Table'!$AJ$11,Q263,0),"")</f>
        <v/>
      </c>
      <c r="W263">
        <f t="shared" ca="1" si="35"/>
        <v>0</v>
      </c>
      <c r="X263">
        <f t="shared" ca="1" si="36"/>
        <v>0</v>
      </c>
      <c r="Y263">
        <f t="shared" ca="1" si="37"/>
        <v>0</v>
      </c>
      <c r="Z263">
        <f t="shared" ca="1" si="38"/>
        <v>0</v>
      </c>
      <c r="AA263">
        <f t="shared" ca="1" si="39"/>
        <v>0</v>
      </c>
    </row>
    <row r="264" spans="1:27" x14ac:dyDescent="0.25">
      <c r="A264">
        <f t="shared" ref="A264:A327" ca="1" si="40">SUM($W264:$AA264)</f>
        <v>0</v>
      </c>
      <c r="B264" t="str">
        <f t="shared" ref="B264:B327" ca="1" si="41">IF(A264&lt;&gt;0,REPLACE(G264,FIND("-",G264),LEN(G264),""),"")</f>
        <v/>
      </c>
      <c r="C264" t="str">
        <f t="shared" si="34"/>
        <v>GPIO</v>
      </c>
      <c r="D264" t="s">
        <v>253</v>
      </c>
      <c r="E264" t="s">
        <v>253</v>
      </c>
      <c r="F264" s="3" t="s">
        <v>2738</v>
      </c>
      <c r="G264" s="11" t="s">
        <v>955</v>
      </c>
      <c r="H264" s="11" t="s">
        <v>188</v>
      </c>
      <c r="I264" s="3" t="s">
        <v>253</v>
      </c>
      <c r="J264" s="3" t="s">
        <v>253</v>
      </c>
      <c r="K264" s="3" t="s">
        <v>253</v>
      </c>
      <c r="L264" s="3" t="s">
        <v>253</v>
      </c>
      <c r="M264">
        <f>IF(LEN(H264),MATCH(H264,'MPIO_SFIO Table'!$A$11:$A$65525,0)-1,"")</f>
        <v>202</v>
      </c>
      <c r="N264" t="str">
        <f>IF(LEN(I264),MATCH(I264,'MPIO_SFIO Table'!$A$11:$A$65525,0)-1,"")</f>
        <v/>
      </c>
      <c r="O264" t="str">
        <f>IF(LEN(J264),MATCH(J264,'MPIO_SFIO Table'!$A$11:$A$65525,0)-1,"")</f>
        <v/>
      </c>
      <c r="P264" t="str">
        <f>IF(LEN(K264),MATCH(K264,'MPIO_SFIO Table'!$A$11:$A$65525,0)-1,"")</f>
        <v/>
      </c>
      <c r="Q264" t="str">
        <f>IF(LEN(L264),MATCH(L264,'MPIO_SFIO Table'!$A$11:$A$65525,0)-1,"")</f>
        <v/>
      </c>
      <c r="R264" t="str">
        <f ca="1">IF(ISNUMBER(M264),OFFSET('MPIO_SFIO Table'!$AJ$11,M264,0),"")</f>
        <v>unused_KB_COL3</v>
      </c>
      <c r="S264" t="str">
        <f ca="1">IF(ISNUMBER(N264),OFFSET('MPIO_SFIO Table'!$AJ$11,N264,0),"")</f>
        <v/>
      </c>
      <c r="T264" t="str">
        <f ca="1">IF(ISNUMBER(O264),OFFSET('MPIO_SFIO Table'!$AJ$11,O264,0),"")</f>
        <v/>
      </c>
      <c r="U264" t="str">
        <f ca="1">IF(ISNUMBER(P264),OFFSET('MPIO_SFIO Table'!$AJ$11,P264,0),"")</f>
        <v/>
      </c>
      <c r="V264" t="str">
        <f ca="1">IF(ISNUMBER(Q264),OFFSET('MPIO_SFIO Table'!$AJ$11,Q264,0),"")</f>
        <v/>
      </c>
      <c r="W264">
        <f t="shared" ca="1" si="35"/>
        <v>0</v>
      </c>
      <c r="X264">
        <f t="shared" ca="1" si="36"/>
        <v>0</v>
      </c>
      <c r="Y264">
        <f t="shared" ca="1" si="37"/>
        <v>0</v>
      </c>
      <c r="Z264">
        <f t="shared" ca="1" si="38"/>
        <v>0</v>
      </c>
      <c r="AA264">
        <f t="shared" ca="1" si="39"/>
        <v>0</v>
      </c>
    </row>
    <row r="265" spans="1:27" x14ac:dyDescent="0.25">
      <c r="A265">
        <f t="shared" ca="1" si="40"/>
        <v>0</v>
      </c>
      <c r="B265" t="str">
        <f t="shared" ca="1" si="41"/>
        <v/>
      </c>
      <c r="C265" t="str">
        <f t="shared" ref="C265:C328" si="42">REPLACE(G265,FIND(".",CONCATENATE(REPLACE(G265,FIND("-",CONCATENATE(G265,"-")),LEN(G265),""),".")),LEN(G265),"")</f>
        <v>GPIO</v>
      </c>
      <c r="D265" t="s">
        <v>253</v>
      </c>
      <c r="E265" t="s">
        <v>253</v>
      </c>
      <c r="F265" s="3" t="s">
        <v>2739</v>
      </c>
      <c r="G265" s="11" t="s">
        <v>956</v>
      </c>
      <c r="H265" s="11" t="s">
        <v>189</v>
      </c>
      <c r="I265" s="3" t="s">
        <v>253</v>
      </c>
      <c r="J265" s="3" t="s">
        <v>253</v>
      </c>
      <c r="K265" s="3" t="s">
        <v>253</v>
      </c>
      <c r="L265" s="3" t="s">
        <v>253</v>
      </c>
      <c r="M265">
        <f>IF(LEN(H265),MATCH(H265,'MPIO_SFIO Table'!$A$11:$A$65525,0)-1,"")</f>
        <v>203</v>
      </c>
      <c r="N265" t="str">
        <f>IF(LEN(I265),MATCH(I265,'MPIO_SFIO Table'!$A$11:$A$65525,0)-1,"")</f>
        <v/>
      </c>
      <c r="O265" t="str">
        <f>IF(LEN(J265),MATCH(J265,'MPIO_SFIO Table'!$A$11:$A$65525,0)-1,"")</f>
        <v/>
      </c>
      <c r="P265" t="str">
        <f>IF(LEN(K265),MATCH(K265,'MPIO_SFIO Table'!$A$11:$A$65525,0)-1,"")</f>
        <v/>
      </c>
      <c r="Q265" t="str">
        <f>IF(LEN(L265),MATCH(L265,'MPIO_SFIO Table'!$A$11:$A$65525,0)-1,"")</f>
        <v/>
      </c>
      <c r="R265" t="str">
        <f ca="1">IF(ISNUMBER(M265),OFFSET('MPIO_SFIO Table'!$AJ$11,M265,0),"")</f>
        <v>unused_KB_COL4</v>
      </c>
      <c r="S265" t="str">
        <f ca="1">IF(ISNUMBER(N265),OFFSET('MPIO_SFIO Table'!$AJ$11,N265,0),"")</f>
        <v/>
      </c>
      <c r="T265" t="str">
        <f ca="1">IF(ISNUMBER(O265),OFFSET('MPIO_SFIO Table'!$AJ$11,O265,0),"")</f>
        <v/>
      </c>
      <c r="U265" t="str">
        <f ca="1">IF(ISNUMBER(P265),OFFSET('MPIO_SFIO Table'!$AJ$11,P265,0),"")</f>
        <v/>
      </c>
      <c r="V265" t="str">
        <f ca="1">IF(ISNUMBER(Q265),OFFSET('MPIO_SFIO Table'!$AJ$11,Q265,0),"")</f>
        <v/>
      </c>
      <c r="W265">
        <f t="shared" ref="W265:W328" ca="1" si="43">1*AND(ISTEXT(R265),LEN(R265),R265=$G265)</f>
        <v>0</v>
      </c>
      <c r="X265">
        <f t="shared" ref="X265:X328" ca="1" si="44">1*AND(ISTEXT(S265),LEN(S265),S265=$G265)</f>
        <v>0</v>
      </c>
      <c r="Y265">
        <f t="shared" ref="Y265:Y328" ca="1" si="45">1*AND(ISTEXT(T265),LEN(T265),T265=$G265)</f>
        <v>0</v>
      </c>
      <c r="Z265">
        <f t="shared" ref="Z265:Z328" ca="1" si="46">1*AND(ISTEXT(U265),LEN(U265),U265=$G265)</f>
        <v>0</v>
      </c>
      <c r="AA265">
        <f t="shared" ref="AA265:AA328" ca="1" si="47">1*AND(ISTEXT(V265),LEN(V265),V265=$G265)</f>
        <v>0</v>
      </c>
    </row>
    <row r="266" spans="1:27" x14ac:dyDescent="0.25">
      <c r="A266">
        <f t="shared" ca="1" si="40"/>
        <v>0</v>
      </c>
      <c r="B266" t="str">
        <f t="shared" ca="1" si="41"/>
        <v/>
      </c>
      <c r="C266" t="str">
        <f t="shared" si="42"/>
        <v>GPIO</v>
      </c>
      <c r="D266" t="s">
        <v>253</v>
      </c>
      <c r="E266" t="s">
        <v>253</v>
      </c>
      <c r="F266" s="3" t="s">
        <v>2740</v>
      </c>
      <c r="G266" s="11" t="s">
        <v>957</v>
      </c>
      <c r="H266" s="11" t="s">
        <v>190</v>
      </c>
      <c r="I266" s="3" t="s">
        <v>253</v>
      </c>
      <c r="J266" s="3" t="s">
        <v>253</v>
      </c>
      <c r="K266" s="3" t="s">
        <v>253</v>
      </c>
      <c r="L266" s="3" t="s">
        <v>253</v>
      </c>
      <c r="M266">
        <f>IF(LEN(H266),MATCH(H266,'MPIO_SFIO Table'!$A$11:$A$65525,0)-1,"")</f>
        <v>204</v>
      </c>
      <c r="N266" t="str">
        <f>IF(LEN(I266),MATCH(I266,'MPIO_SFIO Table'!$A$11:$A$65525,0)-1,"")</f>
        <v/>
      </c>
      <c r="O266" t="str">
        <f>IF(LEN(J266),MATCH(J266,'MPIO_SFIO Table'!$A$11:$A$65525,0)-1,"")</f>
        <v/>
      </c>
      <c r="P266" t="str">
        <f>IF(LEN(K266),MATCH(K266,'MPIO_SFIO Table'!$A$11:$A$65525,0)-1,"")</f>
        <v/>
      </c>
      <c r="Q266" t="str">
        <f>IF(LEN(L266),MATCH(L266,'MPIO_SFIO Table'!$A$11:$A$65525,0)-1,"")</f>
        <v/>
      </c>
      <c r="R266" t="str">
        <f ca="1">IF(ISNUMBER(M266),OFFSET('MPIO_SFIO Table'!$AJ$11,M266,0),"")</f>
        <v>unused_KB_COL5</v>
      </c>
      <c r="S266" t="str">
        <f ca="1">IF(ISNUMBER(N266),OFFSET('MPIO_SFIO Table'!$AJ$11,N266,0),"")</f>
        <v/>
      </c>
      <c r="T266" t="str">
        <f ca="1">IF(ISNUMBER(O266),OFFSET('MPIO_SFIO Table'!$AJ$11,O266,0),"")</f>
        <v/>
      </c>
      <c r="U266" t="str">
        <f ca="1">IF(ISNUMBER(P266),OFFSET('MPIO_SFIO Table'!$AJ$11,P266,0),"")</f>
        <v/>
      </c>
      <c r="V266" t="str">
        <f ca="1">IF(ISNUMBER(Q266),OFFSET('MPIO_SFIO Table'!$AJ$11,Q266,0),"")</f>
        <v/>
      </c>
      <c r="W266">
        <f t="shared" ca="1" si="43"/>
        <v>0</v>
      </c>
      <c r="X266">
        <f t="shared" ca="1" si="44"/>
        <v>0</v>
      </c>
      <c r="Y266">
        <f t="shared" ca="1" si="45"/>
        <v>0</v>
      </c>
      <c r="Z266">
        <f t="shared" ca="1" si="46"/>
        <v>0</v>
      </c>
      <c r="AA266">
        <f t="shared" ca="1" si="47"/>
        <v>0</v>
      </c>
    </row>
    <row r="267" spans="1:27" x14ac:dyDescent="0.25">
      <c r="A267">
        <f t="shared" ca="1" si="40"/>
        <v>0</v>
      </c>
      <c r="B267" t="str">
        <f t="shared" ca="1" si="41"/>
        <v/>
      </c>
      <c r="C267" t="str">
        <f t="shared" si="42"/>
        <v>GPIO</v>
      </c>
      <c r="D267" t="s">
        <v>253</v>
      </c>
      <c r="E267" t="s">
        <v>253</v>
      </c>
      <c r="F267" s="3" t="s">
        <v>2741</v>
      </c>
      <c r="G267" s="11" t="s">
        <v>958</v>
      </c>
      <c r="H267" s="11" t="s">
        <v>191</v>
      </c>
      <c r="I267" s="3" t="s">
        <v>253</v>
      </c>
      <c r="J267" s="3" t="s">
        <v>253</v>
      </c>
      <c r="K267" s="3" t="s">
        <v>253</v>
      </c>
      <c r="L267" s="3" t="s">
        <v>253</v>
      </c>
      <c r="M267">
        <f>IF(LEN(H267),MATCH(H267,'MPIO_SFIO Table'!$A$11:$A$65525,0)-1,"")</f>
        <v>205</v>
      </c>
      <c r="N267" t="str">
        <f>IF(LEN(I267),MATCH(I267,'MPIO_SFIO Table'!$A$11:$A$65525,0)-1,"")</f>
        <v/>
      </c>
      <c r="O267" t="str">
        <f>IF(LEN(J267),MATCH(J267,'MPIO_SFIO Table'!$A$11:$A$65525,0)-1,"")</f>
        <v/>
      </c>
      <c r="P267" t="str">
        <f>IF(LEN(K267),MATCH(K267,'MPIO_SFIO Table'!$A$11:$A$65525,0)-1,"")</f>
        <v/>
      </c>
      <c r="Q267" t="str">
        <f>IF(LEN(L267),MATCH(L267,'MPIO_SFIO Table'!$A$11:$A$65525,0)-1,"")</f>
        <v/>
      </c>
      <c r="R267" t="str">
        <f ca="1">IF(ISNUMBER(M267),OFFSET('MPIO_SFIO Table'!$AJ$11,M267,0),"")</f>
        <v>unused_KB_COL6</v>
      </c>
      <c r="S267" t="str">
        <f ca="1">IF(ISNUMBER(N267),OFFSET('MPIO_SFIO Table'!$AJ$11,N267,0),"")</f>
        <v/>
      </c>
      <c r="T267" t="str">
        <f ca="1">IF(ISNUMBER(O267),OFFSET('MPIO_SFIO Table'!$AJ$11,O267,0),"")</f>
        <v/>
      </c>
      <c r="U267" t="str">
        <f ca="1">IF(ISNUMBER(P267),OFFSET('MPIO_SFIO Table'!$AJ$11,P267,0),"")</f>
        <v/>
      </c>
      <c r="V267" t="str">
        <f ca="1">IF(ISNUMBER(Q267),OFFSET('MPIO_SFIO Table'!$AJ$11,Q267,0),"")</f>
        <v/>
      </c>
      <c r="W267">
        <f t="shared" ca="1" si="43"/>
        <v>0</v>
      </c>
      <c r="X267">
        <f t="shared" ca="1" si="44"/>
        <v>0</v>
      </c>
      <c r="Y267">
        <f t="shared" ca="1" si="45"/>
        <v>0</v>
      </c>
      <c r="Z267">
        <f t="shared" ca="1" si="46"/>
        <v>0</v>
      </c>
      <c r="AA267">
        <f t="shared" ca="1" si="47"/>
        <v>0</v>
      </c>
    </row>
    <row r="268" spans="1:27" x14ac:dyDescent="0.25">
      <c r="A268">
        <f t="shared" ca="1" si="40"/>
        <v>0</v>
      </c>
      <c r="B268" t="str">
        <f t="shared" ca="1" si="41"/>
        <v/>
      </c>
      <c r="C268" t="str">
        <f t="shared" si="42"/>
        <v>GPIO</v>
      </c>
      <c r="D268" t="s">
        <v>253</v>
      </c>
      <c r="E268" t="s">
        <v>253</v>
      </c>
      <c r="F268" s="3" t="s">
        <v>2742</v>
      </c>
      <c r="G268" s="11" t="s">
        <v>959</v>
      </c>
      <c r="H268" s="11" t="s">
        <v>192</v>
      </c>
      <c r="I268" s="3" t="s">
        <v>253</v>
      </c>
      <c r="J268" s="3" t="s">
        <v>253</v>
      </c>
      <c r="K268" s="3" t="s">
        <v>253</v>
      </c>
      <c r="L268" s="3" t="s">
        <v>253</v>
      </c>
      <c r="M268">
        <f>IF(LEN(H268),MATCH(H268,'MPIO_SFIO Table'!$A$11:$A$65525,0)-1,"")</f>
        <v>206</v>
      </c>
      <c r="N268" t="str">
        <f>IF(LEN(I268),MATCH(I268,'MPIO_SFIO Table'!$A$11:$A$65525,0)-1,"")</f>
        <v/>
      </c>
      <c r="O268" t="str">
        <f>IF(LEN(J268),MATCH(J268,'MPIO_SFIO Table'!$A$11:$A$65525,0)-1,"")</f>
        <v/>
      </c>
      <c r="P268" t="str">
        <f>IF(LEN(K268),MATCH(K268,'MPIO_SFIO Table'!$A$11:$A$65525,0)-1,"")</f>
        <v/>
      </c>
      <c r="Q268" t="str">
        <f>IF(LEN(L268),MATCH(L268,'MPIO_SFIO Table'!$A$11:$A$65525,0)-1,"")</f>
        <v/>
      </c>
      <c r="R268" t="str">
        <f ca="1">IF(ISNUMBER(M268),OFFSET('MPIO_SFIO Table'!$AJ$11,M268,0),"")</f>
        <v>unused_KB_COL7</v>
      </c>
      <c r="S268" t="str">
        <f ca="1">IF(ISNUMBER(N268),OFFSET('MPIO_SFIO Table'!$AJ$11,N268,0),"")</f>
        <v/>
      </c>
      <c r="T268" t="str">
        <f ca="1">IF(ISNUMBER(O268),OFFSET('MPIO_SFIO Table'!$AJ$11,O268,0),"")</f>
        <v/>
      </c>
      <c r="U268" t="str">
        <f ca="1">IF(ISNUMBER(P268),OFFSET('MPIO_SFIO Table'!$AJ$11,P268,0),"")</f>
        <v/>
      </c>
      <c r="V268" t="str">
        <f ca="1">IF(ISNUMBER(Q268),OFFSET('MPIO_SFIO Table'!$AJ$11,Q268,0),"")</f>
        <v/>
      </c>
      <c r="W268">
        <f t="shared" ca="1" si="43"/>
        <v>0</v>
      </c>
      <c r="X268">
        <f t="shared" ca="1" si="44"/>
        <v>0</v>
      </c>
      <c r="Y268">
        <f t="shared" ca="1" si="45"/>
        <v>0</v>
      </c>
      <c r="Z268">
        <f t="shared" ca="1" si="46"/>
        <v>0</v>
      </c>
      <c r="AA268">
        <f t="shared" ca="1" si="47"/>
        <v>0</v>
      </c>
    </row>
    <row r="269" spans="1:27" x14ac:dyDescent="0.25">
      <c r="A269">
        <f t="shared" ca="1" si="40"/>
        <v>0</v>
      </c>
      <c r="B269" t="str">
        <f t="shared" ca="1" si="41"/>
        <v/>
      </c>
      <c r="C269" t="str">
        <f t="shared" si="42"/>
        <v>GPIO</v>
      </c>
      <c r="D269" t="s">
        <v>253</v>
      </c>
      <c r="E269" t="s">
        <v>253</v>
      </c>
      <c r="F269" s="3" t="s">
        <v>2743</v>
      </c>
      <c r="G269" s="11" t="s">
        <v>960</v>
      </c>
      <c r="H269" s="11" t="s">
        <v>193</v>
      </c>
      <c r="I269" s="3" t="s">
        <v>253</v>
      </c>
      <c r="J269" s="3" t="s">
        <v>253</v>
      </c>
      <c r="K269" s="3" t="s">
        <v>253</v>
      </c>
      <c r="L269" s="3" t="s">
        <v>253</v>
      </c>
      <c r="M269">
        <f>IF(LEN(H269),MATCH(H269,'MPIO_SFIO Table'!$A$11:$A$65525,0)-1,"")</f>
        <v>207</v>
      </c>
      <c r="N269" t="str">
        <f>IF(LEN(I269),MATCH(I269,'MPIO_SFIO Table'!$A$11:$A$65525,0)-1,"")</f>
        <v/>
      </c>
      <c r="O269" t="str">
        <f>IF(LEN(J269),MATCH(J269,'MPIO_SFIO Table'!$A$11:$A$65525,0)-1,"")</f>
        <v/>
      </c>
      <c r="P269" t="str">
        <f>IF(LEN(K269),MATCH(K269,'MPIO_SFIO Table'!$A$11:$A$65525,0)-1,"")</f>
        <v/>
      </c>
      <c r="Q269" t="str">
        <f>IF(LEN(L269),MATCH(L269,'MPIO_SFIO Table'!$A$11:$A$65525,0)-1,"")</f>
        <v/>
      </c>
      <c r="R269" t="str">
        <f ca="1">IF(ISNUMBER(M269),OFFSET('MPIO_SFIO Table'!$AJ$11,M269,0),"")</f>
        <v>unused_KB_ROW0</v>
      </c>
      <c r="S269" t="str">
        <f ca="1">IF(ISNUMBER(N269),OFFSET('MPIO_SFIO Table'!$AJ$11,N269,0),"")</f>
        <v/>
      </c>
      <c r="T269" t="str">
        <f ca="1">IF(ISNUMBER(O269),OFFSET('MPIO_SFIO Table'!$AJ$11,O269,0),"")</f>
        <v/>
      </c>
      <c r="U269" t="str">
        <f ca="1">IF(ISNUMBER(P269),OFFSET('MPIO_SFIO Table'!$AJ$11,P269,0),"")</f>
        <v/>
      </c>
      <c r="V269" t="str">
        <f ca="1">IF(ISNUMBER(Q269),OFFSET('MPIO_SFIO Table'!$AJ$11,Q269,0),"")</f>
        <v/>
      </c>
      <c r="W269">
        <f t="shared" ca="1" si="43"/>
        <v>0</v>
      </c>
      <c r="X269">
        <f t="shared" ca="1" si="44"/>
        <v>0</v>
      </c>
      <c r="Y269">
        <f t="shared" ca="1" si="45"/>
        <v>0</v>
      </c>
      <c r="Z269">
        <f t="shared" ca="1" si="46"/>
        <v>0</v>
      </c>
      <c r="AA269">
        <f t="shared" ca="1" si="47"/>
        <v>0</v>
      </c>
    </row>
    <row r="270" spans="1:27" x14ac:dyDescent="0.25">
      <c r="A270">
        <f t="shared" ca="1" si="40"/>
        <v>0</v>
      </c>
      <c r="B270" t="str">
        <f t="shared" ca="1" si="41"/>
        <v/>
      </c>
      <c r="C270" t="str">
        <f t="shared" si="42"/>
        <v>GPIO</v>
      </c>
      <c r="D270" t="s">
        <v>253</v>
      </c>
      <c r="E270" t="s">
        <v>253</v>
      </c>
      <c r="F270" s="3" t="s">
        <v>2744</v>
      </c>
      <c r="G270" s="11" t="s">
        <v>961</v>
      </c>
      <c r="H270" s="11" t="s">
        <v>194</v>
      </c>
      <c r="I270" s="3" t="s">
        <v>253</v>
      </c>
      <c r="J270" s="3" t="s">
        <v>253</v>
      </c>
      <c r="K270" s="3" t="s">
        <v>253</v>
      </c>
      <c r="L270" s="3" t="s">
        <v>253</v>
      </c>
      <c r="M270">
        <f>IF(LEN(H270),MATCH(H270,'MPIO_SFIO Table'!$A$11:$A$65525,0)-1,"")</f>
        <v>208</v>
      </c>
      <c r="N270" t="str">
        <f>IF(LEN(I270),MATCH(I270,'MPIO_SFIO Table'!$A$11:$A$65525,0)-1,"")</f>
        <v/>
      </c>
      <c r="O270" t="str">
        <f>IF(LEN(J270),MATCH(J270,'MPIO_SFIO Table'!$A$11:$A$65525,0)-1,"")</f>
        <v/>
      </c>
      <c r="P270" t="str">
        <f>IF(LEN(K270),MATCH(K270,'MPIO_SFIO Table'!$A$11:$A$65525,0)-1,"")</f>
        <v/>
      </c>
      <c r="Q270" t="str">
        <f>IF(LEN(L270),MATCH(L270,'MPIO_SFIO Table'!$A$11:$A$65525,0)-1,"")</f>
        <v/>
      </c>
      <c r="R270" t="str">
        <f ca="1">IF(ISNUMBER(M270),OFFSET('MPIO_SFIO Table'!$AJ$11,M270,0),"")</f>
        <v>unused_KB_ROW1</v>
      </c>
      <c r="S270" t="str">
        <f ca="1">IF(ISNUMBER(N270),OFFSET('MPIO_SFIO Table'!$AJ$11,N270,0),"")</f>
        <v/>
      </c>
      <c r="T270" t="str">
        <f ca="1">IF(ISNUMBER(O270),OFFSET('MPIO_SFIO Table'!$AJ$11,O270,0),"")</f>
        <v/>
      </c>
      <c r="U270" t="str">
        <f ca="1">IF(ISNUMBER(P270),OFFSET('MPIO_SFIO Table'!$AJ$11,P270,0),"")</f>
        <v/>
      </c>
      <c r="V270" t="str">
        <f ca="1">IF(ISNUMBER(Q270),OFFSET('MPIO_SFIO Table'!$AJ$11,Q270,0),"")</f>
        <v/>
      </c>
      <c r="W270">
        <f t="shared" ca="1" si="43"/>
        <v>0</v>
      </c>
      <c r="X270">
        <f t="shared" ca="1" si="44"/>
        <v>0</v>
      </c>
      <c r="Y270">
        <f t="shared" ca="1" si="45"/>
        <v>0</v>
      </c>
      <c r="Z270">
        <f t="shared" ca="1" si="46"/>
        <v>0</v>
      </c>
      <c r="AA270">
        <f t="shared" ca="1" si="47"/>
        <v>0</v>
      </c>
    </row>
    <row r="271" spans="1:27" x14ac:dyDescent="0.25">
      <c r="A271">
        <f t="shared" ca="1" si="40"/>
        <v>0</v>
      </c>
      <c r="B271" t="str">
        <f t="shared" ca="1" si="41"/>
        <v/>
      </c>
      <c r="C271" t="str">
        <f t="shared" si="42"/>
        <v>GPIO</v>
      </c>
      <c r="D271" t="s">
        <v>253</v>
      </c>
      <c r="E271" t="s">
        <v>253</v>
      </c>
      <c r="F271" s="3" t="s">
        <v>2745</v>
      </c>
      <c r="G271" s="11" t="s">
        <v>968</v>
      </c>
      <c r="H271" s="11" t="s">
        <v>201</v>
      </c>
      <c r="I271" s="3" t="s">
        <v>253</v>
      </c>
      <c r="J271" s="3" t="s">
        <v>253</v>
      </c>
      <c r="K271" s="3" t="s">
        <v>253</v>
      </c>
      <c r="L271" s="3" t="s">
        <v>253</v>
      </c>
      <c r="M271">
        <f>IF(LEN(H271),MATCH(H271,'MPIO_SFIO Table'!$A$11:$A$65525,0)-1,"")</f>
        <v>215</v>
      </c>
      <c r="N271" t="str">
        <f>IF(LEN(I271),MATCH(I271,'MPIO_SFIO Table'!$A$11:$A$65525,0)-1,"")</f>
        <v/>
      </c>
      <c r="O271" t="str">
        <f>IF(LEN(J271),MATCH(J271,'MPIO_SFIO Table'!$A$11:$A$65525,0)-1,"")</f>
        <v/>
      </c>
      <c r="P271" t="str">
        <f>IF(LEN(K271),MATCH(K271,'MPIO_SFIO Table'!$A$11:$A$65525,0)-1,"")</f>
        <v/>
      </c>
      <c r="Q271" t="str">
        <f>IF(LEN(L271),MATCH(L271,'MPIO_SFIO Table'!$A$11:$A$65525,0)-1,"")</f>
        <v/>
      </c>
      <c r="R271" t="str">
        <f ca="1">IF(ISNUMBER(M271),OFFSET('MPIO_SFIO Table'!$AJ$11,M271,0),"")</f>
        <v>unused_KB_ROW2</v>
      </c>
      <c r="S271" t="str">
        <f ca="1">IF(ISNUMBER(N271),OFFSET('MPIO_SFIO Table'!$AJ$11,N271,0),"")</f>
        <v/>
      </c>
      <c r="T271" t="str">
        <f ca="1">IF(ISNUMBER(O271),OFFSET('MPIO_SFIO Table'!$AJ$11,O271,0),"")</f>
        <v/>
      </c>
      <c r="U271" t="str">
        <f ca="1">IF(ISNUMBER(P271),OFFSET('MPIO_SFIO Table'!$AJ$11,P271,0),"")</f>
        <v/>
      </c>
      <c r="V271" t="str">
        <f ca="1">IF(ISNUMBER(Q271),OFFSET('MPIO_SFIO Table'!$AJ$11,Q271,0),"")</f>
        <v/>
      </c>
      <c r="W271">
        <f t="shared" ca="1" si="43"/>
        <v>0</v>
      </c>
      <c r="X271">
        <f t="shared" ca="1" si="44"/>
        <v>0</v>
      </c>
      <c r="Y271">
        <f t="shared" ca="1" si="45"/>
        <v>0</v>
      </c>
      <c r="Z271">
        <f t="shared" ca="1" si="46"/>
        <v>0</v>
      </c>
      <c r="AA271">
        <f t="shared" ca="1" si="47"/>
        <v>0</v>
      </c>
    </row>
    <row r="272" spans="1:27" x14ac:dyDescent="0.25">
      <c r="A272">
        <f t="shared" ca="1" si="40"/>
        <v>0</v>
      </c>
      <c r="B272" t="str">
        <f t="shared" ca="1" si="41"/>
        <v/>
      </c>
      <c r="C272" t="str">
        <f t="shared" si="42"/>
        <v>GPIO</v>
      </c>
      <c r="D272" t="s">
        <v>253</v>
      </c>
      <c r="E272" t="s">
        <v>253</v>
      </c>
      <c r="F272" s="3" t="s">
        <v>2746</v>
      </c>
      <c r="G272" s="11" t="s">
        <v>969</v>
      </c>
      <c r="H272" s="11" t="s">
        <v>202</v>
      </c>
      <c r="I272" s="3" t="s">
        <v>253</v>
      </c>
      <c r="J272" s="3" t="s">
        <v>253</v>
      </c>
      <c r="K272" s="3" t="s">
        <v>253</v>
      </c>
      <c r="L272" s="3" t="s">
        <v>253</v>
      </c>
      <c r="M272">
        <f>IF(LEN(H272),MATCH(H272,'MPIO_SFIO Table'!$A$11:$A$65525,0)-1,"")</f>
        <v>216</v>
      </c>
      <c r="N272" t="str">
        <f>IF(LEN(I272),MATCH(I272,'MPIO_SFIO Table'!$A$11:$A$65525,0)-1,"")</f>
        <v/>
      </c>
      <c r="O272" t="str">
        <f>IF(LEN(J272),MATCH(J272,'MPIO_SFIO Table'!$A$11:$A$65525,0)-1,"")</f>
        <v/>
      </c>
      <c r="P272" t="str">
        <f>IF(LEN(K272),MATCH(K272,'MPIO_SFIO Table'!$A$11:$A$65525,0)-1,"")</f>
        <v/>
      </c>
      <c r="Q272" t="str">
        <f>IF(LEN(L272),MATCH(L272,'MPIO_SFIO Table'!$A$11:$A$65525,0)-1,"")</f>
        <v/>
      </c>
      <c r="R272" t="str">
        <f ca="1">IF(ISNUMBER(M272),OFFSET('MPIO_SFIO Table'!$AJ$11,M272,0),"")</f>
        <v>unused_KB_ROW3</v>
      </c>
      <c r="S272" t="str">
        <f ca="1">IF(ISNUMBER(N272),OFFSET('MPIO_SFIO Table'!$AJ$11,N272,0),"")</f>
        <v/>
      </c>
      <c r="T272" t="str">
        <f ca="1">IF(ISNUMBER(O272),OFFSET('MPIO_SFIO Table'!$AJ$11,O272,0),"")</f>
        <v/>
      </c>
      <c r="U272" t="str">
        <f ca="1">IF(ISNUMBER(P272),OFFSET('MPIO_SFIO Table'!$AJ$11,P272,0),"")</f>
        <v/>
      </c>
      <c r="V272" t="str">
        <f ca="1">IF(ISNUMBER(Q272),OFFSET('MPIO_SFIO Table'!$AJ$11,Q272,0),"")</f>
        <v/>
      </c>
      <c r="W272">
        <f t="shared" ca="1" si="43"/>
        <v>0</v>
      </c>
      <c r="X272">
        <f t="shared" ca="1" si="44"/>
        <v>0</v>
      </c>
      <c r="Y272">
        <f t="shared" ca="1" si="45"/>
        <v>0</v>
      </c>
      <c r="Z272">
        <f t="shared" ca="1" si="46"/>
        <v>0</v>
      </c>
      <c r="AA272">
        <f t="shared" ca="1" si="47"/>
        <v>0</v>
      </c>
    </row>
    <row r="273" spans="1:27" x14ac:dyDescent="0.25">
      <c r="A273">
        <f t="shared" ca="1" si="40"/>
        <v>0</v>
      </c>
      <c r="B273" t="str">
        <f t="shared" ca="1" si="41"/>
        <v/>
      </c>
      <c r="C273" t="str">
        <f t="shared" si="42"/>
        <v>GPIO</v>
      </c>
      <c r="D273" t="s">
        <v>253</v>
      </c>
      <c r="E273" t="s">
        <v>253</v>
      </c>
      <c r="F273" s="3" t="s">
        <v>2747</v>
      </c>
      <c r="G273" s="11" t="s">
        <v>970</v>
      </c>
      <c r="H273" s="11" t="s">
        <v>203</v>
      </c>
      <c r="I273" s="3" t="s">
        <v>253</v>
      </c>
      <c r="J273" s="3" t="s">
        <v>253</v>
      </c>
      <c r="K273" s="3" t="s">
        <v>253</v>
      </c>
      <c r="L273" s="3" t="s">
        <v>253</v>
      </c>
      <c r="M273">
        <f>IF(LEN(H273),MATCH(H273,'MPIO_SFIO Table'!$A$11:$A$65525,0)-1,"")</f>
        <v>217</v>
      </c>
      <c r="N273" t="str">
        <f>IF(LEN(I273),MATCH(I273,'MPIO_SFIO Table'!$A$11:$A$65525,0)-1,"")</f>
        <v/>
      </c>
      <c r="O273" t="str">
        <f>IF(LEN(J273),MATCH(J273,'MPIO_SFIO Table'!$A$11:$A$65525,0)-1,"")</f>
        <v/>
      </c>
      <c r="P273" t="str">
        <f>IF(LEN(K273),MATCH(K273,'MPIO_SFIO Table'!$A$11:$A$65525,0)-1,"")</f>
        <v/>
      </c>
      <c r="Q273" t="str">
        <f>IF(LEN(L273),MATCH(L273,'MPIO_SFIO Table'!$A$11:$A$65525,0)-1,"")</f>
        <v/>
      </c>
      <c r="R273" t="str">
        <f ca="1">IF(ISNUMBER(M273),OFFSET('MPIO_SFIO Table'!$AJ$11,M273,0),"")</f>
        <v>unused_KB_ROW4</v>
      </c>
      <c r="S273" t="str">
        <f ca="1">IF(ISNUMBER(N273),OFFSET('MPIO_SFIO Table'!$AJ$11,N273,0),"")</f>
        <v/>
      </c>
      <c r="T273" t="str">
        <f ca="1">IF(ISNUMBER(O273),OFFSET('MPIO_SFIO Table'!$AJ$11,O273,0),"")</f>
        <v/>
      </c>
      <c r="U273" t="str">
        <f ca="1">IF(ISNUMBER(P273),OFFSET('MPIO_SFIO Table'!$AJ$11,P273,0),"")</f>
        <v/>
      </c>
      <c r="V273" t="str">
        <f ca="1">IF(ISNUMBER(Q273),OFFSET('MPIO_SFIO Table'!$AJ$11,Q273,0),"")</f>
        <v/>
      </c>
      <c r="W273">
        <f t="shared" ca="1" si="43"/>
        <v>0</v>
      </c>
      <c r="X273">
        <f t="shared" ca="1" si="44"/>
        <v>0</v>
      </c>
      <c r="Y273">
        <f t="shared" ca="1" si="45"/>
        <v>0</v>
      </c>
      <c r="Z273">
        <f t="shared" ca="1" si="46"/>
        <v>0</v>
      </c>
      <c r="AA273">
        <f t="shared" ca="1" si="47"/>
        <v>0</v>
      </c>
    </row>
    <row r="274" spans="1:27" x14ac:dyDescent="0.25">
      <c r="A274">
        <f t="shared" ca="1" si="40"/>
        <v>0</v>
      </c>
      <c r="B274" t="str">
        <f t="shared" ca="1" si="41"/>
        <v/>
      </c>
      <c r="C274" t="str">
        <f t="shared" si="42"/>
        <v>GPIO</v>
      </c>
      <c r="D274" t="s">
        <v>253</v>
      </c>
      <c r="E274" t="s">
        <v>253</v>
      </c>
      <c r="F274" s="3" t="s">
        <v>2748</v>
      </c>
      <c r="G274" s="11" t="s">
        <v>971</v>
      </c>
      <c r="H274" s="11" t="s">
        <v>204</v>
      </c>
      <c r="I274" s="3" t="s">
        <v>253</v>
      </c>
      <c r="J274" s="3" t="s">
        <v>253</v>
      </c>
      <c r="K274" s="3" t="s">
        <v>253</v>
      </c>
      <c r="L274" s="3" t="s">
        <v>253</v>
      </c>
      <c r="M274">
        <f>IF(LEN(H274),MATCH(H274,'MPIO_SFIO Table'!$A$11:$A$65525,0)-1,"")</f>
        <v>218</v>
      </c>
      <c r="N274" t="str">
        <f>IF(LEN(I274),MATCH(I274,'MPIO_SFIO Table'!$A$11:$A$65525,0)-1,"")</f>
        <v/>
      </c>
      <c r="O274" t="str">
        <f>IF(LEN(J274),MATCH(J274,'MPIO_SFIO Table'!$A$11:$A$65525,0)-1,"")</f>
        <v/>
      </c>
      <c r="P274" t="str">
        <f>IF(LEN(K274),MATCH(K274,'MPIO_SFIO Table'!$A$11:$A$65525,0)-1,"")</f>
        <v/>
      </c>
      <c r="Q274" t="str">
        <f>IF(LEN(L274),MATCH(L274,'MPIO_SFIO Table'!$A$11:$A$65525,0)-1,"")</f>
        <v/>
      </c>
      <c r="R274" t="str">
        <f ca="1">IF(ISNUMBER(M274),OFFSET('MPIO_SFIO Table'!$AJ$11,M274,0),"")</f>
        <v>unused_KB_ROW5</v>
      </c>
      <c r="S274" t="str">
        <f ca="1">IF(ISNUMBER(N274),OFFSET('MPIO_SFIO Table'!$AJ$11,N274,0),"")</f>
        <v/>
      </c>
      <c r="T274" t="str">
        <f ca="1">IF(ISNUMBER(O274),OFFSET('MPIO_SFIO Table'!$AJ$11,O274,0),"")</f>
        <v/>
      </c>
      <c r="U274" t="str">
        <f ca="1">IF(ISNUMBER(P274),OFFSET('MPIO_SFIO Table'!$AJ$11,P274,0),"")</f>
        <v/>
      </c>
      <c r="V274" t="str">
        <f ca="1">IF(ISNUMBER(Q274),OFFSET('MPIO_SFIO Table'!$AJ$11,Q274,0),"")</f>
        <v/>
      </c>
      <c r="W274">
        <f t="shared" ca="1" si="43"/>
        <v>0</v>
      </c>
      <c r="X274">
        <f t="shared" ca="1" si="44"/>
        <v>0</v>
      </c>
      <c r="Y274">
        <f t="shared" ca="1" si="45"/>
        <v>0</v>
      </c>
      <c r="Z274">
        <f t="shared" ca="1" si="46"/>
        <v>0</v>
      </c>
      <c r="AA274">
        <f t="shared" ca="1" si="47"/>
        <v>0</v>
      </c>
    </row>
    <row r="275" spans="1:27" x14ac:dyDescent="0.25">
      <c r="A275">
        <f t="shared" ca="1" si="40"/>
        <v>0</v>
      </c>
      <c r="B275" t="str">
        <f t="shared" ca="1" si="41"/>
        <v/>
      </c>
      <c r="C275" t="str">
        <f t="shared" si="42"/>
        <v>GPIO</v>
      </c>
      <c r="D275" t="s">
        <v>253</v>
      </c>
      <c r="E275" t="s">
        <v>253</v>
      </c>
      <c r="F275" s="3" t="s">
        <v>2749</v>
      </c>
      <c r="G275" s="11" t="s">
        <v>972</v>
      </c>
      <c r="H275" s="11" t="s">
        <v>205</v>
      </c>
      <c r="I275" s="3" t="s">
        <v>253</v>
      </c>
      <c r="J275" s="3" t="s">
        <v>253</v>
      </c>
      <c r="K275" s="3" t="s">
        <v>253</v>
      </c>
      <c r="L275" s="3" t="s">
        <v>253</v>
      </c>
      <c r="M275">
        <f>IF(LEN(H275),MATCH(H275,'MPIO_SFIO Table'!$A$11:$A$65525,0)-1,"")</f>
        <v>219</v>
      </c>
      <c r="N275" t="str">
        <f>IF(LEN(I275),MATCH(I275,'MPIO_SFIO Table'!$A$11:$A$65525,0)-1,"")</f>
        <v/>
      </c>
      <c r="O275" t="str">
        <f>IF(LEN(J275),MATCH(J275,'MPIO_SFIO Table'!$A$11:$A$65525,0)-1,"")</f>
        <v/>
      </c>
      <c r="P275" t="str">
        <f>IF(LEN(K275),MATCH(K275,'MPIO_SFIO Table'!$A$11:$A$65525,0)-1,"")</f>
        <v/>
      </c>
      <c r="Q275" t="str">
        <f>IF(LEN(L275),MATCH(L275,'MPIO_SFIO Table'!$A$11:$A$65525,0)-1,"")</f>
        <v/>
      </c>
      <c r="R275" t="str">
        <f ca="1">IF(ISNUMBER(M275),OFFSET('MPIO_SFIO Table'!$AJ$11,M275,0),"")</f>
        <v>unused_KB_ROW6</v>
      </c>
      <c r="S275" t="str">
        <f ca="1">IF(ISNUMBER(N275),OFFSET('MPIO_SFIO Table'!$AJ$11,N275,0),"")</f>
        <v/>
      </c>
      <c r="T275" t="str">
        <f ca="1">IF(ISNUMBER(O275),OFFSET('MPIO_SFIO Table'!$AJ$11,O275,0),"")</f>
        <v/>
      </c>
      <c r="U275" t="str">
        <f ca="1">IF(ISNUMBER(P275),OFFSET('MPIO_SFIO Table'!$AJ$11,P275,0),"")</f>
        <v/>
      </c>
      <c r="V275" t="str">
        <f ca="1">IF(ISNUMBER(Q275),OFFSET('MPIO_SFIO Table'!$AJ$11,Q275,0),"")</f>
        <v/>
      </c>
      <c r="W275">
        <f t="shared" ca="1" si="43"/>
        <v>0</v>
      </c>
      <c r="X275">
        <f t="shared" ca="1" si="44"/>
        <v>0</v>
      </c>
      <c r="Y275">
        <f t="shared" ca="1" si="45"/>
        <v>0</v>
      </c>
      <c r="Z275">
        <f t="shared" ca="1" si="46"/>
        <v>0</v>
      </c>
      <c r="AA275">
        <f t="shared" ca="1" si="47"/>
        <v>0</v>
      </c>
    </row>
    <row r="276" spans="1:27" x14ac:dyDescent="0.25">
      <c r="A276">
        <f t="shared" ca="1" si="40"/>
        <v>0</v>
      </c>
      <c r="B276" t="str">
        <f t="shared" ca="1" si="41"/>
        <v/>
      </c>
      <c r="C276" t="str">
        <f t="shared" si="42"/>
        <v>GPIO</v>
      </c>
      <c r="D276" t="s">
        <v>253</v>
      </c>
      <c r="E276" t="s">
        <v>253</v>
      </c>
      <c r="F276" s="3" t="s">
        <v>2750</v>
      </c>
      <c r="G276" s="11" t="s">
        <v>973</v>
      </c>
      <c r="H276" s="11" t="s">
        <v>206</v>
      </c>
      <c r="I276" s="3" t="s">
        <v>253</v>
      </c>
      <c r="J276" s="3" t="s">
        <v>253</v>
      </c>
      <c r="K276" s="3" t="s">
        <v>253</v>
      </c>
      <c r="L276" s="3" t="s">
        <v>253</v>
      </c>
      <c r="M276">
        <f>IF(LEN(H276),MATCH(H276,'MPIO_SFIO Table'!$A$11:$A$65525,0)-1,"")</f>
        <v>220</v>
      </c>
      <c r="N276" t="str">
        <f>IF(LEN(I276),MATCH(I276,'MPIO_SFIO Table'!$A$11:$A$65525,0)-1,"")</f>
        <v/>
      </c>
      <c r="O276" t="str">
        <f>IF(LEN(J276),MATCH(J276,'MPIO_SFIO Table'!$A$11:$A$65525,0)-1,"")</f>
        <v/>
      </c>
      <c r="P276" t="str">
        <f>IF(LEN(K276),MATCH(K276,'MPIO_SFIO Table'!$A$11:$A$65525,0)-1,"")</f>
        <v/>
      </c>
      <c r="Q276" t="str">
        <f>IF(LEN(L276),MATCH(L276,'MPIO_SFIO Table'!$A$11:$A$65525,0)-1,"")</f>
        <v/>
      </c>
      <c r="R276" t="str">
        <f ca="1">IF(ISNUMBER(M276),OFFSET('MPIO_SFIO Table'!$AJ$11,M276,0),"")</f>
        <v>unused_KB_ROW7</v>
      </c>
      <c r="S276" t="str">
        <f ca="1">IF(ISNUMBER(N276),OFFSET('MPIO_SFIO Table'!$AJ$11,N276,0),"")</f>
        <v/>
      </c>
      <c r="T276" t="str">
        <f ca="1">IF(ISNUMBER(O276),OFFSET('MPIO_SFIO Table'!$AJ$11,O276,0),"")</f>
        <v/>
      </c>
      <c r="U276" t="str">
        <f ca="1">IF(ISNUMBER(P276),OFFSET('MPIO_SFIO Table'!$AJ$11,P276,0),"")</f>
        <v/>
      </c>
      <c r="V276" t="str">
        <f ca="1">IF(ISNUMBER(Q276),OFFSET('MPIO_SFIO Table'!$AJ$11,Q276,0),"")</f>
        <v/>
      </c>
      <c r="W276">
        <f t="shared" ca="1" si="43"/>
        <v>0</v>
      </c>
      <c r="X276">
        <f t="shared" ca="1" si="44"/>
        <v>0</v>
      </c>
      <c r="Y276">
        <f t="shared" ca="1" si="45"/>
        <v>0</v>
      </c>
      <c r="Z276">
        <f t="shared" ca="1" si="46"/>
        <v>0</v>
      </c>
      <c r="AA276">
        <f t="shared" ca="1" si="47"/>
        <v>0</v>
      </c>
    </row>
    <row r="277" spans="1:27" x14ac:dyDescent="0.25">
      <c r="A277">
        <f t="shared" ca="1" si="40"/>
        <v>0</v>
      </c>
      <c r="B277" t="str">
        <f t="shared" ca="1" si="41"/>
        <v/>
      </c>
      <c r="C277" t="str">
        <f t="shared" si="42"/>
        <v>GPIO</v>
      </c>
      <c r="D277" t="s">
        <v>253</v>
      </c>
      <c r="E277" t="s">
        <v>253</v>
      </c>
      <c r="F277" s="3" t="s">
        <v>2751</v>
      </c>
      <c r="G277" s="11" t="s">
        <v>974</v>
      </c>
      <c r="H277" s="11" t="s">
        <v>207</v>
      </c>
      <c r="I277" s="3" t="s">
        <v>253</v>
      </c>
      <c r="J277" s="3" t="s">
        <v>253</v>
      </c>
      <c r="K277" s="3" t="s">
        <v>253</v>
      </c>
      <c r="L277" s="3" t="s">
        <v>253</v>
      </c>
      <c r="M277">
        <f>IF(LEN(H277),MATCH(H277,'MPIO_SFIO Table'!$A$11:$A$65525,0)-1,"")</f>
        <v>221</v>
      </c>
      <c r="N277" t="str">
        <f>IF(LEN(I277),MATCH(I277,'MPIO_SFIO Table'!$A$11:$A$65525,0)-1,"")</f>
        <v/>
      </c>
      <c r="O277" t="str">
        <f>IF(LEN(J277),MATCH(J277,'MPIO_SFIO Table'!$A$11:$A$65525,0)-1,"")</f>
        <v/>
      </c>
      <c r="P277" t="str">
        <f>IF(LEN(K277),MATCH(K277,'MPIO_SFIO Table'!$A$11:$A$65525,0)-1,"")</f>
        <v/>
      </c>
      <c r="Q277" t="str">
        <f>IF(LEN(L277),MATCH(L277,'MPIO_SFIO Table'!$A$11:$A$65525,0)-1,"")</f>
        <v/>
      </c>
      <c r="R277" t="str">
        <f ca="1">IF(ISNUMBER(M277),OFFSET('MPIO_SFIO Table'!$AJ$11,M277,0),"")</f>
        <v>unused_KB_ROW8</v>
      </c>
      <c r="S277" t="str">
        <f ca="1">IF(ISNUMBER(N277),OFFSET('MPIO_SFIO Table'!$AJ$11,N277,0),"")</f>
        <v/>
      </c>
      <c r="T277" t="str">
        <f ca="1">IF(ISNUMBER(O277),OFFSET('MPIO_SFIO Table'!$AJ$11,O277,0),"")</f>
        <v/>
      </c>
      <c r="U277" t="str">
        <f ca="1">IF(ISNUMBER(P277),OFFSET('MPIO_SFIO Table'!$AJ$11,P277,0),"")</f>
        <v/>
      </c>
      <c r="V277" t="str">
        <f ca="1">IF(ISNUMBER(Q277),OFFSET('MPIO_SFIO Table'!$AJ$11,Q277,0),"")</f>
        <v/>
      </c>
      <c r="W277">
        <f t="shared" ca="1" si="43"/>
        <v>0</v>
      </c>
      <c r="X277">
        <f t="shared" ca="1" si="44"/>
        <v>0</v>
      </c>
      <c r="Y277">
        <f t="shared" ca="1" si="45"/>
        <v>0</v>
      </c>
      <c r="Z277">
        <f t="shared" ca="1" si="46"/>
        <v>0</v>
      </c>
      <c r="AA277">
        <f t="shared" ca="1" si="47"/>
        <v>0</v>
      </c>
    </row>
    <row r="278" spans="1:27" x14ac:dyDescent="0.25">
      <c r="A278">
        <f t="shared" ca="1" si="40"/>
        <v>0</v>
      </c>
      <c r="B278" t="str">
        <f t="shared" ca="1" si="41"/>
        <v/>
      </c>
      <c r="C278" t="str">
        <f t="shared" si="42"/>
        <v>GPIO</v>
      </c>
      <c r="D278" t="s">
        <v>253</v>
      </c>
      <c r="E278" t="s">
        <v>253</v>
      </c>
      <c r="F278" s="3" t="s">
        <v>2752</v>
      </c>
      <c r="G278" s="11" t="s">
        <v>975</v>
      </c>
      <c r="H278" s="11" t="s">
        <v>208</v>
      </c>
      <c r="I278" s="3" t="s">
        <v>253</v>
      </c>
      <c r="J278" s="3" t="s">
        <v>253</v>
      </c>
      <c r="K278" s="3" t="s">
        <v>253</v>
      </c>
      <c r="L278" s="3" t="s">
        <v>253</v>
      </c>
      <c r="M278">
        <f>IF(LEN(H278),MATCH(H278,'MPIO_SFIO Table'!$A$11:$A$65525,0)-1,"")</f>
        <v>222</v>
      </c>
      <c r="N278" t="str">
        <f>IF(LEN(I278),MATCH(I278,'MPIO_SFIO Table'!$A$11:$A$65525,0)-1,"")</f>
        <v/>
      </c>
      <c r="O278" t="str">
        <f>IF(LEN(J278),MATCH(J278,'MPIO_SFIO Table'!$A$11:$A$65525,0)-1,"")</f>
        <v/>
      </c>
      <c r="P278" t="str">
        <f>IF(LEN(K278),MATCH(K278,'MPIO_SFIO Table'!$A$11:$A$65525,0)-1,"")</f>
        <v/>
      </c>
      <c r="Q278" t="str">
        <f>IF(LEN(L278),MATCH(L278,'MPIO_SFIO Table'!$A$11:$A$65525,0)-1,"")</f>
        <v/>
      </c>
      <c r="R278" t="str">
        <f ca="1">IF(ISNUMBER(M278),OFFSET('MPIO_SFIO Table'!$AJ$11,M278,0),"")</f>
        <v>unused_KB_ROW9</v>
      </c>
      <c r="S278" t="str">
        <f ca="1">IF(ISNUMBER(N278),OFFSET('MPIO_SFIO Table'!$AJ$11,N278,0),"")</f>
        <v/>
      </c>
      <c r="T278" t="str">
        <f ca="1">IF(ISNUMBER(O278),OFFSET('MPIO_SFIO Table'!$AJ$11,O278,0),"")</f>
        <v/>
      </c>
      <c r="U278" t="str">
        <f ca="1">IF(ISNUMBER(P278),OFFSET('MPIO_SFIO Table'!$AJ$11,P278,0),"")</f>
        <v/>
      </c>
      <c r="V278" t="str">
        <f ca="1">IF(ISNUMBER(Q278),OFFSET('MPIO_SFIO Table'!$AJ$11,Q278,0),"")</f>
        <v/>
      </c>
      <c r="W278">
        <f t="shared" ca="1" si="43"/>
        <v>0</v>
      </c>
      <c r="X278">
        <f t="shared" ca="1" si="44"/>
        <v>0</v>
      </c>
      <c r="Y278">
        <f t="shared" ca="1" si="45"/>
        <v>0</v>
      </c>
      <c r="Z278">
        <f t="shared" ca="1" si="46"/>
        <v>0</v>
      </c>
      <c r="AA278">
        <f t="shared" ca="1" si="47"/>
        <v>0</v>
      </c>
    </row>
    <row r="279" spans="1:27" x14ac:dyDescent="0.25">
      <c r="A279">
        <f t="shared" ca="1" si="40"/>
        <v>0</v>
      </c>
      <c r="B279" t="str">
        <f t="shared" ca="1" si="41"/>
        <v/>
      </c>
      <c r="C279" t="str">
        <f t="shared" si="42"/>
        <v>GPIO</v>
      </c>
      <c r="D279" t="s">
        <v>253</v>
      </c>
      <c r="E279" t="s">
        <v>253</v>
      </c>
      <c r="F279" s="3" t="s">
        <v>2753</v>
      </c>
      <c r="G279" s="11" t="s">
        <v>962</v>
      </c>
      <c r="H279" s="11" t="s">
        <v>195</v>
      </c>
      <c r="I279" s="3" t="s">
        <v>253</v>
      </c>
      <c r="J279" s="3" t="s">
        <v>253</v>
      </c>
      <c r="K279" s="3" t="s">
        <v>253</v>
      </c>
      <c r="L279" s="3" t="s">
        <v>253</v>
      </c>
      <c r="M279">
        <f>IF(LEN(H279),MATCH(H279,'MPIO_SFIO Table'!$A$11:$A$65525,0)-1,"")</f>
        <v>209</v>
      </c>
      <c r="N279" t="str">
        <f>IF(LEN(I279),MATCH(I279,'MPIO_SFIO Table'!$A$11:$A$65525,0)-1,"")</f>
        <v/>
      </c>
      <c r="O279" t="str">
        <f>IF(LEN(J279),MATCH(J279,'MPIO_SFIO Table'!$A$11:$A$65525,0)-1,"")</f>
        <v/>
      </c>
      <c r="P279" t="str">
        <f>IF(LEN(K279),MATCH(K279,'MPIO_SFIO Table'!$A$11:$A$65525,0)-1,"")</f>
        <v/>
      </c>
      <c r="Q279" t="str">
        <f>IF(LEN(L279),MATCH(L279,'MPIO_SFIO Table'!$A$11:$A$65525,0)-1,"")</f>
        <v/>
      </c>
      <c r="R279" t="str">
        <f ca="1">IF(ISNUMBER(M279),OFFSET('MPIO_SFIO Table'!$AJ$11,M279,0),"")</f>
        <v>unused_KB_ROW10</v>
      </c>
      <c r="S279" t="str">
        <f ca="1">IF(ISNUMBER(N279),OFFSET('MPIO_SFIO Table'!$AJ$11,N279,0),"")</f>
        <v/>
      </c>
      <c r="T279" t="str">
        <f ca="1">IF(ISNUMBER(O279),OFFSET('MPIO_SFIO Table'!$AJ$11,O279,0),"")</f>
        <v/>
      </c>
      <c r="U279" t="str">
        <f ca="1">IF(ISNUMBER(P279),OFFSET('MPIO_SFIO Table'!$AJ$11,P279,0),"")</f>
        <v/>
      </c>
      <c r="V279" t="str">
        <f ca="1">IF(ISNUMBER(Q279),OFFSET('MPIO_SFIO Table'!$AJ$11,Q279,0),"")</f>
        <v/>
      </c>
      <c r="W279">
        <f t="shared" ca="1" si="43"/>
        <v>0</v>
      </c>
      <c r="X279">
        <f t="shared" ca="1" si="44"/>
        <v>0</v>
      </c>
      <c r="Y279">
        <f t="shared" ca="1" si="45"/>
        <v>0</v>
      </c>
      <c r="Z279">
        <f t="shared" ca="1" si="46"/>
        <v>0</v>
      </c>
      <c r="AA279">
        <f t="shared" ca="1" si="47"/>
        <v>0</v>
      </c>
    </row>
    <row r="280" spans="1:27" x14ac:dyDescent="0.25">
      <c r="A280">
        <f t="shared" ca="1" si="40"/>
        <v>0</v>
      </c>
      <c r="B280" t="str">
        <f t="shared" ca="1" si="41"/>
        <v/>
      </c>
      <c r="C280" t="str">
        <f t="shared" si="42"/>
        <v>GPIO</v>
      </c>
      <c r="D280" t="s">
        <v>253</v>
      </c>
      <c r="E280" t="s">
        <v>253</v>
      </c>
      <c r="F280" s="3" t="s">
        <v>2754</v>
      </c>
      <c r="G280" s="11" t="s">
        <v>963</v>
      </c>
      <c r="H280" s="11" t="s">
        <v>196</v>
      </c>
      <c r="I280" s="3" t="s">
        <v>253</v>
      </c>
      <c r="J280" s="3" t="s">
        <v>253</v>
      </c>
      <c r="K280" s="3" t="s">
        <v>253</v>
      </c>
      <c r="L280" s="3" t="s">
        <v>253</v>
      </c>
      <c r="M280">
        <f>IF(LEN(H280),MATCH(H280,'MPIO_SFIO Table'!$A$11:$A$65525,0)-1,"")</f>
        <v>210</v>
      </c>
      <c r="N280" t="str">
        <f>IF(LEN(I280),MATCH(I280,'MPIO_SFIO Table'!$A$11:$A$65525,0)-1,"")</f>
        <v/>
      </c>
      <c r="O280" t="str">
        <f>IF(LEN(J280),MATCH(J280,'MPIO_SFIO Table'!$A$11:$A$65525,0)-1,"")</f>
        <v/>
      </c>
      <c r="P280" t="str">
        <f>IF(LEN(K280),MATCH(K280,'MPIO_SFIO Table'!$A$11:$A$65525,0)-1,"")</f>
        <v/>
      </c>
      <c r="Q280" t="str">
        <f>IF(LEN(L280),MATCH(L280,'MPIO_SFIO Table'!$A$11:$A$65525,0)-1,"")</f>
        <v/>
      </c>
      <c r="R280" t="str">
        <f ca="1">IF(ISNUMBER(M280),OFFSET('MPIO_SFIO Table'!$AJ$11,M280,0),"")</f>
        <v>unused_KB_ROW11</v>
      </c>
      <c r="S280" t="str">
        <f ca="1">IF(ISNUMBER(N280),OFFSET('MPIO_SFIO Table'!$AJ$11,N280,0),"")</f>
        <v/>
      </c>
      <c r="T280" t="str">
        <f ca="1">IF(ISNUMBER(O280),OFFSET('MPIO_SFIO Table'!$AJ$11,O280,0),"")</f>
        <v/>
      </c>
      <c r="U280" t="str">
        <f ca="1">IF(ISNUMBER(P280),OFFSET('MPIO_SFIO Table'!$AJ$11,P280,0),"")</f>
        <v/>
      </c>
      <c r="V280" t="str">
        <f ca="1">IF(ISNUMBER(Q280),OFFSET('MPIO_SFIO Table'!$AJ$11,Q280,0),"")</f>
        <v/>
      </c>
      <c r="W280">
        <f t="shared" ca="1" si="43"/>
        <v>0</v>
      </c>
      <c r="X280">
        <f t="shared" ca="1" si="44"/>
        <v>0</v>
      </c>
      <c r="Y280">
        <f t="shared" ca="1" si="45"/>
        <v>0</v>
      </c>
      <c r="Z280">
        <f t="shared" ca="1" si="46"/>
        <v>0</v>
      </c>
      <c r="AA280">
        <f t="shared" ca="1" si="47"/>
        <v>0</v>
      </c>
    </row>
    <row r="281" spans="1:27" x14ac:dyDescent="0.25">
      <c r="A281">
        <f t="shared" ca="1" si="40"/>
        <v>0</v>
      </c>
      <c r="B281" t="str">
        <f t="shared" ca="1" si="41"/>
        <v/>
      </c>
      <c r="C281" t="str">
        <f t="shared" si="42"/>
        <v>GPIO</v>
      </c>
      <c r="D281" t="s">
        <v>253</v>
      </c>
      <c r="E281" t="s">
        <v>253</v>
      </c>
      <c r="F281" s="3" t="s">
        <v>2755</v>
      </c>
      <c r="G281" s="11" t="s">
        <v>964</v>
      </c>
      <c r="H281" s="11" t="s">
        <v>197</v>
      </c>
      <c r="I281" s="3" t="s">
        <v>253</v>
      </c>
      <c r="J281" s="3" t="s">
        <v>253</v>
      </c>
      <c r="K281" s="3" t="s">
        <v>253</v>
      </c>
      <c r="L281" s="3" t="s">
        <v>253</v>
      </c>
      <c r="M281">
        <f>IF(LEN(H281),MATCH(H281,'MPIO_SFIO Table'!$A$11:$A$65525,0)-1,"")</f>
        <v>211</v>
      </c>
      <c r="N281" t="str">
        <f>IF(LEN(I281),MATCH(I281,'MPIO_SFIO Table'!$A$11:$A$65525,0)-1,"")</f>
        <v/>
      </c>
      <c r="O281" t="str">
        <f>IF(LEN(J281),MATCH(J281,'MPIO_SFIO Table'!$A$11:$A$65525,0)-1,"")</f>
        <v/>
      </c>
      <c r="P281" t="str">
        <f>IF(LEN(K281),MATCH(K281,'MPIO_SFIO Table'!$A$11:$A$65525,0)-1,"")</f>
        <v/>
      </c>
      <c r="Q281" t="str">
        <f>IF(LEN(L281),MATCH(L281,'MPIO_SFIO Table'!$A$11:$A$65525,0)-1,"")</f>
        <v/>
      </c>
      <c r="R281" t="str">
        <f ca="1">IF(ISNUMBER(M281),OFFSET('MPIO_SFIO Table'!$AJ$11,M281,0),"")</f>
        <v>unused_KB_ROW12</v>
      </c>
      <c r="S281" t="str">
        <f ca="1">IF(ISNUMBER(N281),OFFSET('MPIO_SFIO Table'!$AJ$11,N281,0),"")</f>
        <v/>
      </c>
      <c r="T281" t="str">
        <f ca="1">IF(ISNUMBER(O281),OFFSET('MPIO_SFIO Table'!$AJ$11,O281,0),"")</f>
        <v/>
      </c>
      <c r="U281" t="str">
        <f ca="1">IF(ISNUMBER(P281),OFFSET('MPIO_SFIO Table'!$AJ$11,P281,0),"")</f>
        <v/>
      </c>
      <c r="V281" t="str">
        <f ca="1">IF(ISNUMBER(Q281),OFFSET('MPIO_SFIO Table'!$AJ$11,Q281,0),"")</f>
        <v/>
      </c>
      <c r="W281">
        <f t="shared" ca="1" si="43"/>
        <v>0</v>
      </c>
      <c r="X281">
        <f t="shared" ca="1" si="44"/>
        <v>0</v>
      </c>
      <c r="Y281">
        <f t="shared" ca="1" si="45"/>
        <v>0</v>
      </c>
      <c r="Z281">
        <f t="shared" ca="1" si="46"/>
        <v>0</v>
      </c>
      <c r="AA281">
        <f t="shared" ca="1" si="47"/>
        <v>0</v>
      </c>
    </row>
    <row r="282" spans="1:27" x14ac:dyDescent="0.25">
      <c r="A282">
        <f t="shared" ca="1" si="40"/>
        <v>0</v>
      </c>
      <c r="B282" t="str">
        <f t="shared" ca="1" si="41"/>
        <v/>
      </c>
      <c r="C282" t="str">
        <f t="shared" si="42"/>
        <v>GPIO</v>
      </c>
      <c r="D282" t="s">
        <v>253</v>
      </c>
      <c r="E282" t="s">
        <v>253</v>
      </c>
      <c r="F282" s="3" t="s">
        <v>2756</v>
      </c>
      <c r="G282" s="11" t="s">
        <v>965</v>
      </c>
      <c r="H282" s="11" t="s">
        <v>198</v>
      </c>
      <c r="I282" s="3" t="s">
        <v>253</v>
      </c>
      <c r="J282" s="3" t="s">
        <v>253</v>
      </c>
      <c r="K282" s="3" t="s">
        <v>253</v>
      </c>
      <c r="L282" s="3" t="s">
        <v>253</v>
      </c>
      <c r="M282">
        <f>IF(LEN(H282),MATCH(H282,'MPIO_SFIO Table'!$A$11:$A$65525,0)-1,"")</f>
        <v>212</v>
      </c>
      <c r="N282" t="str">
        <f>IF(LEN(I282),MATCH(I282,'MPIO_SFIO Table'!$A$11:$A$65525,0)-1,"")</f>
        <v/>
      </c>
      <c r="O282" t="str">
        <f>IF(LEN(J282),MATCH(J282,'MPIO_SFIO Table'!$A$11:$A$65525,0)-1,"")</f>
        <v/>
      </c>
      <c r="P282" t="str">
        <f>IF(LEN(K282),MATCH(K282,'MPIO_SFIO Table'!$A$11:$A$65525,0)-1,"")</f>
        <v/>
      </c>
      <c r="Q282" t="str">
        <f>IF(LEN(L282),MATCH(L282,'MPIO_SFIO Table'!$A$11:$A$65525,0)-1,"")</f>
        <v/>
      </c>
      <c r="R282" t="str">
        <f ca="1">IF(ISNUMBER(M282),OFFSET('MPIO_SFIO Table'!$AJ$11,M282,0),"")</f>
        <v>unused_KB_ROW13</v>
      </c>
      <c r="S282" t="str">
        <f ca="1">IF(ISNUMBER(N282),OFFSET('MPIO_SFIO Table'!$AJ$11,N282,0),"")</f>
        <v/>
      </c>
      <c r="T282" t="str">
        <f ca="1">IF(ISNUMBER(O282),OFFSET('MPIO_SFIO Table'!$AJ$11,O282,0),"")</f>
        <v/>
      </c>
      <c r="U282" t="str">
        <f ca="1">IF(ISNUMBER(P282),OFFSET('MPIO_SFIO Table'!$AJ$11,P282,0),"")</f>
        <v/>
      </c>
      <c r="V282" t="str">
        <f ca="1">IF(ISNUMBER(Q282),OFFSET('MPIO_SFIO Table'!$AJ$11,Q282,0),"")</f>
        <v/>
      </c>
      <c r="W282">
        <f t="shared" ca="1" si="43"/>
        <v>0</v>
      </c>
      <c r="X282">
        <f t="shared" ca="1" si="44"/>
        <v>0</v>
      </c>
      <c r="Y282">
        <f t="shared" ca="1" si="45"/>
        <v>0</v>
      </c>
      <c r="Z282">
        <f t="shared" ca="1" si="46"/>
        <v>0</v>
      </c>
      <c r="AA282">
        <f t="shared" ca="1" si="47"/>
        <v>0</v>
      </c>
    </row>
    <row r="283" spans="1:27" x14ac:dyDescent="0.25">
      <c r="A283">
        <f t="shared" ca="1" si="40"/>
        <v>0</v>
      </c>
      <c r="B283" t="str">
        <f t="shared" ca="1" si="41"/>
        <v/>
      </c>
      <c r="C283" t="str">
        <f t="shared" si="42"/>
        <v>GPIO</v>
      </c>
      <c r="D283" t="s">
        <v>253</v>
      </c>
      <c r="E283" t="s">
        <v>253</v>
      </c>
      <c r="F283" s="3" t="s">
        <v>2757</v>
      </c>
      <c r="G283" s="11" t="s">
        <v>966</v>
      </c>
      <c r="H283" s="11" t="s">
        <v>199</v>
      </c>
      <c r="I283" s="3" t="s">
        <v>253</v>
      </c>
      <c r="J283" s="3" t="s">
        <v>253</v>
      </c>
      <c r="K283" s="3" t="s">
        <v>253</v>
      </c>
      <c r="L283" s="3" t="s">
        <v>253</v>
      </c>
      <c r="M283">
        <f>IF(LEN(H283),MATCH(H283,'MPIO_SFIO Table'!$A$11:$A$65525,0)-1,"")</f>
        <v>213</v>
      </c>
      <c r="N283" t="str">
        <f>IF(LEN(I283),MATCH(I283,'MPIO_SFIO Table'!$A$11:$A$65525,0)-1,"")</f>
        <v/>
      </c>
      <c r="O283" t="str">
        <f>IF(LEN(J283),MATCH(J283,'MPIO_SFIO Table'!$A$11:$A$65525,0)-1,"")</f>
        <v/>
      </c>
      <c r="P283" t="str">
        <f>IF(LEN(K283),MATCH(K283,'MPIO_SFIO Table'!$A$11:$A$65525,0)-1,"")</f>
        <v/>
      </c>
      <c r="Q283" t="str">
        <f>IF(LEN(L283),MATCH(L283,'MPIO_SFIO Table'!$A$11:$A$65525,0)-1,"")</f>
        <v/>
      </c>
      <c r="R283" t="str">
        <f ca="1">IF(ISNUMBER(M283),OFFSET('MPIO_SFIO Table'!$AJ$11,M283,0),"")</f>
        <v>unused_KB_ROW14</v>
      </c>
      <c r="S283" t="str">
        <f ca="1">IF(ISNUMBER(N283),OFFSET('MPIO_SFIO Table'!$AJ$11,N283,0),"")</f>
        <v/>
      </c>
      <c r="T283" t="str">
        <f ca="1">IF(ISNUMBER(O283),OFFSET('MPIO_SFIO Table'!$AJ$11,O283,0),"")</f>
        <v/>
      </c>
      <c r="U283" t="str">
        <f ca="1">IF(ISNUMBER(P283),OFFSET('MPIO_SFIO Table'!$AJ$11,P283,0),"")</f>
        <v/>
      </c>
      <c r="V283" t="str">
        <f ca="1">IF(ISNUMBER(Q283),OFFSET('MPIO_SFIO Table'!$AJ$11,Q283,0),"")</f>
        <v/>
      </c>
      <c r="W283">
        <f t="shared" ca="1" si="43"/>
        <v>0</v>
      </c>
      <c r="X283">
        <f t="shared" ca="1" si="44"/>
        <v>0</v>
      </c>
      <c r="Y283">
        <f t="shared" ca="1" si="45"/>
        <v>0</v>
      </c>
      <c r="Z283">
        <f t="shared" ca="1" si="46"/>
        <v>0</v>
      </c>
      <c r="AA283">
        <f t="shared" ca="1" si="47"/>
        <v>0</v>
      </c>
    </row>
    <row r="284" spans="1:27" x14ac:dyDescent="0.25">
      <c r="A284">
        <f t="shared" ca="1" si="40"/>
        <v>0</v>
      </c>
      <c r="B284" t="str">
        <f t="shared" ca="1" si="41"/>
        <v/>
      </c>
      <c r="C284" t="str">
        <f t="shared" si="42"/>
        <v>GPIO</v>
      </c>
      <c r="D284" t="s">
        <v>253</v>
      </c>
      <c r="E284" t="s">
        <v>253</v>
      </c>
      <c r="F284" s="3" t="s">
        <v>2758</v>
      </c>
      <c r="G284" s="11" t="s">
        <v>967</v>
      </c>
      <c r="H284" s="11" t="s">
        <v>200</v>
      </c>
      <c r="I284" s="3" t="s">
        <v>253</v>
      </c>
      <c r="J284" s="3" t="s">
        <v>253</v>
      </c>
      <c r="K284" s="3" t="s">
        <v>253</v>
      </c>
      <c r="L284" s="3" t="s">
        <v>253</v>
      </c>
      <c r="M284">
        <f>IF(LEN(H284),MATCH(H284,'MPIO_SFIO Table'!$A$11:$A$65525,0)-1,"")</f>
        <v>214</v>
      </c>
      <c r="N284" t="str">
        <f>IF(LEN(I284),MATCH(I284,'MPIO_SFIO Table'!$A$11:$A$65525,0)-1,"")</f>
        <v/>
      </c>
      <c r="O284" t="str">
        <f>IF(LEN(J284),MATCH(J284,'MPIO_SFIO Table'!$A$11:$A$65525,0)-1,"")</f>
        <v/>
      </c>
      <c r="P284" t="str">
        <f>IF(LEN(K284),MATCH(K284,'MPIO_SFIO Table'!$A$11:$A$65525,0)-1,"")</f>
        <v/>
      </c>
      <c r="Q284" t="str">
        <f>IF(LEN(L284),MATCH(L284,'MPIO_SFIO Table'!$A$11:$A$65525,0)-1,"")</f>
        <v/>
      </c>
      <c r="R284" t="str">
        <f ca="1">IF(ISNUMBER(M284),OFFSET('MPIO_SFIO Table'!$AJ$11,M284,0),"")</f>
        <v>unused_KB_ROW15</v>
      </c>
      <c r="S284" t="str">
        <f ca="1">IF(ISNUMBER(N284),OFFSET('MPIO_SFIO Table'!$AJ$11,N284,0),"")</f>
        <v/>
      </c>
      <c r="T284" t="str">
        <f ca="1">IF(ISNUMBER(O284),OFFSET('MPIO_SFIO Table'!$AJ$11,O284,0),"")</f>
        <v/>
      </c>
      <c r="U284" t="str">
        <f ca="1">IF(ISNUMBER(P284),OFFSET('MPIO_SFIO Table'!$AJ$11,P284,0),"")</f>
        <v/>
      </c>
      <c r="V284" t="str">
        <f ca="1">IF(ISNUMBER(Q284),OFFSET('MPIO_SFIO Table'!$AJ$11,Q284,0),"")</f>
        <v/>
      </c>
      <c r="W284">
        <f t="shared" ca="1" si="43"/>
        <v>0</v>
      </c>
      <c r="X284">
        <f t="shared" ca="1" si="44"/>
        <v>0</v>
      </c>
      <c r="Y284">
        <f t="shared" ca="1" si="45"/>
        <v>0</v>
      </c>
      <c r="Z284">
        <f t="shared" ca="1" si="46"/>
        <v>0</v>
      </c>
      <c r="AA284">
        <f t="shared" ca="1" si="47"/>
        <v>0</v>
      </c>
    </row>
    <row r="285" spans="1:27" x14ac:dyDescent="0.25">
      <c r="A285">
        <f t="shared" ca="1" si="40"/>
        <v>0</v>
      </c>
      <c r="B285" t="str">
        <f t="shared" ca="1" si="41"/>
        <v/>
      </c>
      <c r="C285" t="str">
        <f t="shared" si="42"/>
        <v>GPIO</v>
      </c>
      <c r="D285" t="s">
        <v>253</v>
      </c>
      <c r="E285" t="s">
        <v>253</v>
      </c>
      <c r="F285" s="3" t="s">
        <v>2759</v>
      </c>
      <c r="G285" s="11" t="s">
        <v>1016</v>
      </c>
      <c r="H285" s="11" t="s">
        <v>250</v>
      </c>
      <c r="I285" s="3" t="s">
        <v>253</v>
      </c>
      <c r="J285" s="3" t="s">
        <v>253</v>
      </c>
      <c r="K285" s="3" t="s">
        <v>253</v>
      </c>
      <c r="L285" s="3" t="s">
        <v>253</v>
      </c>
      <c r="M285">
        <f>IF(LEN(H285),MATCH(H285,'MPIO_SFIO Table'!$A$11:$A$65525,0)-1,"")</f>
        <v>269</v>
      </c>
      <c r="N285" t="str">
        <f>IF(LEN(I285),MATCH(I285,'MPIO_SFIO Table'!$A$11:$A$65525,0)-1,"")</f>
        <v/>
      </c>
      <c r="O285" t="str">
        <f>IF(LEN(J285),MATCH(J285,'MPIO_SFIO Table'!$A$11:$A$65525,0)-1,"")</f>
        <v/>
      </c>
      <c r="P285" t="str">
        <f>IF(LEN(K285),MATCH(K285,'MPIO_SFIO Table'!$A$11:$A$65525,0)-1,"")</f>
        <v/>
      </c>
      <c r="Q285" t="str">
        <f>IF(LEN(L285),MATCH(L285,'MPIO_SFIO Table'!$A$11:$A$65525,0)-1,"")</f>
        <v/>
      </c>
      <c r="R285" t="str">
        <f ca="1">IF(ISNUMBER(M285),OFFSET('MPIO_SFIO Table'!$AJ$11,M285,0),"")</f>
        <v>unused_VI_PCLK</v>
      </c>
      <c r="S285" t="str">
        <f ca="1">IF(ISNUMBER(N285),OFFSET('MPIO_SFIO Table'!$AJ$11,N285,0),"")</f>
        <v/>
      </c>
      <c r="T285" t="str">
        <f ca="1">IF(ISNUMBER(O285),OFFSET('MPIO_SFIO Table'!$AJ$11,O285,0),"")</f>
        <v/>
      </c>
      <c r="U285" t="str">
        <f ca="1">IF(ISNUMBER(P285),OFFSET('MPIO_SFIO Table'!$AJ$11,P285,0),"")</f>
        <v/>
      </c>
      <c r="V285" t="str">
        <f ca="1">IF(ISNUMBER(Q285),OFFSET('MPIO_SFIO Table'!$AJ$11,Q285,0),"")</f>
        <v/>
      </c>
      <c r="W285">
        <f t="shared" ca="1" si="43"/>
        <v>0</v>
      </c>
      <c r="X285">
        <f t="shared" ca="1" si="44"/>
        <v>0</v>
      </c>
      <c r="Y285">
        <f t="shared" ca="1" si="45"/>
        <v>0</v>
      </c>
      <c r="Z285">
        <f t="shared" ca="1" si="46"/>
        <v>0</v>
      </c>
      <c r="AA285">
        <f t="shared" ca="1" si="47"/>
        <v>0</v>
      </c>
    </row>
    <row r="286" spans="1:27" x14ac:dyDescent="0.25">
      <c r="A286">
        <f t="shared" ca="1" si="40"/>
        <v>0</v>
      </c>
      <c r="B286" t="str">
        <f t="shared" ca="1" si="41"/>
        <v/>
      </c>
      <c r="C286" t="str">
        <f t="shared" si="42"/>
        <v>GPIO</v>
      </c>
      <c r="D286" t="s">
        <v>253</v>
      </c>
      <c r="E286" t="s">
        <v>253</v>
      </c>
      <c r="F286" s="3" t="s">
        <v>2760</v>
      </c>
      <c r="G286" s="11" t="s">
        <v>1015</v>
      </c>
      <c r="H286" s="11" t="s">
        <v>249</v>
      </c>
      <c r="I286" s="3" t="s">
        <v>253</v>
      </c>
      <c r="J286" s="3" t="s">
        <v>253</v>
      </c>
      <c r="K286" s="3" t="s">
        <v>253</v>
      </c>
      <c r="L286" s="3" t="s">
        <v>253</v>
      </c>
      <c r="M286">
        <f>IF(LEN(H286),MATCH(H286,'MPIO_SFIO Table'!$A$11:$A$65525,0)-1,"")</f>
        <v>268</v>
      </c>
      <c r="N286" t="str">
        <f>IF(LEN(I286),MATCH(I286,'MPIO_SFIO Table'!$A$11:$A$65525,0)-1,"")</f>
        <v/>
      </c>
      <c r="O286" t="str">
        <f>IF(LEN(J286),MATCH(J286,'MPIO_SFIO Table'!$A$11:$A$65525,0)-1,"")</f>
        <v/>
      </c>
      <c r="P286" t="str">
        <f>IF(LEN(K286),MATCH(K286,'MPIO_SFIO Table'!$A$11:$A$65525,0)-1,"")</f>
        <v/>
      </c>
      <c r="Q286" t="str">
        <f>IF(LEN(L286),MATCH(L286,'MPIO_SFIO Table'!$A$11:$A$65525,0)-1,"")</f>
        <v/>
      </c>
      <c r="R286" t="str">
        <f ca="1">IF(ISNUMBER(M286),OFFSET('MPIO_SFIO Table'!$AJ$11,M286,0),"")</f>
        <v>unused_VI_MCLK</v>
      </c>
      <c r="S286" t="str">
        <f ca="1">IF(ISNUMBER(N286),OFFSET('MPIO_SFIO Table'!$AJ$11,N286,0),"")</f>
        <v/>
      </c>
      <c r="T286" t="str">
        <f ca="1">IF(ISNUMBER(O286),OFFSET('MPIO_SFIO Table'!$AJ$11,O286,0),"")</f>
        <v/>
      </c>
      <c r="U286" t="str">
        <f ca="1">IF(ISNUMBER(P286),OFFSET('MPIO_SFIO Table'!$AJ$11,P286,0),"")</f>
        <v/>
      </c>
      <c r="V286" t="str">
        <f ca="1">IF(ISNUMBER(Q286),OFFSET('MPIO_SFIO Table'!$AJ$11,Q286,0),"")</f>
        <v/>
      </c>
      <c r="W286">
        <f t="shared" ca="1" si="43"/>
        <v>0</v>
      </c>
      <c r="X286">
        <f t="shared" ca="1" si="44"/>
        <v>0</v>
      </c>
      <c r="Y286">
        <f t="shared" ca="1" si="45"/>
        <v>0</v>
      </c>
      <c r="Z286">
        <f t="shared" ca="1" si="46"/>
        <v>0</v>
      </c>
      <c r="AA286">
        <f t="shared" ca="1" si="47"/>
        <v>0</v>
      </c>
    </row>
    <row r="287" spans="1:27" x14ac:dyDescent="0.25">
      <c r="A287">
        <f t="shared" ca="1" si="40"/>
        <v>0</v>
      </c>
      <c r="B287" t="str">
        <f t="shared" ca="1" si="41"/>
        <v/>
      </c>
      <c r="C287" t="str">
        <f t="shared" si="42"/>
        <v>GPIO</v>
      </c>
      <c r="D287" t="s">
        <v>253</v>
      </c>
      <c r="E287" t="s">
        <v>253</v>
      </c>
      <c r="F287" s="3" t="s">
        <v>2761</v>
      </c>
      <c r="G287" s="11" t="s">
        <v>1004</v>
      </c>
      <c r="H287" s="11" t="s">
        <v>238</v>
      </c>
      <c r="I287" s="3" t="s">
        <v>253</v>
      </c>
      <c r="J287" s="3" t="s">
        <v>253</v>
      </c>
      <c r="K287" s="3" t="s">
        <v>253</v>
      </c>
      <c r="L287" s="3" t="s">
        <v>253</v>
      </c>
      <c r="M287">
        <f>IF(LEN(H287),MATCH(H287,'MPIO_SFIO Table'!$A$11:$A$65525,0)-1,"")</f>
        <v>257</v>
      </c>
      <c r="N287" t="str">
        <f>IF(LEN(I287),MATCH(I287,'MPIO_SFIO Table'!$A$11:$A$65525,0)-1,"")</f>
        <v/>
      </c>
      <c r="O287" t="str">
        <f>IF(LEN(J287),MATCH(J287,'MPIO_SFIO Table'!$A$11:$A$65525,0)-1,"")</f>
        <v/>
      </c>
      <c r="P287" t="str">
        <f>IF(LEN(K287),MATCH(K287,'MPIO_SFIO Table'!$A$11:$A$65525,0)-1,"")</f>
        <v/>
      </c>
      <c r="Q287" t="str">
        <f>IF(LEN(L287),MATCH(L287,'MPIO_SFIO Table'!$A$11:$A$65525,0)-1,"")</f>
        <v/>
      </c>
      <c r="R287" t="str">
        <f ca="1">IF(ISNUMBER(M287),OFFSET('MPIO_SFIO Table'!$AJ$11,M287,0),"")</f>
        <v>unused_VI_D10</v>
      </c>
      <c r="S287" t="str">
        <f ca="1">IF(ISNUMBER(N287),OFFSET('MPIO_SFIO Table'!$AJ$11,N287,0),"")</f>
        <v/>
      </c>
      <c r="T287" t="str">
        <f ca="1">IF(ISNUMBER(O287),OFFSET('MPIO_SFIO Table'!$AJ$11,O287,0),"")</f>
        <v/>
      </c>
      <c r="U287" t="str">
        <f ca="1">IF(ISNUMBER(P287),OFFSET('MPIO_SFIO Table'!$AJ$11,P287,0),"")</f>
        <v/>
      </c>
      <c r="V287" t="str">
        <f ca="1">IF(ISNUMBER(Q287),OFFSET('MPIO_SFIO Table'!$AJ$11,Q287,0),"")</f>
        <v/>
      </c>
      <c r="W287">
        <f t="shared" ca="1" si="43"/>
        <v>0</v>
      </c>
      <c r="X287">
        <f t="shared" ca="1" si="44"/>
        <v>0</v>
      </c>
      <c r="Y287">
        <f t="shared" ca="1" si="45"/>
        <v>0</v>
      </c>
      <c r="Z287">
        <f t="shared" ca="1" si="46"/>
        <v>0</v>
      </c>
      <c r="AA287">
        <f t="shared" ca="1" si="47"/>
        <v>0</v>
      </c>
    </row>
    <row r="288" spans="1:27" x14ac:dyDescent="0.25">
      <c r="A288">
        <f t="shared" ca="1" si="40"/>
        <v>0</v>
      </c>
      <c r="B288" t="str">
        <f t="shared" ca="1" si="41"/>
        <v/>
      </c>
      <c r="C288" t="str">
        <f t="shared" si="42"/>
        <v>GPIO</v>
      </c>
      <c r="D288" t="s">
        <v>253</v>
      </c>
      <c r="E288" t="s">
        <v>253</v>
      </c>
      <c r="F288" s="3" t="s">
        <v>2762</v>
      </c>
      <c r="G288" s="11" t="s">
        <v>1005</v>
      </c>
      <c r="H288" s="11" t="s">
        <v>239</v>
      </c>
      <c r="I288" s="3" t="s">
        <v>253</v>
      </c>
      <c r="J288" s="3" t="s">
        <v>253</v>
      </c>
      <c r="K288" s="3" t="s">
        <v>253</v>
      </c>
      <c r="L288" s="3" t="s">
        <v>253</v>
      </c>
      <c r="M288">
        <f>IF(LEN(H288),MATCH(H288,'MPIO_SFIO Table'!$A$11:$A$65525,0)-1,"")</f>
        <v>258</v>
      </c>
      <c r="N288" t="str">
        <f>IF(LEN(I288),MATCH(I288,'MPIO_SFIO Table'!$A$11:$A$65525,0)-1,"")</f>
        <v/>
      </c>
      <c r="O288" t="str">
        <f>IF(LEN(J288),MATCH(J288,'MPIO_SFIO Table'!$A$11:$A$65525,0)-1,"")</f>
        <v/>
      </c>
      <c r="P288" t="str">
        <f>IF(LEN(K288),MATCH(K288,'MPIO_SFIO Table'!$A$11:$A$65525,0)-1,"")</f>
        <v/>
      </c>
      <c r="Q288" t="str">
        <f>IF(LEN(L288),MATCH(L288,'MPIO_SFIO Table'!$A$11:$A$65525,0)-1,"")</f>
        <v/>
      </c>
      <c r="R288" t="str">
        <f ca="1">IF(ISNUMBER(M288),OFFSET('MPIO_SFIO Table'!$AJ$11,M288,0),"")</f>
        <v>unused_VI_D11</v>
      </c>
      <c r="S288" t="str">
        <f ca="1">IF(ISNUMBER(N288),OFFSET('MPIO_SFIO Table'!$AJ$11,N288,0),"")</f>
        <v/>
      </c>
      <c r="T288" t="str">
        <f ca="1">IF(ISNUMBER(O288),OFFSET('MPIO_SFIO Table'!$AJ$11,O288,0),"")</f>
        <v/>
      </c>
      <c r="U288" t="str">
        <f ca="1">IF(ISNUMBER(P288),OFFSET('MPIO_SFIO Table'!$AJ$11,P288,0),"")</f>
        <v/>
      </c>
      <c r="V288" t="str">
        <f ca="1">IF(ISNUMBER(Q288),OFFSET('MPIO_SFIO Table'!$AJ$11,Q288,0),"")</f>
        <v/>
      </c>
      <c r="W288">
        <f t="shared" ca="1" si="43"/>
        <v>0</v>
      </c>
      <c r="X288">
        <f t="shared" ca="1" si="44"/>
        <v>0</v>
      </c>
      <c r="Y288">
        <f t="shared" ca="1" si="45"/>
        <v>0</v>
      </c>
      <c r="Z288">
        <f t="shared" ca="1" si="46"/>
        <v>0</v>
      </c>
      <c r="AA288">
        <f t="shared" ca="1" si="47"/>
        <v>0</v>
      </c>
    </row>
    <row r="289" spans="1:27" x14ac:dyDescent="0.25">
      <c r="A289">
        <f t="shared" ca="1" si="40"/>
        <v>0</v>
      </c>
      <c r="B289" t="str">
        <f t="shared" ca="1" si="41"/>
        <v/>
      </c>
      <c r="C289" t="str">
        <f t="shared" si="42"/>
        <v>GPIO</v>
      </c>
      <c r="D289" t="s">
        <v>253</v>
      </c>
      <c r="E289" t="s">
        <v>253</v>
      </c>
      <c r="F289" s="3" t="s">
        <v>2763</v>
      </c>
      <c r="G289" s="11" t="s">
        <v>1002</v>
      </c>
      <c r="H289" s="11" t="s">
        <v>236</v>
      </c>
      <c r="I289" s="3" t="s">
        <v>253</v>
      </c>
      <c r="J289" s="3" t="s">
        <v>253</v>
      </c>
      <c r="K289" s="3" t="s">
        <v>253</v>
      </c>
      <c r="L289" s="3" t="s">
        <v>253</v>
      </c>
      <c r="M289">
        <f>IF(LEN(H289),MATCH(H289,'MPIO_SFIO Table'!$A$11:$A$65525,0)-1,"")</f>
        <v>255</v>
      </c>
      <c r="N289" t="str">
        <f>IF(LEN(I289),MATCH(I289,'MPIO_SFIO Table'!$A$11:$A$65525,0)-1,"")</f>
        <v/>
      </c>
      <c r="O289" t="str">
        <f>IF(LEN(J289),MATCH(J289,'MPIO_SFIO Table'!$A$11:$A$65525,0)-1,"")</f>
        <v/>
      </c>
      <c r="P289" t="str">
        <f>IF(LEN(K289),MATCH(K289,'MPIO_SFIO Table'!$A$11:$A$65525,0)-1,"")</f>
        <v/>
      </c>
      <c r="Q289" t="str">
        <f>IF(LEN(L289),MATCH(L289,'MPIO_SFIO Table'!$A$11:$A$65525,0)-1,"")</f>
        <v/>
      </c>
      <c r="R289" t="str">
        <f ca="1">IF(ISNUMBER(M289),OFFSET('MPIO_SFIO Table'!$AJ$11,M289,0),"")</f>
        <v>unused_VI_D0</v>
      </c>
      <c r="S289" t="str">
        <f ca="1">IF(ISNUMBER(N289),OFFSET('MPIO_SFIO Table'!$AJ$11,N289,0),"")</f>
        <v/>
      </c>
      <c r="T289" t="str">
        <f ca="1">IF(ISNUMBER(O289),OFFSET('MPIO_SFIO Table'!$AJ$11,O289,0),"")</f>
        <v/>
      </c>
      <c r="U289" t="str">
        <f ca="1">IF(ISNUMBER(P289),OFFSET('MPIO_SFIO Table'!$AJ$11,P289,0),"")</f>
        <v/>
      </c>
      <c r="V289" t="str">
        <f ca="1">IF(ISNUMBER(Q289),OFFSET('MPIO_SFIO Table'!$AJ$11,Q289,0),"")</f>
        <v/>
      </c>
      <c r="W289">
        <f t="shared" ca="1" si="43"/>
        <v>0</v>
      </c>
      <c r="X289">
        <f t="shared" ca="1" si="44"/>
        <v>0</v>
      </c>
      <c r="Y289">
        <f t="shared" ca="1" si="45"/>
        <v>0</v>
      </c>
      <c r="Z289">
        <f t="shared" ca="1" si="46"/>
        <v>0</v>
      </c>
      <c r="AA289">
        <f t="shared" ca="1" si="47"/>
        <v>0</v>
      </c>
    </row>
    <row r="290" spans="1:27" x14ac:dyDescent="0.25">
      <c r="A290">
        <f t="shared" ca="1" si="40"/>
        <v>0</v>
      </c>
      <c r="B290" t="str">
        <f t="shared" ca="1" si="41"/>
        <v/>
      </c>
      <c r="C290" t="str">
        <f t="shared" si="42"/>
        <v>GPIO</v>
      </c>
      <c r="D290" t="s">
        <v>253</v>
      </c>
      <c r="E290" t="s">
        <v>253</v>
      </c>
      <c r="F290" s="3" t="s">
        <v>2764</v>
      </c>
      <c r="G290" s="11" t="s">
        <v>826</v>
      </c>
      <c r="H290" s="11" t="s">
        <v>59</v>
      </c>
      <c r="I290" s="3" t="s">
        <v>253</v>
      </c>
      <c r="J290" s="3" t="s">
        <v>253</v>
      </c>
      <c r="K290" s="3" t="s">
        <v>253</v>
      </c>
      <c r="L290" s="3" t="s">
        <v>253</v>
      </c>
      <c r="M290">
        <f>IF(LEN(H290),MATCH(H290,'MPIO_SFIO Table'!$A$11:$A$65525,0)-1,"")</f>
        <v>54</v>
      </c>
      <c r="N290" t="str">
        <f>IF(LEN(I290),MATCH(I290,'MPIO_SFIO Table'!$A$11:$A$65525,0)-1,"")</f>
        <v/>
      </c>
      <c r="O290" t="str">
        <f>IF(LEN(J290),MATCH(J290,'MPIO_SFIO Table'!$A$11:$A$65525,0)-1,"")</f>
        <v/>
      </c>
      <c r="P290" t="str">
        <f>IF(LEN(K290),MATCH(K290,'MPIO_SFIO Table'!$A$11:$A$65525,0)-1,"")</f>
        <v/>
      </c>
      <c r="Q290" t="str">
        <f>IF(LEN(L290),MATCH(L290,'MPIO_SFIO Table'!$A$11:$A$65525,0)-1,"")</f>
        <v/>
      </c>
      <c r="R290" t="str">
        <f ca="1">IF(ISNUMBER(M290),OFFSET('MPIO_SFIO Table'!$AJ$11,M290,0),"")</f>
        <v>unused_GEN2_I2C_SCL</v>
      </c>
      <c r="S290" t="str">
        <f ca="1">IF(ISNUMBER(N290),OFFSET('MPIO_SFIO Table'!$AJ$11,N290,0),"")</f>
        <v/>
      </c>
      <c r="T290" t="str">
        <f ca="1">IF(ISNUMBER(O290),OFFSET('MPIO_SFIO Table'!$AJ$11,O290,0),"")</f>
        <v/>
      </c>
      <c r="U290" t="str">
        <f ca="1">IF(ISNUMBER(P290),OFFSET('MPIO_SFIO Table'!$AJ$11,P290,0),"")</f>
        <v/>
      </c>
      <c r="V290" t="str">
        <f ca="1">IF(ISNUMBER(Q290),OFFSET('MPIO_SFIO Table'!$AJ$11,Q290,0),"")</f>
        <v/>
      </c>
      <c r="W290">
        <f t="shared" ca="1" si="43"/>
        <v>0</v>
      </c>
      <c r="X290">
        <f t="shared" ca="1" si="44"/>
        <v>0</v>
      </c>
      <c r="Y290">
        <f t="shared" ca="1" si="45"/>
        <v>0</v>
      </c>
      <c r="Z290">
        <f t="shared" ca="1" si="46"/>
        <v>0</v>
      </c>
      <c r="AA290">
        <f t="shared" ca="1" si="47"/>
        <v>0</v>
      </c>
    </row>
    <row r="291" spans="1:27" x14ac:dyDescent="0.25">
      <c r="A291">
        <f t="shared" ca="1" si="40"/>
        <v>0</v>
      </c>
      <c r="B291" t="str">
        <f t="shared" ca="1" si="41"/>
        <v/>
      </c>
      <c r="C291" t="str">
        <f t="shared" si="42"/>
        <v>GPIO</v>
      </c>
      <c r="D291" t="s">
        <v>253</v>
      </c>
      <c r="E291" t="s">
        <v>253</v>
      </c>
      <c r="F291" s="3" t="s">
        <v>2765</v>
      </c>
      <c r="G291" s="11" t="s">
        <v>827</v>
      </c>
      <c r="H291" s="11" t="s">
        <v>60</v>
      </c>
      <c r="I291" s="3" t="s">
        <v>253</v>
      </c>
      <c r="J291" s="3" t="s">
        <v>253</v>
      </c>
      <c r="K291" s="3" t="s">
        <v>253</v>
      </c>
      <c r="L291" s="3" t="s">
        <v>253</v>
      </c>
      <c r="M291">
        <f>IF(LEN(H291),MATCH(H291,'MPIO_SFIO Table'!$A$11:$A$65525,0)-1,"")</f>
        <v>55</v>
      </c>
      <c r="N291" t="str">
        <f>IF(LEN(I291),MATCH(I291,'MPIO_SFIO Table'!$A$11:$A$65525,0)-1,"")</f>
        <v/>
      </c>
      <c r="O291" t="str">
        <f>IF(LEN(J291),MATCH(J291,'MPIO_SFIO Table'!$A$11:$A$65525,0)-1,"")</f>
        <v/>
      </c>
      <c r="P291" t="str">
        <f>IF(LEN(K291),MATCH(K291,'MPIO_SFIO Table'!$A$11:$A$65525,0)-1,"")</f>
        <v/>
      </c>
      <c r="Q291" t="str">
        <f>IF(LEN(L291),MATCH(L291,'MPIO_SFIO Table'!$A$11:$A$65525,0)-1,"")</f>
        <v/>
      </c>
      <c r="R291" t="str">
        <f ca="1">IF(ISNUMBER(M291),OFFSET('MPIO_SFIO Table'!$AJ$11,M291,0),"")</f>
        <v>unused_GEN2_I2C_SDA</v>
      </c>
      <c r="S291" t="str">
        <f ca="1">IF(ISNUMBER(N291),OFFSET('MPIO_SFIO Table'!$AJ$11,N291,0),"")</f>
        <v/>
      </c>
      <c r="T291" t="str">
        <f ca="1">IF(ISNUMBER(O291),OFFSET('MPIO_SFIO Table'!$AJ$11,O291,0),"")</f>
        <v/>
      </c>
      <c r="U291" t="str">
        <f ca="1">IF(ISNUMBER(P291),OFFSET('MPIO_SFIO Table'!$AJ$11,P291,0),"")</f>
        <v/>
      </c>
      <c r="V291" t="str">
        <f ca="1">IF(ISNUMBER(Q291),OFFSET('MPIO_SFIO Table'!$AJ$11,Q291,0),"")</f>
        <v/>
      </c>
      <c r="W291">
        <f t="shared" ca="1" si="43"/>
        <v>0</v>
      </c>
      <c r="X291">
        <f t="shared" ca="1" si="44"/>
        <v>0</v>
      </c>
      <c r="Y291">
        <f t="shared" ca="1" si="45"/>
        <v>0</v>
      </c>
      <c r="Z291">
        <f t="shared" ca="1" si="46"/>
        <v>0</v>
      </c>
      <c r="AA291">
        <f t="shared" ca="1" si="47"/>
        <v>0</v>
      </c>
    </row>
    <row r="292" spans="1:27" x14ac:dyDescent="0.25">
      <c r="A292">
        <f t="shared" ca="1" si="40"/>
        <v>0</v>
      </c>
      <c r="B292" t="str">
        <f t="shared" ca="1" si="41"/>
        <v/>
      </c>
      <c r="C292" t="str">
        <f t="shared" si="42"/>
        <v>GPIO</v>
      </c>
      <c r="D292" t="s">
        <v>253</v>
      </c>
      <c r="E292" t="s">
        <v>253</v>
      </c>
      <c r="F292" s="3" t="s">
        <v>2766</v>
      </c>
      <c r="G292" s="11" t="s">
        <v>940</v>
      </c>
      <c r="H292" s="11" t="s">
        <v>173</v>
      </c>
      <c r="I292" s="3" t="s">
        <v>253</v>
      </c>
      <c r="J292" s="3" t="s">
        <v>253</v>
      </c>
      <c r="K292" s="3" t="s">
        <v>253</v>
      </c>
      <c r="L292" s="3" t="s">
        <v>253</v>
      </c>
      <c r="M292">
        <f>IF(LEN(H292),MATCH(H292,'MPIO_SFIO Table'!$A$11:$A$65525,0)-1,"")</f>
        <v>177</v>
      </c>
      <c r="N292" t="str">
        <f>IF(LEN(I292),MATCH(I292,'MPIO_SFIO Table'!$A$11:$A$65525,0)-1,"")</f>
        <v/>
      </c>
      <c r="O292" t="str">
        <f>IF(LEN(J292),MATCH(J292,'MPIO_SFIO Table'!$A$11:$A$65525,0)-1,"")</f>
        <v/>
      </c>
      <c r="P292" t="str">
        <f>IF(LEN(K292),MATCH(K292,'MPIO_SFIO Table'!$A$11:$A$65525,0)-1,"")</f>
        <v/>
      </c>
      <c r="Q292" t="str">
        <f>IF(LEN(L292),MATCH(L292,'MPIO_SFIO Table'!$A$11:$A$65525,0)-1,"")</f>
        <v/>
      </c>
      <c r="R292" t="str">
        <f ca="1">IF(ISNUMBER(M292),OFFSET('MPIO_SFIO Table'!$AJ$11,M292,0),"")</f>
        <v>unused_SDMMC4_CMD</v>
      </c>
      <c r="S292" t="str">
        <f ca="1">IF(ISNUMBER(N292),OFFSET('MPIO_SFIO Table'!$AJ$11,N292,0),"")</f>
        <v/>
      </c>
      <c r="T292" t="str">
        <f ca="1">IF(ISNUMBER(O292),OFFSET('MPIO_SFIO Table'!$AJ$11,O292,0),"")</f>
        <v/>
      </c>
      <c r="U292" t="str">
        <f ca="1">IF(ISNUMBER(P292),OFFSET('MPIO_SFIO Table'!$AJ$11,P292,0),"")</f>
        <v/>
      </c>
      <c r="V292" t="str">
        <f ca="1">IF(ISNUMBER(Q292),OFFSET('MPIO_SFIO Table'!$AJ$11,Q292,0),"")</f>
        <v/>
      </c>
      <c r="W292">
        <f t="shared" ca="1" si="43"/>
        <v>0</v>
      </c>
      <c r="X292">
        <f t="shared" ca="1" si="44"/>
        <v>0</v>
      </c>
      <c r="Y292">
        <f t="shared" ca="1" si="45"/>
        <v>0</v>
      </c>
      <c r="Z292">
        <f t="shared" ca="1" si="46"/>
        <v>0</v>
      </c>
      <c r="AA292">
        <f t="shared" ca="1" si="47"/>
        <v>0</v>
      </c>
    </row>
    <row r="293" spans="1:27" x14ac:dyDescent="0.25">
      <c r="A293">
        <f t="shared" ca="1" si="40"/>
        <v>0</v>
      </c>
      <c r="B293" t="str">
        <f t="shared" ca="1" si="41"/>
        <v/>
      </c>
      <c r="C293" t="str">
        <f t="shared" si="42"/>
        <v>GPIO</v>
      </c>
      <c r="D293" t="s">
        <v>253</v>
      </c>
      <c r="E293" t="s">
        <v>253</v>
      </c>
      <c r="F293" s="3" t="s">
        <v>2767</v>
      </c>
      <c r="G293" s="11" t="s">
        <v>987</v>
      </c>
      <c r="H293" s="11" t="s">
        <v>221</v>
      </c>
      <c r="I293" s="3" t="s">
        <v>253</v>
      </c>
      <c r="J293" s="3" t="s">
        <v>253</v>
      </c>
      <c r="K293" s="3" t="s">
        <v>253</v>
      </c>
      <c r="L293" s="3" t="s">
        <v>253</v>
      </c>
      <c r="M293">
        <f>IF(LEN(H293),MATCH(H293,'MPIO_SFIO Table'!$A$11:$A$65525,0)-1,"")</f>
        <v>239</v>
      </c>
      <c r="N293" t="str">
        <f>IF(LEN(I293),MATCH(I293,'MPIO_SFIO Table'!$A$11:$A$65525,0)-1,"")</f>
        <v/>
      </c>
      <c r="O293" t="str">
        <f>IF(LEN(J293),MATCH(J293,'MPIO_SFIO Table'!$A$11:$A$65525,0)-1,"")</f>
        <v/>
      </c>
      <c r="P293" t="str">
        <f>IF(LEN(K293),MATCH(K293,'MPIO_SFIO Table'!$A$11:$A$65525,0)-1,"")</f>
        <v/>
      </c>
      <c r="Q293" t="str">
        <f>IF(LEN(L293),MATCH(L293,'MPIO_SFIO Table'!$A$11:$A$65525,0)-1,"")</f>
        <v/>
      </c>
      <c r="R293" t="str">
        <f ca="1">IF(ISNUMBER(M293),OFFSET('MPIO_SFIO Table'!$AJ$11,M293,0),"")</f>
        <v>unused_GPIO_PU0</v>
      </c>
      <c r="S293" t="str">
        <f ca="1">IF(ISNUMBER(N293),OFFSET('MPIO_SFIO Table'!$AJ$11,N293,0),"")</f>
        <v/>
      </c>
      <c r="T293" t="str">
        <f ca="1">IF(ISNUMBER(O293),OFFSET('MPIO_SFIO Table'!$AJ$11,O293,0),"")</f>
        <v/>
      </c>
      <c r="U293" t="str">
        <f ca="1">IF(ISNUMBER(P293),OFFSET('MPIO_SFIO Table'!$AJ$11,P293,0),"")</f>
        <v/>
      </c>
      <c r="V293" t="str">
        <f ca="1">IF(ISNUMBER(Q293),OFFSET('MPIO_SFIO Table'!$AJ$11,Q293,0),"")</f>
        <v/>
      </c>
      <c r="W293">
        <f t="shared" ca="1" si="43"/>
        <v>0</v>
      </c>
      <c r="X293">
        <f t="shared" ca="1" si="44"/>
        <v>0</v>
      </c>
      <c r="Y293">
        <f t="shared" ca="1" si="45"/>
        <v>0</v>
      </c>
      <c r="Z293">
        <f t="shared" ca="1" si="46"/>
        <v>0</v>
      </c>
      <c r="AA293">
        <f t="shared" ca="1" si="47"/>
        <v>0</v>
      </c>
    </row>
    <row r="294" spans="1:27" x14ac:dyDescent="0.25">
      <c r="A294">
        <f t="shared" ca="1" si="40"/>
        <v>0</v>
      </c>
      <c r="B294" t="str">
        <f t="shared" ca="1" si="41"/>
        <v/>
      </c>
      <c r="C294" t="str">
        <f t="shared" si="42"/>
        <v>GPIO</v>
      </c>
      <c r="D294" t="s">
        <v>253</v>
      </c>
      <c r="E294" t="s">
        <v>253</v>
      </c>
      <c r="F294" s="3" t="s">
        <v>2768</v>
      </c>
      <c r="G294" s="11" t="s">
        <v>988</v>
      </c>
      <c r="H294" s="11" t="s">
        <v>222</v>
      </c>
      <c r="I294" s="3" t="s">
        <v>253</v>
      </c>
      <c r="J294" s="3" t="s">
        <v>253</v>
      </c>
      <c r="K294" s="3" t="s">
        <v>253</v>
      </c>
      <c r="L294" s="3" t="s">
        <v>253</v>
      </c>
      <c r="M294">
        <f>IF(LEN(H294),MATCH(H294,'MPIO_SFIO Table'!$A$11:$A$65525,0)-1,"")</f>
        <v>240</v>
      </c>
      <c r="N294" t="str">
        <f>IF(LEN(I294),MATCH(I294,'MPIO_SFIO Table'!$A$11:$A$65525,0)-1,"")</f>
        <v/>
      </c>
      <c r="O294" t="str">
        <f>IF(LEN(J294),MATCH(J294,'MPIO_SFIO Table'!$A$11:$A$65525,0)-1,"")</f>
        <v/>
      </c>
      <c r="P294" t="str">
        <f>IF(LEN(K294),MATCH(K294,'MPIO_SFIO Table'!$A$11:$A$65525,0)-1,"")</f>
        <v/>
      </c>
      <c r="Q294" t="str">
        <f>IF(LEN(L294),MATCH(L294,'MPIO_SFIO Table'!$A$11:$A$65525,0)-1,"")</f>
        <v/>
      </c>
      <c r="R294" t="str">
        <f ca="1">IF(ISNUMBER(M294),OFFSET('MPIO_SFIO Table'!$AJ$11,M294,0),"")</f>
        <v>unused_GPIO_PU1</v>
      </c>
      <c r="S294" t="str">
        <f ca="1">IF(ISNUMBER(N294),OFFSET('MPIO_SFIO Table'!$AJ$11,N294,0),"")</f>
        <v/>
      </c>
      <c r="T294" t="str">
        <f ca="1">IF(ISNUMBER(O294),OFFSET('MPIO_SFIO Table'!$AJ$11,O294,0),"")</f>
        <v/>
      </c>
      <c r="U294" t="str">
        <f ca="1">IF(ISNUMBER(P294),OFFSET('MPIO_SFIO Table'!$AJ$11,P294,0),"")</f>
        <v/>
      </c>
      <c r="V294" t="str">
        <f ca="1">IF(ISNUMBER(Q294),OFFSET('MPIO_SFIO Table'!$AJ$11,Q294,0),"")</f>
        <v/>
      </c>
      <c r="W294">
        <f t="shared" ca="1" si="43"/>
        <v>0</v>
      </c>
      <c r="X294">
        <f t="shared" ca="1" si="44"/>
        <v>0</v>
      </c>
      <c r="Y294">
        <f t="shared" ca="1" si="45"/>
        <v>0</v>
      </c>
      <c r="Z294">
        <f t="shared" ca="1" si="46"/>
        <v>0</v>
      </c>
      <c r="AA294">
        <f t="shared" ca="1" si="47"/>
        <v>0</v>
      </c>
    </row>
    <row r="295" spans="1:27" x14ac:dyDescent="0.25">
      <c r="A295">
        <f t="shared" ca="1" si="40"/>
        <v>0</v>
      </c>
      <c r="B295" t="str">
        <f t="shared" ca="1" si="41"/>
        <v/>
      </c>
      <c r="C295" t="str">
        <f t="shared" si="42"/>
        <v>GPIO</v>
      </c>
      <c r="D295" t="s">
        <v>253</v>
      </c>
      <c r="E295" t="s">
        <v>253</v>
      </c>
      <c r="F295" s="3" t="s">
        <v>2769</v>
      </c>
      <c r="G295" s="11" t="s">
        <v>989</v>
      </c>
      <c r="H295" s="11" t="s">
        <v>223</v>
      </c>
      <c r="I295" s="3" t="s">
        <v>253</v>
      </c>
      <c r="J295" s="3" t="s">
        <v>253</v>
      </c>
      <c r="K295" s="3" t="s">
        <v>253</v>
      </c>
      <c r="L295" s="3" t="s">
        <v>253</v>
      </c>
      <c r="M295">
        <f>IF(LEN(H295),MATCH(H295,'MPIO_SFIO Table'!$A$11:$A$65525,0)-1,"")</f>
        <v>241</v>
      </c>
      <c r="N295" t="str">
        <f>IF(LEN(I295),MATCH(I295,'MPIO_SFIO Table'!$A$11:$A$65525,0)-1,"")</f>
        <v/>
      </c>
      <c r="O295" t="str">
        <f>IF(LEN(J295),MATCH(J295,'MPIO_SFIO Table'!$A$11:$A$65525,0)-1,"")</f>
        <v/>
      </c>
      <c r="P295" t="str">
        <f>IF(LEN(K295),MATCH(K295,'MPIO_SFIO Table'!$A$11:$A$65525,0)-1,"")</f>
        <v/>
      </c>
      <c r="Q295" t="str">
        <f>IF(LEN(L295),MATCH(L295,'MPIO_SFIO Table'!$A$11:$A$65525,0)-1,"")</f>
        <v/>
      </c>
      <c r="R295" t="str">
        <f ca="1">IF(ISNUMBER(M295),OFFSET('MPIO_SFIO Table'!$AJ$11,M295,0),"")</f>
        <v>unused_GPIO_PU2</v>
      </c>
      <c r="S295" t="str">
        <f ca="1">IF(ISNUMBER(N295),OFFSET('MPIO_SFIO Table'!$AJ$11,N295,0),"")</f>
        <v/>
      </c>
      <c r="T295" t="str">
        <f ca="1">IF(ISNUMBER(O295),OFFSET('MPIO_SFIO Table'!$AJ$11,O295,0),"")</f>
        <v/>
      </c>
      <c r="U295" t="str">
        <f ca="1">IF(ISNUMBER(P295),OFFSET('MPIO_SFIO Table'!$AJ$11,P295,0),"")</f>
        <v/>
      </c>
      <c r="V295" t="str">
        <f ca="1">IF(ISNUMBER(Q295),OFFSET('MPIO_SFIO Table'!$AJ$11,Q295,0),"")</f>
        <v/>
      </c>
      <c r="W295">
        <f t="shared" ca="1" si="43"/>
        <v>0</v>
      </c>
      <c r="X295">
        <f t="shared" ca="1" si="44"/>
        <v>0</v>
      </c>
      <c r="Y295">
        <f t="shared" ca="1" si="45"/>
        <v>0</v>
      </c>
      <c r="Z295">
        <f t="shared" ca="1" si="46"/>
        <v>0</v>
      </c>
      <c r="AA295">
        <f t="shared" ca="1" si="47"/>
        <v>0</v>
      </c>
    </row>
    <row r="296" spans="1:27" x14ac:dyDescent="0.25">
      <c r="A296">
        <f t="shared" ca="1" si="40"/>
        <v>0</v>
      </c>
      <c r="B296" t="str">
        <f t="shared" ca="1" si="41"/>
        <v/>
      </c>
      <c r="C296" t="str">
        <f t="shared" si="42"/>
        <v>GPIO</v>
      </c>
      <c r="D296" t="s">
        <v>253</v>
      </c>
      <c r="E296" t="s">
        <v>253</v>
      </c>
      <c r="F296" s="3" t="s">
        <v>2770</v>
      </c>
      <c r="G296" s="11" t="s">
        <v>990</v>
      </c>
      <c r="H296" s="11" t="s">
        <v>224</v>
      </c>
      <c r="I296" s="3" t="s">
        <v>253</v>
      </c>
      <c r="J296" s="3" t="s">
        <v>253</v>
      </c>
      <c r="K296" s="3" t="s">
        <v>253</v>
      </c>
      <c r="L296" s="3" t="s">
        <v>253</v>
      </c>
      <c r="M296">
        <f>IF(LEN(H296),MATCH(H296,'MPIO_SFIO Table'!$A$11:$A$65525,0)-1,"")</f>
        <v>242</v>
      </c>
      <c r="N296" t="str">
        <f>IF(LEN(I296),MATCH(I296,'MPIO_SFIO Table'!$A$11:$A$65525,0)-1,"")</f>
        <v/>
      </c>
      <c r="O296" t="str">
        <f>IF(LEN(J296),MATCH(J296,'MPIO_SFIO Table'!$A$11:$A$65525,0)-1,"")</f>
        <v/>
      </c>
      <c r="P296" t="str">
        <f>IF(LEN(K296),MATCH(K296,'MPIO_SFIO Table'!$A$11:$A$65525,0)-1,"")</f>
        <v/>
      </c>
      <c r="Q296" t="str">
        <f>IF(LEN(L296),MATCH(L296,'MPIO_SFIO Table'!$A$11:$A$65525,0)-1,"")</f>
        <v/>
      </c>
      <c r="R296" t="str">
        <f ca="1">IF(ISNUMBER(M296),OFFSET('MPIO_SFIO Table'!$AJ$11,M296,0),"")</f>
        <v>unused_GPIO_PU3</v>
      </c>
      <c r="S296" t="str">
        <f ca="1">IF(ISNUMBER(N296),OFFSET('MPIO_SFIO Table'!$AJ$11,N296,0),"")</f>
        <v/>
      </c>
      <c r="T296" t="str">
        <f ca="1">IF(ISNUMBER(O296),OFFSET('MPIO_SFIO Table'!$AJ$11,O296,0),"")</f>
        <v/>
      </c>
      <c r="U296" t="str">
        <f ca="1">IF(ISNUMBER(P296),OFFSET('MPIO_SFIO Table'!$AJ$11,P296,0),"")</f>
        <v/>
      </c>
      <c r="V296" t="str">
        <f ca="1">IF(ISNUMBER(Q296),OFFSET('MPIO_SFIO Table'!$AJ$11,Q296,0),"")</f>
        <v/>
      </c>
      <c r="W296">
        <f t="shared" ca="1" si="43"/>
        <v>0</v>
      </c>
      <c r="X296">
        <f t="shared" ca="1" si="44"/>
        <v>0</v>
      </c>
      <c r="Y296">
        <f t="shared" ca="1" si="45"/>
        <v>0</v>
      </c>
      <c r="Z296">
        <f t="shared" ca="1" si="46"/>
        <v>0</v>
      </c>
      <c r="AA296">
        <f t="shared" ca="1" si="47"/>
        <v>0</v>
      </c>
    </row>
    <row r="297" spans="1:27" x14ac:dyDescent="0.25">
      <c r="A297">
        <f t="shared" ca="1" si="40"/>
        <v>0</v>
      </c>
      <c r="B297" t="str">
        <f t="shared" ca="1" si="41"/>
        <v/>
      </c>
      <c r="C297" t="str">
        <f t="shared" si="42"/>
        <v>GPIO</v>
      </c>
      <c r="D297" t="s">
        <v>253</v>
      </c>
      <c r="E297" t="s">
        <v>253</v>
      </c>
      <c r="F297" s="3" t="s">
        <v>2771</v>
      </c>
      <c r="G297" s="11" t="s">
        <v>991</v>
      </c>
      <c r="H297" s="11" t="s">
        <v>225</v>
      </c>
      <c r="I297" s="3" t="s">
        <v>253</v>
      </c>
      <c r="J297" s="3" t="s">
        <v>253</v>
      </c>
      <c r="K297" s="3" t="s">
        <v>253</v>
      </c>
      <c r="L297" s="3" t="s">
        <v>253</v>
      </c>
      <c r="M297">
        <f>IF(LEN(H297),MATCH(H297,'MPIO_SFIO Table'!$A$11:$A$65525,0)-1,"")</f>
        <v>243</v>
      </c>
      <c r="N297" t="str">
        <f>IF(LEN(I297),MATCH(I297,'MPIO_SFIO Table'!$A$11:$A$65525,0)-1,"")</f>
        <v/>
      </c>
      <c r="O297" t="str">
        <f>IF(LEN(J297),MATCH(J297,'MPIO_SFIO Table'!$A$11:$A$65525,0)-1,"")</f>
        <v/>
      </c>
      <c r="P297" t="str">
        <f>IF(LEN(K297),MATCH(K297,'MPIO_SFIO Table'!$A$11:$A$65525,0)-1,"")</f>
        <v/>
      </c>
      <c r="Q297" t="str">
        <f>IF(LEN(L297),MATCH(L297,'MPIO_SFIO Table'!$A$11:$A$65525,0)-1,"")</f>
        <v/>
      </c>
      <c r="R297" t="str">
        <f ca="1">IF(ISNUMBER(M297),OFFSET('MPIO_SFIO Table'!$AJ$11,M297,0),"")</f>
        <v>unused_GPIO_PU4</v>
      </c>
      <c r="S297" t="str">
        <f ca="1">IF(ISNUMBER(N297),OFFSET('MPIO_SFIO Table'!$AJ$11,N297,0),"")</f>
        <v/>
      </c>
      <c r="T297" t="str">
        <f ca="1">IF(ISNUMBER(O297),OFFSET('MPIO_SFIO Table'!$AJ$11,O297,0),"")</f>
        <v/>
      </c>
      <c r="U297" t="str">
        <f ca="1">IF(ISNUMBER(P297),OFFSET('MPIO_SFIO Table'!$AJ$11,P297,0),"")</f>
        <v/>
      </c>
      <c r="V297" t="str">
        <f ca="1">IF(ISNUMBER(Q297),OFFSET('MPIO_SFIO Table'!$AJ$11,Q297,0),"")</f>
        <v/>
      </c>
      <c r="W297">
        <f t="shared" ca="1" si="43"/>
        <v>0</v>
      </c>
      <c r="X297">
        <f t="shared" ca="1" si="44"/>
        <v>0</v>
      </c>
      <c r="Y297">
        <f t="shared" ca="1" si="45"/>
        <v>0</v>
      </c>
      <c r="Z297">
        <f t="shared" ca="1" si="46"/>
        <v>0</v>
      </c>
      <c r="AA297">
        <f t="shared" ca="1" si="47"/>
        <v>0</v>
      </c>
    </row>
    <row r="298" spans="1:27" x14ac:dyDescent="0.25">
      <c r="A298">
        <f t="shared" ca="1" si="40"/>
        <v>0</v>
      </c>
      <c r="B298" t="str">
        <f t="shared" ca="1" si="41"/>
        <v/>
      </c>
      <c r="C298" t="str">
        <f t="shared" si="42"/>
        <v>GPIO</v>
      </c>
      <c r="D298" t="s">
        <v>253</v>
      </c>
      <c r="E298" t="s">
        <v>253</v>
      </c>
      <c r="F298" s="3" t="s">
        <v>2772</v>
      </c>
      <c r="G298" s="11" t="s">
        <v>992</v>
      </c>
      <c r="H298" s="11" t="s">
        <v>226</v>
      </c>
      <c r="I298" s="3" t="s">
        <v>253</v>
      </c>
      <c r="J298" s="3" t="s">
        <v>253</v>
      </c>
      <c r="K298" s="3" t="s">
        <v>253</v>
      </c>
      <c r="L298" s="3" t="s">
        <v>253</v>
      </c>
      <c r="M298">
        <f>IF(LEN(H298),MATCH(H298,'MPIO_SFIO Table'!$A$11:$A$65525,0)-1,"")</f>
        <v>244</v>
      </c>
      <c r="N298" t="str">
        <f>IF(LEN(I298),MATCH(I298,'MPIO_SFIO Table'!$A$11:$A$65525,0)-1,"")</f>
        <v/>
      </c>
      <c r="O298" t="str">
        <f>IF(LEN(J298),MATCH(J298,'MPIO_SFIO Table'!$A$11:$A$65525,0)-1,"")</f>
        <v/>
      </c>
      <c r="P298" t="str">
        <f>IF(LEN(K298),MATCH(K298,'MPIO_SFIO Table'!$A$11:$A$65525,0)-1,"")</f>
        <v/>
      </c>
      <c r="Q298" t="str">
        <f>IF(LEN(L298),MATCH(L298,'MPIO_SFIO Table'!$A$11:$A$65525,0)-1,"")</f>
        <v/>
      </c>
      <c r="R298" t="str">
        <f ca="1">IF(ISNUMBER(M298),OFFSET('MPIO_SFIO Table'!$AJ$11,M298,0),"")</f>
        <v>unused_GPIO_PU5</v>
      </c>
      <c r="S298" t="str">
        <f ca="1">IF(ISNUMBER(N298),OFFSET('MPIO_SFIO Table'!$AJ$11,N298,0),"")</f>
        <v/>
      </c>
      <c r="T298" t="str">
        <f ca="1">IF(ISNUMBER(O298),OFFSET('MPIO_SFIO Table'!$AJ$11,O298,0),"")</f>
        <v/>
      </c>
      <c r="U298" t="str">
        <f ca="1">IF(ISNUMBER(P298),OFFSET('MPIO_SFIO Table'!$AJ$11,P298,0),"")</f>
        <v/>
      </c>
      <c r="V298" t="str">
        <f ca="1">IF(ISNUMBER(Q298),OFFSET('MPIO_SFIO Table'!$AJ$11,Q298,0),"")</f>
        <v/>
      </c>
      <c r="W298">
        <f t="shared" ca="1" si="43"/>
        <v>0</v>
      </c>
      <c r="X298">
        <f t="shared" ca="1" si="44"/>
        <v>0</v>
      </c>
      <c r="Y298">
        <f t="shared" ca="1" si="45"/>
        <v>0</v>
      </c>
      <c r="Z298">
        <f t="shared" ca="1" si="46"/>
        <v>0</v>
      </c>
      <c r="AA298">
        <f t="shared" ca="1" si="47"/>
        <v>0</v>
      </c>
    </row>
    <row r="299" spans="1:27" x14ac:dyDescent="0.25">
      <c r="A299">
        <f t="shared" ca="1" si="40"/>
        <v>0</v>
      </c>
      <c r="B299" t="str">
        <f t="shared" ca="1" si="41"/>
        <v/>
      </c>
      <c r="C299" t="str">
        <f t="shared" si="42"/>
        <v>GPIO</v>
      </c>
      <c r="D299" t="s">
        <v>253</v>
      </c>
      <c r="E299" t="s">
        <v>253</v>
      </c>
      <c r="F299" s="3" t="s">
        <v>2773</v>
      </c>
      <c r="G299" s="11" t="s">
        <v>993</v>
      </c>
      <c r="H299" s="11" t="s">
        <v>227</v>
      </c>
      <c r="I299" s="3" t="s">
        <v>253</v>
      </c>
      <c r="J299" s="3" t="s">
        <v>253</v>
      </c>
      <c r="K299" s="3" t="s">
        <v>253</v>
      </c>
      <c r="L299" s="3" t="s">
        <v>253</v>
      </c>
      <c r="M299">
        <f>IF(LEN(H299),MATCH(H299,'MPIO_SFIO Table'!$A$11:$A$65525,0)-1,"")</f>
        <v>245</v>
      </c>
      <c r="N299" t="str">
        <f>IF(LEN(I299),MATCH(I299,'MPIO_SFIO Table'!$A$11:$A$65525,0)-1,"")</f>
        <v/>
      </c>
      <c r="O299" t="str">
        <f>IF(LEN(J299),MATCH(J299,'MPIO_SFIO Table'!$A$11:$A$65525,0)-1,"")</f>
        <v/>
      </c>
      <c r="P299" t="str">
        <f>IF(LEN(K299),MATCH(K299,'MPIO_SFIO Table'!$A$11:$A$65525,0)-1,"")</f>
        <v/>
      </c>
      <c r="Q299" t="str">
        <f>IF(LEN(L299),MATCH(L299,'MPIO_SFIO Table'!$A$11:$A$65525,0)-1,"")</f>
        <v/>
      </c>
      <c r="R299" t="str">
        <f ca="1">IF(ISNUMBER(M299),OFFSET('MPIO_SFIO Table'!$AJ$11,M299,0),"")</f>
        <v>unused_GPIO_PU6</v>
      </c>
      <c r="S299" t="str">
        <f ca="1">IF(ISNUMBER(N299),OFFSET('MPIO_SFIO Table'!$AJ$11,N299,0),"")</f>
        <v/>
      </c>
      <c r="T299" t="str">
        <f ca="1">IF(ISNUMBER(O299),OFFSET('MPIO_SFIO Table'!$AJ$11,O299,0),"")</f>
        <v/>
      </c>
      <c r="U299" t="str">
        <f ca="1">IF(ISNUMBER(P299),OFFSET('MPIO_SFIO Table'!$AJ$11,P299,0),"")</f>
        <v/>
      </c>
      <c r="V299" t="str">
        <f ca="1">IF(ISNUMBER(Q299),OFFSET('MPIO_SFIO Table'!$AJ$11,Q299,0),"")</f>
        <v/>
      </c>
      <c r="W299">
        <f t="shared" ca="1" si="43"/>
        <v>0</v>
      </c>
      <c r="X299">
        <f t="shared" ca="1" si="44"/>
        <v>0</v>
      </c>
      <c r="Y299">
        <f t="shared" ca="1" si="45"/>
        <v>0</v>
      </c>
      <c r="Z299">
        <f t="shared" ca="1" si="46"/>
        <v>0</v>
      </c>
      <c r="AA299">
        <f t="shared" ca="1" si="47"/>
        <v>0</v>
      </c>
    </row>
    <row r="300" spans="1:27" x14ac:dyDescent="0.25">
      <c r="A300">
        <f t="shared" ca="1" si="40"/>
        <v>0</v>
      </c>
      <c r="B300" t="str">
        <f t="shared" ca="1" si="41"/>
        <v/>
      </c>
      <c r="C300" t="str">
        <f t="shared" si="42"/>
        <v>GPIO</v>
      </c>
      <c r="D300" t="s">
        <v>253</v>
      </c>
      <c r="E300" t="s">
        <v>253</v>
      </c>
      <c r="F300" s="3" t="s">
        <v>2774</v>
      </c>
      <c r="G300" s="11" t="s">
        <v>801</v>
      </c>
      <c r="H300" s="11" t="s">
        <v>34</v>
      </c>
      <c r="I300" s="3" t="s">
        <v>253</v>
      </c>
      <c r="J300" s="3" t="s">
        <v>253</v>
      </c>
      <c r="K300" s="3" t="s">
        <v>253</v>
      </c>
      <c r="L300" s="3" t="s">
        <v>253</v>
      </c>
      <c r="M300">
        <f>IF(LEN(H300),MATCH(H300,'MPIO_SFIO Table'!$A$11:$A$65525,0)-1,"")</f>
        <v>27</v>
      </c>
      <c r="N300" t="str">
        <f>IF(LEN(I300),MATCH(I300,'MPIO_SFIO Table'!$A$11:$A$65525,0)-1,"")</f>
        <v/>
      </c>
      <c r="O300" t="str">
        <f>IF(LEN(J300),MATCH(J300,'MPIO_SFIO Table'!$A$11:$A$65525,0)-1,"")</f>
        <v/>
      </c>
      <c r="P300" t="str">
        <f>IF(LEN(K300),MATCH(K300,'MPIO_SFIO Table'!$A$11:$A$65525,0)-1,"")</f>
        <v/>
      </c>
      <c r="Q300" t="str">
        <f>IF(LEN(L300),MATCH(L300,'MPIO_SFIO Table'!$A$11:$A$65525,0)-1,"")</f>
        <v/>
      </c>
      <c r="R300" t="str">
        <f ca="1">IF(ISNUMBER(M300),OFFSET('MPIO_SFIO Table'!$AJ$11,M300,0),"")</f>
        <v>unused_GPIO_PV0</v>
      </c>
      <c r="S300" t="str">
        <f ca="1">IF(ISNUMBER(N300),OFFSET('MPIO_SFIO Table'!$AJ$11,N300,0),"")</f>
        <v/>
      </c>
      <c r="T300" t="str">
        <f ca="1">IF(ISNUMBER(O300),OFFSET('MPIO_SFIO Table'!$AJ$11,O300,0),"")</f>
        <v/>
      </c>
      <c r="U300" t="str">
        <f ca="1">IF(ISNUMBER(P300),OFFSET('MPIO_SFIO Table'!$AJ$11,P300,0),"")</f>
        <v/>
      </c>
      <c r="V300" t="str">
        <f ca="1">IF(ISNUMBER(Q300),OFFSET('MPIO_SFIO Table'!$AJ$11,Q300,0),"")</f>
        <v/>
      </c>
      <c r="W300">
        <f t="shared" ca="1" si="43"/>
        <v>0</v>
      </c>
      <c r="X300">
        <f t="shared" ca="1" si="44"/>
        <v>0</v>
      </c>
      <c r="Y300">
        <f t="shared" ca="1" si="45"/>
        <v>0</v>
      </c>
      <c r="Z300">
        <f t="shared" ca="1" si="46"/>
        <v>0</v>
      </c>
      <c r="AA300">
        <f t="shared" ca="1" si="47"/>
        <v>0</v>
      </c>
    </row>
    <row r="301" spans="1:27" x14ac:dyDescent="0.25">
      <c r="A301">
        <f t="shared" ca="1" si="40"/>
        <v>0</v>
      </c>
      <c r="B301" t="str">
        <f t="shared" ca="1" si="41"/>
        <v/>
      </c>
      <c r="C301" t="str">
        <f t="shared" si="42"/>
        <v>GPIO</v>
      </c>
      <c r="D301" t="s">
        <v>253</v>
      </c>
      <c r="E301" t="s">
        <v>253</v>
      </c>
      <c r="F301" s="3" t="s">
        <v>2775</v>
      </c>
      <c r="G301" s="11" t="s">
        <v>802</v>
      </c>
      <c r="H301" s="11" t="s">
        <v>35</v>
      </c>
      <c r="I301" s="3" t="s">
        <v>253</v>
      </c>
      <c r="J301" s="3" t="s">
        <v>253</v>
      </c>
      <c r="K301" s="3" t="s">
        <v>253</v>
      </c>
      <c r="L301" s="3" t="s">
        <v>253</v>
      </c>
      <c r="M301">
        <f>IF(LEN(H301),MATCH(H301,'MPIO_SFIO Table'!$A$11:$A$65525,0)-1,"")</f>
        <v>28</v>
      </c>
      <c r="N301" t="str">
        <f>IF(LEN(I301),MATCH(I301,'MPIO_SFIO Table'!$A$11:$A$65525,0)-1,"")</f>
        <v/>
      </c>
      <c r="O301" t="str">
        <f>IF(LEN(J301),MATCH(J301,'MPIO_SFIO Table'!$A$11:$A$65525,0)-1,"")</f>
        <v/>
      </c>
      <c r="P301" t="str">
        <f>IF(LEN(K301),MATCH(K301,'MPIO_SFIO Table'!$A$11:$A$65525,0)-1,"")</f>
        <v/>
      </c>
      <c r="Q301" t="str">
        <f>IF(LEN(L301),MATCH(L301,'MPIO_SFIO Table'!$A$11:$A$65525,0)-1,"")</f>
        <v/>
      </c>
      <c r="R301" t="str">
        <f ca="1">IF(ISNUMBER(M301),OFFSET('MPIO_SFIO Table'!$AJ$11,M301,0),"")</f>
        <v>unused_GPIO_PV1</v>
      </c>
      <c r="S301" t="str">
        <f ca="1">IF(ISNUMBER(N301),OFFSET('MPIO_SFIO Table'!$AJ$11,N301,0),"")</f>
        <v/>
      </c>
      <c r="T301" t="str">
        <f ca="1">IF(ISNUMBER(O301),OFFSET('MPIO_SFIO Table'!$AJ$11,O301,0),"")</f>
        <v/>
      </c>
      <c r="U301" t="str">
        <f ca="1">IF(ISNUMBER(P301),OFFSET('MPIO_SFIO Table'!$AJ$11,P301,0),"")</f>
        <v/>
      </c>
      <c r="V301" t="str">
        <f ca="1">IF(ISNUMBER(Q301),OFFSET('MPIO_SFIO Table'!$AJ$11,Q301,0),"")</f>
        <v/>
      </c>
      <c r="W301">
        <f t="shared" ca="1" si="43"/>
        <v>0</v>
      </c>
      <c r="X301">
        <f t="shared" ca="1" si="44"/>
        <v>0</v>
      </c>
      <c r="Y301">
        <f t="shared" ca="1" si="45"/>
        <v>0</v>
      </c>
      <c r="Z301">
        <f t="shared" ca="1" si="46"/>
        <v>0</v>
      </c>
      <c r="AA301">
        <f t="shared" ca="1" si="47"/>
        <v>0</v>
      </c>
    </row>
    <row r="302" spans="1:27" x14ac:dyDescent="0.25">
      <c r="A302">
        <f t="shared" ca="1" si="40"/>
        <v>0</v>
      </c>
      <c r="B302" t="str">
        <f t="shared" ca="1" si="41"/>
        <v/>
      </c>
      <c r="C302" t="str">
        <f t="shared" si="42"/>
        <v>GPIO</v>
      </c>
      <c r="D302" t="s">
        <v>253</v>
      </c>
      <c r="E302" t="s">
        <v>253</v>
      </c>
      <c r="F302" s="3" t="s">
        <v>2776</v>
      </c>
      <c r="G302" s="11" t="s">
        <v>921</v>
      </c>
      <c r="H302" s="11" t="s">
        <v>154</v>
      </c>
      <c r="I302" s="3" t="s">
        <v>253</v>
      </c>
      <c r="J302" s="3" t="s">
        <v>253</v>
      </c>
      <c r="K302" s="3" t="s">
        <v>253</v>
      </c>
      <c r="L302" s="3" t="s">
        <v>253</v>
      </c>
      <c r="M302">
        <f>IF(LEN(H302),MATCH(H302,'MPIO_SFIO Table'!$A$11:$A$65525,0)-1,"")</f>
        <v>152</v>
      </c>
      <c r="N302" t="str">
        <f>IF(LEN(I302),MATCH(I302,'MPIO_SFIO Table'!$A$11:$A$65525,0)-1,"")</f>
        <v/>
      </c>
      <c r="O302" t="str">
        <f>IF(LEN(J302),MATCH(J302,'MPIO_SFIO Table'!$A$11:$A$65525,0)-1,"")</f>
        <v/>
      </c>
      <c r="P302" t="str">
        <f>IF(LEN(K302),MATCH(K302,'MPIO_SFIO Table'!$A$11:$A$65525,0)-1,"")</f>
        <v/>
      </c>
      <c r="Q302" t="str">
        <f>IF(LEN(L302),MATCH(L302,'MPIO_SFIO Table'!$A$11:$A$65525,0)-1,"")</f>
        <v/>
      </c>
      <c r="R302" t="str">
        <f ca="1">IF(ISNUMBER(M302),OFFSET('MPIO_SFIO Table'!$AJ$11,M302,0),"")</f>
        <v>unused_GPIO_PV2</v>
      </c>
      <c r="S302" t="str">
        <f ca="1">IF(ISNUMBER(N302),OFFSET('MPIO_SFIO Table'!$AJ$11,N302,0),"")</f>
        <v/>
      </c>
      <c r="T302" t="str">
        <f ca="1">IF(ISNUMBER(O302),OFFSET('MPIO_SFIO Table'!$AJ$11,O302,0),"")</f>
        <v/>
      </c>
      <c r="U302" t="str">
        <f ca="1">IF(ISNUMBER(P302),OFFSET('MPIO_SFIO Table'!$AJ$11,P302,0),"")</f>
        <v/>
      </c>
      <c r="V302" t="str">
        <f ca="1">IF(ISNUMBER(Q302),OFFSET('MPIO_SFIO Table'!$AJ$11,Q302,0),"")</f>
        <v/>
      </c>
      <c r="W302">
        <f t="shared" ca="1" si="43"/>
        <v>0</v>
      </c>
      <c r="X302">
        <f t="shared" ca="1" si="44"/>
        <v>0</v>
      </c>
      <c r="Y302">
        <f t="shared" ca="1" si="45"/>
        <v>0</v>
      </c>
      <c r="Z302">
        <f t="shared" ca="1" si="46"/>
        <v>0</v>
      </c>
      <c r="AA302">
        <f t="shared" ca="1" si="47"/>
        <v>0</v>
      </c>
    </row>
    <row r="303" spans="1:27" x14ac:dyDescent="0.25">
      <c r="A303">
        <f t="shared" ca="1" si="40"/>
        <v>0</v>
      </c>
      <c r="B303" t="str">
        <f t="shared" ca="1" si="41"/>
        <v/>
      </c>
      <c r="C303" t="str">
        <f t="shared" si="42"/>
        <v>GPIO</v>
      </c>
      <c r="D303" t="s">
        <v>253</v>
      </c>
      <c r="E303" t="s">
        <v>253</v>
      </c>
      <c r="F303" s="3" t="s">
        <v>2777</v>
      </c>
      <c r="G303" s="11" t="s">
        <v>922</v>
      </c>
      <c r="H303" s="11" t="s">
        <v>155</v>
      </c>
      <c r="I303" s="3" t="s">
        <v>253</v>
      </c>
      <c r="J303" s="3" t="s">
        <v>253</v>
      </c>
      <c r="K303" s="3" t="s">
        <v>253</v>
      </c>
      <c r="L303" s="3" t="s">
        <v>253</v>
      </c>
      <c r="M303">
        <f>IF(LEN(H303),MATCH(H303,'MPIO_SFIO Table'!$A$11:$A$65525,0)-1,"")</f>
        <v>153</v>
      </c>
      <c r="N303" t="str">
        <f>IF(LEN(I303),MATCH(I303,'MPIO_SFIO Table'!$A$11:$A$65525,0)-1,"")</f>
        <v/>
      </c>
      <c r="O303" t="str">
        <f>IF(LEN(J303),MATCH(J303,'MPIO_SFIO Table'!$A$11:$A$65525,0)-1,"")</f>
        <v/>
      </c>
      <c r="P303" t="str">
        <f>IF(LEN(K303),MATCH(K303,'MPIO_SFIO Table'!$A$11:$A$65525,0)-1,"")</f>
        <v/>
      </c>
      <c r="Q303" t="str">
        <f>IF(LEN(L303),MATCH(L303,'MPIO_SFIO Table'!$A$11:$A$65525,0)-1,"")</f>
        <v/>
      </c>
      <c r="R303" t="str">
        <f ca="1">IF(ISNUMBER(M303),OFFSET('MPIO_SFIO Table'!$AJ$11,M303,0),"")</f>
        <v>unused_GPIO_PV3</v>
      </c>
      <c r="S303" t="str">
        <f ca="1">IF(ISNUMBER(N303),OFFSET('MPIO_SFIO Table'!$AJ$11,N303,0),"")</f>
        <v/>
      </c>
      <c r="T303" t="str">
        <f ca="1">IF(ISNUMBER(O303),OFFSET('MPIO_SFIO Table'!$AJ$11,O303,0),"")</f>
        <v/>
      </c>
      <c r="U303" t="str">
        <f ca="1">IF(ISNUMBER(P303),OFFSET('MPIO_SFIO Table'!$AJ$11,P303,0),"")</f>
        <v/>
      </c>
      <c r="V303" t="str">
        <f ca="1">IF(ISNUMBER(Q303),OFFSET('MPIO_SFIO Table'!$AJ$11,Q303,0),"")</f>
        <v/>
      </c>
      <c r="W303">
        <f t="shared" ca="1" si="43"/>
        <v>0</v>
      </c>
      <c r="X303">
        <f t="shared" ca="1" si="44"/>
        <v>0</v>
      </c>
      <c r="Y303">
        <f t="shared" ca="1" si="45"/>
        <v>0</v>
      </c>
      <c r="Z303">
        <f t="shared" ca="1" si="46"/>
        <v>0</v>
      </c>
      <c r="AA303">
        <f t="shared" ca="1" si="47"/>
        <v>0</v>
      </c>
    </row>
    <row r="304" spans="1:27" x14ac:dyDescent="0.25">
      <c r="A304">
        <f t="shared" ca="1" si="40"/>
        <v>0</v>
      </c>
      <c r="B304" t="str">
        <f t="shared" ca="1" si="41"/>
        <v/>
      </c>
      <c r="C304" t="str">
        <f t="shared" si="42"/>
        <v>GPIO</v>
      </c>
      <c r="D304" t="s">
        <v>253</v>
      </c>
      <c r="E304" t="s">
        <v>253</v>
      </c>
      <c r="F304" s="3" t="s">
        <v>2778</v>
      </c>
      <c r="G304" s="11" t="s">
        <v>866</v>
      </c>
      <c r="H304" s="11" t="s">
        <v>99</v>
      </c>
      <c r="I304" s="3" t="s">
        <v>253</v>
      </c>
      <c r="J304" s="3" t="s">
        <v>253</v>
      </c>
      <c r="K304" s="3" t="s">
        <v>253</v>
      </c>
      <c r="L304" s="3" t="s">
        <v>253</v>
      </c>
      <c r="M304">
        <f>IF(LEN(H304),MATCH(H304,'MPIO_SFIO Table'!$A$11:$A$65525,0)-1,"")</f>
        <v>95</v>
      </c>
      <c r="N304" t="str">
        <f>IF(LEN(I304),MATCH(I304,'MPIO_SFIO Table'!$A$11:$A$65525,0)-1,"")</f>
        <v/>
      </c>
      <c r="O304" t="str">
        <f>IF(LEN(J304),MATCH(J304,'MPIO_SFIO Table'!$A$11:$A$65525,0)-1,"")</f>
        <v/>
      </c>
      <c r="P304" t="str">
        <f>IF(LEN(K304),MATCH(K304,'MPIO_SFIO Table'!$A$11:$A$65525,0)-1,"")</f>
        <v/>
      </c>
      <c r="Q304" t="str">
        <f>IF(LEN(L304),MATCH(L304,'MPIO_SFIO Table'!$A$11:$A$65525,0)-1,"")</f>
        <v/>
      </c>
      <c r="R304" t="str">
        <f ca="1">IF(ISNUMBER(M304),OFFSET('MPIO_SFIO Table'!$AJ$11,M304,0),"")</f>
        <v>unused_DDC_SCL</v>
      </c>
      <c r="S304" t="str">
        <f ca="1">IF(ISNUMBER(N304),OFFSET('MPIO_SFIO Table'!$AJ$11,N304,0),"")</f>
        <v/>
      </c>
      <c r="T304" t="str">
        <f ca="1">IF(ISNUMBER(O304),OFFSET('MPIO_SFIO Table'!$AJ$11,O304,0),"")</f>
        <v/>
      </c>
      <c r="U304" t="str">
        <f ca="1">IF(ISNUMBER(P304),OFFSET('MPIO_SFIO Table'!$AJ$11,P304,0),"")</f>
        <v/>
      </c>
      <c r="V304" t="str">
        <f ca="1">IF(ISNUMBER(Q304),OFFSET('MPIO_SFIO Table'!$AJ$11,Q304,0),"")</f>
        <v/>
      </c>
      <c r="W304">
        <f t="shared" ca="1" si="43"/>
        <v>0</v>
      </c>
      <c r="X304">
        <f t="shared" ca="1" si="44"/>
        <v>0</v>
      </c>
      <c r="Y304">
        <f t="shared" ca="1" si="45"/>
        <v>0</v>
      </c>
      <c r="Z304">
        <f t="shared" ca="1" si="46"/>
        <v>0</v>
      </c>
      <c r="AA304">
        <f t="shared" ca="1" si="47"/>
        <v>0</v>
      </c>
    </row>
    <row r="305" spans="1:27" x14ac:dyDescent="0.25">
      <c r="A305">
        <f t="shared" ca="1" si="40"/>
        <v>0</v>
      </c>
      <c r="B305" t="str">
        <f t="shared" ca="1" si="41"/>
        <v/>
      </c>
      <c r="C305" t="str">
        <f t="shared" si="42"/>
        <v>GPIO</v>
      </c>
      <c r="D305" t="s">
        <v>253</v>
      </c>
      <c r="E305" t="s">
        <v>253</v>
      </c>
      <c r="F305" s="3" t="s">
        <v>2779</v>
      </c>
      <c r="G305" s="11" t="s">
        <v>867</v>
      </c>
      <c r="H305" s="11" t="s">
        <v>100</v>
      </c>
      <c r="I305" s="3" t="s">
        <v>253</v>
      </c>
      <c r="J305" s="3" t="s">
        <v>253</v>
      </c>
      <c r="K305" s="3" t="s">
        <v>253</v>
      </c>
      <c r="L305" s="3" t="s">
        <v>253</v>
      </c>
      <c r="M305">
        <f>IF(LEN(H305),MATCH(H305,'MPIO_SFIO Table'!$A$11:$A$65525,0)-1,"")</f>
        <v>96</v>
      </c>
      <c r="N305" t="str">
        <f>IF(LEN(I305),MATCH(I305,'MPIO_SFIO Table'!$A$11:$A$65525,0)-1,"")</f>
        <v/>
      </c>
      <c r="O305" t="str">
        <f>IF(LEN(J305),MATCH(J305,'MPIO_SFIO Table'!$A$11:$A$65525,0)-1,"")</f>
        <v/>
      </c>
      <c r="P305" t="str">
        <f>IF(LEN(K305),MATCH(K305,'MPIO_SFIO Table'!$A$11:$A$65525,0)-1,"")</f>
        <v/>
      </c>
      <c r="Q305" t="str">
        <f>IF(LEN(L305),MATCH(L305,'MPIO_SFIO Table'!$A$11:$A$65525,0)-1,"")</f>
        <v/>
      </c>
      <c r="R305" t="str">
        <f ca="1">IF(ISNUMBER(M305),OFFSET('MPIO_SFIO Table'!$AJ$11,M305,0),"")</f>
        <v>unused_DDC_SDA</v>
      </c>
      <c r="S305" t="str">
        <f ca="1">IF(ISNUMBER(N305),OFFSET('MPIO_SFIO Table'!$AJ$11,N305,0),"")</f>
        <v/>
      </c>
      <c r="T305" t="str">
        <f ca="1">IF(ISNUMBER(O305),OFFSET('MPIO_SFIO Table'!$AJ$11,O305,0),"")</f>
        <v/>
      </c>
      <c r="U305" t="str">
        <f ca="1">IF(ISNUMBER(P305),OFFSET('MPIO_SFIO Table'!$AJ$11,P305,0),"")</f>
        <v/>
      </c>
      <c r="V305" t="str">
        <f ca="1">IF(ISNUMBER(Q305),OFFSET('MPIO_SFIO Table'!$AJ$11,Q305,0),"")</f>
        <v/>
      </c>
      <c r="W305">
        <f t="shared" ca="1" si="43"/>
        <v>0</v>
      </c>
      <c r="X305">
        <f t="shared" ca="1" si="44"/>
        <v>0</v>
      </c>
      <c r="Y305">
        <f t="shared" ca="1" si="45"/>
        <v>0</v>
      </c>
      <c r="Z305">
        <f t="shared" ca="1" si="46"/>
        <v>0</v>
      </c>
      <c r="AA305">
        <f t="shared" ca="1" si="47"/>
        <v>0</v>
      </c>
    </row>
    <row r="306" spans="1:27" x14ac:dyDescent="0.25">
      <c r="A306">
        <f t="shared" ca="1" si="40"/>
        <v>0</v>
      </c>
      <c r="B306" t="str">
        <f t="shared" ca="1" si="41"/>
        <v/>
      </c>
      <c r="C306" t="str">
        <f t="shared" si="42"/>
        <v>GPIO</v>
      </c>
      <c r="D306" t="s">
        <v>253</v>
      </c>
      <c r="E306" t="s">
        <v>253</v>
      </c>
      <c r="F306" s="3" t="s">
        <v>2780</v>
      </c>
      <c r="G306" s="11" t="s">
        <v>864</v>
      </c>
      <c r="H306" s="11" t="s">
        <v>97</v>
      </c>
      <c r="I306" s="3" t="s">
        <v>253</v>
      </c>
      <c r="J306" s="3" t="s">
        <v>253</v>
      </c>
      <c r="K306" s="3" t="s">
        <v>253</v>
      </c>
      <c r="L306" s="3" t="s">
        <v>253</v>
      </c>
      <c r="M306">
        <f>IF(LEN(H306),MATCH(H306,'MPIO_SFIO Table'!$A$11:$A$65525,0)-1,"")</f>
        <v>93</v>
      </c>
      <c r="N306" t="str">
        <f>IF(LEN(I306),MATCH(I306,'MPIO_SFIO Table'!$A$11:$A$65525,0)-1,"")</f>
        <v/>
      </c>
      <c r="O306" t="str">
        <f>IF(LEN(J306),MATCH(J306,'MPIO_SFIO Table'!$A$11:$A$65525,0)-1,"")</f>
        <v/>
      </c>
      <c r="P306" t="str">
        <f>IF(LEN(K306),MATCH(K306,'MPIO_SFIO Table'!$A$11:$A$65525,0)-1,"")</f>
        <v/>
      </c>
      <c r="Q306" t="str">
        <f>IF(LEN(L306),MATCH(L306,'MPIO_SFIO Table'!$A$11:$A$65525,0)-1,"")</f>
        <v/>
      </c>
      <c r="R306" t="str">
        <f ca="1">IF(ISNUMBER(M306),OFFSET('MPIO_SFIO Table'!$AJ$11,M306,0),"")</f>
        <v>unused_CRT_HSYNC</v>
      </c>
      <c r="S306" t="str">
        <f ca="1">IF(ISNUMBER(N306),OFFSET('MPIO_SFIO Table'!$AJ$11,N306,0),"")</f>
        <v/>
      </c>
      <c r="T306" t="str">
        <f ca="1">IF(ISNUMBER(O306),OFFSET('MPIO_SFIO Table'!$AJ$11,O306,0),"")</f>
        <v/>
      </c>
      <c r="U306" t="str">
        <f ca="1">IF(ISNUMBER(P306),OFFSET('MPIO_SFIO Table'!$AJ$11,P306,0),"")</f>
        <v/>
      </c>
      <c r="V306" t="str">
        <f ca="1">IF(ISNUMBER(Q306),OFFSET('MPIO_SFIO Table'!$AJ$11,Q306,0),"")</f>
        <v/>
      </c>
      <c r="W306">
        <f t="shared" ca="1" si="43"/>
        <v>0</v>
      </c>
      <c r="X306">
        <f t="shared" ca="1" si="44"/>
        <v>0</v>
      </c>
      <c r="Y306">
        <f t="shared" ca="1" si="45"/>
        <v>0</v>
      </c>
      <c r="Z306">
        <f t="shared" ca="1" si="46"/>
        <v>0</v>
      </c>
      <c r="AA306">
        <f t="shared" ca="1" si="47"/>
        <v>0</v>
      </c>
    </row>
    <row r="307" spans="1:27" x14ac:dyDescent="0.25">
      <c r="A307">
        <f t="shared" ca="1" si="40"/>
        <v>0</v>
      </c>
      <c r="B307" t="str">
        <f t="shared" ca="1" si="41"/>
        <v/>
      </c>
      <c r="C307" t="str">
        <f t="shared" si="42"/>
        <v>GPIO</v>
      </c>
      <c r="D307" t="s">
        <v>253</v>
      </c>
      <c r="E307" t="s">
        <v>253</v>
      </c>
      <c r="F307" s="3" t="s">
        <v>2781</v>
      </c>
      <c r="G307" s="11" t="s">
        <v>865</v>
      </c>
      <c r="H307" s="11" t="s">
        <v>98</v>
      </c>
      <c r="I307" s="3" t="s">
        <v>253</v>
      </c>
      <c r="J307" s="3" t="s">
        <v>253</v>
      </c>
      <c r="K307" s="3" t="s">
        <v>253</v>
      </c>
      <c r="L307" s="3" t="s">
        <v>253</v>
      </c>
      <c r="M307">
        <f>IF(LEN(H307),MATCH(H307,'MPIO_SFIO Table'!$A$11:$A$65525,0)-1,"")</f>
        <v>94</v>
      </c>
      <c r="N307" t="str">
        <f>IF(LEN(I307),MATCH(I307,'MPIO_SFIO Table'!$A$11:$A$65525,0)-1,"")</f>
        <v/>
      </c>
      <c r="O307" t="str">
        <f>IF(LEN(J307),MATCH(J307,'MPIO_SFIO Table'!$A$11:$A$65525,0)-1,"")</f>
        <v/>
      </c>
      <c r="P307" t="str">
        <f>IF(LEN(K307),MATCH(K307,'MPIO_SFIO Table'!$A$11:$A$65525,0)-1,"")</f>
        <v/>
      </c>
      <c r="Q307" t="str">
        <f>IF(LEN(L307),MATCH(L307,'MPIO_SFIO Table'!$A$11:$A$65525,0)-1,"")</f>
        <v/>
      </c>
      <c r="R307" t="str">
        <f ca="1">IF(ISNUMBER(M307),OFFSET('MPIO_SFIO Table'!$AJ$11,M307,0),"")</f>
        <v>unused_CRT_VSYNC</v>
      </c>
      <c r="S307" t="str">
        <f ca="1">IF(ISNUMBER(N307),OFFSET('MPIO_SFIO Table'!$AJ$11,N307,0),"")</f>
        <v/>
      </c>
      <c r="T307" t="str">
        <f ca="1">IF(ISNUMBER(O307),OFFSET('MPIO_SFIO Table'!$AJ$11,O307,0),"")</f>
        <v/>
      </c>
      <c r="U307" t="str">
        <f ca="1">IF(ISNUMBER(P307),OFFSET('MPIO_SFIO Table'!$AJ$11,P307,0),"")</f>
        <v/>
      </c>
      <c r="V307" t="str">
        <f ca="1">IF(ISNUMBER(Q307),OFFSET('MPIO_SFIO Table'!$AJ$11,Q307,0),"")</f>
        <v/>
      </c>
      <c r="W307">
        <f t="shared" ca="1" si="43"/>
        <v>0</v>
      </c>
      <c r="X307">
        <f t="shared" ca="1" si="44"/>
        <v>0</v>
      </c>
      <c r="Y307">
        <f t="shared" ca="1" si="45"/>
        <v>0</v>
      </c>
      <c r="Z307">
        <f t="shared" ca="1" si="46"/>
        <v>0</v>
      </c>
      <c r="AA307">
        <f t="shared" ca="1" si="47"/>
        <v>0</v>
      </c>
    </row>
    <row r="308" spans="1:27" x14ac:dyDescent="0.25">
      <c r="A308">
        <f t="shared" ca="1" si="40"/>
        <v>0</v>
      </c>
      <c r="B308" t="str">
        <f t="shared" ca="1" si="41"/>
        <v/>
      </c>
      <c r="C308" t="str">
        <f t="shared" si="42"/>
        <v>GPIO</v>
      </c>
      <c r="D308" t="s">
        <v>253</v>
      </c>
      <c r="E308" t="s">
        <v>253</v>
      </c>
      <c r="F308" s="3" t="s">
        <v>2782</v>
      </c>
      <c r="G308" s="11" t="s">
        <v>870</v>
      </c>
      <c r="H308" s="11" t="s">
        <v>103</v>
      </c>
      <c r="I308" s="3" t="s">
        <v>253</v>
      </c>
      <c r="J308" s="3" t="s">
        <v>253</v>
      </c>
      <c r="K308" s="3" t="s">
        <v>253</v>
      </c>
      <c r="L308" s="3" t="s">
        <v>253</v>
      </c>
      <c r="M308">
        <f>IF(LEN(H308),MATCH(H308,'MPIO_SFIO Table'!$A$11:$A$65525,0)-1,"")</f>
        <v>99</v>
      </c>
      <c r="N308" t="str">
        <f>IF(LEN(I308),MATCH(I308,'MPIO_SFIO Table'!$A$11:$A$65525,0)-1,"")</f>
        <v/>
      </c>
      <c r="O308" t="str">
        <f>IF(LEN(J308),MATCH(J308,'MPIO_SFIO Table'!$A$11:$A$65525,0)-1,"")</f>
        <v/>
      </c>
      <c r="P308" t="str">
        <f>IF(LEN(K308),MATCH(K308,'MPIO_SFIO Table'!$A$11:$A$65525,0)-1,"")</f>
        <v/>
      </c>
      <c r="Q308" t="str">
        <f>IF(LEN(L308),MATCH(L308,'MPIO_SFIO Table'!$A$11:$A$65525,0)-1,"")</f>
        <v/>
      </c>
      <c r="R308" t="str">
        <f ca="1">IF(ISNUMBER(M308),OFFSET('MPIO_SFIO Table'!$AJ$11,M308,0),"")</f>
        <v>unused_LCD_CS1_N</v>
      </c>
      <c r="S308" t="str">
        <f ca="1">IF(ISNUMBER(N308),OFFSET('MPIO_SFIO Table'!$AJ$11,N308,0),"")</f>
        <v/>
      </c>
      <c r="T308" t="str">
        <f ca="1">IF(ISNUMBER(O308),OFFSET('MPIO_SFIO Table'!$AJ$11,O308,0),"")</f>
        <v/>
      </c>
      <c r="U308" t="str">
        <f ca="1">IF(ISNUMBER(P308),OFFSET('MPIO_SFIO Table'!$AJ$11,P308,0),"")</f>
        <v/>
      </c>
      <c r="V308" t="str">
        <f ca="1">IF(ISNUMBER(Q308),OFFSET('MPIO_SFIO Table'!$AJ$11,Q308,0),"")</f>
        <v/>
      </c>
      <c r="W308">
        <f t="shared" ca="1" si="43"/>
        <v>0</v>
      </c>
      <c r="X308">
        <f t="shared" ca="1" si="44"/>
        <v>0</v>
      </c>
      <c r="Y308">
        <f t="shared" ca="1" si="45"/>
        <v>0</v>
      </c>
      <c r="Z308">
        <f t="shared" ca="1" si="46"/>
        <v>0</v>
      </c>
      <c r="AA308">
        <f t="shared" ca="1" si="47"/>
        <v>0</v>
      </c>
    </row>
    <row r="309" spans="1:27" x14ac:dyDescent="0.25">
      <c r="A309">
        <f t="shared" ca="1" si="40"/>
        <v>0</v>
      </c>
      <c r="B309" t="str">
        <f t="shared" ca="1" si="41"/>
        <v/>
      </c>
      <c r="C309" t="str">
        <f t="shared" si="42"/>
        <v>GPIO</v>
      </c>
      <c r="D309" t="s">
        <v>253</v>
      </c>
      <c r="E309" t="s">
        <v>253</v>
      </c>
      <c r="F309" s="3" t="s">
        <v>2783</v>
      </c>
      <c r="G309" s="11" t="s">
        <v>899</v>
      </c>
      <c r="H309" s="11" t="s">
        <v>132</v>
      </c>
      <c r="I309" s="3" t="s">
        <v>253</v>
      </c>
      <c r="J309" s="3" t="s">
        <v>253</v>
      </c>
      <c r="K309" s="3" t="s">
        <v>253</v>
      </c>
      <c r="L309" s="3" t="s">
        <v>253</v>
      </c>
      <c r="M309">
        <f>IF(LEN(H309),MATCH(H309,'MPIO_SFIO Table'!$A$11:$A$65525,0)-1,"")</f>
        <v>128</v>
      </c>
      <c r="N309" t="str">
        <f>IF(LEN(I309),MATCH(I309,'MPIO_SFIO Table'!$A$11:$A$65525,0)-1,"")</f>
        <v/>
      </c>
      <c r="O309" t="str">
        <f>IF(LEN(J309),MATCH(J309,'MPIO_SFIO Table'!$A$11:$A$65525,0)-1,"")</f>
        <v/>
      </c>
      <c r="P309" t="str">
        <f>IF(LEN(K309),MATCH(K309,'MPIO_SFIO Table'!$A$11:$A$65525,0)-1,"")</f>
        <v/>
      </c>
      <c r="Q309" t="str">
        <f>IF(LEN(L309),MATCH(L309,'MPIO_SFIO Table'!$A$11:$A$65525,0)-1,"")</f>
        <v/>
      </c>
      <c r="R309" t="str">
        <f ca="1">IF(ISNUMBER(M309),OFFSET('MPIO_SFIO Table'!$AJ$11,M309,0),"")</f>
        <v>unused_LCD_M1</v>
      </c>
      <c r="S309" t="str">
        <f ca="1">IF(ISNUMBER(N309),OFFSET('MPIO_SFIO Table'!$AJ$11,N309,0),"")</f>
        <v/>
      </c>
      <c r="T309" t="str">
        <f ca="1">IF(ISNUMBER(O309),OFFSET('MPIO_SFIO Table'!$AJ$11,O309,0),"")</f>
        <v/>
      </c>
      <c r="U309" t="str">
        <f ca="1">IF(ISNUMBER(P309),OFFSET('MPIO_SFIO Table'!$AJ$11,P309,0),"")</f>
        <v/>
      </c>
      <c r="V309" t="str">
        <f ca="1">IF(ISNUMBER(Q309),OFFSET('MPIO_SFIO Table'!$AJ$11,Q309,0),"")</f>
        <v/>
      </c>
      <c r="W309">
        <f t="shared" ca="1" si="43"/>
        <v>0</v>
      </c>
      <c r="X309">
        <f t="shared" ca="1" si="44"/>
        <v>0</v>
      </c>
      <c r="Y309">
        <f t="shared" ca="1" si="45"/>
        <v>0</v>
      </c>
      <c r="Z309">
        <f t="shared" ca="1" si="46"/>
        <v>0</v>
      </c>
      <c r="AA309">
        <f t="shared" ca="1" si="47"/>
        <v>0</v>
      </c>
    </row>
    <row r="310" spans="1:27" x14ac:dyDescent="0.25">
      <c r="A310">
        <f t="shared" ca="1" si="40"/>
        <v>0</v>
      </c>
      <c r="B310" t="str">
        <f t="shared" ca="1" si="41"/>
        <v/>
      </c>
      <c r="C310" t="str">
        <f t="shared" si="42"/>
        <v>GPIO</v>
      </c>
      <c r="D310" t="s">
        <v>253</v>
      </c>
      <c r="E310" t="s">
        <v>253</v>
      </c>
      <c r="F310" s="3" t="s">
        <v>2784</v>
      </c>
      <c r="G310" s="11" t="s">
        <v>792</v>
      </c>
      <c r="H310" s="11" t="s">
        <v>25</v>
      </c>
      <c r="I310" s="3" t="s">
        <v>253</v>
      </c>
      <c r="J310" s="3" t="s">
        <v>253</v>
      </c>
      <c r="K310" s="3" t="s">
        <v>253</v>
      </c>
      <c r="L310" s="3" t="s">
        <v>253</v>
      </c>
      <c r="M310">
        <f>IF(LEN(H310),MATCH(H310,'MPIO_SFIO Table'!$A$11:$A$65525,0)-1,"")</f>
        <v>17</v>
      </c>
      <c r="N310" t="str">
        <f>IF(LEN(I310),MATCH(I310,'MPIO_SFIO Table'!$A$11:$A$65525,0)-1,"")</f>
        <v/>
      </c>
      <c r="O310" t="str">
        <f>IF(LEN(J310),MATCH(J310,'MPIO_SFIO Table'!$A$11:$A$65525,0)-1,"")</f>
        <v/>
      </c>
      <c r="P310" t="str">
        <f>IF(LEN(K310),MATCH(K310,'MPIO_SFIO Table'!$A$11:$A$65525,0)-1,"")</f>
        <v/>
      </c>
      <c r="Q310" t="str">
        <f>IF(LEN(L310),MATCH(L310,'MPIO_SFIO Table'!$A$11:$A$65525,0)-1,"")</f>
        <v/>
      </c>
      <c r="R310" t="str">
        <f ca="1">IF(ISNUMBER(M310),OFFSET('MPIO_SFIO Table'!$AJ$11,M310,0),"")</f>
        <v>unused_SPI2_CS1_N</v>
      </c>
      <c r="S310" t="str">
        <f ca="1">IF(ISNUMBER(N310),OFFSET('MPIO_SFIO Table'!$AJ$11,N310,0),"")</f>
        <v/>
      </c>
      <c r="T310" t="str">
        <f ca="1">IF(ISNUMBER(O310),OFFSET('MPIO_SFIO Table'!$AJ$11,O310,0),"")</f>
        <v/>
      </c>
      <c r="U310" t="str">
        <f ca="1">IF(ISNUMBER(P310),OFFSET('MPIO_SFIO Table'!$AJ$11,P310,0),"")</f>
        <v/>
      </c>
      <c r="V310" t="str">
        <f ca="1">IF(ISNUMBER(Q310),OFFSET('MPIO_SFIO Table'!$AJ$11,Q310,0),"")</f>
        <v/>
      </c>
      <c r="W310">
        <f t="shared" ca="1" si="43"/>
        <v>0</v>
      </c>
      <c r="X310">
        <f t="shared" ca="1" si="44"/>
        <v>0</v>
      </c>
      <c r="Y310">
        <f t="shared" ca="1" si="45"/>
        <v>0</v>
      </c>
      <c r="Z310">
        <f t="shared" ca="1" si="46"/>
        <v>0</v>
      </c>
      <c r="AA310">
        <f t="shared" ca="1" si="47"/>
        <v>0</v>
      </c>
    </row>
    <row r="311" spans="1:27" x14ac:dyDescent="0.25">
      <c r="A311">
        <f t="shared" ca="1" si="40"/>
        <v>0</v>
      </c>
      <c r="B311" t="str">
        <f t="shared" ca="1" si="41"/>
        <v/>
      </c>
      <c r="C311" t="str">
        <f t="shared" si="42"/>
        <v>GPIO</v>
      </c>
      <c r="D311" t="s">
        <v>253</v>
      </c>
      <c r="E311" t="s">
        <v>253</v>
      </c>
      <c r="F311" s="3" t="s">
        <v>2785</v>
      </c>
      <c r="G311" s="11" t="s">
        <v>793</v>
      </c>
      <c r="H311" s="11" t="s">
        <v>26</v>
      </c>
      <c r="I311" s="3" t="s">
        <v>253</v>
      </c>
      <c r="J311" s="3" t="s">
        <v>253</v>
      </c>
      <c r="K311" s="3" t="s">
        <v>253</v>
      </c>
      <c r="L311" s="3" t="s">
        <v>253</v>
      </c>
      <c r="M311">
        <f>IF(LEN(H311),MATCH(H311,'MPIO_SFIO Table'!$A$11:$A$65525,0)-1,"")</f>
        <v>18</v>
      </c>
      <c r="N311" t="str">
        <f>IF(LEN(I311),MATCH(I311,'MPIO_SFIO Table'!$A$11:$A$65525,0)-1,"")</f>
        <v/>
      </c>
      <c r="O311" t="str">
        <f>IF(LEN(J311),MATCH(J311,'MPIO_SFIO Table'!$A$11:$A$65525,0)-1,"")</f>
        <v/>
      </c>
      <c r="P311" t="str">
        <f>IF(LEN(K311),MATCH(K311,'MPIO_SFIO Table'!$A$11:$A$65525,0)-1,"")</f>
        <v/>
      </c>
      <c r="Q311" t="str">
        <f>IF(LEN(L311),MATCH(L311,'MPIO_SFIO Table'!$A$11:$A$65525,0)-1,"")</f>
        <v/>
      </c>
      <c r="R311" t="str">
        <f ca="1">IF(ISNUMBER(M311),OFFSET('MPIO_SFIO Table'!$AJ$11,M311,0),"")</f>
        <v>unused_SPI2_CS2_N</v>
      </c>
      <c r="S311" t="str">
        <f ca="1">IF(ISNUMBER(N311),OFFSET('MPIO_SFIO Table'!$AJ$11,N311,0),"")</f>
        <v/>
      </c>
      <c r="T311" t="str">
        <f ca="1">IF(ISNUMBER(O311),OFFSET('MPIO_SFIO Table'!$AJ$11,O311,0),"")</f>
        <v/>
      </c>
      <c r="U311" t="str">
        <f ca="1">IF(ISNUMBER(P311),OFFSET('MPIO_SFIO Table'!$AJ$11,P311,0),"")</f>
        <v/>
      </c>
      <c r="V311" t="str">
        <f ca="1">IF(ISNUMBER(Q311),OFFSET('MPIO_SFIO Table'!$AJ$11,Q311,0),"")</f>
        <v/>
      </c>
      <c r="W311">
        <f t="shared" ca="1" si="43"/>
        <v>0</v>
      </c>
      <c r="X311">
        <f t="shared" ca="1" si="44"/>
        <v>0</v>
      </c>
      <c r="Y311">
        <f t="shared" ca="1" si="45"/>
        <v>0</v>
      </c>
      <c r="Z311">
        <f t="shared" ca="1" si="46"/>
        <v>0</v>
      </c>
      <c r="AA311">
        <f t="shared" ca="1" si="47"/>
        <v>0</v>
      </c>
    </row>
    <row r="312" spans="1:27" x14ac:dyDescent="0.25">
      <c r="A312">
        <f t="shared" ca="1" si="40"/>
        <v>0</v>
      </c>
      <c r="B312" t="str">
        <f t="shared" ca="1" si="41"/>
        <v/>
      </c>
      <c r="C312" t="str">
        <f t="shared" si="42"/>
        <v>GPIO</v>
      </c>
      <c r="D312" t="s">
        <v>253</v>
      </c>
      <c r="E312" t="s">
        <v>253</v>
      </c>
      <c r="F312" s="3" t="s">
        <v>2786</v>
      </c>
      <c r="G312" s="11" t="s">
        <v>775</v>
      </c>
      <c r="H312" s="11" t="s">
        <v>8</v>
      </c>
      <c r="I312" s="3" t="s">
        <v>253</v>
      </c>
      <c r="J312" s="3" t="s">
        <v>253</v>
      </c>
      <c r="K312" s="3" t="s">
        <v>253</v>
      </c>
      <c r="L312" s="3" t="s">
        <v>253</v>
      </c>
      <c r="M312">
        <f>IF(LEN(H312),MATCH(H312,'MPIO_SFIO Table'!$A$11:$A$65525,0)-1,"")</f>
        <v>0</v>
      </c>
      <c r="N312" t="str">
        <f>IF(LEN(I312),MATCH(I312,'MPIO_SFIO Table'!$A$11:$A$65525,0)-1,"")</f>
        <v/>
      </c>
      <c r="O312" t="str">
        <f>IF(LEN(J312),MATCH(J312,'MPIO_SFIO Table'!$A$11:$A$65525,0)-1,"")</f>
        <v/>
      </c>
      <c r="P312" t="str">
        <f>IF(LEN(K312),MATCH(K312,'MPIO_SFIO Table'!$A$11:$A$65525,0)-1,"")</f>
        <v/>
      </c>
      <c r="Q312" t="str">
        <f>IF(LEN(L312),MATCH(L312,'MPIO_SFIO Table'!$A$11:$A$65525,0)-1,"")</f>
        <v/>
      </c>
      <c r="R312" t="str">
        <f ca="1">IF(ISNUMBER(M312),OFFSET('MPIO_SFIO Table'!$AJ$11,M312,0),"")</f>
        <v>unused_CLK1_OUT</v>
      </c>
      <c r="S312" t="str">
        <f ca="1">IF(ISNUMBER(N312),OFFSET('MPIO_SFIO Table'!$AJ$11,N312,0),"")</f>
        <v/>
      </c>
      <c r="T312" t="str">
        <f ca="1">IF(ISNUMBER(O312),OFFSET('MPIO_SFIO Table'!$AJ$11,O312,0),"")</f>
        <v/>
      </c>
      <c r="U312" t="str">
        <f ca="1">IF(ISNUMBER(P312),OFFSET('MPIO_SFIO Table'!$AJ$11,P312,0),"")</f>
        <v/>
      </c>
      <c r="V312" t="str">
        <f ca="1">IF(ISNUMBER(Q312),OFFSET('MPIO_SFIO Table'!$AJ$11,Q312,0),"")</f>
        <v/>
      </c>
      <c r="W312">
        <f t="shared" ca="1" si="43"/>
        <v>0</v>
      </c>
      <c r="X312">
        <f t="shared" ca="1" si="44"/>
        <v>0</v>
      </c>
      <c r="Y312">
        <f t="shared" ca="1" si="45"/>
        <v>0</v>
      </c>
      <c r="Z312">
        <f t="shared" ca="1" si="46"/>
        <v>0</v>
      </c>
      <c r="AA312">
        <f t="shared" ca="1" si="47"/>
        <v>0</v>
      </c>
    </row>
    <row r="313" spans="1:27" x14ac:dyDescent="0.25">
      <c r="A313">
        <f t="shared" ca="1" si="40"/>
        <v>0</v>
      </c>
      <c r="B313" t="str">
        <f t="shared" ca="1" si="41"/>
        <v/>
      </c>
      <c r="C313" t="str">
        <f t="shared" si="42"/>
        <v>GPIO</v>
      </c>
      <c r="D313" t="s">
        <v>253</v>
      </c>
      <c r="E313" t="s">
        <v>253</v>
      </c>
      <c r="F313" s="3" t="s">
        <v>2787</v>
      </c>
      <c r="G313" s="11" t="s">
        <v>919</v>
      </c>
      <c r="H313" s="11" t="s">
        <v>152</v>
      </c>
      <c r="I313" s="3" t="s">
        <v>253</v>
      </c>
      <c r="J313" s="3" t="s">
        <v>253</v>
      </c>
      <c r="K313" s="3" t="s">
        <v>253</v>
      </c>
      <c r="L313" s="3" t="s">
        <v>253</v>
      </c>
      <c r="M313">
        <f>IF(LEN(H313),MATCH(H313,'MPIO_SFIO Table'!$A$11:$A$65525,0)-1,"")</f>
        <v>150</v>
      </c>
      <c r="N313" t="str">
        <f>IF(LEN(I313),MATCH(I313,'MPIO_SFIO Table'!$A$11:$A$65525,0)-1,"")</f>
        <v/>
      </c>
      <c r="O313" t="str">
        <f>IF(LEN(J313),MATCH(J313,'MPIO_SFIO Table'!$A$11:$A$65525,0)-1,"")</f>
        <v/>
      </c>
      <c r="P313" t="str">
        <f>IF(LEN(K313),MATCH(K313,'MPIO_SFIO Table'!$A$11:$A$65525,0)-1,"")</f>
        <v/>
      </c>
      <c r="Q313" t="str">
        <f>IF(LEN(L313),MATCH(L313,'MPIO_SFIO Table'!$A$11:$A$65525,0)-1,"")</f>
        <v/>
      </c>
      <c r="R313" t="str">
        <f ca="1">IF(ISNUMBER(M313),OFFSET('MPIO_SFIO Table'!$AJ$11,M313,0),"")</f>
        <v>unused_CLK2_OUT</v>
      </c>
      <c r="S313" t="str">
        <f ca="1">IF(ISNUMBER(N313),OFFSET('MPIO_SFIO Table'!$AJ$11,N313,0),"")</f>
        <v/>
      </c>
      <c r="T313" t="str">
        <f ca="1">IF(ISNUMBER(O313),OFFSET('MPIO_SFIO Table'!$AJ$11,O313,0),"")</f>
        <v/>
      </c>
      <c r="U313" t="str">
        <f ca="1">IF(ISNUMBER(P313),OFFSET('MPIO_SFIO Table'!$AJ$11,P313,0),"")</f>
        <v/>
      </c>
      <c r="V313" t="str">
        <f ca="1">IF(ISNUMBER(Q313),OFFSET('MPIO_SFIO Table'!$AJ$11,Q313,0),"")</f>
        <v/>
      </c>
      <c r="W313">
        <f t="shared" ca="1" si="43"/>
        <v>0</v>
      </c>
      <c r="X313">
        <f t="shared" ca="1" si="44"/>
        <v>0</v>
      </c>
      <c r="Y313">
        <f t="shared" ca="1" si="45"/>
        <v>0</v>
      </c>
      <c r="Z313">
        <f t="shared" ca="1" si="46"/>
        <v>0</v>
      </c>
      <c r="AA313">
        <f t="shared" ca="1" si="47"/>
        <v>0</v>
      </c>
    </row>
    <row r="314" spans="1:27" x14ac:dyDescent="0.25">
      <c r="A314">
        <f t="shared" ca="1" si="40"/>
        <v>0</v>
      </c>
      <c r="B314" t="str">
        <f t="shared" ca="1" si="41"/>
        <v/>
      </c>
      <c r="C314" t="str">
        <f t="shared" si="42"/>
        <v>GPIO</v>
      </c>
      <c r="D314" t="s">
        <v>253</v>
      </c>
      <c r="E314" t="s">
        <v>253</v>
      </c>
      <c r="F314" s="3" t="s">
        <v>2788</v>
      </c>
      <c r="G314" s="11" t="s">
        <v>1001</v>
      </c>
      <c r="H314" s="11" t="s">
        <v>235</v>
      </c>
      <c r="I314" s="3" t="s">
        <v>253</v>
      </c>
      <c r="J314" s="3" t="s">
        <v>253</v>
      </c>
      <c r="K314" s="3" t="s">
        <v>253</v>
      </c>
      <c r="L314" s="3" t="s">
        <v>253</v>
      </c>
      <c r="M314">
        <f>IF(LEN(H314),MATCH(H314,'MPIO_SFIO Table'!$A$11:$A$65525,0)-1,"")</f>
        <v>253</v>
      </c>
      <c r="N314" t="str">
        <f>IF(LEN(I314),MATCH(I314,'MPIO_SFIO Table'!$A$11:$A$65525,0)-1,"")</f>
        <v/>
      </c>
      <c r="O314" t="str">
        <f>IF(LEN(J314),MATCH(J314,'MPIO_SFIO Table'!$A$11:$A$65525,0)-1,"")</f>
        <v/>
      </c>
      <c r="P314" t="str">
        <f>IF(LEN(K314),MATCH(K314,'MPIO_SFIO Table'!$A$11:$A$65525,0)-1,"")</f>
        <v/>
      </c>
      <c r="Q314" t="str">
        <f>IF(LEN(L314),MATCH(L314,'MPIO_SFIO Table'!$A$11:$A$65525,0)-1,"")</f>
        <v/>
      </c>
      <c r="R314" t="str">
        <f ca="1">IF(ISNUMBER(M314),OFFSET('MPIO_SFIO Table'!$AJ$11,M314,0),"")</f>
        <v>unused_UART3_TXD</v>
      </c>
      <c r="S314" t="str">
        <f ca="1">IF(ISNUMBER(N314),OFFSET('MPIO_SFIO Table'!$AJ$11,N314,0),"")</f>
        <v/>
      </c>
      <c r="T314" t="str">
        <f ca="1">IF(ISNUMBER(O314),OFFSET('MPIO_SFIO Table'!$AJ$11,O314,0),"")</f>
        <v/>
      </c>
      <c r="U314" t="str">
        <f ca="1">IF(ISNUMBER(P314),OFFSET('MPIO_SFIO Table'!$AJ$11,P314,0),"")</f>
        <v/>
      </c>
      <c r="V314" t="str">
        <f ca="1">IF(ISNUMBER(Q314),OFFSET('MPIO_SFIO Table'!$AJ$11,Q314,0),"")</f>
        <v/>
      </c>
      <c r="W314">
        <f t="shared" ca="1" si="43"/>
        <v>0</v>
      </c>
      <c r="X314">
        <f t="shared" ca="1" si="44"/>
        <v>0</v>
      </c>
      <c r="Y314">
        <f t="shared" ca="1" si="45"/>
        <v>0</v>
      </c>
      <c r="Z314">
        <f t="shared" ca="1" si="46"/>
        <v>0</v>
      </c>
      <c r="AA314">
        <f t="shared" ca="1" si="47"/>
        <v>0</v>
      </c>
    </row>
    <row r="315" spans="1:27" x14ac:dyDescent="0.25">
      <c r="A315">
        <f t="shared" ca="1" si="40"/>
        <v>0</v>
      </c>
      <c r="B315" t="str">
        <f t="shared" ca="1" si="41"/>
        <v/>
      </c>
      <c r="C315" t="str">
        <f t="shared" si="42"/>
        <v>GPIO</v>
      </c>
      <c r="D315" t="s">
        <v>253</v>
      </c>
      <c r="E315" t="s">
        <v>253</v>
      </c>
      <c r="F315" s="3" t="s">
        <v>2789</v>
      </c>
      <c r="G315" s="11" t="s">
        <v>1000</v>
      </c>
      <c r="H315" s="11" t="s">
        <v>234</v>
      </c>
      <c r="I315" s="3" t="s">
        <v>253</v>
      </c>
      <c r="J315" s="3" t="s">
        <v>253</v>
      </c>
      <c r="K315" s="3" t="s">
        <v>253</v>
      </c>
      <c r="L315" s="3" t="s">
        <v>253</v>
      </c>
      <c r="M315">
        <f>IF(LEN(H315),MATCH(H315,'MPIO_SFIO Table'!$A$11:$A$65525,0)-1,"")</f>
        <v>252</v>
      </c>
      <c r="N315" t="str">
        <f>IF(LEN(I315),MATCH(I315,'MPIO_SFIO Table'!$A$11:$A$65525,0)-1,"")</f>
        <v/>
      </c>
      <c r="O315" t="str">
        <f>IF(LEN(J315),MATCH(J315,'MPIO_SFIO Table'!$A$11:$A$65525,0)-1,"")</f>
        <v/>
      </c>
      <c r="P315" t="str">
        <f>IF(LEN(K315),MATCH(K315,'MPIO_SFIO Table'!$A$11:$A$65525,0)-1,"")</f>
        <v/>
      </c>
      <c r="Q315" t="str">
        <f>IF(LEN(L315),MATCH(L315,'MPIO_SFIO Table'!$A$11:$A$65525,0)-1,"")</f>
        <v/>
      </c>
      <c r="R315" t="str">
        <f ca="1">IF(ISNUMBER(M315),OFFSET('MPIO_SFIO Table'!$AJ$11,M315,0),"")</f>
        <v>unused_UART3_RXD</v>
      </c>
      <c r="S315" t="str">
        <f ca="1">IF(ISNUMBER(N315),OFFSET('MPIO_SFIO Table'!$AJ$11,N315,0),"")</f>
        <v/>
      </c>
      <c r="T315" t="str">
        <f ca="1">IF(ISNUMBER(O315),OFFSET('MPIO_SFIO Table'!$AJ$11,O315,0),"")</f>
        <v/>
      </c>
      <c r="U315" t="str">
        <f ca="1">IF(ISNUMBER(P315),OFFSET('MPIO_SFIO Table'!$AJ$11,P315,0),"")</f>
        <v/>
      </c>
      <c r="V315" t="str">
        <f ca="1">IF(ISNUMBER(Q315),OFFSET('MPIO_SFIO Table'!$AJ$11,Q315,0),"")</f>
        <v/>
      </c>
      <c r="W315">
        <f t="shared" ca="1" si="43"/>
        <v>0</v>
      </c>
      <c r="X315">
        <f t="shared" ca="1" si="44"/>
        <v>0</v>
      </c>
      <c r="Y315">
        <f t="shared" ca="1" si="45"/>
        <v>0</v>
      </c>
      <c r="Z315">
        <f t="shared" ca="1" si="46"/>
        <v>0</v>
      </c>
      <c r="AA315">
        <f t="shared" ca="1" si="47"/>
        <v>0</v>
      </c>
    </row>
    <row r="316" spans="1:27" x14ac:dyDescent="0.25">
      <c r="A316">
        <f t="shared" ca="1" si="40"/>
        <v>0</v>
      </c>
      <c r="B316" t="str">
        <f t="shared" ca="1" si="41"/>
        <v/>
      </c>
      <c r="C316" t="str">
        <f t="shared" si="42"/>
        <v>GPIO</v>
      </c>
      <c r="D316" t="s">
        <v>253</v>
      </c>
      <c r="E316" t="s">
        <v>253</v>
      </c>
      <c r="F316" s="3" t="s">
        <v>2790</v>
      </c>
      <c r="G316" s="11" t="s">
        <v>795</v>
      </c>
      <c r="H316" s="11" t="s">
        <v>28</v>
      </c>
      <c r="I316" s="3" t="s">
        <v>253</v>
      </c>
      <c r="J316" s="3" t="s">
        <v>253</v>
      </c>
      <c r="K316" s="3" t="s">
        <v>253</v>
      </c>
      <c r="L316" s="3" t="s">
        <v>253</v>
      </c>
      <c r="M316">
        <f>IF(LEN(H316),MATCH(H316,'MPIO_SFIO Table'!$A$11:$A$65525,0)-1,"")</f>
        <v>20</v>
      </c>
      <c r="N316" t="str">
        <f>IF(LEN(I316),MATCH(I316,'MPIO_SFIO Table'!$A$11:$A$65525,0)-1,"")</f>
        <v/>
      </c>
      <c r="O316" t="str">
        <f>IF(LEN(J316),MATCH(J316,'MPIO_SFIO Table'!$A$11:$A$65525,0)-1,"")</f>
        <v/>
      </c>
      <c r="P316" t="str">
        <f>IF(LEN(K316),MATCH(K316,'MPIO_SFIO Table'!$A$11:$A$65525,0)-1,"")</f>
        <v/>
      </c>
      <c r="Q316" t="str">
        <f>IF(LEN(L316),MATCH(L316,'MPIO_SFIO Table'!$A$11:$A$65525,0)-1,"")</f>
        <v/>
      </c>
      <c r="R316" t="str">
        <f ca="1">IF(ISNUMBER(M316),OFFSET('MPIO_SFIO Table'!$AJ$11,M316,0),"")</f>
        <v>unused_SPI2_MOSI</v>
      </c>
      <c r="S316" t="str">
        <f ca="1">IF(ISNUMBER(N316),OFFSET('MPIO_SFIO Table'!$AJ$11,N316,0),"")</f>
        <v/>
      </c>
      <c r="T316" t="str">
        <f ca="1">IF(ISNUMBER(O316),OFFSET('MPIO_SFIO Table'!$AJ$11,O316,0),"")</f>
        <v/>
      </c>
      <c r="U316" t="str">
        <f ca="1">IF(ISNUMBER(P316),OFFSET('MPIO_SFIO Table'!$AJ$11,P316,0),"")</f>
        <v/>
      </c>
      <c r="V316" t="str">
        <f ca="1">IF(ISNUMBER(Q316),OFFSET('MPIO_SFIO Table'!$AJ$11,Q316,0),"")</f>
        <v/>
      </c>
      <c r="W316">
        <f t="shared" ca="1" si="43"/>
        <v>0</v>
      </c>
      <c r="X316">
        <f t="shared" ca="1" si="44"/>
        <v>0</v>
      </c>
      <c r="Y316">
        <f t="shared" ca="1" si="45"/>
        <v>0</v>
      </c>
      <c r="Z316">
        <f t="shared" ca="1" si="46"/>
        <v>0</v>
      </c>
      <c r="AA316">
        <f t="shared" ca="1" si="47"/>
        <v>0</v>
      </c>
    </row>
    <row r="317" spans="1:27" x14ac:dyDescent="0.25">
      <c r="A317">
        <f t="shared" ca="1" si="40"/>
        <v>0</v>
      </c>
      <c r="B317" t="str">
        <f t="shared" ca="1" si="41"/>
        <v/>
      </c>
      <c r="C317" t="str">
        <f t="shared" si="42"/>
        <v>GPIO</v>
      </c>
      <c r="D317" t="s">
        <v>253</v>
      </c>
      <c r="E317" t="s">
        <v>253</v>
      </c>
      <c r="F317" s="3" t="s">
        <v>2791</v>
      </c>
      <c r="G317" s="11" t="s">
        <v>794</v>
      </c>
      <c r="H317" s="11" t="s">
        <v>27</v>
      </c>
      <c r="I317" s="3" t="s">
        <v>253</v>
      </c>
      <c r="J317" s="3" t="s">
        <v>253</v>
      </c>
      <c r="K317" s="3" t="s">
        <v>253</v>
      </c>
      <c r="L317" s="3" t="s">
        <v>253</v>
      </c>
      <c r="M317">
        <f>IF(LEN(H317),MATCH(H317,'MPIO_SFIO Table'!$A$11:$A$65525,0)-1,"")</f>
        <v>19</v>
      </c>
      <c r="N317" t="str">
        <f>IF(LEN(I317),MATCH(I317,'MPIO_SFIO Table'!$A$11:$A$65525,0)-1,"")</f>
        <v/>
      </c>
      <c r="O317" t="str">
        <f>IF(LEN(J317),MATCH(J317,'MPIO_SFIO Table'!$A$11:$A$65525,0)-1,"")</f>
        <v/>
      </c>
      <c r="P317" t="str">
        <f>IF(LEN(K317),MATCH(K317,'MPIO_SFIO Table'!$A$11:$A$65525,0)-1,"")</f>
        <v/>
      </c>
      <c r="Q317" t="str">
        <f>IF(LEN(L317),MATCH(L317,'MPIO_SFIO Table'!$A$11:$A$65525,0)-1,"")</f>
        <v/>
      </c>
      <c r="R317" t="str">
        <f ca="1">IF(ISNUMBER(M317),OFFSET('MPIO_SFIO Table'!$AJ$11,M317,0),"")</f>
        <v>unused_SPI2_MISO</v>
      </c>
      <c r="S317" t="str">
        <f ca="1">IF(ISNUMBER(N317),OFFSET('MPIO_SFIO Table'!$AJ$11,N317,0),"")</f>
        <v/>
      </c>
      <c r="T317" t="str">
        <f ca="1">IF(ISNUMBER(O317),OFFSET('MPIO_SFIO Table'!$AJ$11,O317,0),"")</f>
        <v/>
      </c>
      <c r="U317" t="str">
        <f ca="1">IF(ISNUMBER(P317),OFFSET('MPIO_SFIO Table'!$AJ$11,P317,0),"")</f>
        <v/>
      </c>
      <c r="V317" t="str">
        <f ca="1">IF(ISNUMBER(Q317),OFFSET('MPIO_SFIO Table'!$AJ$11,Q317,0),"")</f>
        <v/>
      </c>
      <c r="W317">
        <f t="shared" ca="1" si="43"/>
        <v>0</v>
      </c>
      <c r="X317">
        <f t="shared" ca="1" si="44"/>
        <v>0</v>
      </c>
      <c r="Y317">
        <f t="shared" ca="1" si="45"/>
        <v>0</v>
      </c>
      <c r="Z317">
        <f t="shared" ca="1" si="46"/>
        <v>0</v>
      </c>
      <c r="AA317">
        <f t="shared" ca="1" si="47"/>
        <v>0</v>
      </c>
    </row>
    <row r="318" spans="1:27" x14ac:dyDescent="0.25">
      <c r="A318">
        <f t="shared" ca="1" si="40"/>
        <v>0</v>
      </c>
      <c r="B318" t="str">
        <f t="shared" ca="1" si="41"/>
        <v/>
      </c>
      <c r="C318" t="str">
        <f t="shared" si="42"/>
        <v>GPIO</v>
      </c>
      <c r="D318" t="s">
        <v>253</v>
      </c>
      <c r="E318" t="s">
        <v>253</v>
      </c>
      <c r="F318" s="3" t="s">
        <v>2792</v>
      </c>
      <c r="G318" s="11" t="s">
        <v>796</v>
      </c>
      <c r="H318" s="11" t="s">
        <v>29</v>
      </c>
      <c r="I318" s="3" t="s">
        <v>253</v>
      </c>
      <c r="J318" s="3" t="s">
        <v>253</v>
      </c>
      <c r="K318" s="3" t="s">
        <v>253</v>
      </c>
      <c r="L318" s="3" t="s">
        <v>253</v>
      </c>
      <c r="M318">
        <f>IF(LEN(H318),MATCH(H318,'MPIO_SFIO Table'!$A$11:$A$65525,0)-1,"")</f>
        <v>21</v>
      </c>
      <c r="N318" t="str">
        <f>IF(LEN(I318),MATCH(I318,'MPIO_SFIO Table'!$A$11:$A$65525,0)-1,"")</f>
        <v/>
      </c>
      <c r="O318" t="str">
        <f>IF(LEN(J318),MATCH(J318,'MPIO_SFIO Table'!$A$11:$A$65525,0)-1,"")</f>
        <v/>
      </c>
      <c r="P318" t="str">
        <f>IF(LEN(K318),MATCH(K318,'MPIO_SFIO Table'!$A$11:$A$65525,0)-1,"")</f>
        <v/>
      </c>
      <c r="Q318" t="str">
        <f>IF(LEN(L318),MATCH(L318,'MPIO_SFIO Table'!$A$11:$A$65525,0)-1,"")</f>
        <v/>
      </c>
      <c r="R318" t="str">
        <f ca="1">IF(ISNUMBER(M318),OFFSET('MPIO_SFIO Table'!$AJ$11,M318,0),"")</f>
        <v>unused_SPI2_SCK</v>
      </c>
      <c r="S318" t="str">
        <f ca="1">IF(ISNUMBER(N318),OFFSET('MPIO_SFIO Table'!$AJ$11,N318,0),"")</f>
        <v/>
      </c>
      <c r="T318" t="str">
        <f ca="1">IF(ISNUMBER(O318),OFFSET('MPIO_SFIO Table'!$AJ$11,O318,0),"")</f>
        <v/>
      </c>
      <c r="U318" t="str">
        <f ca="1">IF(ISNUMBER(P318),OFFSET('MPIO_SFIO Table'!$AJ$11,P318,0),"")</f>
        <v/>
      </c>
      <c r="V318" t="str">
        <f ca="1">IF(ISNUMBER(Q318),OFFSET('MPIO_SFIO Table'!$AJ$11,Q318,0),"")</f>
        <v/>
      </c>
      <c r="W318">
        <f t="shared" ca="1" si="43"/>
        <v>0</v>
      </c>
      <c r="X318">
        <f t="shared" ca="1" si="44"/>
        <v>0</v>
      </c>
      <c r="Y318">
        <f t="shared" ca="1" si="45"/>
        <v>0</v>
      </c>
      <c r="Z318">
        <f t="shared" ca="1" si="46"/>
        <v>0</v>
      </c>
      <c r="AA318">
        <f t="shared" ca="1" si="47"/>
        <v>0</v>
      </c>
    </row>
    <row r="319" spans="1:27" x14ac:dyDescent="0.25">
      <c r="A319">
        <f t="shared" ca="1" si="40"/>
        <v>0</v>
      </c>
      <c r="B319" t="str">
        <f t="shared" ca="1" si="41"/>
        <v/>
      </c>
      <c r="C319" t="str">
        <f t="shared" si="42"/>
        <v>GPIO</v>
      </c>
      <c r="D319" t="s">
        <v>253</v>
      </c>
      <c r="E319" t="s">
        <v>253</v>
      </c>
      <c r="F319" s="3" t="s">
        <v>2793</v>
      </c>
      <c r="G319" s="11" t="s">
        <v>791</v>
      </c>
      <c r="H319" s="11" t="s">
        <v>24</v>
      </c>
      <c r="I319" s="3" t="s">
        <v>253</v>
      </c>
      <c r="J319" s="3" t="s">
        <v>253</v>
      </c>
      <c r="K319" s="3" t="s">
        <v>253</v>
      </c>
      <c r="L319" s="3" t="s">
        <v>253</v>
      </c>
      <c r="M319">
        <f>IF(LEN(H319),MATCH(H319,'MPIO_SFIO Table'!$A$11:$A$65525,0)-1,"")</f>
        <v>16</v>
      </c>
      <c r="N319" t="str">
        <f>IF(LEN(I319),MATCH(I319,'MPIO_SFIO Table'!$A$11:$A$65525,0)-1,"")</f>
        <v/>
      </c>
      <c r="O319" t="str">
        <f>IF(LEN(J319),MATCH(J319,'MPIO_SFIO Table'!$A$11:$A$65525,0)-1,"")</f>
        <v/>
      </c>
      <c r="P319" t="str">
        <f>IF(LEN(K319),MATCH(K319,'MPIO_SFIO Table'!$A$11:$A$65525,0)-1,"")</f>
        <v/>
      </c>
      <c r="Q319" t="str">
        <f>IF(LEN(L319),MATCH(L319,'MPIO_SFIO Table'!$A$11:$A$65525,0)-1,"")</f>
        <v/>
      </c>
      <c r="R319" t="str">
        <f ca="1">IF(ISNUMBER(M319),OFFSET('MPIO_SFIO Table'!$AJ$11,M319,0),"")</f>
        <v>unused_SPI2_CS0_N</v>
      </c>
      <c r="S319" t="str">
        <f ca="1">IF(ISNUMBER(N319),OFFSET('MPIO_SFIO Table'!$AJ$11,N319,0),"")</f>
        <v/>
      </c>
      <c r="T319" t="str">
        <f ca="1">IF(ISNUMBER(O319),OFFSET('MPIO_SFIO Table'!$AJ$11,O319,0),"")</f>
        <v/>
      </c>
      <c r="U319" t="str">
        <f ca="1">IF(ISNUMBER(P319),OFFSET('MPIO_SFIO Table'!$AJ$11,P319,0),"")</f>
        <v/>
      </c>
      <c r="V319" t="str">
        <f ca="1">IF(ISNUMBER(Q319),OFFSET('MPIO_SFIO Table'!$AJ$11,Q319,0),"")</f>
        <v/>
      </c>
      <c r="W319">
        <f t="shared" ca="1" si="43"/>
        <v>0</v>
      </c>
      <c r="X319">
        <f t="shared" ca="1" si="44"/>
        <v>0</v>
      </c>
      <c r="Y319">
        <f t="shared" ca="1" si="45"/>
        <v>0</v>
      </c>
      <c r="Z319">
        <f t="shared" ca="1" si="46"/>
        <v>0</v>
      </c>
      <c r="AA319">
        <f t="shared" ca="1" si="47"/>
        <v>0</v>
      </c>
    </row>
    <row r="320" spans="1:27" x14ac:dyDescent="0.25">
      <c r="A320">
        <f t="shared" ca="1" si="40"/>
        <v>0</v>
      </c>
      <c r="B320" t="str">
        <f t="shared" ca="1" si="41"/>
        <v/>
      </c>
      <c r="C320" t="str">
        <f t="shared" si="42"/>
        <v>GPIO</v>
      </c>
      <c r="D320" t="s">
        <v>253</v>
      </c>
      <c r="E320" t="s">
        <v>253</v>
      </c>
      <c r="F320" s="3" t="s">
        <v>2794</v>
      </c>
      <c r="G320" s="11" t="s">
        <v>789</v>
      </c>
      <c r="H320" s="11" t="s">
        <v>22</v>
      </c>
      <c r="I320" s="3" t="s">
        <v>253</v>
      </c>
      <c r="J320" s="3" t="s">
        <v>253</v>
      </c>
      <c r="K320" s="3" t="s">
        <v>253</v>
      </c>
      <c r="L320" s="3" t="s">
        <v>253</v>
      </c>
      <c r="M320">
        <f>IF(LEN(H320),MATCH(H320,'MPIO_SFIO Table'!$A$11:$A$65525,0)-1,"")</f>
        <v>14</v>
      </c>
      <c r="N320" t="str">
        <f>IF(LEN(I320),MATCH(I320,'MPIO_SFIO Table'!$A$11:$A$65525,0)-1,"")</f>
        <v/>
      </c>
      <c r="O320" t="str">
        <f>IF(LEN(J320),MATCH(J320,'MPIO_SFIO Table'!$A$11:$A$65525,0)-1,"")</f>
        <v/>
      </c>
      <c r="P320" t="str">
        <f>IF(LEN(K320),MATCH(K320,'MPIO_SFIO Table'!$A$11:$A$65525,0)-1,"")</f>
        <v/>
      </c>
      <c r="Q320" t="str">
        <f>IF(LEN(L320),MATCH(L320,'MPIO_SFIO Table'!$A$11:$A$65525,0)-1,"")</f>
        <v/>
      </c>
      <c r="R320" t="str">
        <f ca="1">IF(ISNUMBER(M320),OFFSET('MPIO_SFIO Table'!$AJ$11,M320,0),"")</f>
        <v>unused_SPI1_MOSI</v>
      </c>
      <c r="S320" t="str">
        <f ca="1">IF(ISNUMBER(N320),OFFSET('MPIO_SFIO Table'!$AJ$11,N320,0),"")</f>
        <v/>
      </c>
      <c r="T320" t="str">
        <f ca="1">IF(ISNUMBER(O320),OFFSET('MPIO_SFIO Table'!$AJ$11,O320,0),"")</f>
        <v/>
      </c>
      <c r="U320" t="str">
        <f ca="1">IF(ISNUMBER(P320),OFFSET('MPIO_SFIO Table'!$AJ$11,P320,0),"")</f>
        <v/>
      </c>
      <c r="V320" t="str">
        <f ca="1">IF(ISNUMBER(Q320),OFFSET('MPIO_SFIO Table'!$AJ$11,Q320,0),"")</f>
        <v/>
      </c>
      <c r="W320">
        <f t="shared" ca="1" si="43"/>
        <v>0</v>
      </c>
      <c r="X320">
        <f t="shared" ca="1" si="44"/>
        <v>0</v>
      </c>
      <c r="Y320">
        <f t="shared" ca="1" si="45"/>
        <v>0</v>
      </c>
      <c r="Z320">
        <f t="shared" ca="1" si="46"/>
        <v>0</v>
      </c>
      <c r="AA320">
        <f t="shared" ca="1" si="47"/>
        <v>0</v>
      </c>
    </row>
    <row r="321" spans="1:27" x14ac:dyDescent="0.25">
      <c r="A321">
        <f t="shared" ca="1" si="40"/>
        <v>0</v>
      </c>
      <c r="B321" t="str">
        <f t="shared" ca="1" si="41"/>
        <v/>
      </c>
      <c r="C321" t="str">
        <f t="shared" si="42"/>
        <v>GPIO</v>
      </c>
      <c r="D321" t="s">
        <v>253</v>
      </c>
      <c r="E321" t="s">
        <v>253</v>
      </c>
      <c r="F321" s="3" t="s">
        <v>2795</v>
      </c>
      <c r="G321" s="11" t="s">
        <v>790</v>
      </c>
      <c r="H321" s="11" t="s">
        <v>23</v>
      </c>
      <c r="I321" s="3" t="s">
        <v>253</v>
      </c>
      <c r="J321" s="3" t="s">
        <v>253</v>
      </c>
      <c r="K321" s="3" t="s">
        <v>253</v>
      </c>
      <c r="L321" s="3" t="s">
        <v>253</v>
      </c>
      <c r="M321">
        <f>IF(LEN(H321),MATCH(H321,'MPIO_SFIO Table'!$A$11:$A$65525,0)-1,"")</f>
        <v>15</v>
      </c>
      <c r="N321" t="str">
        <f>IF(LEN(I321),MATCH(I321,'MPIO_SFIO Table'!$A$11:$A$65525,0)-1,"")</f>
        <v/>
      </c>
      <c r="O321" t="str">
        <f>IF(LEN(J321),MATCH(J321,'MPIO_SFIO Table'!$A$11:$A$65525,0)-1,"")</f>
        <v/>
      </c>
      <c r="P321" t="str">
        <f>IF(LEN(K321),MATCH(K321,'MPIO_SFIO Table'!$A$11:$A$65525,0)-1,"")</f>
        <v/>
      </c>
      <c r="Q321" t="str">
        <f>IF(LEN(L321),MATCH(L321,'MPIO_SFIO Table'!$A$11:$A$65525,0)-1,"")</f>
        <v/>
      </c>
      <c r="R321" t="str">
        <f ca="1">IF(ISNUMBER(M321),OFFSET('MPIO_SFIO Table'!$AJ$11,M321,0),"")</f>
        <v>unused_SPI1_SCK</v>
      </c>
      <c r="S321" t="str">
        <f ca="1">IF(ISNUMBER(N321),OFFSET('MPIO_SFIO Table'!$AJ$11,N321,0),"")</f>
        <v/>
      </c>
      <c r="T321" t="str">
        <f ca="1">IF(ISNUMBER(O321),OFFSET('MPIO_SFIO Table'!$AJ$11,O321,0),"")</f>
        <v/>
      </c>
      <c r="U321" t="str">
        <f ca="1">IF(ISNUMBER(P321),OFFSET('MPIO_SFIO Table'!$AJ$11,P321,0),"")</f>
        <v/>
      </c>
      <c r="V321" t="str">
        <f ca="1">IF(ISNUMBER(Q321),OFFSET('MPIO_SFIO Table'!$AJ$11,Q321,0),"")</f>
        <v/>
      </c>
      <c r="W321">
        <f t="shared" ca="1" si="43"/>
        <v>0</v>
      </c>
      <c r="X321">
        <f t="shared" ca="1" si="44"/>
        <v>0</v>
      </c>
      <c r="Y321">
        <f t="shared" ca="1" si="45"/>
        <v>0</v>
      </c>
      <c r="Z321">
        <f t="shared" ca="1" si="46"/>
        <v>0</v>
      </c>
      <c r="AA321">
        <f t="shared" ca="1" si="47"/>
        <v>0</v>
      </c>
    </row>
    <row r="322" spans="1:27" x14ac:dyDescent="0.25">
      <c r="A322">
        <f t="shared" ca="1" si="40"/>
        <v>0</v>
      </c>
      <c r="B322" t="str">
        <f t="shared" ca="1" si="41"/>
        <v/>
      </c>
      <c r="C322" t="str">
        <f t="shared" si="42"/>
        <v>GPIO</v>
      </c>
      <c r="D322" t="s">
        <v>253</v>
      </c>
      <c r="E322" t="s">
        <v>253</v>
      </c>
      <c r="F322" s="3" t="s">
        <v>2796</v>
      </c>
      <c r="G322" s="11" t="s">
        <v>787</v>
      </c>
      <c r="H322" s="11" t="s">
        <v>20</v>
      </c>
      <c r="I322" s="3" t="s">
        <v>253</v>
      </c>
      <c r="J322" s="3" t="s">
        <v>253</v>
      </c>
      <c r="K322" s="3" t="s">
        <v>253</v>
      </c>
      <c r="L322" s="3" t="s">
        <v>253</v>
      </c>
      <c r="M322">
        <f>IF(LEN(H322),MATCH(H322,'MPIO_SFIO Table'!$A$11:$A$65525,0)-1,"")</f>
        <v>12</v>
      </c>
      <c r="N322" t="str">
        <f>IF(LEN(I322),MATCH(I322,'MPIO_SFIO Table'!$A$11:$A$65525,0)-1,"")</f>
        <v/>
      </c>
      <c r="O322" t="str">
        <f>IF(LEN(J322),MATCH(J322,'MPIO_SFIO Table'!$A$11:$A$65525,0)-1,"")</f>
        <v/>
      </c>
      <c r="P322" t="str">
        <f>IF(LEN(K322),MATCH(K322,'MPIO_SFIO Table'!$A$11:$A$65525,0)-1,"")</f>
        <v/>
      </c>
      <c r="Q322" t="str">
        <f>IF(LEN(L322),MATCH(L322,'MPIO_SFIO Table'!$A$11:$A$65525,0)-1,"")</f>
        <v/>
      </c>
      <c r="R322" t="str">
        <f ca="1">IF(ISNUMBER(M322),OFFSET('MPIO_SFIO Table'!$AJ$11,M322,0),"")</f>
        <v>unused_SPI1_CS0_N</v>
      </c>
      <c r="S322" t="str">
        <f ca="1">IF(ISNUMBER(N322),OFFSET('MPIO_SFIO Table'!$AJ$11,N322,0),"")</f>
        <v/>
      </c>
      <c r="T322" t="str">
        <f ca="1">IF(ISNUMBER(O322),OFFSET('MPIO_SFIO Table'!$AJ$11,O322,0),"")</f>
        <v/>
      </c>
      <c r="U322" t="str">
        <f ca="1">IF(ISNUMBER(P322),OFFSET('MPIO_SFIO Table'!$AJ$11,P322,0),"")</f>
        <v/>
      </c>
      <c r="V322" t="str">
        <f ca="1">IF(ISNUMBER(Q322),OFFSET('MPIO_SFIO Table'!$AJ$11,Q322,0),"")</f>
        <v/>
      </c>
      <c r="W322">
        <f t="shared" ca="1" si="43"/>
        <v>0</v>
      </c>
      <c r="X322">
        <f t="shared" ca="1" si="44"/>
        <v>0</v>
      </c>
      <c r="Y322">
        <f t="shared" ca="1" si="45"/>
        <v>0</v>
      </c>
      <c r="Z322">
        <f t="shared" ca="1" si="46"/>
        <v>0</v>
      </c>
      <c r="AA322">
        <f t="shared" ca="1" si="47"/>
        <v>0</v>
      </c>
    </row>
    <row r="323" spans="1:27" x14ac:dyDescent="0.25">
      <c r="A323">
        <f t="shared" ca="1" si="40"/>
        <v>0</v>
      </c>
      <c r="B323" t="str">
        <f t="shared" ca="1" si="41"/>
        <v/>
      </c>
      <c r="C323" t="str">
        <f t="shared" si="42"/>
        <v>GPIO</v>
      </c>
      <c r="D323" t="s">
        <v>253</v>
      </c>
      <c r="E323" t="s">
        <v>253</v>
      </c>
      <c r="F323" s="3" t="s">
        <v>2797</v>
      </c>
      <c r="G323" s="11" t="s">
        <v>788</v>
      </c>
      <c r="H323" s="11" t="s">
        <v>21</v>
      </c>
      <c r="I323" s="3" t="s">
        <v>253</v>
      </c>
      <c r="J323" s="3" t="s">
        <v>253</v>
      </c>
      <c r="K323" s="3" t="s">
        <v>253</v>
      </c>
      <c r="L323" s="3" t="s">
        <v>253</v>
      </c>
      <c r="M323">
        <f>IF(LEN(H323),MATCH(H323,'MPIO_SFIO Table'!$A$11:$A$65525,0)-1,"")</f>
        <v>13</v>
      </c>
      <c r="N323" t="str">
        <f>IF(LEN(I323),MATCH(I323,'MPIO_SFIO Table'!$A$11:$A$65525,0)-1,"")</f>
        <v/>
      </c>
      <c r="O323" t="str">
        <f>IF(LEN(J323),MATCH(J323,'MPIO_SFIO Table'!$A$11:$A$65525,0)-1,"")</f>
        <v/>
      </c>
      <c r="P323" t="str">
        <f>IF(LEN(K323),MATCH(K323,'MPIO_SFIO Table'!$A$11:$A$65525,0)-1,"")</f>
        <v/>
      </c>
      <c r="Q323" t="str">
        <f>IF(LEN(L323),MATCH(L323,'MPIO_SFIO Table'!$A$11:$A$65525,0)-1,"")</f>
        <v/>
      </c>
      <c r="R323" t="str">
        <f ca="1">IF(ISNUMBER(M323),OFFSET('MPIO_SFIO Table'!$AJ$11,M323,0),"")</f>
        <v>unused_SPI1_MISO</v>
      </c>
      <c r="S323" t="str">
        <f ca="1">IF(ISNUMBER(N323),OFFSET('MPIO_SFIO Table'!$AJ$11,N323,0),"")</f>
        <v/>
      </c>
      <c r="T323" t="str">
        <f ca="1">IF(ISNUMBER(O323),OFFSET('MPIO_SFIO Table'!$AJ$11,O323,0),"")</f>
        <v/>
      </c>
      <c r="U323" t="str">
        <f ca="1">IF(ISNUMBER(P323),OFFSET('MPIO_SFIO Table'!$AJ$11,P323,0),"")</f>
        <v/>
      </c>
      <c r="V323" t="str">
        <f ca="1">IF(ISNUMBER(Q323),OFFSET('MPIO_SFIO Table'!$AJ$11,Q323,0),"")</f>
        <v/>
      </c>
      <c r="W323">
        <f t="shared" ca="1" si="43"/>
        <v>0</v>
      </c>
      <c r="X323">
        <f t="shared" ca="1" si="44"/>
        <v>0</v>
      </c>
      <c r="Y323">
        <f t="shared" ca="1" si="45"/>
        <v>0</v>
      </c>
      <c r="Z323">
        <f t="shared" ca="1" si="46"/>
        <v>0</v>
      </c>
      <c r="AA323">
        <f t="shared" ca="1" si="47"/>
        <v>0</v>
      </c>
    </row>
    <row r="324" spans="1:27" x14ac:dyDescent="0.25">
      <c r="A324">
        <f t="shared" ca="1" si="40"/>
        <v>0</v>
      </c>
      <c r="B324" t="str">
        <f t="shared" ca="1" si="41"/>
        <v/>
      </c>
      <c r="C324" t="str">
        <f t="shared" si="42"/>
        <v>GPIO</v>
      </c>
      <c r="D324" t="s">
        <v>253</v>
      </c>
      <c r="E324" t="s">
        <v>253</v>
      </c>
      <c r="F324" s="3" t="s">
        <v>2798</v>
      </c>
      <c r="G324" s="11" t="s">
        <v>803</v>
      </c>
      <c r="H324" s="11" t="s">
        <v>36</v>
      </c>
      <c r="I324" s="3" t="s">
        <v>253</v>
      </c>
      <c r="J324" s="3" t="s">
        <v>253</v>
      </c>
      <c r="K324" s="3" t="s">
        <v>253</v>
      </c>
      <c r="L324" s="3" t="s">
        <v>253</v>
      </c>
      <c r="M324">
        <f>IF(LEN(H324),MATCH(H324,'MPIO_SFIO Table'!$A$11:$A$65525,0)-1,"")</f>
        <v>29</v>
      </c>
      <c r="N324" t="str">
        <f>IF(LEN(I324),MATCH(I324,'MPIO_SFIO Table'!$A$11:$A$65525,0)-1,"")</f>
        <v/>
      </c>
      <c r="O324" t="str">
        <f>IF(LEN(J324),MATCH(J324,'MPIO_SFIO Table'!$A$11:$A$65525,0)-1,"")</f>
        <v/>
      </c>
      <c r="P324" t="str">
        <f>IF(LEN(K324),MATCH(K324,'MPIO_SFIO Table'!$A$11:$A$65525,0)-1,"")</f>
        <v/>
      </c>
      <c r="Q324" t="str">
        <f>IF(LEN(L324),MATCH(L324,'MPIO_SFIO Table'!$A$11:$A$65525,0)-1,"")</f>
        <v/>
      </c>
      <c r="R324" t="str">
        <f ca="1">IF(ISNUMBER(M324),OFFSET('MPIO_SFIO Table'!$AJ$11,M324,0),"")</f>
        <v>unused_ULPI_CLK</v>
      </c>
      <c r="S324" t="str">
        <f ca="1">IF(ISNUMBER(N324),OFFSET('MPIO_SFIO Table'!$AJ$11,N324,0),"")</f>
        <v/>
      </c>
      <c r="T324" t="str">
        <f ca="1">IF(ISNUMBER(O324),OFFSET('MPIO_SFIO Table'!$AJ$11,O324,0),"")</f>
        <v/>
      </c>
      <c r="U324" t="str">
        <f ca="1">IF(ISNUMBER(P324),OFFSET('MPIO_SFIO Table'!$AJ$11,P324,0),"")</f>
        <v/>
      </c>
      <c r="V324" t="str">
        <f ca="1">IF(ISNUMBER(Q324),OFFSET('MPIO_SFIO Table'!$AJ$11,Q324,0),"")</f>
        <v/>
      </c>
      <c r="W324">
        <f t="shared" ca="1" si="43"/>
        <v>0</v>
      </c>
      <c r="X324">
        <f t="shared" ca="1" si="44"/>
        <v>0</v>
      </c>
      <c r="Y324">
        <f t="shared" ca="1" si="45"/>
        <v>0</v>
      </c>
      <c r="Z324">
        <f t="shared" ca="1" si="46"/>
        <v>0</v>
      </c>
      <c r="AA324">
        <f t="shared" ca="1" si="47"/>
        <v>0</v>
      </c>
    </row>
    <row r="325" spans="1:27" x14ac:dyDescent="0.25">
      <c r="A325">
        <f t="shared" ca="1" si="40"/>
        <v>0</v>
      </c>
      <c r="B325" t="str">
        <f t="shared" ca="1" si="41"/>
        <v/>
      </c>
      <c r="C325" t="str">
        <f t="shared" si="42"/>
        <v>GPIO</v>
      </c>
      <c r="D325" t="s">
        <v>253</v>
      </c>
      <c r="E325" t="s">
        <v>253</v>
      </c>
      <c r="F325" s="3" t="s">
        <v>2799</v>
      </c>
      <c r="G325" s="11" t="s">
        <v>812</v>
      </c>
      <c r="H325" s="11" t="s">
        <v>45</v>
      </c>
      <c r="I325" s="3" t="s">
        <v>253</v>
      </c>
      <c r="J325" s="3" t="s">
        <v>253</v>
      </c>
      <c r="K325" s="3" t="s">
        <v>253</v>
      </c>
      <c r="L325" s="3" t="s">
        <v>253</v>
      </c>
      <c r="M325">
        <f>IF(LEN(H325),MATCH(H325,'MPIO_SFIO Table'!$A$11:$A$65525,0)-1,"")</f>
        <v>38</v>
      </c>
      <c r="N325" t="str">
        <f>IF(LEN(I325),MATCH(I325,'MPIO_SFIO Table'!$A$11:$A$65525,0)-1,"")</f>
        <v/>
      </c>
      <c r="O325" t="str">
        <f>IF(LEN(J325),MATCH(J325,'MPIO_SFIO Table'!$A$11:$A$65525,0)-1,"")</f>
        <v/>
      </c>
      <c r="P325" t="str">
        <f>IF(LEN(K325),MATCH(K325,'MPIO_SFIO Table'!$A$11:$A$65525,0)-1,"")</f>
        <v/>
      </c>
      <c r="Q325" t="str">
        <f>IF(LEN(L325),MATCH(L325,'MPIO_SFIO Table'!$A$11:$A$65525,0)-1,"")</f>
        <v/>
      </c>
      <c r="R325" t="str">
        <f ca="1">IF(ISNUMBER(M325),OFFSET('MPIO_SFIO Table'!$AJ$11,M325,0),"")</f>
        <v>unused_ULPI_DIR</v>
      </c>
      <c r="S325" t="str">
        <f ca="1">IF(ISNUMBER(N325),OFFSET('MPIO_SFIO Table'!$AJ$11,N325,0),"")</f>
        <v/>
      </c>
      <c r="T325" t="str">
        <f ca="1">IF(ISNUMBER(O325),OFFSET('MPIO_SFIO Table'!$AJ$11,O325,0),"")</f>
        <v/>
      </c>
      <c r="U325" t="str">
        <f ca="1">IF(ISNUMBER(P325),OFFSET('MPIO_SFIO Table'!$AJ$11,P325,0),"")</f>
        <v/>
      </c>
      <c r="V325" t="str">
        <f ca="1">IF(ISNUMBER(Q325),OFFSET('MPIO_SFIO Table'!$AJ$11,Q325,0),"")</f>
        <v/>
      </c>
      <c r="W325">
        <f t="shared" ca="1" si="43"/>
        <v>0</v>
      </c>
      <c r="X325">
        <f t="shared" ca="1" si="44"/>
        <v>0</v>
      </c>
      <c r="Y325">
        <f t="shared" ca="1" si="45"/>
        <v>0</v>
      </c>
      <c r="Z325">
        <f t="shared" ca="1" si="46"/>
        <v>0</v>
      </c>
      <c r="AA325">
        <f t="shared" ca="1" si="47"/>
        <v>0</v>
      </c>
    </row>
    <row r="326" spans="1:27" x14ac:dyDescent="0.25">
      <c r="A326">
        <f t="shared" ca="1" si="40"/>
        <v>0</v>
      </c>
      <c r="B326" t="str">
        <f t="shared" ca="1" si="41"/>
        <v/>
      </c>
      <c r="C326" t="str">
        <f t="shared" si="42"/>
        <v>GPIO</v>
      </c>
      <c r="D326" t="s">
        <v>253</v>
      </c>
      <c r="E326" t="s">
        <v>253</v>
      </c>
      <c r="F326" s="3" t="s">
        <v>2800</v>
      </c>
      <c r="G326" s="11" t="s">
        <v>813</v>
      </c>
      <c r="H326" s="11" t="s">
        <v>46</v>
      </c>
      <c r="I326" s="3" t="s">
        <v>253</v>
      </c>
      <c r="J326" s="3" t="s">
        <v>253</v>
      </c>
      <c r="K326" s="3" t="s">
        <v>253</v>
      </c>
      <c r="L326" s="3" t="s">
        <v>253</v>
      </c>
      <c r="M326">
        <f>IF(LEN(H326),MATCH(H326,'MPIO_SFIO Table'!$A$11:$A$65525,0)-1,"")</f>
        <v>39</v>
      </c>
      <c r="N326" t="str">
        <f>IF(LEN(I326),MATCH(I326,'MPIO_SFIO Table'!$A$11:$A$65525,0)-1,"")</f>
        <v/>
      </c>
      <c r="O326" t="str">
        <f>IF(LEN(J326),MATCH(J326,'MPIO_SFIO Table'!$A$11:$A$65525,0)-1,"")</f>
        <v/>
      </c>
      <c r="P326" t="str">
        <f>IF(LEN(K326),MATCH(K326,'MPIO_SFIO Table'!$A$11:$A$65525,0)-1,"")</f>
        <v/>
      </c>
      <c r="Q326" t="str">
        <f>IF(LEN(L326),MATCH(L326,'MPIO_SFIO Table'!$A$11:$A$65525,0)-1,"")</f>
        <v/>
      </c>
      <c r="R326" t="str">
        <f ca="1">IF(ISNUMBER(M326),OFFSET('MPIO_SFIO Table'!$AJ$11,M326,0),"")</f>
        <v>unused_ULPI_NXT</v>
      </c>
      <c r="S326" t="str">
        <f ca="1">IF(ISNUMBER(N326),OFFSET('MPIO_SFIO Table'!$AJ$11,N326,0),"")</f>
        <v/>
      </c>
      <c r="T326" t="str">
        <f ca="1">IF(ISNUMBER(O326),OFFSET('MPIO_SFIO Table'!$AJ$11,O326,0),"")</f>
        <v/>
      </c>
      <c r="U326" t="str">
        <f ca="1">IF(ISNUMBER(P326),OFFSET('MPIO_SFIO Table'!$AJ$11,P326,0),"")</f>
        <v/>
      </c>
      <c r="V326" t="str">
        <f ca="1">IF(ISNUMBER(Q326),OFFSET('MPIO_SFIO Table'!$AJ$11,Q326,0),"")</f>
        <v/>
      </c>
      <c r="W326">
        <f t="shared" ca="1" si="43"/>
        <v>0</v>
      </c>
      <c r="X326">
        <f t="shared" ca="1" si="44"/>
        <v>0</v>
      </c>
      <c r="Y326">
        <f t="shared" ca="1" si="45"/>
        <v>0</v>
      </c>
      <c r="Z326">
        <f t="shared" ca="1" si="46"/>
        <v>0</v>
      </c>
      <c r="AA326">
        <f t="shared" ca="1" si="47"/>
        <v>0</v>
      </c>
    </row>
    <row r="327" spans="1:27" x14ac:dyDescent="0.25">
      <c r="A327">
        <f t="shared" ca="1" si="40"/>
        <v>0</v>
      </c>
      <c r="B327" t="str">
        <f t="shared" ca="1" si="41"/>
        <v/>
      </c>
      <c r="C327" t="str">
        <f t="shared" si="42"/>
        <v>GPIO</v>
      </c>
      <c r="D327" t="s">
        <v>253</v>
      </c>
      <c r="E327" t="s">
        <v>253</v>
      </c>
      <c r="F327" s="3" t="s">
        <v>2801</v>
      </c>
      <c r="G327" s="11" t="s">
        <v>814</v>
      </c>
      <c r="H327" s="11" t="s">
        <v>47</v>
      </c>
      <c r="I327" s="3" t="s">
        <v>253</v>
      </c>
      <c r="J327" s="3" t="s">
        <v>253</v>
      </c>
      <c r="K327" s="3" t="s">
        <v>253</v>
      </c>
      <c r="L327" s="3" t="s">
        <v>253</v>
      </c>
      <c r="M327">
        <f>IF(LEN(H327),MATCH(H327,'MPIO_SFIO Table'!$A$11:$A$65525,0)-1,"")</f>
        <v>40</v>
      </c>
      <c r="N327" t="str">
        <f>IF(LEN(I327),MATCH(I327,'MPIO_SFIO Table'!$A$11:$A$65525,0)-1,"")</f>
        <v/>
      </c>
      <c r="O327" t="str">
        <f>IF(LEN(J327),MATCH(J327,'MPIO_SFIO Table'!$A$11:$A$65525,0)-1,"")</f>
        <v/>
      </c>
      <c r="P327" t="str">
        <f>IF(LEN(K327),MATCH(K327,'MPIO_SFIO Table'!$A$11:$A$65525,0)-1,"")</f>
        <v/>
      </c>
      <c r="Q327" t="str">
        <f>IF(LEN(L327),MATCH(L327,'MPIO_SFIO Table'!$A$11:$A$65525,0)-1,"")</f>
        <v/>
      </c>
      <c r="R327" t="str">
        <f ca="1">IF(ISNUMBER(M327),OFFSET('MPIO_SFIO Table'!$AJ$11,M327,0),"")</f>
        <v>unused_ULPI_STP</v>
      </c>
      <c r="S327" t="str">
        <f ca="1">IF(ISNUMBER(N327),OFFSET('MPIO_SFIO Table'!$AJ$11,N327,0),"")</f>
        <v/>
      </c>
      <c r="T327" t="str">
        <f ca="1">IF(ISNUMBER(O327),OFFSET('MPIO_SFIO Table'!$AJ$11,O327,0),"")</f>
        <v/>
      </c>
      <c r="U327" t="str">
        <f ca="1">IF(ISNUMBER(P327),OFFSET('MPIO_SFIO Table'!$AJ$11,P327,0),"")</f>
        <v/>
      </c>
      <c r="V327" t="str">
        <f ca="1">IF(ISNUMBER(Q327),OFFSET('MPIO_SFIO Table'!$AJ$11,Q327,0),"")</f>
        <v/>
      </c>
      <c r="W327">
        <f t="shared" ca="1" si="43"/>
        <v>0</v>
      </c>
      <c r="X327">
        <f t="shared" ca="1" si="44"/>
        <v>0</v>
      </c>
      <c r="Y327">
        <f t="shared" ca="1" si="45"/>
        <v>0</v>
      </c>
      <c r="Z327">
        <f t="shared" ca="1" si="46"/>
        <v>0</v>
      </c>
      <c r="AA327">
        <f t="shared" ca="1" si="47"/>
        <v>0</v>
      </c>
    </row>
    <row r="328" spans="1:27" x14ac:dyDescent="0.25">
      <c r="A328">
        <f t="shared" ref="A328:A391" ca="1" si="48">SUM($W328:$AA328)</f>
        <v>0</v>
      </c>
      <c r="B328" t="str">
        <f t="shared" ref="B328:B391" ca="1" si="49">IF(A328&lt;&gt;0,REPLACE(G328,FIND("-",G328),LEN(G328),""),"")</f>
        <v/>
      </c>
      <c r="C328" t="str">
        <f t="shared" si="42"/>
        <v>GPIO</v>
      </c>
      <c r="D328" t="s">
        <v>253</v>
      </c>
      <c r="E328" t="s">
        <v>253</v>
      </c>
      <c r="F328" s="3" t="s">
        <v>2802</v>
      </c>
      <c r="G328" s="11" t="s">
        <v>928</v>
      </c>
      <c r="H328" s="11" t="s">
        <v>161</v>
      </c>
      <c r="I328" s="3" t="s">
        <v>253</v>
      </c>
      <c r="J328" s="3" t="s">
        <v>253</v>
      </c>
      <c r="K328" s="3" t="s">
        <v>253</v>
      </c>
      <c r="L328" s="3" t="s">
        <v>253</v>
      </c>
      <c r="M328">
        <f>IF(LEN(H328),MATCH(H328,'MPIO_SFIO Table'!$A$11:$A$65525,0)-1,"")</f>
        <v>159</v>
      </c>
      <c r="N328" t="str">
        <f>IF(LEN(I328),MATCH(I328,'MPIO_SFIO Table'!$A$11:$A$65525,0)-1,"")</f>
        <v/>
      </c>
      <c r="O328" t="str">
        <f>IF(LEN(J328),MATCH(J328,'MPIO_SFIO Table'!$A$11:$A$65525,0)-1,"")</f>
        <v/>
      </c>
      <c r="P328" t="str">
        <f>IF(LEN(K328),MATCH(K328,'MPIO_SFIO Table'!$A$11:$A$65525,0)-1,"")</f>
        <v/>
      </c>
      <c r="Q328" t="str">
        <f>IF(LEN(L328),MATCH(L328,'MPIO_SFIO Table'!$A$11:$A$65525,0)-1,"")</f>
        <v/>
      </c>
      <c r="R328" t="str">
        <f ca="1">IF(ISNUMBER(M328),OFFSET('MPIO_SFIO Table'!$AJ$11,M328,0),"")</f>
        <v>unused_SDMMC1_DAT3</v>
      </c>
      <c r="S328" t="str">
        <f ca="1">IF(ISNUMBER(N328),OFFSET('MPIO_SFIO Table'!$AJ$11,N328,0),"")</f>
        <v/>
      </c>
      <c r="T328" t="str">
        <f ca="1">IF(ISNUMBER(O328),OFFSET('MPIO_SFIO Table'!$AJ$11,O328,0),"")</f>
        <v/>
      </c>
      <c r="U328" t="str">
        <f ca="1">IF(ISNUMBER(P328),OFFSET('MPIO_SFIO Table'!$AJ$11,P328,0),"")</f>
        <v/>
      </c>
      <c r="V328" t="str">
        <f ca="1">IF(ISNUMBER(Q328),OFFSET('MPIO_SFIO Table'!$AJ$11,Q328,0),"")</f>
        <v/>
      </c>
      <c r="W328">
        <f t="shared" ca="1" si="43"/>
        <v>0</v>
      </c>
      <c r="X328">
        <f t="shared" ca="1" si="44"/>
        <v>0</v>
      </c>
      <c r="Y328">
        <f t="shared" ca="1" si="45"/>
        <v>0</v>
      </c>
      <c r="Z328">
        <f t="shared" ca="1" si="46"/>
        <v>0</v>
      </c>
      <c r="AA328">
        <f t="shared" ca="1" si="47"/>
        <v>0</v>
      </c>
    </row>
    <row r="329" spans="1:27" x14ac:dyDescent="0.25">
      <c r="A329">
        <f t="shared" ca="1" si="48"/>
        <v>0</v>
      </c>
      <c r="B329" t="str">
        <f t="shared" ca="1" si="49"/>
        <v/>
      </c>
      <c r="C329" t="str">
        <f t="shared" ref="C329:C392" si="50">REPLACE(G329,FIND(".",CONCATENATE(REPLACE(G329,FIND("-",CONCATENATE(G329,"-")),LEN(G329),""),".")),LEN(G329),"")</f>
        <v>GPIO</v>
      </c>
      <c r="D329" t="s">
        <v>253</v>
      </c>
      <c r="E329" t="s">
        <v>253</v>
      </c>
      <c r="F329" s="3" t="s">
        <v>2803</v>
      </c>
      <c r="G329" s="11" t="s">
        <v>927</v>
      </c>
      <c r="H329" s="11" t="s">
        <v>160</v>
      </c>
      <c r="I329" s="3" t="s">
        <v>253</v>
      </c>
      <c r="J329" s="3" t="s">
        <v>253</v>
      </c>
      <c r="K329" s="3" t="s">
        <v>253</v>
      </c>
      <c r="L329" s="3" t="s">
        <v>253</v>
      </c>
      <c r="M329">
        <f>IF(LEN(H329),MATCH(H329,'MPIO_SFIO Table'!$A$11:$A$65525,0)-1,"")</f>
        <v>158</v>
      </c>
      <c r="N329" t="str">
        <f>IF(LEN(I329),MATCH(I329,'MPIO_SFIO Table'!$A$11:$A$65525,0)-1,"")</f>
        <v/>
      </c>
      <c r="O329" t="str">
        <f>IF(LEN(J329),MATCH(J329,'MPIO_SFIO Table'!$A$11:$A$65525,0)-1,"")</f>
        <v/>
      </c>
      <c r="P329" t="str">
        <f>IF(LEN(K329),MATCH(K329,'MPIO_SFIO Table'!$A$11:$A$65525,0)-1,"")</f>
        <v/>
      </c>
      <c r="Q329" t="str">
        <f>IF(LEN(L329),MATCH(L329,'MPIO_SFIO Table'!$A$11:$A$65525,0)-1,"")</f>
        <v/>
      </c>
      <c r="R329" t="str">
        <f ca="1">IF(ISNUMBER(M329),OFFSET('MPIO_SFIO Table'!$AJ$11,M329,0),"")</f>
        <v>unused_SDMMC1_DAT2</v>
      </c>
      <c r="S329" t="str">
        <f ca="1">IF(ISNUMBER(N329),OFFSET('MPIO_SFIO Table'!$AJ$11,N329,0),"")</f>
        <v/>
      </c>
      <c r="T329" t="str">
        <f ca="1">IF(ISNUMBER(O329),OFFSET('MPIO_SFIO Table'!$AJ$11,O329,0),"")</f>
        <v/>
      </c>
      <c r="U329" t="str">
        <f ca="1">IF(ISNUMBER(P329),OFFSET('MPIO_SFIO Table'!$AJ$11,P329,0),"")</f>
        <v/>
      </c>
      <c r="V329" t="str">
        <f ca="1">IF(ISNUMBER(Q329),OFFSET('MPIO_SFIO Table'!$AJ$11,Q329,0),"")</f>
        <v/>
      </c>
      <c r="W329">
        <f t="shared" ref="W329:W392" ca="1" si="51">1*AND(ISTEXT(R329),LEN(R329),R329=$G329)</f>
        <v>0</v>
      </c>
      <c r="X329">
        <f t="shared" ref="X329:X392" ca="1" si="52">1*AND(ISTEXT(S329),LEN(S329),S329=$G329)</f>
        <v>0</v>
      </c>
      <c r="Y329">
        <f t="shared" ref="Y329:Y392" ca="1" si="53">1*AND(ISTEXT(T329),LEN(T329),T329=$G329)</f>
        <v>0</v>
      </c>
      <c r="Z329">
        <f t="shared" ref="Z329:Z392" ca="1" si="54">1*AND(ISTEXT(U329),LEN(U329),U329=$G329)</f>
        <v>0</v>
      </c>
      <c r="AA329">
        <f t="shared" ref="AA329:AA392" ca="1" si="55">1*AND(ISTEXT(V329),LEN(V329),V329=$G329)</f>
        <v>0</v>
      </c>
    </row>
    <row r="330" spans="1:27" x14ac:dyDescent="0.25">
      <c r="A330">
        <f t="shared" ca="1" si="48"/>
        <v>0</v>
      </c>
      <c r="B330" t="str">
        <f t="shared" ca="1" si="49"/>
        <v/>
      </c>
      <c r="C330" t="str">
        <f t="shared" si="50"/>
        <v>GPIO</v>
      </c>
      <c r="D330" t="s">
        <v>253</v>
      </c>
      <c r="E330" t="s">
        <v>253</v>
      </c>
      <c r="F330" s="3" t="s">
        <v>2804</v>
      </c>
      <c r="G330" s="11" t="s">
        <v>926</v>
      </c>
      <c r="H330" s="11" t="s">
        <v>159</v>
      </c>
      <c r="I330" s="3" t="s">
        <v>253</v>
      </c>
      <c r="J330" s="3" t="s">
        <v>253</v>
      </c>
      <c r="K330" s="3" t="s">
        <v>253</v>
      </c>
      <c r="L330" s="3" t="s">
        <v>253</v>
      </c>
      <c r="M330">
        <f>IF(LEN(H330),MATCH(H330,'MPIO_SFIO Table'!$A$11:$A$65525,0)-1,"")</f>
        <v>157</v>
      </c>
      <c r="N330" t="str">
        <f>IF(LEN(I330),MATCH(I330,'MPIO_SFIO Table'!$A$11:$A$65525,0)-1,"")</f>
        <v/>
      </c>
      <c r="O330" t="str">
        <f>IF(LEN(J330),MATCH(J330,'MPIO_SFIO Table'!$A$11:$A$65525,0)-1,"")</f>
        <v/>
      </c>
      <c r="P330" t="str">
        <f>IF(LEN(K330),MATCH(K330,'MPIO_SFIO Table'!$A$11:$A$65525,0)-1,"")</f>
        <v/>
      </c>
      <c r="Q330" t="str">
        <f>IF(LEN(L330),MATCH(L330,'MPIO_SFIO Table'!$A$11:$A$65525,0)-1,"")</f>
        <v/>
      </c>
      <c r="R330" t="str">
        <f ca="1">IF(ISNUMBER(M330),OFFSET('MPIO_SFIO Table'!$AJ$11,M330,0),"")</f>
        <v>unused_SDMMC1_DAT1</v>
      </c>
      <c r="S330" t="str">
        <f ca="1">IF(ISNUMBER(N330),OFFSET('MPIO_SFIO Table'!$AJ$11,N330,0),"")</f>
        <v/>
      </c>
      <c r="T330" t="str">
        <f ca="1">IF(ISNUMBER(O330),OFFSET('MPIO_SFIO Table'!$AJ$11,O330,0),"")</f>
        <v/>
      </c>
      <c r="U330" t="str">
        <f ca="1">IF(ISNUMBER(P330),OFFSET('MPIO_SFIO Table'!$AJ$11,P330,0),"")</f>
        <v/>
      </c>
      <c r="V330" t="str">
        <f ca="1">IF(ISNUMBER(Q330),OFFSET('MPIO_SFIO Table'!$AJ$11,Q330,0),"")</f>
        <v/>
      </c>
      <c r="W330">
        <f t="shared" ca="1" si="51"/>
        <v>0</v>
      </c>
      <c r="X330">
        <f t="shared" ca="1" si="52"/>
        <v>0</v>
      </c>
      <c r="Y330">
        <f t="shared" ca="1" si="53"/>
        <v>0</v>
      </c>
      <c r="Z330">
        <f t="shared" ca="1" si="54"/>
        <v>0</v>
      </c>
      <c r="AA330">
        <f t="shared" ca="1" si="55"/>
        <v>0</v>
      </c>
    </row>
    <row r="331" spans="1:27" x14ac:dyDescent="0.25">
      <c r="A331">
        <f t="shared" ca="1" si="48"/>
        <v>0</v>
      </c>
      <c r="B331" t="str">
        <f t="shared" ca="1" si="49"/>
        <v/>
      </c>
      <c r="C331" t="str">
        <f t="shared" si="50"/>
        <v>GPIO</v>
      </c>
      <c r="D331" t="s">
        <v>253</v>
      </c>
      <c r="E331" t="s">
        <v>253</v>
      </c>
      <c r="F331" s="3" t="s">
        <v>2805</v>
      </c>
      <c r="G331" s="11" t="s">
        <v>925</v>
      </c>
      <c r="H331" s="11" t="s">
        <v>158</v>
      </c>
      <c r="I331" s="3" t="s">
        <v>253</v>
      </c>
      <c r="J331" s="3" t="s">
        <v>253</v>
      </c>
      <c r="K331" s="3" t="s">
        <v>253</v>
      </c>
      <c r="L331" s="3" t="s">
        <v>253</v>
      </c>
      <c r="M331">
        <f>IF(LEN(H331),MATCH(H331,'MPIO_SFIO Table'!$A$11:$A$65525,0)-1,"")</f>
        <v>156</v>
      </c>
      <c r="N331" t="str">
        <f>IF(LEN(I331),MATCH(I331,'MPIO_SFIO Table'!$A$11:$A$65525,0)-1,"")</f>
        <v/>
      </c>
      <c r="O331" t="str">
        <f>IF(LEN(J331),MATCH(J331,'MPIO_SFIO Table'!$A$11:$A$65525,0)-1,"")</f>
        <v/>
      </c>
      <c r="P331" t="str">
        <f>IF(LEN(K331),MATCH(K331,'MPIO_SFIO Table'!$A$11:$A$65525,0)-1,"")</f>
        <v/>
      </c>
      <c r="Q331" t="str">
        <f>IF(LEN(L331),MATCH(L331,'MPIO_SFIO Table'!$A$11:$A$65525,0)-1,"")</f>
        <v/>
      </c>
      <c r="R331" t="str">
        <f ca="1">IF(ISNUMBER(M331),OFFSET('MPIO_SFIO Table'!$AJ$11,M331,0),"")</f>
        <v>unused_SDMMC1_DAT0</v>
      </c>
      <c r="S331" t="str">
        <f ca="1">IF(ISNUMBER(N331),OFFSET('MPIO_SFIO Table'!$AJ$11,N331,0),"")</f>
        <v/>
      </c>
      <c r="T331" t="str">
        <f ca="1">IF(ISNUMBER(O331),OFFSET('MPIO_SFIO Table'!$AJ$11,O331,0),"")</f>
        <v/>
      </c>
      <c r="U331" t="str">
        <f ca="1">IF(ISNUMBER(P331),OFFSET('MPIO_SFIO Table'!$AJ$11,P331,0),"")</f>
        <v/>
      </c>
      <c r="V331" t="str">
        <f ca="1">IF(ISNUMBER(Q331),OFFSET('MPIO_SFIO Table'!$AJ$11,Q331,0),"")</f>
        <v/>
      </c>
      <c r="W331">
        <f t="shared" ca="1" si="51"/>
        <v>0</v>
      </c>
      <c r="X331">
        <f t="shared" ca="1" si="52"/>
        <v>0</v>
      </c>
      <c r="Y331">
        <f t="shared" ca="1" si="53"/>
        <v>0</v>
      </c>
      <c r="Z331">
        <f t="shared" ca="1" si="54"/>
        <v>0</v>
      </c>
      <c r="AA331">
        <f t="shared" ca="1" si="55"/>
        <v>0</v>
      </c>
    </row>
    <row r="332" spans="1:27" x14ac:dyDescent="0.25">
      <c r="A332">
        <f t="shared" ca="1" si="48"/>
        <v>0</v>
      </c>
      <c r="B332" t="str">
        <f t="shared" ca="1" si="49"/>
        <v/>
      </c>
      <c r="C332" t="str">
        <f t="shared" si="50"/>
        <v>GPIO</v>
      </c>
      <c r="D332" t="s">
        <v>253</v>
      </c>
      <c r="E332" t="s">
        <v>253</v>
      </c>
      <c r="F332" s="3" t="s">
        <v>2806</v>
      </c>
      <c r="G332" s="11" t="s">
        <v>923</v>
      </c>
      <c r="H332" s="11" t="s">
        <v>156</v>
      </c>
      <c r="I332" s="3" t="s">
        <v>253</v>
      </c>
      <c r="J332" s="3" t="s">
        <v>253</v>
      </c>
      <c r="K332" s="3" t="s">
        <v>253</v>
      </c>
      <c r="L332" s="3" t="s">
        <v>253</v>
      </c>
      <c r="M332">
        <f>IF(LEN(H332),MATCH(H332,'MPIO_SFIO Table'!$A$11:$A$65525,0)-1,"")</f>
        <v>154</v>
      </c>
      <c r="N332" t="str">
        <f>IF(LEN(I332),MATCH(I332,'MPIO_SFIO Table'!$A$11:$A$65525,0)-1,"")</f>
        <v/>
      </c>
      <c r="O332" t="str">
        <f>IF(LEN(J332),MATCH(J332,'MPIO_SFIO Table'!$A$11:$A$65525,0)-1,"")</f>
        <v/>
      </c>
      <c r="P332" t="str">
        <f>IF(LEN(K332),MATCH(K332,'MPIO_SFIO Table'!$A$11:$A$65525,0)-1,"")</f>
        <v/>
      </c>
      <c r="Q332" t="str">
        <f>IF(LEN(L332),MATCH(L332,'MPIO_SFIO Table'!$A$11:$A$65525,0)-1,"")</f>
        <v/>
      </c>
      <c r="R332" t="str">
        <f ca="1">IF(ISNUMBER(M332),OFFSET('MPIO_SFIO Table'!$AJ$11,M332,0),"")</f>
        <v>unused_SDMMC1_CLK</v>
      </c>
      <c r="S332" t="str">
        <f ca="1">IF(ISNUMBER(N332),OFFSET('MPIO_SFIO Table'!$AJ$11,N332,0),"")</f>
        <v/>
      </c>
      <c r="T332" t="str">
        <f ca="1">IF(ISNUMBER(O332),OFFSET('MPIO_SFIO Table'!$AJ$11,O332,0),"")</f>
        <v/>
      </c>
      <c r="U332" t="str">
        <f ca="1">IF(ISNUMBER(P332),OFFSET('MPIO_SFIO Table'!$AJ$11,P332,0),"")</f>
        <v/>
      </c>
      <c r="V332" t="str">
        <f ca="1">IF(ISNUMBER(Q332),OFFSET('MPIO_SFIO Table'!$AJ$11,Q332,0),"")</f>
        <v/>
      </c>
      <c r="W332">
        <f t="shared" ca="1" si="51"/>
        <v>0</v>
      </c>
      <c r="X332">
        <f t="shared" ca="1" si="52"/>
        <v>0</v>
      </c>
      <c r="Y332">
        <f t="shared" ca="1" si="53"/>
        <v>0</v>
      </c>
      <c r="Z332">
        <f t="shared" ca="1" si="54"/>
        <v>0</v>
      </c>
      <c r="AA332">
        <f t="shared" ca="1" si="55"/>
        <v>0</v>
      </c>
    </row>
    <row r="333" spans="1:27" x14ac:dyDescent="0.25">
      <c r="A333">
        <f t="shared" ca="1" si="48"/>
        <v>0</v>
      </c>
      <c r="B333" t="str">
        <f t="shared" ca="1" si="49"/>
        <v/>
      </c>
      <c r="C333" t="str">
        <f t="shared" si="50"/>
        <v>GPIO</v>
      </c>
      <c r="D333" t="s">
        <v>253</v>
      </c>
      <c r="E333" t="s">
        <v>253</v>
      </c>
      <c r="F333" s="3" t="s">
        <v>2807</v>
      </c>
      <c r="G333" s="11" t="s">
        <v>924</v>
      </c>
      <c r="H333" s="11" t="s">
        <v>157</v>
      </c>
      <c r="I333" s="3" t="s">
        <v>253</v>
      </c>
      <c r="J333" s="3" t="s">
        <v>253</v>
      </c>
      <c r="K333" s="3" t="s">
        <v>253</v>
      </c>
      <c r="L333" s="3" t="s">
        <v>253</v>
      </c>
      <c r="M333">
        <f>IF(LEN(H333),MATCH(H333,'MPIO_SFIO Table'!$A$11:$A$65525,0)-1,"")</f>
        <v>155</v>
      </c>
      <c r="N333" t="str">
        <f>IF(LEN(I333),MATCH(I333,'MPIO_SFIO Table'!$A$11:$A$65525,0)-1,"")</f>
        <v/>
      </c>
      <c r="O333" t="str">
        <f>IF(LEN(J333),MATCH(J333,'MPIO_SFIO Table'!$A$11:$A$65525,0)-1,"")</f>
        <v/>
      </c>
      <c r="P333" t="str">
        <f>IF(LEN(K333),MATCH(K333,'MPIO_SFIO Table'!$A$11:$A$65525,0)-1,"")</f>
        <v/>
      </c>
      <c r="Q333" t="str">
        <f>IF(LEN(L333),MATCH(L333,'MPIO_SFIO Table'!$A$11:$A$65525,0)-1,"")</f>
        <v/>
      </c>
      <c r="R333" t="str">
        <f ca="1">IF(ISNUMBER(M333),OFFSET('MPIO_SFIO Table'!$AJ$11,M333,0),"")</f>
        <v>unused_SDMMC1_CMD</v>
      </c>
      <c r="S333" t="str">
        <f ca="1">IF(ISNUMBER(N333),OFFSET('MPIO_SFIO Table'!$AJ$11,N333,0),"")</f>
        <v/>
      </c>
      <c r="T333" t="str">
        <f ca="1">IF(ISNUMBER(O333),OFFSET('MPIO_SFIO Table'!$AJ$11,O333,0),"")</f>
        <v/>
      </c>
      <c r="U333" t="str">
        <f ca="1">IF(ISNUMBER(P333),OFFSET('MPIO_SFIO Table'!$AJ$11,P333,0),"")</f>
        <v/>
      </c>
      <c r="V333" t="str">
        <f ca="1">IF(ISNUMBER(Q333),OFFSET('MPIO_SFIO Table'!$AJ$11,Q333,0),"")</f>
        <v/>
      </c>
      <c r="W333">
        <f t="shared" ca="1" si="51"/>
        <v>0</v>
      </c>
      <c r="X333">
        <f t="shared" ca="1" si="52"/>
        <v>0</v>
      </c>
      <c r="Y333">
        <f t="shared" ca="1" si="53"/>
        <v>0</v>
      </c>
      <c r="Z333">
        <f t="shared" ca="1" si="54"/>
        <v>0</v>
      </c>
      <c r="AA333">
        <f t="shared" ca="1" si="55"/>
        <v>0</v>
      </c>
    </row>
    <row r="334" spans="1:27" x14ac:dyDescent="0.25">
      <c r="A334">
        <f t="shared" ca="1" si="48"/>
        <v>0</v>
      </c>
      <c r="B334" t="str">
        <f t="shared" ca="1" si="49"/>
        <v/>
      </c>
      <c r="C334" t="str">
        <f t="shared" si="50"/>
        <v>GPIO</v>
      </c>
      <c r="D334" t="s">
        <v>253</v>
      </c>
      <c r="E334" t="s">
        <v>253</v>
      </c>
      <c r="F334" s="3" t="s">
        <v>2808</v>
      </c>
      <c r="G334" s="11" t="s">
        <v>905</v>
      </c>
      <c r="H334" s="11" t="s">
        <v>138</v>
      </c>
      <c r="I334" s="3" t="s">
        <v>253</v>
      </c>
      <c r="J334" s="3" t="s">
        <v>253</v>
      </c>
      <c r="K334" s="3" t="s">
        <v>253</v>
      </c>
      <c r="L334" s="3" t="s">
        <v>253</v>
      </c>
      <c r="M334">
        <f>IF(LEN(H334),MATCH(H334,'MPIO_SFIO Table'!$A$11:$A$65525,0)-1,"")</f>
        <v>134</v>
      </c>
      <c r="N334" t="str">
        <f>IF(LEN(I334),MATCH(I334,'MPIO_SFIO Table'!$A$11:$A$65525,0)-1,"")</f>
        <v/>
      </c>
      <c r="O334" t="str">
        <f>IF(LEN(J334),MATCH(J334,'MPIO_SFIO Table'!$A$11:$A$65525,0)-1,"")</f>
        <v/>
      </c>
      <c r="P334" t="str">
        <f>IF(LEN(K334),MATCH(K334,'MPIO_SFIO Table'!$A$11:$A$65525,0)-1,"")</f>
        <v/>
      </c>
      <c r="Q334" t="str">
        <f>IF(LEN(L334),MATCH(L334,'MPIO_SFIO Table'!$A$11:$A$65525,0)-1,"")</f>
        <v/>
      </c>
      <c r="R334" t="str">
        <f ca="1">IF(ISNUMBER(M334),OFFSET('MPIO_SFIO Table'!$AJ$11,M334,0),"")</f>
        <v>unused_LCD_SDIN</v>
      </c>
      <c r="S334" t="str">
        <f ca="1">IF(ISNUMBER(N334),OFFSET('MPIO_SFIO Table'!$AJ$11,N334,0),"")</f>
        <v/>
      </c>
      <c r="T334" t="str">
        <f ca="1">IF(ISNUMBER(O334),OFFSET('MPIO_SFIO Table'!$AJ$11,O334,0),"")</f>
        <v/>
      </c>
      <c r="U334" t="str">
        <f ca="1">IF(ISNUMBER(P334),OFFSET('MPIO_SFIO Table'!$AJ$11,P334,0),"")</f>
        <v/>
      </c>
      <c r="V334" t="str">
        <f ca="1">IF(ISNUMBER(Q334),OFFSET('MPIO_SFIO Table'!$AJ$11,Q334,0),"")</f>
        <v/>
      </c>
      <c r="W334">
        <f t="shared" ca="1" si="51"/>
        <v>0</v>
      </c>
      <c r="X334">
        <f t="shared" ca="1" si="52"/>
        <v>0</v>
      </c>
      <c r="Y334">
        <f t="shared" ca="1" si="53"/>
        <v>0</v>
      </c>
      <c r="Z334">
        <f t="shared" ca="1" si="54"/>
        <v>0</v>
      </c>
      <c r="AA334">
        <f t="shared" ca="1" si="55"/>
        <v>0</v>
      </c>
    </row>
    <row r="335" spans="1:27" x14ac:dyDescent="0.25">
      <c r="A335">
        <f t="shared" ca="1" si="48"/>
        <v>0</v>
      </c>
      <c r="B335" t="str">
        <f t="shared" ca="1" si="49"/>
        <v/>
      </c>
      <c r="C335" t="str">
        <f t="shared" si="50"/>
        <v>GPIO</v>
      </c>
      <c r="D335" t="s">
        <v>253</v>
      </c>
      <c r="E335" t="s">
        <v>253</v>
      </c>
      <c r="F335" s="3" t="s">
        <v>2809</v>
      </c>
      <c r="G335" s="11" t="s">
        <v>908</v>
      </c>
      <c r="H335" s="11" t="s">
        <v>141</v>
      </c>
      <c r="I335" s="3" t="s">
        <v>253</v>
      </c>
      <c r="J335" s="3" t="s">
        <v>253</v>
      </c>
      <c r="K335" s="3" t="s">
        <v>253</v>
      </c>
      <c r="L335" s="3" t="s">
        <v>253</v>
      </c>
      <c r="M335">
        <f>IF(LEN(H335),MATCH(H335,'MPIO_SFIO Table'!$A$11:$A$65525,0)-1,"")</f>
        <v>137</v>
      </c>
      <c r="N335" t="str">
        <f>IF(LEN(I335),MATCH(I335,'MPIO_SFIO Table'!$A$11:$A$65525,0)-1,"")</f>
        <v/>
      </c>
      <c r="O335" t="str">
        <f>IF(LEN(J335),MATCH(J335,'MPIO_SFIO Table'!$A$11:$A$65525,0)-1,"")</f>
        <v/>
      </c>
      <c r="P335" t="str">
        <f>IF(LEN(K335),MATCH(K335,'MPIO_SFIO Table'!$A$11:$A$65525,0)-1,"")</f>
        <v/>
      </c>
      <c r="Q335" t="str">
        <f>IF(LEN(L335),MATCH(L335,'MPIO_SFIO Table'!$A$11:$A$65525,0)-1,"")</f>
        <v/>
      </c>
      <c r="R335" t="str">
        <f ca="1">IF(ISNUMBER(M335),OFFSET('MPIO_SFIO Table'!$AJ$11,M335,0),"")</f>
        <v>unused_LCD_WR_N</v>
      </c>
      <c r="S335" t="str">
        <f ca="1">IF(ISNUMBER(N335),OFFSET('MPIO_SFIO Table'!$AJ$11,N335,0),"")</f>
        <v/>
      </c>
      <c r="T335" t="str">
        <f ca="1">IF(ISNUMBER(O335),OFFSET('MPIO_SFIO Table'!$AJ$11,O335,0),"")</f>
        <v/>
      </c>
      <c r="U335" t="str">
        <f ca="1">IF(ISNUMBER(P335),OFFSET('MPIO_SFIO Table'!$AJ$11,P335,0),"")</f>
        <v/>
      </c>
      <c r="V335" t="str">
        <f ca="1">IF(ISNUMBER(Q335),OFFSET('MPIO_SFIO Table'!$AJ$11,Q335,0),"")</f>
        <v/>
      </c>
      <c r="W335">
        <f t="shared" ca="1" si="51"/>
        <v>0</v>
      </c>
      <c r="X335">
        <f t="shared" ca="1" si="52"/>
        <v>0</v>
      </c>
      <c r="Y335">
        <f t="shared" ca="1" si="53"/>
        <v>0</v>
      </c>
      <c r="Z335">
        <f t="shared" ca="1" si="54"/>
        <v>0</v>
      </c>
      <c r="AA335">
        <f t="shared" ca="1" si="55"/>
        <v>0</v>
      </c>
    </row>
    <row r="336" spans="1:27" x14ac:dyDescent="0.25">
      <c r="A336">
        <f t="shared" ca="1" si="48"/>
        <v>0</v>
      </c>
      <c r="B336" t="str">
        <f t="shared" ca="1" si="49"/>
        <v/>
      </c>
      <c r="C336" t="str">
        <f t="shared" si="50"/>
        <v>GPIO</v>
      </c>
      <c r="D336" t="s">
        <v>253</v>
      </c>
      <c r="E336" t="s">
        <v>253</v>
      </c>
      <c r="F336" s="3" t="s">
        <v>2810</v>
      </c>
      <c r="G336" s="11" t="s">
        <v>904</v>
      </c>
      <c r="H336" s="11" t="s">
        <v>137</v>
      </c>
      <c r="I336" s="3" t="s">
        <v>253</v>
      </c>
      <c r="J336" s="3" t="s">
        <v>253</v>
      </c>
      <c r="K336" s="3" t="s">
        <v>253</v>
      </c>
      <c r="L336" s="3" t="s">
        <v>253</v>
      </c>
      <c r="M336">
        <f>IF(LEN(H336),MATCH(H336,'MPIO_SFIO Table'!$A$11:$A$65525,0)-1,"")</f>
        <v>133</v>
      </c>
      <c r="N336" t="str">
        <f>IF(LEN(I336),MATCH(I336,'MPIO_SFIO Table'!$A$11:$A$65525,0)-1,"")</f>
        <v/>
      </c>
      <c r="O336" t="str">
        <f>IF(LEN(J336),MATCH(J336,'MPIO_SFIO Table'!$A$11:$A$65525,0)-1,"")</f>
        <v/>
      </c>
      <c r="P336" t="str">
        <f>IF(LEN(K336),MATCH(K336,'MPIO_SFIO Table'!$A$11:$A$65525,0)-1,"")</f>
        <v/>
      </c>
      <c r="Q336" t="str">
        <f>IF(LEN(L336),MATCH(L336,'MPIO_SFIO Table'!$A$11:$A$65525,0)-1,"")</f>
        <v/>
      </c>
      <c r="R336" t="str">
        <f ca="1">IF(ISNUMBER(M336),OFFSET('MPIO_SFIO Table'!$AJ$11,M336,0),"")</f>
        <v>unused_LCD_SCK</v>
      </c>
      <c r="S336" t="str">
        <f ca="1">IF(ISNUMBER(N336),OFFSET('MPIO_SFIO Table'!$AJ$11,N336,0),"")</f>
        <v/>
      </c>
      <c r="T336" t="str">
        <f ca="1">IF(ISNUMBER(O336),OFFSET('MPIO_SFIO Table'!$AJ$11,O336,0),"")</f>
        <v/>
      </c>
      <c r="U336" t="str">
        <f ca="1">IF(ISNUMBER(P336),OFFSET('MPIO_SFIO Table'!$AJ$11,P336,0),"")</f>
        <v/>
      </c>
      <c r="V336" t="str">
        <f ca="1">IF(ISNUMBER(Q336),OFFSET('MPIO_SFIO Table'!$AJ$11,Q336,0),"")</f>
        <v/>
      </c>
      <c r="W336">
        <f t="shared" ca="1" si="51"/>
        <v>0</v>
      </c>
      <c r="X336">
        <f t="shared" ca="1" si="52"/>
        <v>0</v>
      </c>
      <c r="Y336">
        <f t="shared" ca="1" si="53"/>
        <v>0</v>
      </c>
      <c r="Z336">
        <f t="shared" ca="1" si="54"/>
        <v>0</v>
      </c>
      <c r="AA336">
        <f t="shared" ca="1" si="55"/>
        <v>0</v>
      </c>
    </row>
    <row r="337" spans="1:27" x14ac:dyDescent="0.25">
      <c r="A337">
        <f t="shared" ca="1" si="48"/>
        <v>0</v>
      </c>
      <c r="B337" t="str">
        <f t="shared" ca="1" si="49"/>
        <v/>
      </c>
      <c r="C337" t="str">
        <f t="shared" si="50"/>
        <v>GPIO</v>
      </c>
      <c r="D337" t="s">
        <v>253</v>
      </c>
      <c r="E337" t="s">
        <v>253</v>
      </c>
      <c r="F337" s="3" t="s">
        <v>2811</v>
      </c>
      <c r="G337" s="11" t="s">
        <v>978</v>
      </c>
      <c r="H337" s="11" t="s">
        <v>212</v>
      </c>
      <c r="I337" s="3" t="s">
        <v>253</v>
      </c>
      <c r="J337" s="3" t="s">
        <v>253</v>
      </c>
      <c r="K337" s="3" t="s">
        <v>253</v>
      </c>
      <c r="L337" s="3" t="s">
        <v>253</v>
      </c>
      <c r="M337">
        <f>IF(LEN(H337),MATCH(H337,'MPIO_SFIO Table'!$A$11:$A$65525,0)-1,"")</f>
        <v>227</v>
      </c>
      <c r="N337" t="str">
        <f>IF(LEN(I337),MATCH(I337,'MPIO_SFIO Table'!$A$11:$A$65525,0)-1,"")</f>
        <v/>
      </c>
      <c r="O337" t="str">
        <f>IF(LEN(J337),MATCH(J337,'MPIO_SFIO Table'!$A$11:$A$65525,0)-1,"")</f>
        <v/>
      </c>
      <c r="P337" t="str">
        <f>IF(LEN(K337),MATCH(K337,'MPIO_SFIO Table'!$A$11:$A$65525,0)-1,"")</f>
        <v/>
      </c>
      <c r="Q337" t="str">
        <f>IF(LEN(L337),MATCH(L337,'MPIO_SFIO Table'!$A$11:$A$65525,0)-1,"")</f>
        <v/>
      </c>
      <c r="R337" t="str">
        <f ca="1">IF(ISNUMBER(M337),OFFSET('MPIO_SFIO Table'!$AJ$11,M337,0),"")</f>
        <v>unused_SYS_CLK_REQ</v>
      </c>
      <c r="S337" t="str">
        <f ca="1">IF(ISNUMBER(N337),OFFSET('MPIO_SFIO Table'!$AJ$11,N337,0),"")</f>
        <v/>
      </c>
      <c r="T337" t="str">
        <f ca="1">IF(ISNUMBER(O337),OFFSET('MPIO_SFIO Table'!$AJ$11,O337,0),"")</f>
        <v/>
      </c>
      <c r="U337" t="str">
        <f ca="1">IF(ISNUMBER(P337),OFFSET('MPIO_SFIO Table'!$AJ$11,P337,0),"")</f>
        <v/>
      </c>
      <c r="V337" t="str">
        <f ca="1">IF(ISNUMBER(Q337),OFFSET('MPIO_SFIO Table'!$AJ$11,Q337,0),"")</f>
        <v/>
      </c>
      <c r="W337">
        <f t="shared" ca="1" si="51"/>
        <v>0</v>
      </c>
      <c r="X337">
        <f t="shared" ca="1" si="52"/>
        <v>0</v>
      </c>
      <c r="Y337">
        <f t="shared" ca="1" si="53"/>
        <v>0</v>
      </c>
      <c r="Z337">
        <f t="shared" ca="1" si="54"/>
        <v>0</v>
      </c>
      <c r="AA337">
        <f t="shared" ca="1" si="55"/>
        <v>0</v>
      </c>
    </row>
    <row r="338" spans="1:27" x14ac:dyDescent="0.25">
      <c r="A338">
        <f t="shared" ca="1" si="48"/>
        <v>0</v>
      </c>
      <c r="B338" t="str">
        <f t="shared" ca="1" si="49"/>
        <v/>
      </c>
      <c r="C338" t="str">
        <f t="shared" si="50"/>
        <v>GPIO</v>
      </c>
      <c r="D338" t="s">
        <v>253</v>
      </c>
      <c r="E338" t="s">
        <v>253</v>
      </c>
      <c r="F338" s="3" t="s">
        <v>2812</v>
      </c>
      <c r="G338" s="11" t="s">
        <v>976</v>
      </c>
      <c r="H338" s="11" t="s">
        <v>210</v>
      </c>
      <c r="I338" s="3" t="s">
        <v>253</v>
      </c>
      <c r="J338" s="3" t="s">
        <v>253</v>
      </c>
      <c r="K338" s="3" t="s">
        <v>253</v>
      </c>
      <c r="L338" s="3" t="s">
        <v>253</v>
      </c>
      <c r="M338">
        <f>IF(LEN(H338),MATCH(H338,'MPIO_SFIO Table'!$A$11:$A$65525,0)-1,"")</f>
        <v>225</v>
      </c>
      <c r="N338" t="str">
        <f>IF(LEN(I338),MATCH(I338,'MPIO_SFIO Table'!$A$11:$A$65525,0)-1,"")</f>
        <v/>
      </c>
      <c r="O338" t="str">
        <f>IF(LEN(J338),MATCH(J338,'MPIO_SFIO Table'!$A$11:$A$65525,0)-1,"")</f>
        <v/>
      </c>
      <c r="P338" t="str">
        <f>IF(LEN(K338),MATCH(K338,'MPIO_SFIO Table'!$A$11:$A$65525,0)-1,"")</f>
        <v/>
      </c>
      <c r="Q338" t="str">
        <f>IF(LEN(L338),MATCH(L338,'MPIO_SFIO Table'!$A$11:$A$65525,0)-1,"")</f>
        <v/>
      </c>
      <c r="R338" t="str">
        <f ca="1">IF(ISNUMBER(M338),OFFSET('MPIO_SFIO Table'!$AJ$11,M338,0),"")</f>
        <v>unused_PWR_I2C_SCL</v>
      </c>
      <c r="S338" t="str">
        <f ca="1">IF(ISNUMBER(N338),OFFSET('MPIO_SFIO Table'!$AJ$11,N338,0),"")</f>
        <v/>
      </c>
      <c r="T338" t="str">
        <f ca="1">IF(ISNUMBER(O338),OFFSET('MPIO_SFIO Table'!$AJ$11,O338,0),"")</f>
        <v/>
      </c>
      <c r="U338" t="str">
        <f ca="1">IF(ISNUMBER(P338),OFFSET('MPIO_SFIO Table'!$AJ$11,P338,0),"")</f>
        <v/>
      </c>
      <c r="V338" t="str">
        <f ca="1">IF(ISNUMBER(Q338),OFFSET('MPIO_SFIO Table'!$AJ$11,Q338,0),"")</f>
        <v/>
      </c>
      <c r="W338">
        <f t="shared" ca="1" si="51"/>
        <v>0</v>
      </c>
      <c r="X338">
        <f t="shared" ca="1" si="52"/>
        <v>0</v>
      </c>
      <c r="Y338">
        <f t="shared" ca="1" si="53"/>
        <v>0</v>
      </c>
      <c r="Z338">
        <f t="shared" ca="1" si="54"/>
        <v>0</v>
      </c>
      <c r="AA338">
        <f t="shared" ca="1" si="55"/>
        <v>0</v>
      </c>
    </row>
    <row r="339" spans="1:27" x14ac:dyDescent="0.25">
      <c r="A339">
        <f t="shared" ca="1" si="48"/>
        <v>0</v>
      </c>
      <c r="B339" t="str">
        <f t="shared" ca="1" si="49"/>
        <v/>
      </c>
      <c r="C339" t="str">
        <f t="shared" si="50"/>
        <v>GPIO</v>
      </c>
      <c r="D339" t="s">
        <v>253</v>
      </c>
      <c r="E339" t="s">
        <v>253</v>
      </c>
      <c r="F339" s="3" t="s">
        <v>2813</v>
      </c>
      <c r="G339" s="11" t="s">
        <v>977</v>
      </c>
      <c r="H339" s="11" t="s">
        <v>211</v>
      </c>
      <c r="I339" s="3" t="s">
        <v>253</v>
      </c>
      <c r="J339" s="3" t="s">
        <v>253</v>
      </c>
      <c r="K339" s="3" t="s">
        <v>253</v>
      </c>
      <c r="L339" s="3" t="s">
        <v>253</v>
      </c>
      <c r="M339">
        <f>IF(LEN(H339),MATCH(H339,'MPIO_SFIO Table'!$A$11:$A$65525,0)-1,"")</f>
        <v>226</v>
      </c>
      <c r="N339" t="str">
        <f>IF(LEN(I339),MATCH(I339,'MPIO_SFIO Table'!$A$11:$A$65525,0)-1,"")</f>
        <v/>
      </c>
      <c r="O339" t="str">
        <f>IF(LEN(J339),MATCH(J339,'MPIO_SFIO Table'!$A$11:$A$65525,0)-1,"")</f>
        <v/>
      </c>
      <c r="P339" t="str">
        <f>IF(LEN(K339),MATCH(K339,'MPIO_SFIO Table'!$A$11:$A$65525,0)-1,"")</f>
        <v/>
      </c>
      <c r="Q339" t="str">
        <f>IF(LEN(L339),MATCH(L339,'MPIO_SFIO Table'!$A$11:$A$65525,0)-1,"")</f>
        <v/>
      </c>
      <c r="R339" t="str">
        <f ca="1">IF(ISNUMBER(M339),OFFSET('MPIO_SFIO Table'!$AJ$11,M339,0),"")</f>
        <v>unused_PWR_I2C_SDA</v>
      </c>
      <c r="S339" t="str">
        <f ca="1">IF(ISNUMBER(N339),OFFSET('MPIO_SFIO Table'!$AJ$11,N339,0),"")</f>
        <v/>
      </c>
      <c r="T339" t="str">
        <f ca="1">IF(ISNUMBER(O339),OFFSET('MPIO_SFIO Table'!$AJ$11,O339,0),"")</f>
        <v/>
      </c>
      <c r="U339" t="str">
        <f ca="1">IF(ISNUMBER(P339),OFFSET('MPIO_SFIO Table'!$AJ$11,P339,0),"")</f>
        <v/>
      </c>
      <c r="V339" t="str">
        <f ca="1">IF(ISNUMBER(Q339),OFFSET('MPIO_SFIO Table'!$AJ$11,Q339,0),"")</f>
        <v/>
      </c>
      <c r="W339">
        <f t="shared" ca="1" si="51"/>
        <v>0</v>
      </c>
      <c r="X339">
        <f t="shared" ca="1" si="52"/>
        <v>0</v>
      </c>
      <c r="Y339">
        <f t="shared" ca="1" si="53"/>
        <v>0</v>
      </c>
      <c r="Z339">
        <f t="shared" ca="1" si="54"/>
        <v>0</v>
      </c>
      <c r="AA339">
        <f t="shared" ca="1" si="55"/>
        <v>0</v>
      </c>
    </row>
    <row r="340" spans="1:27" x14ac:dyDescent="0.25">
      <c r="A340">
        <f t="shared" ca="1" si="48"/>
        <v>0</v>
      </c>
      <c r="B340" t="str">
        <f t="shared" ca="1" si="49"/>
        <v/>
      </c>
      <c r="C340" t="str">
        <f t="shared" si="50"/>
        <v/>
      </c>
      <c r="D340" t="s">
        <v>2480</v>
      </c>
      <c r="E340" t="s">
        <v>1026</v>
      </c>
      <c r="F340" s="3" t="s">
        <v>253</v>
      </c>
      <c r="G340" s="11" t="s">
        <v>253</v>
      </c>
      <c r="H340" s="11" t="s">
        <v>253</v>
      </c>
      <c r="I340" s="3" t="s">
        <v>253</v>
      </c>
      <c r="J340" s="3" t="s">
        <v>253</v>
      </c>
      <c r="K340" s="3" t="s">
        <v>253</v>
      </c>
      <c r="L340" s="3" t="s">
        <v>253</v>
      </c>
      <c r="M340" t="str">
        <f>IF(LEN(H340),MATCH(H340,'MPIO_SFIO Table'!$A$11:$A$65525,0)-1,"")</f>
        <v/>
      </c>
      <c r="N340" t="str">
        <f>IF(LEN(I340),MATCH(I340,'MPIO_SFIO Table'!$A$11:$A$65525,0)-1,"")</f>
        <v/>
      </c>
      <c r="O340" t="str">
        <f>IF(LEN(J340),MATCH(J340,'MPIO_SFIO Table'!$A$11:$A$65525,0)-1,"")</f>
        <v/>
      </c>
      <c r="P340" t="str">
        <f>IF(LEN(K340),MATCH(K340,'MPIO_SFIO Table'!$A$11:$A$65525,0)-1,"")</f>
        <v/>
      </c>
      <c r="Q340" t="str">
        <f>IF(LEN(L340),MATCH(L340,'MPIO_SFIO Table'!$A$11:$A$65525,0)-1,"")</f>
        <v/>
      </c>
      <c r="R340" t="str">
        <f ca="1">IF(ISNUMBER(M340),OFFSET('MPIO_SFIO Table'!$AJ$11,M340,0),"")</f>
        <v/>
      </c>
      <c r="S340" t="str">
        <f ca="1">IF(ISNUMBER(N340),OFFSET('MPIO_SFIO Table'!$AJ$11,N340,0),"")</f>
        <v/>
      </c>
      <c r="T340" t="str">
        <f ca="1">IF(ISNUMBER(O340),OFFSET('MPIO_SFIO Table'!$AJ$11,O340,0),"")</f>
        <v/>
      </c>
      <c r="U340" t="str">
        <f ca="1">IF(ISNUMBER(P340),OFFSET('MPIO_SFIO Table'!$AJ$11,P340,0),"")</f>
        <v/>
      </c>
      <c r="V340" t="str">
        <f ca="1">IF(ISNUMBER(Q340),OFFSET('MPIO_SFIO Table'!$AJ$11,Q340,0),"")</f>
        <v/>
      </c>
      <c r="W340">
        <f t="shared" ca="1" si="51"/>
        <v>0</v>
      </c>
      <c r="X340">
        <f t="shared" ca="1" si="52"/>
        <v>0</v>
      </c>
      <c r="Y340">
        <f t="shared" ca="1" si="53"/>
        <v>0</v>
      </c>
      <c r="Z340">
        <f t="shared" ca="1" si="54"/>
        <v>0</v>
      </c>
      <c r="AA340">
        <f t="shared" ca="1" si="55"/>
        <v>0</v>
      </c>
    </row>
    <row r="341" spans="1:27" x14ac:dyDescent="0.25">
      <c r="A341">
        <f t="shared" ca="1" si="48"/>
        <v>0</v>
      </c>
      <c r="B341" t="str">
        <f t="shared" ca="1" si="49"/>
        <v/>
      </c>
      <c r="C341" t="str">
        <f t="shared" si="50"/>
        <v>HDA</v>
      </c>
      <c r="D341" t="s">
        <v>253</v>
      </c>
      <c r="E341" t="s">
        <v>253</v>
      </c>
      <c r="F341" s="3" t="s">
        <v>2814</v>
      </c>
      <c r="G341" s="11" t="s">
        <v>281</v>
      </c>
      <c r="H341" s="11" t="s">
        <v>13</v>
      </c>
      <c r="I341" s="3" t="s">
        <v>253</v>
      </c>
      <c r="J341" s="3" t="s">
        <v>253</v>
      </c>
      <c r="K341" s="3" t="s">
        <v>253</v>
      </c>
      <c r="L341" s="3" t="s">
        <v>253</v>
      </c>
      <c r="M341">
        <f>IF(LEN(H341),MATCH(H341,'MPIO_SFIO Table'!$A$11:$A$65525,0)-1,"")</f>
        <v>5</v>
      </c>
      <c r="N341" t="str">
        <f>IF(LEN(I341),MATCH(I341,'MPIO_SFIO Table'!$A$11:$A$65525,0)-1,"")</f>
        <v/>
      </c>
      <c r="O341" t="str">
        <f>IF(LEN(J341),MATCH(J341,'MPIO_SFIO Table'!$A$11:$A$65525,0)-1,"")</f>
        <v/>
      </c>
      <c r="P341" t="str">
        <f>IF(LEN(K341),MATCH(K341,'MPIO_SFIO Table'!$A$11:$A$65525,0)-1,"")</f>
        <v/>
      </c>
      <c r="Q341" t="str">
        <f>IF(LEN(L341),MATCH(L341,'MPIO_SFIO Table'!$A$11:$A$65525,0)-1,"")</f>
        <v/>
      </c>
      <c r="R341" t="str">
        <f ca="1">IF(ISNUMBER(M341),OFFSET('MPIO_SFIO Table'!$AJ$11,M341,0),"")</f>
        <v>unused_DAP1_SCLK</v>
      </c>
      <c r="S341" t="str">
        <f ca="1">IF(ISNUMBER(N341),OFFSET('MPIO_SFIO Table'!$AJ$11,N341,0),"")</f>
        <v/>
      </c>
      <c r="T341" t="str">
        <f ca="1">IF(ISNUMBER(O341),OFFSET('MPIO_SFIO Table'!$AJ$11,O341,0),"")</f>
        <v/>
      </c>
      <c r="U341" t="str">
        <f ca="1">IF(ISNUMBER(P341),OFFSET('MPIO_SFIO Table'!$AJ$11,P341,0),"")</f>
        <v/>
      </c>
      <c r="V341" t="str">
        <f ca="1">IF(ISNUMBER(Q341),OFFSET('MPIO_SFIO Table'!$AJ$11,Q341,0),"")</f>
        <v/>
      </c>
      <c r="W341">
        <f t="shared" ca="1" si="51"/>
        <v>0</v>
      </c>
      <c r="X341">
        <f t="shared" ca="1" si="52"/>
        <v>0</v>
      </c>
      <c r="Y341">
        <f t="shared" ca="1" si="53"/>
        <v>0</v>
      </c>
      <c r="Z341">
        <f t="shared" ca="1" si="54"/>
        <v>0</v>
      </c>
      <c r="AA341">
        <f t="shared" ca="1" si="55"/>
        <v>0</v>
      </c>
    </row>
    <row r="342" spans="1:27" x14ac:dyDescent="0.25">
      <c r="A342">
        <f t="shared" ca="1" si="48"/>
        <v>0</v>
      </c>
      <c r="B342" t="str">
        <f t="shared" ca="1" si="49"/>
        <v/>
      </c>
      <c r="C342" t="str">
        <f t="shared" si="50"/>
        <v>HDA</v>
      </c>
      <c r="D342" t="s">
        <v>253</v>
      </c>
      <c r="E342" t="s">
        <v>253</v>
      </c>
      <c r="F342" s="3" t="s">
        <v>2372</v>
      </c>
      <c r="G342" s="11" t="s">
        <v>262</v>
      </c>
      <c r="H342" s="11" t="s">
        <v>9</v>
      </c>
      <c r="I342" s="3" t="s">
        <v>253</v>
      </c>
      <c r="J342" s="3" t="s">
        <v>253</v>
      </c>
      <c r="K342" s="3" t="s">
        <v>253</v>
      </c>
      <c r="L342" s="3" t="s">
        <v>253</v>
      </c>
      <c r="M342">
        <f>IF(LEN(H342),MATCH(H342,'MPIO_SFIO Table'!$A$11:$A$65525,0)-1,"")</f>
        <v>1</v>
      </c>
      <c r="N342" t="str">
        <f>IF(LEN(I342),MATCH(I342,'MPIO_SFIO Table'!$A$11:$A$65525,0)-1,"")</f>
        <v/>
      </c>
      <c r="O342" t="str">
        <f>IF(LEN(J342),MATCH(J342,'MPIO_SFIO Table'!$A$11:$A$65525,0)-1,"")</f>
        <v/>
      </c>
      <c r="P342" t="str">
        <f>IF(LEN(K342),MATCH(K342,'MPIO_SFIO Table'!$A$11:$A$65525,0)-1,"")</f>
        <v/>
      </c>
      <c r="Q342" t="str">
        <f>IF(LEN(L342),MATCH(L342,'MPIO_SFIO Table'!$A$11:$A$65525,0)-1,"")</f>
        <v/>
      </c>
      <c r="R342" t="str">
        <f ca="1">IF(ISNUMBER(M342),OFFSET('MPIO_SFIO Table'!$AJ$11,M342,0),"")</f>
        <v>unused_CLK1_REQ</v>
      </c>
      <c r="S342" t="str">
        <f ca="1">IF(ISNUMBER(N342),OFFSET('MPIO_SFIO Table'!$AJ$11,N342,0),"")</f>
        <v/>
      </c>
      <c r="T342" t="str">
        <f ca="1">IF(ISNUMBER(O342),OFFSET('MPIO_SFIO Table'!$AJ$11,O342,0),"")</f>
        <v/>
      </c>
      <c r="U342" t="str">
        <f ca="1">IF(ISNUMBER(P342),OFFSET('MPIO_SFIO Table'!$AJ$11,P342,0),"")</f>
        <v/>
      </c>
      <c r="V342" t="str">
        <f ca="1">IF(ISNUMBER(Q342),OFFSET('MPIO_SFIO Table'!$AJ$11,Q342,0),"")</f>
        <v/>
      </c>
      <c r="W342">
        <f t="shared" ca="1" si="51"/>
        <v>0</v>
      </c>
      <c r="X342">
        <f t="shared" ca="1" si="52"/>
        <v>0</v>
      </c>
      <c r="Y342">
        <f t="shared" ca="1" si="53"/>
        <v>0</v>
      </c>
      <c r="Z342">
        <f t="shared" ca="1" si="54"/>
        <v>0</v>
      </c>
      <c r="AA342">
        <f t="shared" ca="1" si="55"/>
        <v>0</v>
      </c>
    </row>
    <row r="343" spans="1:27" x14ac:dyDescent="0.25">
      <c r="A343">
        <f t="shared" ca="1" si="48"/>
        <v>0</v>
      </c>
      <c r="B343" t="str">
        <f t="shared" ca="1" si="49"/>
        <v/>
      </c>
      <c r="C343" t="str">
        <f t="shared" si="50"/>
        <v>HDA</v>
      </c>
      <c r="D343" t="s">
        <v>253</v>
      </c>
      <c r="E343" t="s">
        <v>253</v>
      </c>
      <c r="F343" s="3" t="s">
        <v>2815</v>
      </c>
      <c r="G343" s="11" t="s">
        <v>267</v>
      </c>
      <c r="H343" s="11" t="s">
        <v>10</v>
      </c>
      <c r="I343" s="3" t="s">
        <v>253</v>
      </c>
      <c r="J343" s="3" t="s">
        <v>253</v>
      </c>
      <c r="K343" s="3" t="s">
        <v>253</v>
      </c>
      <c r="L343" s="3" t="s">
        <v>253</v>
      </c>
      <c r="M343">
        <f>IF(LEN(H343),MATCH(H343,'MPIO_SFIO Table'!$A$11:$A$65525,0)-1,"")</f>
        <v>2</v>
      </c>
      <c r="N343" t="str">
        <f>IF(LEN(I343),MATCH(I343,'MPIO_SFIO Table'!$A$11:$A$65525,0)-1,"")</f>
        <v/>
      </c>
      <c r="O343" t="str">
        <f>IF(LEN(J343),MATCH(J343,'MPIO_SFIO Table'!$A$11:$A$65525,0)-1,"")</f>
        <v/>
      </c>
      <c r="P343" t="str">
        <f>IF(LEN(K343),MATCH(K343,'MPIO_SFIO Table'!$A$11:$A$65525,0)-1,"")</f>
        <v/>
      </c>
      <c r="Q343" t="str">
        <f>IF(LEN(L343),MATCH(L343,'MPIO_SFIO Table'!$A$11:$A$65525,0)-1,"")</f>
        <v/>
      </c>
      <c r="R343" t="str">
        <f ca="1">IF(ISNUMBER(M343),OFFSET('MPIO_SFIO Table'!$AJ$11,M343,0),"")</f>
        <v>unused_DAP1_DIN</v>
      </c>
      <c r="S343" t="str">
        <f ca="1">IF(ISNUMBER(N343),OFFSET('MPIO_SFIO Table'!$AJ$11,N343,0),"")</f>
        <v/>
      </c>
      <c r="T343" t="str">
        <f ca="1">IF(ISNUMBER(O343),OFFSET('MPIO_SFIO Table'!$AJ$11,O343,0),"")</f>
        <v/>
      </c>
      <c r="U343" t="str">
        <f ca="1">IF(ISNUMBER(P343),OFFSET('MPIO_SFIO Table'!$AJ$11,P343,0),"")</f>
        <v/>
      </c>
      <c r="V343" t="str">
        <f ca="1">IF(ISNUMBER(Q343),OFFSET('MPIO_SFIO Table'!$AJ$11,Q343,0),"")</f>
        <v/>
      </c>
      <c r="W343">
        <f t="shared" ca="1" si="51"/>
        <v>0</v>
      </c>
      <c r="X343">
        <f t="shared" ca="1" si="52"/>
        <v>0</v>
      </c>
      <c r="Y343">
        <f t="shared" ca="1" si="53"/>
        <v>0</v>
      </c>
      <c r="Z343">
        <f t="shared" ca="1" si="54"/>
        <v>0</v>
      </c>
      <c r="AA343">
        <f t="shared" ca="1" si="55"/>
        <v>0</v>
      </c>
    </row>
    <row r="344" spans="1:27" x14ac:dyDescent="0.25">
      <c r="A344">
        <f t="shared" ca="1" si="48"/>
        <v>0</v>
      </c>
      <c r="B344" t="str">
        <f t="shared" ca="1" si="49"/>
        <v/>
      </c>
      <c r="C344" t="str">
        <f t="shared" si="50"/>
        <v>HDA</v>
      </c>
      <c r="D344" t="s">
        <v>253</v>
      </c>
      <c r="E344" t="s">
        <v>253</v>
      </c>
      <c r="F344" s="3" t="s">
        <v>2816</v>
      </c>
      <c r="G344" s="11" t="s">
        <v>273</v>
      </c>
      <c r="H344" s="11" t="s">
        <v>11</v>
      </c>
      <c r="I344" s="3" t="s">
        <v>253</v>
      </c>
      <c r="J344" s="3" t="s">
        <v>253</v>
      </c>
      <c r="K344" s="3" t="s">
        <v>253</v>
      </c>
      <c r="L344" s="3" t="s">
        <v>253</v>
      </c>
      <c r="M344">
        <f>IF(LEN(H344),MATCH(H344,'MPIO_SFIO Table'!$A$11:$A$65525,0)-1,"")</f>
        <v>3</v>
      </c>
      <c r="N344" t="str">
        <f>IF(LEN(I344),MATCH(I344,'MPIO_SFIO Table'!$A$11:$A$65525,0)-1,"")</f>
        <v/>
      </c>
      <c r="O344" t="str">
        <f>IF(LEN(J344),MATCH(J344,'MPIO_SFIO Table'!$A$11:$A$65525,0)-1,"")</f>
        <v/>
      </c>
      <c r="P344" t="str">
        <f>IF(LEN(K344),MATCH(K344,'MPIO_SFIO Table'!$A$11:$A$65525,0)-1,"")</f>
        <v/>
      </c>
      <c r="Q344" t="str">
        <f>IF(LEN(L344),MATCH(L344,'MPIO_SFIO Table'!$A$11:$A$65525,0)-1,"")</f>
        <v/>
      </c>
      <c r="R344" t="str">
        <f ca="1">IF(ISNUMBER(M344),OFFSET('MPIO_SFIO Table'!$AJ$11,M344,0),"")</f>
        <v>unused_DAP1_DOUT</v>
      </c>
      <c r="S344" t="str">
        <f ca="1">IF(ISNUMBER(N344),OFFSET('MPIO_SFIO Table'!$AJ$11,N344,0),"")</f>
        <v/>
      </c>
      <c r="T344" t="str">
        <f ca="1">IF(ISNUMBER(O344),OFFSET('MPIO_SFIO Table'!$AJ$11,O344,0),"")</f>
        <v/>
      </c>
      <c r="U344" t="str">
        <f ca="1">IF(ISNUMBER(P344),OFFSET('MPIO_SFIO Table'!$AJ$11,P344,0),"")</f>
        <v/>
      </c>
      <c r="V344" t="str">
        <f ca="1">IF(ISNUMBER(Q344),OFFSET('MPIO_SFIO Table'!$AJ$11,Q344,0),"")</f>
        <v/>
      </c>
      <c r="W344">
        <f t="shared" ca="1" si="51"/>
        <v>0</v>
      </c>
      <c r="X344">
        <f t="shared" ca="1" si="52"/>
        <v>0</v>
      </c>
      <c r="Y344">
        <f t="shared" ca="1" si="53"/>
        <v>0</v>
      </c>
      <c r="Z344">
        <f t="shared" ca="1" si="54"/>
        <v>0</v>
      </c>
      <c r="AA344">
        <f t="shared" ca="1" si="55"/>
        <v>0</v>
      </c>
    </row>
    <row r="345" spans="1:27" x14ac:dyDescent="0.25">
      <c r="A345">
        <f t="shared" ca="1" si="48"/>
        <v>0</v>
      </c>
      <c r="B345" t="str">
        <f t="shared" ca="1" si="49"/>
        <v/>
      </c>
      <c r="C345" t="str">
        <f t="shared" si="50"/>
        <v>HDA</v>
      </c>
      <c r="D345" t="s">
        <v>253</v>
      </c>
      <c r="E345" t="s">
        <v>253</v>
      </c>
      <c r="F345" s="3" t="s">
        <v>2817</v>
      </c>
      <c r="G345" s="11" t="s">
        <v>277</v>
      </c>
      <c r="H345" s="11" t="s">
        <v>12</v>
      </c>
      <c r="I345" s="3" t="s">
        <v>253</v>
      </c>
      <c r="J345" s="3" t="s">
        <v>253</v>
      </c>
      <c r="K345" s="3" t="s">
        <v>253</v>
      </c>
      <c r="L345" s="3" t="s">
        <v>253</v>
      </c>
      <c r="M345">
        <f>IF(LEN(H345),MATCH(H345,'MPIO_SFIO Table'!$A$11:$A$65525,0)-1,"")</f>
        <v>4</v>
      </c>
      <c r="N345" t="str">
        <f>IF(LEN(I345),MATCH(I345,'MPIO_SFIO Table'!$A$11:$A$65525,0)-1,"")</f>
        <v/>
      </c>
      <c r="O345" t="str">
        <f>IF(LEN(J345),MATCH(J345,'MPIO_SFIO Table'!$A$11:$A$65525,0)-1,"")</f>
        <v/>
      </c>
      <c r="P345" t="str">
        <f>IF(LEN(K345),MATCH(K345,'MPIO_SFIO Table'!$A$11:$A$65525,0)-1,"")</f>
        <v/>
      </c>
      <c r="Q345" t="str">
        <f>IF(LEN(L345),MATCH(L345,'MPIO_SFIO Table'!$A$11:$A$65525,0)-1,"")</f>
        <v/>
      </c>
      <c r="R345" t="str">
        <f ca="1">IF(ISNUMBER(M345),OFFSET('MPIO_SFIO Table'!$AJ$11,M345,0),"")</f>
        <v>unused_DAP1_FS</v>
      </c>
      <c r="S345" t="str">
        <f ca="1">IF(ISNUMBER(N345),OFFSET('MPIO_SFIO Table'!$AJ$11,N345,0),"")</f>
        <v/>
      </c>
      <c r="T345" t="str">
        <f ca="1">IF(ISNUMBER(O345),OFFSET('MPIO_SFIO Table'!$AJ$11,O345,0),"")</f>
        <v/>
      </c>
      <c r="U345" t="str">
        <f ca="1">IF(ISNUMBER(P345),OFFSET('MPIO_SFIO Table'!$AJ$11,P345,0),"")</f>
        <v/>
      </c>
      <c r="V345" t="str">
        <f ca="1">IF(ISNUMBER(Q345),OFFSET('MPIO_SFIO Table'!$AJ$11,Q345,0),"")</f>
        <v/>
      </c>
      <c r="W345">
        <f t="shared" ca="1" si="51"/>
        <v>0</v>
      </c>
      <c r="X345">
        <f t="shared" ca="1" si="52"/>
        <v>0</v>
      </c>
      <c r="Y345">
        <f t="shared" ca="1" si="53"/>
        <v>0</v>
      </c>
      <c r="Z345">
        <f t="shared" ca="1" si="54"/>
        <v>0</v>
      </c>
      <c r="AA345">
        <f t="shared" ca="1" si="55"/>
        <v>0</v>
      </c>
    </row>
    <row r="346" spans="1:27" x14ac:dyDescent="0.25">
      <c r="A346">
        <f t="shared" ca="1" si="48"/>
        <v>0</v>
      </c>
      <c r="B346" t="str">
        <f t="shared" ca="1" si="49"/>
        <v/>
      </c>
      <c r="C346" t="str">
        <f t="shared" si="50"/>
        <v/>
      </c>
      <c r="D346" t="s">
        <v>253</v>
      </c>
      <c r="E346" t="s">
        <v>1027</v>
      </c>
      <c r="F346" s="3" t="s">
        <v>253</v>
      </c>
      <c r="G346" s="11" t="s">
        <v>253</v>
      </c>
      <c r="H346" s="11" t="s">
        <v>253</v>
      </c>
      <c r="I346" s="3" t="s">
        <v>253</v>
      </c>
      <c r="J346" s="3" t="s">
        <v>253</v>
      </c>
      <c r="K346" s="3" t="s">
        <v>253</v>
      </c>
      <c r="L346" s="3" t="s">
        <v>253</v>
      </c>
      <c r="M346" t="str">
        <f>IF(LEN(H346),MATCH(H346,'MPIO_SFIO Table'!$A$11:$A$65525,0)-1,"")</f>
        <v/>
      </c>
      <c r="N346" t="str">
        <f>IF(LEN(I346),MATCH(I346,'MPIO_SFIO Table'!$A$11:$A$65525,0)-1,"")</f>
        <v/>
      </c>
      <c r="O346" t="str">
        <f>IF(LEN(J346),MATCH(J346,'MPIO_SFIO Table'!$A$11:$A$65525,0)-1,"")</f>
        <v/>
      </c>
      <c r="P346" t="str">
        <f>IF(LEN(K346),MATCH(K346,'MPIO_SFIO Table'!$A$11:$A$65525,0)-1,"")</f>
        <v/>
      </c>
      <c r="Q346" t="str">
        <f>IF(LEN(L346),MATCH(L346,'MPIO_SFIO Table'!$A$11:$A$65525,0)-1,"")</f>
        <v/>
      </c>
      <c r="R346" t="str">
        <f ca="1">IF(ISNUMBER(M346),OFFSET('MPIO_SFIO Table'!$AJ$11,M346,0),"")</f>
        <v/>
      </c>
      <c r="S346" t="str">
        <f ca="1">IF(ISNUMBER(N346),OFFSET('MPIO_SFIO Table'!$AJ$11,N346,0),"")</f>
        <v/>
      </c>
      <c r="T346" t="str">
        <f ca="1">IF(ISNUMBER(O346),OFFSET('MPIO_SFIO Table'!$AJ$11,O346,0),"")</f>
        <v/>
      </c>
      <c r="U346" t="str">
        <f ca="1">IF(ISNUMBER(P346),OFFSET('MPIO_SFIO Table'!$AJ$11,P346,0),"")</f>
        <v/>
      </c>
      <c r="V346" t="str">
        <f ca="1">IF(ISNUMBER(Q346),OFFSET('MPIO_SFIO Table'!$AJ$11,Q346,0),"")</f>
        <v/>
      </c>
      <c r="W346">
        <f t="shared" ca="1" si="51"/>
        <v>0</v>
      </c>
      <c r="X346">
        <f t="shared" ca="1" si="52"/>
        <v>0</v>
      </c>
      <c r="Y346">
        <f t="shared" ca="1" si="53"/>
        <v>0</v>
      </c>
      <c r="Z346">
        <f t="shared" ca="1" si="54"/>
        <v>0</v>
      </c>
      <c r="AA346">
        <f t="shared" ca="1" si="55"/>
        <v>0</v>
      </c>
    </row>
    <row r="347" spans="1:27" x14ac:dyDescent="0.25">
      <c r="A347">
        <f t="shared" ca="1" si="48"/>
        <v>0</v>
      </c>
      <c r="B347" t="str">
        <f t="shared" ca="1" si="49"/>
        <v/>
      </c>
      <c r="C347" t="str">
        <f t="shared" si="50"/>
        <v>HDA</v>
      </c>
      <c r="D347" t="s">
        <v>253</v>
      </c>
      <c r="E347" t="s">
        <v>253</v>
      </c>
      <c r="F347" s="3" t="s">
        <v>2814</v>
      </c>
      <c r="G347" s="11" t="s">
        <v>295</v>
      </c>
      <c r="H347" s="11" t="s">
        <v>17</v>
      </c>
      <c r="I347" s="3" t="s">
        <v>253</v>
      </c>
      <c r="J347" s="3" t="s">
        <v>253</v>
      </c>
      <c r="K347" s="3" t="s">
        <v>253</v>
      </c>
      <c r="L347" s="3" t="s">
        <v>253</v>
      </c>
      <c r="M347">
        <f>IF(LEN(H347),MATCH(H347,'MPIO_SFIO Table'!$A$11:$A$65525,0)-1,"")</f>
        <v>9</v>
      </c>
      <c r="N347" t="str">
        <f>IF(LEN(I347),MATCH(I347,'MPIO_SFIO Table'!$A$11:$A$65525,0)-1,"")</f>
        <v/>
      </c>
      <c r="O347" t="str">
        <f>IF(LEN(J347),MATCH(J347,'MPIO_SFIO Table'!$A$11:$A$65525,0)-1,"")</f>
        <v/>
      </c>
      <c r="P347" t="str">
        <f>IF(LEN(K347),MATCH(K347,'MPIO_SFIO Table'!$A$11:$A$65525,0)-1,"")</f>
        <v/>
      </c>
      <c r="Q347" t="str">
        <f>IF(LEN(L347),MATCH(L347,'MPIO_SFIO Table'!$A$11:$A$65525,0)-1,"")</f>
        <v/>
      </c>
      <c r="R347" t="str">
        <f ca="1">IF(ISNUMBER(M347),OFFSET('MPIO_SFIO Table'!$AJ$11,M347,0),"")</f>
        <v>unused_DAP2_SCLK</v>
      </c>
      <c r="S347" t="str">
        <f ca="1">IF(ISNUMBER(N347),OFFSET('MPIO_SFIO Table'!$AJ$11,N347,0),"")</f>
        <v/>
      </c>
      <c r="T347" t="str">
        <f ca="1">IF(ISNUMBER(O347),OFFSET('MPIO_SFIO Table'!$AJ$11,O347,0),"")</f>
        <v/>
      </c>
      <c r="U347" t="str">
        <f ca="1">IF(ISNUMBER(P347),OFFSET('MPIO_SFIO Table'!$AJ$11,P347,0),"")</f>
        <v/>
      </c>
      <c r="V347" t="str">
        <f ca="1">IF(ISNUMBER(Q347),OFFSET('MPIO_SFIO Table'!$AJ$11,Q347,0),"")</f>
        <v/>
      </c>
      <c r="W347">
        <f t="shared" ca="1" si="51"/>
        <v>0</v>
      </c>
      <c r="X347">
        <f t="shared" ca="1" si="52"/>
        <v>0</v>
      </c>
      <c r="Y347">
        <f t="shared" ca="1" si="53"/>
        <v>0</v>
      </c>
      <c r="Z347">
        <f t="shared" ca="1" si="54"/>
        <v>0</v>
      </c>
      <c r="AA347">
        <f t="shared" ca="1" si="55"/>
        <v>0</v>
      </c>
    </row>
    <row r="348" spans="1:27" x14ac:dyDescent="0.25">
      <c r="A348">
        <f t="shared" ca="1" si="48"/>
        <v>0</v>
      </c>
      <c r="B348" t="str">
        <f t="shared" ca="1" si="49"/>
        <v/>
      </c>
      <c r="C348" t="str">
        <f t="shared" si="50"/>
        <v>HDA</v>
      </c>
      <c r="D348" t="s">
        <v>253</v>
      </c>
      <c r="E348" t="s">
        <v>253</v>
      </c>
      <c r="F348" s="3" t="s">
        <v>2372</v>
      </c>
      <c r="G348" s="11" t="s">
        <v>298</v>
      </c>
      <c r="H348" s="11" t="s">
        <v>18</v>
      </c>
      <c r="I348" s="3" t="s">
        <v>253</v>
      </c>
      <c r="J348" s="3" t="s">
        <v>253</v>
      </c>
      <c r="K348" s="3" t="s">
        <v>253</v>
      </c>
      <c r="L348" s="3" t="s">
        <v>253</v>
      </c>
      <c r="M348">
        <f>IF(LEN(H348),MATCH(H348,'MPIO_SFIO Table'!$A$11:$A$65525,0)-1,"")</f>
        <v>10</v>
      </c>
      <c r="N348" t="str">
        <f>IF(LEN(I348),MATCH(I348,'MPIO_SFIO Table'!$A$11:$A$65525,0)-1,"")</f>
        <v/>
      </c>
      <c r="O348" t="str">
        <f>IF(LEN(J348),MATCH(J348,'MPIO_SFIO Table'!$A$11:$A$65525,0)-1,"")</f>
        <v/>
      </c>
      <c r="P348" t="str">
        <f>IF(LEN(K348),MATCH(K348,'MPIO_SFIO Table'!$A$11:$A$65525,0)-1,"")</f>
        <v/>
      </c>
      <c r="Q348" t="str">
        <f>IF(LEN(L348),MATCH(L348,'MPIO_SFIO Table'!$A$11:$A$65525,0)-1,"")</f>
        <v/>
      </c>
      <c r="R348" t="str">
        <f ca="1">IF(ISNUMBER(M348),OFFSET('MPIO_SFIO Table'!$AJ$11,M348,0),"")</f>
        <v>unused_SPDIF_IN</v>
      </c>
      <c r="S348" t="str">
        <f ca="1">IF(ISNUMBER(N348),OFFSET('MPIO_SFIO Table'!$AJ$11,N348,0),"")</f>
        <v/>
      </c>
      <c r="T348" t="str">
        <f ca="1">IF(ISNUMBER(O348),OFFSET('MPIO_SFIO Table'!$AJ$11,O348,0),"")</f>
        <v/>
      </c>
      <c r="U348" t="str">
        <f ca="1">IF(ISNUMBER(P348),OFFSET('MPIO_SFIO Table'!$AJ$11,P348,0),"")</f>
        <v/>
      </c>
      <c r="V348" t="str">
        <f ca="1">IF(ISNUMBER(Q348),OFFSET('MPIO_SFIO Table'!$AJ$11,Q348,0),"")</f>
        <v/>
      </c>
      <c r="W348">
        <f t="shared" ca="1" si="51"/>
        <v>0</v>
      </c>
      <c r="X348">
        <f t="shared" ca="1" si="52"/>
        <v>0</v>
      </c>
      <c r="Y348">
        <f t="shared" ca="1" si="53"/>
        <v>0</v>
      </c>
      <c r="Z348">
        <f t="shared" ca="1" si="54"/>
        <v>0</v>
      </c>
      <c r="AA348">
        <f t="shared" ca="1" si="55"/>
        <v>0</v>
      </c>
    </row>
    <row r="349" spans="1:27" x14ac:dyDescent="0.25">
      <c r="A349">
        <f t="shared" ca="1" si="48"/>
        <v>0</v>
      </c>
      <c r="B349" t="str">
        <f t="shared" ca="1" si="49"/>
        <v/>
      </c>
      <c r="C349" t="str">
        <f t="shared" si="50"/>
        <v>HDA</v>
      </c>
      <c r="D349" t="s">
        <v>253</v>
      </c>
      <c r="E349" t="s">
        <v>253</v>
      </c>
      <c r="F349" s="3" t="s">
        <v>2815</v>
      </c>
      <c r="G349" s="11" t="s">
        <v>285</v>
      </c>
      <c r="H349" s="11" t="s">
        <v>14</v>
      </c>
      <c r="I349" s="3" t="s">
        <v>253</v>
      </c>
      <c r="J349" s="3" t="s">
        <v>253</v>
      </c>
      <c r="K349" s="3" t="s">
        <v>253</v>
      </c>
      <c r="L349" s="3" t="s">
        <v>253</v>
      </c>
      <c r="M349">
        <f>IF(LEN(H349),MATCH(H349,'MPIO_SFIO Table'!$A$11:$A$65525,0)-1,"")</f>
        <v>6</v>
      </c>
      <c r="N349" t="str">
        <f>IF(LEN(I349),MATCH(I349,'MPIO_SFIO Table'!$A$11:$A$65525,0)-1,"")</f>
        <v/>
      </c>
      <c r="O349" t="str">
        <f>IF(LEN(J349),MATCH(J349,'MPIO_SFIO Table'!$A$11:$A$65525,0)-1,"")</f>
        <v/>
      </c>
      <c r="P349" t="str">
        <f>IF(LEN(K349),MATCH(K349,'MPIO_SFIO Table'!$A$11:$A$65525,0)-1,"")</f>
        <v/>
      </c>
      <c r="Q349" t="str">
        <f>IF(LEN(L349),MATCH(L349,'MPIO_SFIO Table'!$A$11:$A$65525,0)-1,"")</f>
        <v/>
      </c>
      <c r="R349" t="str">
        <f ca="1">IF(ISNUMBER(M349),OFFSET('MPIO_SFIO Table'!$AJ$11,M349,0),"")</f>
        <v>unused_DAP2_DIN</v>
      </c>
      <c r="S349" t="str">
        <f ca="1">IF(ISNUMBER(N349),OFFSET('MPIO_SFIO Table'!$AJ$11,N349,0),"")</f>
        <v/>
      </c>
      <c r="T349" t="str">
        <f ca="1">IF(ISNUMBER(O349),OFFSET('MPIO_SFIO Table'!$AJ$11,O349,0),"")</f>
        <v/>
      </c>
      <c r="U349" t="str">
        <f ca="1">IF(ISNUMBER(P349),OFFSET('MPIO_SFIO Table'!$AJ$11,P349,0),"")</f>
        <v/>
      </c>
      <c r="V349" t="str">
        <f ca="1">IF(ISNUMBER(Q349),OFFSET('MPIO_SFIO Table'!$AJ$11,Q349,0),"")</f>
        <v/>
      </c>
      <c r="W349">
        <f t="shared" ca="1" si="51"/>
        <v>0</v>
      </c>
      <c r="X349">
        <f t="shared" ca="1" si="52"/>
        <v>0</v>
      </c>
      <c r="Y349">
        <f t="shared" ca="1" si="53"/>
        <v>0</v>
      </c>
      <c r="Z349">
        <f t="shared" ca="1" si="54"/>
        <v>0</v>
      </c>
      <c r="AA349">
        <f t="shared" ca="1" si="55"/>
        <v>0</v>
      </c>
    </row>
    <row r="350" spans="1:27" x14ac:dyDescent="0.25">
      <c r="A350">
        <f t="shared" ca="1" si="48"/>
        <v>0</v>
      </c>
      <c r="B350" t="str">
        <f t="shared" ca="1" si="49"/>
        <v/>
      </c>
      <c r="C350" t="str">
        <f t="shared" si="50"/>
        <v>HDA</v>
      </c>
      <c r="D350" t="s">
        <v>253</v>
      </c>
      <c r="E350" t="s">
        <v>253</v>
      </c>
      <c r="F350" s="3" t="s">
        <v>2816</v>
      </c>
      <c r="G350" s="11" t="s">
        <v>289</v>
      </c>
      <c r="H350" s="11" t="s">
        <v>15</v>
      </c>
      <c r="I350" s="3" t="s">
        <v>253</v>
      </c>
      <c r="J350" s="3" t="s">
        <v>253</v>
      </c>
      <c r="K350" s="3" t="s">
        <v>253</v>
      </c>
      <c r="L350" s="3" t="s">
        <v>253</v>
      </c>
      <c r="M350">
        <f>IF(LEN(H350),MATCH(H350,'MPIO_SFIO Table'!$A$11:$A$65525,0)-1,"")</f>
        <v>7</v>
      </c>
      <c r="N350" t="str">
        <f>IF(LEN(I350),MATCH(I350,'MPIO_SFIO Table'!$A$11:$A$65525,0)-1,"")</f>
        <v/>
      </c>
      <c r="O350" t="str">
        <f>IF(LEN(J350),MATCH(J350,'MPIO_SFIO Table'!$A$11:$A$65525,0)-1,"")</f>
        <v/>
      </c>
      <c r="P350" t="str">
        <f>IF(LEN(K350),MATCH(K350,'MPIO_SFIO Table'!$A$11:$A$65525,0)-1,"")</f>
        <v/>
      </c>
      <c r="Q350" t="str">
        <f>IF(LEN(L350),MATCH(L350,'MPIO_SFIO Table'!$A$11:$A$65525,0)-1,"")</f>
        <v/>
      </c>
      <c r="R350" t="str">
        <f ca="1">IF(ISNUMBER(M350),OFFSET('MPIO_SFIO Table'!$AJ$11,M350,0),"")</f>
        <v>unused_DAP2_DOUT</v>
      </c>
      <c r="S350" t="str">
        <f ca="1">IF(ISNUMBER(N350),OFFSET('MPIO_SFIO Table'!$AJ$11,N350,0),"")</f>
        <v/>
      </c>
      <c r="T350" t="str">
        <f ca="1">IF(ISNUMBER(O350),OFFSET('MPIO_SFIO Table'!$AJ$11,O350,0),"")</f>
        <v/>
      </c>
      <c r="U350" t="str">
        <f ca="1">IF(ISNUMBER(P350),OFFSET('MPIO_SFIO Table'!$AJ$11,P350,0),"")</f>
        <v/>
      </c>
      <c r="V350" t="str">
        <f ca="1">IF(ISNUMBER(Q350),OFFSET('MPIO_SFIO Table'!$AJ$11,Q350,0),"")</f>
        <v/>
      </c>
      <c r="W350">
        <f t="shared" ca="1" si="51"/>
        <v>0</v>
      </c>
      <c r="X350">
        <f t="shared" ca="1" si="52"/>
        <v>0</v>
      </c>
      <c r="Y350">
        <f t="shared" ca="1" si="53"/>
        <v>0</v>
      </c>
      <c r="Z350">
        <f t="shared" ca="1" si="54"/>
        <v>0</v>
      </c>
      <c r="AA350">
        <f t="shared" ca="1" si="55"/>
        <v>0</v>
      </c>
    </row>
    <row r="351" spans="1:27" x14ac:dyDescent="0.25">
      <c r="A351">
        <f t="shared" ca="1" si="48"/>
        <v>0</v>
      </c>
      <c r="B351" t="str">
        <f t="shared" ca="1" si="49"/>
        <v/>
      </c>
      <c r="C351" t="str">
        <f t="shared" si="50"/>
        <v>HDA</v>
      </c>
      <c r="D351" t="s">
        <v>253</v>
      </c>
      <c r="E351" t="s">
        <v>253</v>
      </c>
      <c r="F351" s="3" t="s">
        <v>2817</v>
      </c>
      <c r="G351" s="11" t="s">
        <v>292</v>
      </c>
      <c r="H351" s="11" t="s">
        <v>16</v>
      </c>
      <c r="I351" s="3" t="s">
        <v>253</v>
      </c>
      <c r="J351" s="3" t="s">
        <v>253</v>
      </c>
      <c r="K351" s="3" t="s">
        <v>253</v>
      </c>
      <c r="L351" s="3" t="s">
        <v>253</v>
      </c>
      <c r="M351">
        <f>IF(LEN(H351),MATCH(H351,'MPIO_SFIO Table'!$A$11:$A$65525,0)-1,"")</f>
        <v>8</v>
      </c>
      <c r="N351" t="str">
        <f>IF(LEN(I351),MATCH(I351,'MPIO_SFIO Table'!$A$11:$A$65525,0)-1,"")</f>
        <v/>
      </c>
      <c r="O351" t="str">
        <f>IF(LEN(J351),MATCH(J351,'MPIO_SFIO Table'!$A$11:$A$65525,0)-1,"")</f>
        <v/>
      </c>
      <c r="P351" t="str">
        <f>IF(LEN(K351),MATCH(K351,'MPIO_SFIO Table'!$A$11:$A$65525,0)-1,"")</f>
        <v/>
      </c>
      <c r="Q351" t="str">
        <f>IF(LEN(L351),MATCH(L351,'MPIO_SFIO Table'!$A$11:$A$65525,0)-1,"")</f>
        <v/>
      </c>
      <c r="R351" t="str">
        <f ca="1">IF(ISNUMBER(M351),OFFSET('MPIO_SFIO Table'!$AJ$11,M351,0),"")</f>
        <v>unused_DAP2_FS</v>
      </c>
      <c r="S351" t="str">
        <f ca="1">IF(ISNUMBER(N351),OFFSET('MPIO_SFIO Table'!$AJ$11,N351,0),"")</f>
        <v/>
      </c>
      <c r="T351" t="str">
        <f ca="1">IF(ISNUMBER(O351),OFFSET('MPIO_SFIO Table'!$AJ$11,O351,0),"")</f>
        <v/>
      </c>
      <c r="U351" t="str">
        <f ca="1">IF(ISNUMBER(P351),OFFSET('MPIO_SFIO Table'!$AJ$11,P351,0),"")</f>
        <v/>
      </c>
      <c r="V351" t="str">
        <f ca="1">IF(ISNUMBER(Q351),OFFSET('MPIO_SFIO Table'!$AJ$11,Q351,0),"")</f>
        <v/>
      </c>
      <c r="W351">
        <f t="shared" ca="1" si="51"/>
        <v>0</v>
      </c>
      <c r="X351">
        <f t="shared" ca="1" si="52"/>
        <v>0</v>
      </c>
      <c r="Y351">
        <f t="shared" ca="1" si="53"/>
        <v>0</v>
      </c>
      <c r="Z351">
        <f t="shared" ca="1" si="54"/>
        <v>0</v>
      </c>
      <c r="AA351">
        <f t="shared" ca="1" si="55"/>
        <v>0</v>
      </c>
    </row>
    <row r="352" spans="1:27" x14ac:dyDescent="0.25">
      <c r="A352">
        <f t="shared" ca="1" si="48"/>
        <v>0</v>
      </c>
      <c r="B352" t="str">
        <f t="shared" ca="1" si="49"/>
        <v/>
      </c>
      <c r="C352" t="str">
        <f t="shared" si="50"/>
        <v/>
      </c>
      <c r="D352" t="s">
        <v>253</v>
      </c>
      <c r="E352" t="s">
        <v>1028</v>
      </c>
      <c r="F352" s="3" t="s">
        <v>253</v>
      </c>
      <c r="G352" s="11" t="s">
        <v>253</v>
      </c>
      <c r="H352" s="11" t="s">
        <v>253</v>
      </c>
      <c r="I352" s="3" t="s">
        <v>253</v>
      </c>
      <c r="J352" s="3" t="s">
        <v>253</v>
      </c>
      <c r="K352" s="3" t="s">
        <v>253</v>
      </c>
      <c r="L352" s="3" t="s">
        <v>253</v>
      </c>
      <c r="M352" t="str">
        <f>IF(LEN(H352),MATCH(H352,'MPIO_SFIO Table'!$A$11:$A$65525,0)-1,"")</f>
        <v/>
      </c>
      <c r="N352" t="str">
        <f>IF(LEN(I352),MATCH(I352,'MPIO_SFIO Table'!$A$11:$A$65525,0)-1,"")</f>
        <v/>
      </c>
      <c r="O352" t="str">
        <f>IF(LEN(J352),MATCH(J352,'MPIO_SFIO Table'!$A$11:$A$65525,0)-1,"")</f>
        <v/>
      </c>
      <c r="P352" t="str">
        <f>IF(LEN(K352),MATCH(K352,'MPIO_SFIO Table'!$A$11:$A$65525,0)-1,"")</f>
        <v/>
      </c>
      <c r="Q352" t="str">
        <f>IF(LEN(L352),MATCH(L352,'MPIO_SFIO Table'!$A$11:$A$65525,0)-1,"")</f>
        <v/>
      </c>
      <c r="R352" t="str">
        <f ca="1">IF(ISNUMBER(M352),OFFSET('MPIO_SFIO Table'!$AJ$11,M352,0),"")</f>
        <v/>
      </c>
      <c r="S352" t="str">
        <f ca="1">IF(ISNUMBER(N352),OFFSET('MPIO_SFIO Table'!$AJ$11,N352,0),"")</f>
        <v/>
      </c>
      <c r="T352" t="str">
        <f ca="1">IF(ISNUMBER(O352),OFFSET('MPIO_SFIO Table'!$AJ$11,O352,0),"")</f>
        <v/>
      </c>
      <c r="U352" t="str">
        <f ca="1">IF(ISNUMBER(P352),OFFSET('MPIO_SFIO Table'!$AJ$11,P352,0),"")</f>
        <v/>
      </c>
      <c r="V352" t="str">
        <f ca="1">IF(ISNUMBER(Q352),OFFSET('MPIO_SFIO Table'!$AJ$11,Q352,0),"")</f>
        <v/>
      </c>
      <c r="W352">
        <f t="shared" ca="1" si="51"/>
        <v>0</v>
      </c>
      <c r="X352">
        <f t="shared" ca="1" si="52"/>
        <v>0</v>
      </c>
      <c r="Y352">
        <f t="shared" ca="1" si="53"/>
        <v>0</v>
      </c>
      <c r="Z352">
        <f t="shared" ca="1" si="54"/>
        <v>0</v>
      </c>
      <c r="AA352">
        <f t="shared" ca="1" si="55"/>
        <v>0</v>
      </c>
    </row>
    <row r="353" spans="1:27" x14ac:dyDescent="0.25">
      <c r="A353">
        <f t="shared" ca="1" si="48"/>
        <v>0</v>
      </c>
      <c r="B353" t="str">
        <f t="shared" ca="1" si="49"/>
        <v/>
      </c>
      <c r="C353" t="str">
        <f t="shared" si="50"/>
        <v>HDA</v>
      </c>
      <c r="D353" t="s">
        <v>253</v>
      </c>
      <c r="E353" t="s">
        <v>253</v>
      </c>
      <c r="F353" s="3" t="s">
        <v>2814</v>
      </c>
      <c r="G353" s="11" t="s">
        <v>578</v>
      </c>
      <c r="H353" s="11" t="s">
        <v>151</v>
      </c>
      <c r="I353" s="3" t="s">
        <v>253</v>
      </c>
      <c r="J353" s="3" t="s">
        <v>253</v>
      </c>
      <c r="K353" s="3" t="s">
        <v>253</v>
      </c>
      <c r="L353" s="3" t="s">
        <v>253</v>
      </c>
      <c r="M353">
        <f>IF(LEN(H353),MATCH(H353,'MPIO_SFIO Table'!$A$11:$A$65525,0)-1,"")</f>
        <v>148</v>
      </c>
      <c r="N353" t="str">
        <f>IF(LEN(I353),MATCH(I353,'MPIO_SFIO Table'!$A$11:$A$65525,0)-1,"")</f>
        <v/>
      </c>
      <c r="O353" t="str">
        <f>IF(LEN(J353),MATCH(J353,'MPIO_SFIO Table'!$A$11:$A$65525,0)-1,"")</f>
        <v/>
      </c>
      <c r="P353" t="str">
        <f>IF(LEN(K353),MATCH(K353,'MPIO_SFIO Table'!$A$11:$A$65525,0)-1,"")</f>
        <v/>
      </c>
      <c r="Q353" t="str">
        <f>IF(LEN(L353),MATCH(L353,'MPIO_SFIO Table'!$A$11:$A$65525,0)-1,"")</f>
        <v/>
      </c>
      <c r="R353" t="str">
        <f ca="1">IF(ISNUMBER(M353),OFFSET('MPIO_SFIO Table'!$AJ$11,M353,0),"")</f>
        <v>unused_PEX_WAKE_N</v>
      </c>
      <c r="S353" t="str">
        <f ca="1">IF(ISNUMBER(N353),OFFSET('MPIO_SFIO Table'!$AJ$11,N353,0),"")</f>
        <v/>
      </c>
      <c r="T353" t="str">
        <f ca="1">IF(ISNUMBER(O353),OFFSET('MPIO_SFIO Table'!$AJ$11,O353,0),"")</f>
        <v/>
      </c>
      <c r="U353" t="str">
        <f ca="1">IF(ISNUMBER(P353),OFFSET('MPIO_SFIO Table'!$AJ$11,P353,0),"")</f>
        <v/>
      </c>
      <c r="V353" t="str">
        <f ca="1">IF(ISNUMBER(Q353),OFFSET('MPIO_SFIO Table'!$AJ$11,Q353,0),"")</f>
        <v/>
      </c>
      <c r="W353">
        <f t="shared" ca="1" si="51"/>
        <v>0</v>
      </c>
      <c r="X353">
        <f t="shared" ca="1" si="52"/>
        <v>0</v>
      </c>
      <c r="Y353">
        <f t="shared" ca="1" si="53"/>
        <v>0</v>
      </c>
      <c r="Z353">
        <f t="shared" ca="1" si="54"/>
        <v>0</v>
      </c>
      <c r="AA353">
        <f t="shared" ca="1" si="55"/>
        <v>0</v>
      </c>
    </row>
    <row r="354" spans="1:27" x14ac:dyDescent="0.25">
      <c r="A354">
        <f t="shared" ca="1" si="48"/>
        <v>0</v>
      </c>
      <c r="B354" t="str">
        <f t="shared" ca="1" si="49"/>
        <v/>
      </c>
      <c r="C354" t="str">
        <f t="shared" si="50"/>
        <v>HDA</v>
      </c>
      <c r="D354" t="s">
        <v>253</v>
      </c>
      <c r="E354" t="s">
        <v>253</v>
      </c>
      <c r="F354" s="3" t="s">
        <v>2372</v>
      </c>
      <c r="G354" s="11" t="s">
        <v>573</v>
      </c>
      <c r="H354" s="11" t="s">
        <v>146</v>
      </c>
      <c r="I354" s="3" t="s">
        <v>253</v>
      </c>
      <c r="J354" s="3" t="s">
        <v>253</v>
      </c>
      <c r="K354" s="3" t="s">
        <v>253</v>
      </c>
      <c r="L354" s="3" t="s">
        <v>253</v>
      </c>
      <c r="M354">
        <f>IF(LEN(H354),MATCH(H354,'MPIO_SFIO Table'!$A$11:$A$65525,0)-1,"")</f>
        <v>143</v>
      </c>
      <c r="N354" t="str">
        <f>IF(LEN(I354),MATCH(I354,'MPIO_SFIO Table'!$A$11:$A$65525,0)-1,"")</f>
        <v/>
      </c>
      <c r="O354" t="str">
        <f>IF(LEN(J354),MATCH(J354,'MPIO_SFIO Table'!$A$11:$A$65525,0)-1,"")</f>
        <v/>
      </c>
      <c r="P354" t="str">
        <f>IF(LEN(K354),MATCH(K354,'MPIO_SFIO Table'!$A$11:$A$65525,0)-1,"")</f>
        <v/>
      </c>
      <c r="Q354" t="str">
        <f>IF(LEN(L354),MATCH(L354,'MPIO_SFIO Table'!$A$11:$A$65525,0)-1,"")</f>
        <v/>
      </c>
      <c r="R354" t="str">
        <f ca="1">IF(ISNUMBER(M354),OFFSET('MPIO_SFIO Table'!$AJ$11,M354,0),"")</f>
        <v>unused_PEX_L1_PRSNT_N</v>
      </c>
      <c r="S354" t="str">
        <f ca="1">IF(ISNUMBER(N354),OFFSET('MPIO_SFIO Table'!$AJ$11,N354,0),"")</f>
        <v/>
      </c>
      <c r="T354" t="str">
        <f ca="1">IF(ISNUMBER(O354),OFFSET('MPIO_SFIO Table'!$AJ$11,O354,0),"")</f>
        <v/>
      </c>
      <c r="U354" t="str">
        <f ca="1">IF(ISNUMBER(P354),OFFSET('MPIO_SFIO Table'!$AJ$11,P354,0),"")</f>
        <v/>
      </c>
      <c r="V354" t="str">
        <f ca="1">IF(ISNUMBER(Q354),OFFSET('MPIO_SFIO Table'!$AJ$11,Q354,0),"")</f>
        <v/>
      </c>
      <c r="W354">
        <f t="shared" ca="1" si="51"/>
        <v>0</v>
      </c>
      <c r="X354">
        <f t="shared" ca="1" si="52"/>
        <v>0</v>
      </c>
      <c r="Y354">
        <f t="shared" ca="1" si="53"/>
        <v>0</v>
      </c>
      <c r="Z354">
        <f t="shared" ca="1" si="54"/>
        <v>0</v>
      </c>
      <c r="AA354">
        <f t="shared" ca="1" si="55"/>
        <v>0</v>
      </c>
    </row>
    <row r="355" spans="1:27" x14ac:dyDescent="0.25">
      <c r="A355">
        <f t="shared" ca="1" si="48"/>
        <v>0</v>
      </c>
      <c r="B355" t="str">
        <f t="shared" ca="1" si="49"/>
        <v/>
      </c>
      <c r="C355" t="str">
        <f t="shared" si="50"/>
        <v>HDA</v>
      </c>
      <c r="D355" t="s">
        <v>253</v>
      </c>
      <c r="E355" t="s">
        <v>253</v>
      </c>
      <c r="F355" s="3" t="s">
        <v>2815</v>
      </c>
      <c r="G355" s="11" t="s">
        <v>571</v>
      </c>
      <c r="H355" s="11" t="s">
        <v>144</v>
      </c>
      <c r="I355" s="3" t="s">
        <v>253</v>
      </c>
      <c r="J355" s="3" t="s">
        <v>253</v>
      </c>
      <c r="K355" s="3" t="s">
        <v>253</v>
      </c>
      <c r="L355" s="3" t="s">
        <v>253</v>
      </c>
      <c r="M355">
        <f>IF(LEN(H355),MATCH(H355,'MPIO_SFIO Table'!$A$11:$A$65525,0)-1,"")</f>
        <v>141</v>
      </c>
      <c r="N355" t="str">
        <f>IF(LEN(I355),MATCH(I355,'MPIO_SFIO Table'!$A$11:$A$65525,0)-1,"")</f>
        <v/>
      </c>
      <c r="O355" t="str">
        <f>IF(LEN(J355),MATCH(J355,'MPIO_SFIO Table'!$A$11:$A$65525,0)-1,"")</f>
        <v/>
      </c>
      <c r="P355" t="str">
        <f>IF(LEN(K355),MATCH(K355,'MPIO_SFIO Table'!$A$11:$A$65525,0)-1,"")</f>
        <v/>
      </c>
      <c r="Q355" t="str">
        <f>IF(LEN(L355),MATCH(L355,'MPIO_SFIO Table'!$A$11:$A$65525,0)-1,"")</f>
        <v/>
      </c>
      <c r="R355" t="str">
        <f ca="1">IF(ISNUMBER(M355),OFFSET('MPIO_SFIO Table'!$AJ$11,M355,0),"")</f>
        <v>unused_PEX_L0_RST_N</v>
      </c>
      <c r="S355" t="str">
        <f ca="1">IF(ISNUMBER(N355),OFFSET('MPIO_SFIO Table'!$AJ$11,N355,0),"")</f>
        <v/>
      </c>
      <c r="T355" t="str">
        <f ca="1">IF(ISNUMBER(O355),OFFSET('MPIO_SFIO Table'!$AJ$11,O355,0),"")</f>
        <v/>
      </c>
      <c r="U355" t="str">
        <f ca="1">IF(ISNUMBER(P355),OFFSET('MPIO_SFIO Table'!$AJ$11,P355,0),"")</f>
        <v/>
      </c>
      <c r="V355" t="str">
        <f ca="1">IF(ISNUMBER(Q355),OFFSET('MPIO_SFIO Table'!$AJ$11,Q355,0),"")</f>
        <v/>
      </c>
      <c r="W355">
        <f t="shared" ca="1" si="51"/>
        <v>0</v>
      </c>
      <c r="X355">
        <f t="shared" ca="1" si="52"/>
        <v>0</v>
      </c>
      <c r="Y355">
        <f t="shared" ca="1" si="53"/>
        <v>0</v>
      </c>
      <c r="Z355">
        <f t="shared" ca="1" si="54"/>
        <v>0</v>
      </c>
      <c r="AA355">
        <f t="shared" ca="1" si="55"/>
        <v>0</v>
      </c>
    </row>
    <row r="356" spans="1:27" x14ac:dyDescent="0.25">
      <c r="A356">
        <f t="shared" ca="1" si="48"/>
        <v>0</v>
      </c>
      <c r="B356" t="str">
        <f t="shared" ca="1" si="49"/>
        <v/>
      </c>
      <c r="C356" t="str">
        <f t="shared" si="50"/>
        <v>HDA</v>
      </c>
      <c r="D356" t="s">
        <v>253</v>
      </c>
      <c r="E356" t="s">
        <v>253</v>
      </c>
      <c r="F356" s="3" t="s">
        <v>2816</v>
      </c>
      <c r="G356" s="11" t="s">
        <v>567</v>
      </c>
      <c r="H356" s="11" t="s">
        <v>142</v>
      </c>
      <c r="I356" s="3" t="s">
        <v>253</v>
      </c>
      <c r="J356" s="3" t="s">
        <v>253</v>
      </c>
      <c r="K356" s="3" t="s">
        <v>253</v>
      </c>
      <c r="L356" s="3" t="s">
        <v>253</v>
      </c>
      <c r="M356">
        <f>IF(LEN(H356),MATCH(H356,'MPIO_SFIO Table'!$A$11:$A$65525,0)-1,"")</f>
        <v>139</v>
      </c>
      <c r="N356" t="str">
        <f>IF(LEN(I356),MATCH(I356,'MPIO_SFIO Table'!$A$11:$A$65525,0)-1,"")</f>
        <v/>
      </c>
      <c r="O356" t="str">
        <f>IF(LEN(J356),MATCH(J356,'MPIO_SFIO Table'!$A$11:$A$65525,0)-1,"")</f>
        <v/>
      </c>
      <c r="P356" t="str">
        <f>IF(LEN(K356),MATCH(K356,'MPIO_SFIO Table'!$A$11:$A$65525,0)-1,"")</f>
        <v/>
      </c>
      <c r="Q356" t="str">
        <f>IF(LEN(L356),MATCH(L356,'MPIO_SFIO Table'!$A$11:$A$65525,0)-1,"")</f>
        <v/>
      </c>
      <c r="R356" t="str">
        <f ca="1">IF(ISNUMBER(M356),OFFSET('MPIO_SFIO Table'!$AJ$11,M356,0),"")</f>
        <v>unused_PEX_L0_CLKREQ_N</v>
      </c>
      <c r="S356" t="str">
        <f ca="1">IF(ISNUMBER(N356),OFFSET('MPIO_SFIO Table'!$AJ$11,N356,0),"")</f>
        <v/>
      </c>
      <c r="T356" t="str">
        <f ca="1">IF(ISNUMBER(O356),OFFSET('MPIO_SFIO Table'!$AJ$11,O356,0),"")</f>
        <v/>
      </c>
      <c r="U356" t="str">
        <f ca="1">IF(ISNUMBER(P356),OFFSET('MPIO_SFIO Table'!$AJ$11,P356,0),"")</f>
        <v/>
      </c>
      <c r="V356" t="str">
        <f ca="1">IF(ISNUMBER(Q356),OFFSET('MPIO_SFIO Table'!$AJ$11,Q356,0),"")</f>
        <v/>
      </c>
      <c r="W356">
        <f t="shared" ca="1" si="51"/>
        <v>0</v>
      </c>
      <c r="X356">
        <f t="shared" ca="1" si="52"/>
        <v>0</v>
      </c>
      <c r="Y356">
        <f t="shared" ca="1" si="53"/>
        <v>0</v>
      </c>
      <c r="Z356">
        <f t="shared" ca="1" si="54"/>
        <v>0</v>
      </c>
      <c r="AA356">
        <f t="shared" ca="1" si="55"/>
        <v>0</v>
      </c>
    </row>
    <row r="357" spans="1:27" x14ac:dyDescent="0.25">
      <c r="A357">
        <f t="shared" ca="1" si="48"/>
        <v>0</v>
      </c>
      <c r="B357" t="str">
        <f t="shared" ca="1" si="49"/>
        <v/>
      </c>
      <c r="C357" t="str">
        <f t="shared" si="50"/>
        <v>HDA</v>
      </c>
      <c r="D357" t="s">
        <v>253</v>
      </c>
      <c r="E357" t="s">
        <v>253</v>
      </c>
      <c r="F357" s="3" t="s">
        <v>2817</v>
      </c>
      <c r="G357" s="11" t="s">
        <v>570</v>
      </c>
      <c r="H357" s="11" t="s">
        <v>143</v>
      </c>
      <c r="I357" s="3" t="s">
        <v>253</v>
      </c>
      <c r="J357" s="3" t="s">
        <v>253</v>
      </c>
      <c r="K357" s="3" t="s">
        <v>253</v>
      </c>
      <c r="L357" s="3" t="s">
        <v>253</v>
      </c>
      <c r="M357">
        <f>IF(LEN(H357),MATCH(H357,'MPIO_SFIO Table'!$A$11:$A$65525,0)-1,"")</f>
        <v>140</v>
      </c>
      <c r="N357" t="str">
        <f>IF(LEN(I357),MATCH(I357,'MPIO_SFIO Table'!$A$11:$A$65525,0)-1,"")</f>
        <v/>
      </c>
      <c r="O357" t="str">
        <f>IF(LEN(J357),MATCH(J357,'MPIO_SFIO Table'!$A$11:$A$65525,0)-1,"")</f>
        <v/>
      </c>
      <c r="P357" t="str">
        <f>IF(LEN(K357),MATCH(K357,'MPIO_SFIO Table'!$A$11:$A$65525,0)-1,"")</f>
        <v/>
      </c>
      <c r="Q357" t="str">
        <f>IF(LEN(L357),MATCH(L357,'MPIO_SFIO Table'!$A$11:$A$65525,0)-1,"")</f>
        <v/>
      </c>
      <c r="R357" t="str">
        <f ca="1">IF(ISNUMBER(M357),OFFSET('MPIO_SFIO Table'!$AJ$11,M357,0),"")</f>
        <v>unused_PEX_L0_PRSNT_N</v>
      </c>
      <c r="S357" t="str">
        <f ca="1">IF(ISNUMBER(N357),OFFSET('MPIO_SFIO Table'!$AJ$11,N357,0),"")</f>
        <v/>
      </c>
      <c r="T357" t="str">
        <f ca="1">IF(ISNUMBER(O357),OFFSET('MPIO_SFIO Table'!$AJ$11,O357,0),"")</f>
        <v/>
      </c>
      <c r="U357" t="str">
        <f ca="1">IF(ISNUMBER(P357),OFFSET('MPIO_SFIO Table'!$AJ$11,P357,0),"")</f>
        <v/>
      </c>
      <c r="V357" t="str">
        <f ca="1">IF(ISNUMBER(Q357),OFFSET('MPIO_SFIO Table'!$AJ$11,Q357,0),"")</f>
        <v/>
      </c>
      <c r="W357">
        <f t="shared" ca="1" si="51"/>
        <v>0</v>
      </c>
      <c r="X357">
        <f t="shared" ca="1" si="52"/>
        <v>0</v>
      </c>
      <c r="Y357">
        <f t="shared" ca="1" si="53"/>
        <v>0</v>
      </c>
      <c r="Z357">
        <f t="shared" ca="1" si="54"/>
        <v>0</v>
      </c>
      <c r="AA357">
        <f t="shared" ca="1" si="55"/>
        <v>0</v>
      </c>
    </row>
    <row r="358" spans="1:27" x14ac:dyDescent="0.25">
      <c r="A358">
        <f t="shared" ca="1" si="48"/>
        <v>0</v>
      </c>
      <c r="B358" t="str">
        <f t="shared" ca="1" si="49"/>
        <v/>
      </c>
      <c r="C358" t="str">
        <f t="shared" si="50"/>
        <v/>
      </c>
      <c r="D358" t="s">
        <v>253</v>
      </c>
      <c r="E358" t="s">
        <v>1029</v>
      </c>
      <c r="F358" s="3" t="s">
        <v>253</v>
      </c>
      <c r="G358" s="11" t="s">
        <v>253</v>
      </c>
      <c r="H358" s="11" t="s">
        <v>253</v>
      </c>
      <c r="I358" s="3" t="s">
        <v>253</v>
      </c>
      <c r="J358" s="3" t="s">
        <v>253</v>
      </c>
      <c r="K358" s="3" t="s">
        <v>253</v>
      </c>
      <c r="L358" s="3" t="s">
        <v>253</v>
      </c>
      <c r="M358" t="str">
        <f>IF(LEN(H358),MATCH(H358,'MPIO_SFIO Table'!$A$11:$A$65525,0)-1,"")</f>
        <v/>
      </c>
      <c r="N358" t="str">
        <f>IF(LEN(I358),MATCH(I358,'MPIO_SFIO Table'!$A$11:$A$65525,0)-1,"")</f>
        <v/>
      </c>
      <c r="O358" t="str">
        <f>IF(LEN(J358),MATCH(J358,'MPIO_SFIO Table'!$A$11:$A$65525,0)-1,"")</f>
        <v/>
      </c>
      <c r="P358" t="str">
        <f>IF(LEN(K358),MATCH(K358,'MPIO_SFIO Table'!$A$11:$A$65525,0)-1,"")</f>
        <v/>
      </c>
      <c r="Q358" t="str">
        <f>IF(LEN(L358),MATCH(L358,'MPIO_SFIO Table'!$A$11:$A$65525,0)-1,"")</f>
        <v/>
      </c>
      <c r="R358" t="str">
        <f ca="1">IF(ISNUMBER(M358),OFFSET('MPIO_SFIO Table'!$AJ$11,M358,0),"")</f>
        <v/>
      </c>
      <c r="S358" t="str">
        <f ca="1">IF(ISNUMBER(N358),OFFSET('MPIO_SFIO Table'!$AJ$11,N358,0),"")</f>
        <v/>
      </c>
      <c r="T358" t="str">
        <f ca="1">IF(ISNUMBER(O358),OFFSET('MPIO_SFIO Table'!$AJ$11,O358,0),"")</f>
        <v/>
      </c>
      <c r="U358" t="str">
        <f ca="1">IF(ISNUMBER(P358),OFFSET('MPIO_SFIO Table'!$AJ$11,P358,0),"")</f>
        <v/>
      </c>
      <c r="V358" t="str">
        <f ca="1">IF(ISNUMBER(Q358),OFFSET('MPIO_SFIO Table'!$AJ$11,Q358,0),"")</f>
        <v/>
      </c>
      <c r="W358">
        <f t="shared" ca="1" si="51"/>
        <v>0</v>
      </c>
      <c r="X358">
        <f t="shared" ca="1" si="52"/>
        <v>0</v>
      </c>
      <c r="Y358">
        <f t="shared" ca="1" si="53"/>
        <v>0</v>
      </c>
      <c r="Z358">
        <f t="shared" ca="1" si="54"/>
        <v>0</v>
      </c>
      <c r="AA358">
        <f t="shared" ca="1" si="55"/>
        <v>0</v>
      </c>
    </row>
    <row r="359" spans="1:27" x14ac:dyDescent="0.25">
      <c r="A359">
        <f t="shared" ca="1" si="48"/>
        <v>0</v>
      </c>
      <c r="B359" t="str">
        <f t="shared" ca="1" si="49"/>
        <v/>
      </c>
      <c r="C359" t="str">
        <f t="shared" si="50"/>
        <v>HDA</v>
      </c>
      <c r="D359" t="s">
        <v>253</v>
      </c>
      <c r="E359" t="s">
        <v>253</v>
      </c>
      <c r="F359" s="3" t="s">
        <v>2814</v>
      </c>
      <c r="G359" s="11" t="s">
        <v>572</v>
      </c>
      <c r="H359" s="11" t="s">
        <v>145</v>
      </c>
      <c r="I359" s="3" t="s">
        <v>253</v>
      </c>
      <c r="J359" s="3" t="s">
        <v>253</v>
      </c>
      <c r="K359" s="3" t="s">
        <v>253</v>
      </c>
      <c r="L359" s="3" t="s">
        <v>253</v>
      </c>
      <c r="M359">
        <f>IF(LEN(H359),MATCH(H359,'MPIO_SFIO Table'!$A$11:$A$65525,0)-1,"")</f>
        <v>142</v>
      </c>
      <c r="N359" t="str">
        <f>IF(LEN(I359),MATCH(I359,'MPIO_SFIO Table'!$A$11:$A$65525,0)-1,"")</f>
        <v/>
      </c>
      <c r="O359" t="str">
        <f>IF(LEN(J359),MATCH(J359,'MPIO_SFIO Table'!$A$11:$A$65525,0)-1,"")</f>
        <v/>
      </c>
      <c r="P359" t="str">
        <f>IF(LEN(K359),MATCH(K359,'MPIO_SFIO Table'!$A$11:$A$65525,0)-1,"")</f>
        <v/>
      </c>
      <c r="Q359" t="str">
        <f>IF(LEN(L359),MATCH(L359,'MPIO_SFIO Table'!$A$11:$A$65525,0)-1,"")</f>
        <v/>
      </c>
      <c r="R359" t="str">
        <f ca="1">IF(ISNUMBER(M359),OFFSET('MPIO_SFIO Table'!$AJ$11,M359,0),"")</f>
        <v>unused_PEX_L1_CLKREQ_N</v>
      </c>
      <c r="S359" t="str">
        <f ca="1">IF(ISNUMBER(N359),OFFSET('MPIO_SFIO Table'!$AJ$11,N359,0),"")</f>
        <v/>
      </c>
      <c r="T359" t="str">
        <f ca="1">IF(ISNUMBER(O359),OFFSET('MPIO_SFIO Table'!$AJ$11,O359,0),"")</f>
        <v/>
      </c>
      <c r="U359" t="str">
        <f ca="1">IF(ISNUMBER(P359),OFFSET('MPIO_SFIO Table'!$AJ$11,P359,0),"")</f>
        <v/>
      </c>
      <c r="V359" t="str">
        <f ca="1">IF(ISNUMBER(Q359),OFFSET('MPIO_SFIO Table'!$AJ$11,Q359,0),"")</f>
        <v/>
      </c>
      <c r="W359">
        <f t="shared" ca="1" si="51"/>
        <v>0</v>
      </c>
      <c r="X359">
        <f t="shared" ca="1" si="52"/>
        <v>0</v>
      </c>
      <c r="Y359">
        <f t="shared" ca="1" si="53"/>
        <v>0</v>
      </c>
      <c r="Z359">
        <f t="shared" ca="1" si="54"/>
        <v>0</v>
      </c>
      <c r="AA359">
        <f t="shared" ca="1" si="55"/>
        <v>0</v>
      </c>
    </row>
    <row r="360" spans="1:27" x14ac:dyDescent="0.25">
      <c r="A360">
        <f t="shared" ca="1" si="48"/>
        <v>0</v>
      </c>
      <c r="B360" t="str">
        <f t="shared" ca="1" si="49"/>
        <v/>
      </c>
      <c r="C360" t="str">
        <f t="shared" si="50"/>
        <v>HDA</v>
      </c>
      <c r="D360" t="s">
        <v>253</v>
      </c>
      <c r="E360" t="s">
        <v>253</v>
      </c>
      <c r="F360" s="3" t="s">
        <v>2372</v>
      </c>
      <c r="G360" s="11" t="s">
        <v>574</v>
      </c>
      <c r="H360" s="11" t="s">
        <v>147</v>
      </c>
      <c r="I360" s="3" t="s">
        <v>253</v>
      </c>
      <c r="J360" s="3" t="s">
        <v>253</v>
      </c>
      <c r="K360" s="3" t="s">
        <v>253</v>
      </c>
      <c r="L360" s="3" t="s">
        <v>253</v>
      </c>
      <c r="M360">
        <f>IF(LEN(H360),MATCH(H360,'MPIO_SFIO Table'!$A$11:$A$65525,0)-1,"")</f>
        <v>144</v>
      </c>
      <c r="N360" t="str">
        <f>IF(LEN(I360),MATCH(I360,'MPIO_SFIO Table'!$A$11:$A$65525,0)-1,"")</f>
        <v/>
      </c>
      <c r="O360" t="str">
        <f>IF(LEN(J360),MATCH(J360,'MPIO_SFIO Table'!$A$11:$A$65525,0)-1,"")</f>
        <v/>
      </c>
      <c r="P360" t="str">
        <f>IF(LEN(K360),MATCH(K360,'MPIO_SFIO Table'!$A$11:$A$65525,0)-1,"")</f>
        <v/>
      </c>
      <c r="Q360" t="str">
        <f>IF(LEN(L360),MATCH(L360,'MPIO_SFIO Table'!$A$11:$A$65525,0)-1,"")</f>
        <v/>
      </c>
      <c r="R360" t="str">
        <f ca="1">IF(ISNUMBER(M360),OFFSET('MPIO_SFIO Table'!$AJ$11,M360,0),"")</f>
        <v>unused_PEX_L1_RST_N</v>
      </c>
      <c r="S360" t="str">
        <f ca="1">IF(ISNUMBER(N360),OFFSET('MPIO_SFIO Table'!$AJ$11,N360,0),"")</f>
        <v/>
      </c>
      <c r="T360" t="str">
        <f ca="1">IF(ISNUMBER(O360),OFFSET('MPIO_SFIO Table'!$AJ$11,O360,0),"")</f>
        <v/>
      </c>
      <c r="U360" t="str">
        <f ca="1">IF(ISNUMBER(P360),OFFSET('MPIO_SFIO Table'!$AJ$11,P360,0),"")</f>
        <v/>
      </c>
      <c r="V360" t="str">
        <f ca="1">IF(ISNUMBER(Q360),OFFSET('MPIO_SFIO Table'!$AJ$11,Q360,0),"")</f>
        <v/>
      </c>
      <c r="W360">
        <f t="shared" ca="1" si="51"/>
        <v>0</v>
      </c>
      <c r="X360">
        <f t="shared" ca="1" si="52"/>
        <v>0</v>
      </c>
      <c r="Y360">
        <f t="shared" ca="1" si="53"/>
        <v>0</v>
      </c>
      <c r="Z360">
        <f t="shared" ca="1" si="54"/>
        <v>0</v>
      </c>
      <c r="AA360">
        <f t="shared" ca="1" si="55"/>
        <v>0</v>
      </c>
    </row>
    <row r="361" spans="1:27" x14ac:dyDescent="0.25">
      <c r="A361">
        <f t="shared" ca="1" si="48"/>
        <v>0</v>
      </c>
      <c r="B361" t="str">
        <f t="shared" ca="1" si="49"/>
        <v/>
      </c>
      <c r="C361" t="str">
        <f t="shared" si="50"/>
        <v>HDA</v>
      </c>
      <c r="D361" t="s">
        <v>253</v>
      </c>
      <c r="E361" t="s">
        <v>253</v>
      </c>
      <c r="F361" s="3" t="s">
        <v>2815</v>
      </c>
      <c r="G361" s="11" t="s">
        <v>576</v>
      </c>
      <c r="H361" s="11" t="s">
        <v>149</v>
      </c>
      <c r="I361" s="3" t="s">
        <v>253</v>
      </c>
      <c r="J361" s="3" t="s">
        <v>253</v>
      </c>
      <c r="K361" s="3" t="s">
        <v>253</v>
      </c>
      <c r="L361" s="3" t="s">
        <v>253</v>
      </c>
      <c r="M361">
        <f>IF(LEN(H361),MATCH(H361,'MPIO_SFIO Table'!$A$11:$A$65525,0)-1,"")</f>
        <v>146</v>
      </c>
      <c r="N361" t="str">
        <f>IF(LEN(I361),MATCH(I361,'MPIO_SFIO Table'!$A$11:$A$65525,0)-1,"")</f>
        <v/>
      </c>
      <c r="O361" t="str">
        <f>IF(LEN(J361),MATCH(J361,'MPIO_SFIO Table'!$A$11:$A$65525,0)-1,"")</f>
        <v/>
      </c>
      <c r="P361" t="str">
        <f>IF(LEN(K361),MATCH(K361,'MPIO_SFIO Table'!$A$11:$A$65525,0)-1,"")</f>
        <v/>
      </c>
      <c r="Q361" t="str">
        <f>IF(LEN(L361),MATCH(L361,'MPIO_SFIO Table'!$A$11:$A$65525,0)-1,"")</f>
        <v/>
      </c>
      <c r="R361" t="str">
        <f ca="1">IF(ISNUMBER(M361),OFFSET('MPIO_SFIO Table'!$AJ$11,M361,0),"")</f>
        <v>unused_PEX_L2_PRSNT_N</v>
      </c>
      <c r="S361" t="str">
        <f ca="1">IF(ISNUMBER(N361),OFFSET('MPIO_SFIO Table'!$AJ$11,N361,0),"")</f>
        <v/>
      </c>
      <c r="T361" t="str">
        <f ca="1">IF(ISNUMBER(O361),OFFSET('MPIO_SFIO Table'!$AJ$11,O361,0),"")</f>
        <v/>
      </c>
      <c r="U361" t="str">
        <f ca="1">IF(ISNUMBER(P361),OFFSET('MPIO_SFIO Table'!$AJ$11,P361,0),"")</f>
        <v/>
      </c>
      <c r="V361" t="str">
        <f ca="1">IF(ISNUMBER(Q361),OFFSET('MPIO_SFIO Table'!$AJ$11,Q361,0),"")</f>
        <v/>
      </c>
      <c r="W361">
        <f t="shared" ca="1" si="51"/>
        <v>0</v>
      </c>
      <c r="X361">
        <f t="shared" ca="1" si="52"/>
        <v>0</v>
      </c>
      <c r="Y361">
        <f t="shared" ca="1" si="53"/>
        <v>0</v>
      </c>
      <c r="Z361">
        <f t="shared" ca="1" si="54"/>
        <v>0</v>
      </c>
      <c r="AA361">
        <f t="shared" ca="1" si="55"/>
        <v>0</v>
      </c>
    </row>
    <row r="362" spans="1:27" x14ac:dyDescent="0.25">
      <c r="A362">
        <f t="shared" ca="1" si="48"/>
        <v>0</v>
      </c>
      <c r="B362" t="str">
        <f t="shared" ca="1" si="49"/>
        <v/>
      </c>
      <c r="C362" t="str">
        <f t="shared" si="50"/>
        <v>HDA</v>
      </c>
      <c r="D362" t="s">
        <v>253</v>
      </c>
      <c r="E362" t="s">
        <v>253</v>
      </c>
      <c r="F362" s="3" t="s">
        <v>2816</v>
      </c>
      <c r="G362" s="11" t="s">
        <v>577</v>
      </c>
      <c r="H362" s="11" t="s">
        <v>150</v>
      </c>
      <c r="I362" s="3" t="s">
        <v>253</v>
      </c>
      <c r="J362" s="3" t="s">
        <v>253</v>
      </c>
      <c r="K362" s="3" t="s">
        <v>253</v>
      </c>
      <c r="L362" s="3" t="s">
        <v>253</v>
      </c>
      <c r="M362">
        <f>IF(LEN(H362),MATCH(H362,'MPIO_SFIO Table'!$A$11:$A$65525,0)-1,"")</f>
        <v>147</v>
      </c>
      <c r="N362" t="str">
        <f>IF(LEN(I362),MATCH(I362,'MPIO_SFIO Table'!$A$11:$A$65525,0)-1,"")</f>
        <v/>
      </c>
      <c r="O362" t="str">
        <f>IF(LEN(J362),MATCH(J362,'MPIO_SFIO Table'!$A$11:$A$65525,0)-1,"")</f>
        <v/>
      </c>
      <c r="P362" t="str">
        <f>IF(LEN(K362),MATCH(K362,'MPIO_SFIO Table'!$A$11:$A$65525,0)-1,"")</f>
        <v/>
      </c>
      <c r="Q362" t="str">
        <f>IF(LEN(L362),MATCH(L362,'MPIO_SFIO Table'!$A$11:$A$65525,0)-1,"")</f>
        <v/>
      </c>
      <c r="R362" t="str">
        <f ca="1">IF(ISNUMBER(M362),OFFSET('MPIO_SFIO Table'!$AJ$11,M362,0),"")</f>
        <v>unused_PEX_L2_RST_N</v>
      </c>
      <c r="S362" t="str">
        <f ca="1">IF(ISNUMBER(N362),OFFSET('MPIO_SFIO Table'!$AJ$11,N362,0),"")</f>
        <v/>
      </c>
      <c r="T362" t="str">
        <f ca="1">IF(ISNUMBER(O362),OFFSET('MPIO_SFIO Table'!$AJ$11,O362,0),"")</f>
        <v/>
      </c>
      <c r="U362" t="str">
        <f ca="1">IF(ISNUMBER(P362),OFFSET('MPIO_SFIO Table'!$AJ$11,P362,0),"")</f>
        <v/>
      </c>
      <c r="V362" t="str">
        <f ca="1">IF(ISNUMBER(Q362),OFFSET('MPIO_SFIO Table'!$AJ$11,Q362,0),"")</f>
        <v/>
      </c>
      <c r="W362">
        <f t="shared" ca="1" si="51"/>
        <v>0</v>
      </c>
      <c r="X362">
        <f t="shared" ca="1" si="52"/>
        <v>0</v>
      </c>
      <c r="Y362">
        <f t="shared" ca="1" si="53"/>
        <v>0</v>
      </c>
      <c r="Z362">
        <f t="shared" ca="1" si="54"/>
        <v>0</v>
      </c>
      <c r="AA362">
        <f t="shared" ca="1" si="55"/>
        <v>0</v>
      </c>
    </row>
    <row r="363" spans="1:27" x14ac:dyDescent="0.25">
      <c r="A363">
        <f t="shared" ca="1" si="48"/>
        <v>0</v>
      </c>
      <c r="B363" t="str">
        <f t="shared" ca="1" si="49"/>
        <v/>
      </c>
      <c r="C363" t="str">
        <f t="shared" si="50"/>
        <v>HDA</v>
      </c>
      <c r="D363" t="s">
        <v>253</v>
      </c>
      <c r="E363" t="s">
        <v>253</v>
      </c>
      <c r="F363" s="3" t="s">
        <v>2817</v>
      </c>
      <c r="G363" s="11" t="s">
        <v>575</v>
      </c>
      <c r="H363" s="11" t="s">
        <v>148</v>
      </c>
      <c r="I363" s="3" t="s">
        <v>253</v>
      </c>
      <c r="J363" s="3" t="s">
        <v>253</v>
      </c>
      <c r="K363" s="3" t="s">
        <v>253</v>
      </c>
      <c r="L363" s="3" t="s">
        <v>253</v>
      </c>
      <c r="M363">
        <f>IF(LEN(H363),MATCH(H363,'MPIO_SFIO Table'!$A$11:$A$65525,0)-1,"")</f>
        <v>145</v>
      </c>
      <c r="N363" t="str">
        <f>IF(LEN(I363),MATCH(I363,'MPIO_SFIO Table'!$A$11:$A$65525,0)-1,"")</f>
        <v/>
      </c>
      <c r="O363" t="str">
        <f>IF(LEN(J363),MATCH(J363,'MPIO_SFIO Table'!$A$11:$A$65525,0)-1,"")</f>
        <v/>
      </c>
      <c r="P363" t="str">
        <f>IF(LEN(K363),MATCH(K363,'MPIO_SFIO Table'!$A$11:$A$65525,0)-1,"")</f>
        <v/>
      </c>
      <c r="Q363" t="str">
        <f>IF(LEN(L363),MATCH(L363,'MPIO_SFIO Table'!$A$11:$A$65525,0)-1,"")</f>
        <v/>
      </c>
      <c r="R363" t="str">
        <f ca="1">IF(ISNUMBER(M363),OFFSET('MPIO_SFIO Table'!$AJ$11,M363,0),"")</f>
        <v>unused_PEX_L2_CLKREQ_N</v>
      </c>
      <c r="S363" t="str">
        <f ca="1">IF(ISNUMBER(N363),OFFSET('MPIO_SFIO Table'!$AJ$11,N363,0),"")</f>
        <v/>
      </c>
      <c r="T363" t="str">
        <f ca="1">IF(ISNUMBER(O363),OFFSET('MPIO_SFIO Table'!$AJ$11,O363,0),"")</f>
        <v/>
      </c>
      <c r="U363" t="str">
        <f ca="1">IF(ISNUMBER(P363),OFFSET('MPIO_SFIO Table'!$AJ$11,P363,0),"")</f>
        <v/>
      </c>
      <c r="V363" t="str">
        <f ca="1">IF(ISNUMBER(Q363),OFFSET('MPIO_SFIO Table'!$AJ$11,Q363,0),"")</f>
        <v/>
      </c>
      <c r="W363">
        <f t="shared" ca="1" si="51"/>
        <v>0</v>
      </c>
      <c r="X363">
        <f t="shared" ca="1" si="52"/>
        <v>0</v>
      </c>
      <c r="Y363">
        <f t="shared" ca="1" si="53"/>
        <v>0</v>
      </c>
      <c r="Z363">
        <f t="shared" ca="1" si="54"/>
        <v>0</v>
      </c>
      <c r="AA363">
        <f t="shared" ca="1" si="55"/>
        <v>0</v>
      </c>
    </row>
    <row r="364" spans="1:27" x14ac:dyDescent="0.25">
      <c r="A364">
        <f t="shared" ca="1" si="48"/>
        <v>0</v>
      </c>
      <c r="B364" t="str">
        <f t="shared" ca="1" si="49"/>
        <v/>
      </c>
      <c r="C364" t="str">
        <f t="shared" si="50"/>
        <v/>
      </c>
      <c r="D364" t="s">
        <v>2481</v>
      </c>
      <c r="E364" t="s">
        <v>1046</v>
      </c>
      <c r="F364" s="3" t="s">
        <v>253</v>
      </c>
      <c r="G364" s="11" t="s">
        <v>253</v>
      </c>
      <c r="H364" s="11" t="s">
        <v>253</v>
      </c>
      <c r="I364" s="3" t="s">
        <v>253</v>
      </c>
      <c r="J364" s="3" t="s">
        <v>253</v>
      </c>
      <c r="K364" s="3" t="s">
        <v>253</v>
      </c>
      <c r="L364" s="3" t="s">
        <v>253</v>
      </c>
      <c r="M364" t="str">
        <f>IF(LEN(H364),MATCH(H364,'MPIO_SFIO Table'!$A$11:$A$65525,0)-1,"")</f>
        <v/>
      </c>
      <c r="N364" t="str">
        <f>IF(LEN(I364),MATCH(I364,'MPIO_SFIO Table'!$A$11:$A$65525,0)-1,"")</f>
        <v/>
      </c>
      <c r="O364" t="str">
        <f>IF(LEN(J364),MATCH(J364,'MPIO_SFIO Table'!$A$11:$A$65525,0)-1,"")</f>
        <v/>
      </c>
      <c r="P364" t="str">
        <f>IF(LEN(K364),MATCH(K364,'MPIO_SFIO Table'!$A$11:$A$65525,0)-1,"")</f>
        <v/>
      </c>
      <c r="Q364" t="str">
        <f>IF(LEN(L364),MATCH(L364,'MPIO_SFIO Table'!$A$11:$A$65525,0)-1,"")</f>
        <v/>
      </c>
      <c r="R364" t="str">
        <f ca="1">IF(ISNUMBER(M364),OFFSET('MPIO_SFIO Table'!$AJ$11,M364,0),"")</f>
        <v/>
      </c>
      <c r="S364" t="str">
        <f ca="1">IF(ISNUMBER(N364),OFFSET('MPIO_SFIO Table'!$AJ$11,N364,0),"")</f>
        <v/>
      </c>
      <c r="T364" t="str">
        <f ca="1">IF(ISNUMBER(O364),OFFSET('MPIO_SFIO Table'!$AJ$11,O364,0),"")</f>
        <v/>
      </c>
      <c r="U364" t="str">
        <f ca="1">IF(ISNUMBER(P364),OFFSET('MPIO_SFIO Table'!$AJ$11,P364,0),"")</f>
        <v/>
      </c>
      <c r="V364" t="str">
        <f ca="1">IF(ISNUMBER(Q364),OFFSET('MPIO_SFIO Table'!$AJ$11,Q364,0),"")</f>
        <v/>
      </c>
      <c r="W364">
        <f t="shared" ca="1" si="51"/>
        <v>0</v>
      </c>
      <c r="X364">
        <f t="shared" ca="1" si="52"/>
        <v>0</v>
      </c>
      <c r="Y364">
        <f t="shared" ca="1" si="53"/>
        <v>0</v>
      </c>
      <c r="Z364">
        <f t="shared" ca="1" si="54"/>
        <v>0</v>
      </c>
      <c r="AA364">
        <f t="shared" ca="1" si="55"/>
        <v>0</v>
      </c>
    </row>
    <row r="365" spans="1:27" x14ac:dyDescent="0.25">
      <c r="A365">
        <f t="shared" ca="1" si="48"/>
        <v>0</v>
      </c>
      <c r="B365" t="str">
        <f t="shared" ca="1" si="49"/>
        <v/>
      </c>
      <c r="C365" t="str">
        <f t="shared" si="50"/>
        <v>I2C0</v>
      </c>
      <c r="D365" t="s">
        <v>253</v>
      </c>
      <c r="E365" t="s">
        <v>253</v>
      </c>
      <c r="F365" s="3" t="s">
        <v>2478</v>
      </c>
      <c r="G365" s="11" t="s">
        <v>1043</v>
      </c>
      <c r="H365" s="11" t="s">
        <v>210</v>
      </c>
      <c r="I365" s="3" t="s">
        <v>253</v>
      </c>
      <c r="J365" s="3" t="s">
        <v>253</v>
      </c>
      <c r="K365" s="3" t="s">
        <v>253</v>
      </c>
      <c r="L365" s="3" t="s">
        <v>253</v>
      </c>
      <c r="M365">
        <f>IF(LEN(H365),MATCH(H365,'MPIO_SFIO Table'!$A$11:$A$65525,0)-1,"")</f>
        <v>225</v>
      </c>
      <c r="N365" t="str">
        <f>IF(LEN(I365),MATCH(I365,'MPIO_SFIO Table'!$A$11:$A$65525,0)-1,"")</f>
        <v/>
      </c>
      <c r="O365" t="str">
        <f>IF(LEN(J365),MATCH(J365,'MPIO_SFIO Table'!$A$11:$A$65525,0)-1,"")</f>
        <v/>
      </c>
      <c r="P365" t="str">
        <f>IF(LEN(K365),MATCH(K365,'MPIO_SFIO Table'!$A$11:$A$65525,0)-1,"")</f>
        <v/>
      </c>
      <c r="Q365" t="str">
        <f>IF(LEN(L365),MATCH(L365,'MPIO_SFIO Table'!$A$11:$A$65525,0)-1,"")</f>
        <v/>
      </c>
      <c r="R365" t="str">
        <f ca="1">IF(ISNUMBER(M365),OFFSET('MPIO_SFIO Table'!$AJ$11,M365,0),"")</f>
        <v>unused_PWR_I2C_SCL</v>
      </c>
      <c r="S365" t="str">
        <f ca="1">IF(ISNUMBER(N365),OFFSET('MPIO_SFIO Table'!$AJ$11,N365,0),"")</f>
        <v/>
      </c>
      <c r="T365" t="str">
        <f ca="1">IF(ISNUMBER(O365),OFFSET('MPIO_SFIO Table'!$AJ$11,O365,0),"")</f>
        <v/>
      </c>
      <c r="U365" t="str">
        <f ca="1">IF(ISNUMBER(P365),OFFSET('MPIO_SFIO Table'!$AJ$11,P365,0),"")</f>
        <v/>
      </c>
      <c r="V365" t="str">
        <f ca="1">IF(ISNUMBER(Q365),OFFSET('MPIO_SFIO Table'!$AJ$11,Q365,0),"")</f>
        <v/>
      </c>
      <c r="W365">
        <f t="shared" ca="1" si="51"/>
        <v>0</v>
      </c>
      <c r="X365">
        <f t="shared" ca="1" si="52"/>
        <v>0</v>
      </c>
      <c r="Y365">
        <f t="shared" ca="1" si="53"/>
        <v>0</v>
      </c>
      <c r="Z365">
        <f t="shared" ca="1" si="54"/>
        <v>0</v>
      </c>
      <c r="AA365">
        <f t="shared" ca="1" si="55"/>
        <v>0</v>
      </c>
    </row>
    <row r="366" spans="1:27" x14ac:dyDescent="0.25">
      <c r="A366">
        <f t="shared" ca="1" si="48"/>
        <v>0</v>
      </c>
      <c r="B366" t="str">
        <f t="shared" ca="1" si="49"/>
        <v/>
      </c>
      <c r="C366" t="str">
        <f t="shared" si="50"/>
        <v>I2C0</v>
      </c>
      <c r="D366" t="s">
        <v>253</v>
      </c>
      <c r="E366" t="s">
        <v>253</v>
      </c>
      <c r="F366" s="3" t="s">
        <v>2818</v>
      </c>
      <c r="G366" s="11" t="s">
        <v>1044</v>
      </c>
      <c r="H366" s="11" t="s">
        <v>211</v>
      </c>
      <c r="I366" s="3" t="s">
        <v>253</v>
      </c>
      <c r="J366" s="3" t="s">
        <v>253</v>
      </c>
      <c r="K366" s="3" t="s">
        <v>253</v>
      </c>
      <c r="L366" s="3" t="s">
        <v>253</v>
      </c>
      <c r="M366">
        <f>IF(LEN(H366),MATCH(H366,'MPIO_SFIO Table'!$A$11:$A$65525,0)-1,"")</f>
        <v>226</v>
      </c>
      <c r="N366" t="str">
        <f>IF(LEN(I366),MATCH(I366,'MPIO_SFIO Table'!$A$11:$A$65525,0)-1,"")</f>
        <v/>
      </c>
      <c r="O366" t="str">
        <f>IF(LEN(J366),MATCH(J366,'MPIO_SFIO Table'!$A$11:$A$65525,0)-1,"")</f>
        <v/>
      </c>
      <c r="P366" t="str">
        <f>IF(LEN(K366),MATCH(K366,'MPIO_SFIO Table'!$A$11:$A$65525,0)-1,"")</f>
        <v/>
      </c>
      <c r="Q366" t="str">
        <f>IF(LEN(L366),MATCH(L366,'MPIO_SFIO Table'!$A$11:$A$65525,0)-1,"")</f>
        <v/>
      </c>
      <c r="R366" t="str">
        <f ca="1">IF(ISNUMBER(M366),OFFSET('MPIO_SFIO Table'!$AJ$11,M366,0),"")</f>
        <v>unused_PWR_I2C_SDA</v>
      </c>
      <c r="S366" t="str">
        <f ca="1">IF(ISNUMBER(N366),OFFSET('MPIO_SFIO Table'!$AJ$11,N366,0),"")</f>
        <v/>
      </c>
      <c r="T366" t="str">
        <f ca="1">IF(ISNUMBER(O366),OFFSET('MPIO_SFIO Table'!$AJ$11,O366,0),"")</f>
        <v/>
      </c>
      <c r="U366" t="str">
        <f ca="1">IF(ISNUMBER(P366),OFFSET('MPIO_SFIO Table'!$AJ$11,P366,0),"")</f>
        <v/>
      </c>
      <c r="V366" t="str">
        <f ca="1">IF(ISNUMBER(Q366),OFFSET('MPIO_SFIO Table'!$AJ$11,Q366,0),"")</f>
        <v/>
      </c>
      <c r="W366">
        <f t="shared" ca="1" si="51"/>
        <v>0</v>
      </c>
      <c r="X366">
        <f t="shared" ca="1" si="52"/>
        <v>0</v>
      </c>
      <c r="Y366">
        <f t="shared" ca="1" si="53"/>
        <v>0</v>
      </c>
      <c r="Z366">
        <f t="shared" ca="1" si="54"/>
        <v>0</v>
      </c>
      <c r="AA366">
        <f t="shared" ca="1" si="55"/>
        <v>0</v>
      </c>
    </row>
    <row r="367" spans="1:27" x14ac:dyDescent="0.25">
      <c r="A367">
        <f t="shared" ca="1" si="48"/>
        <v>0</v>
      </c>
      <c r="B367" t="str">
        <f t="shared" ca="1" si="49"/>
        <v/>
      </c>
      <c r="C367" t="str">
        <f t="shared" si="50"/>
        <v/>
      </c>
      <c r="D367" t="s">
        <v>2482</v>
      </c>
      <c r="E367" t="s">
        <v>1046</v>
      </c>
      <c r="F367" s="3" t="s">
        <v>253</v>
      </c>
      <c r="G367" s="11" t="s">
        <v>253</v>
      </c>
      <c r="H367" s="11" t="s">
        <v>253</v>
      </c>
      <c r="I367" s="3" t="s">
        <v>253</v>
      </c>
      <c r="J367" s="3" t="s">
        <v>253</v>
      </c>
      <c r="K367" s="3" t="s">
        <v>253</v>
      </c>
      <c r="L367" s="3" t="s">
        <v>253</v>
      </c>
      <c r="M367" t="str">
        <f>IF(LEN(H367),MATCH(H367,'MPIO_SFIO Table'!$A$11:$A$65525,0)-1,"")</f>
        <v/>
      </c>
      <c r="N367" t="str">
        <f>IF(LEN(I367),MATCH(I367,'MPIO_SFIO Table'!$A$11:$A$65525,0)-1,"")</f>
        <v/>
      </c>
      <c r="O367" t="str">
        <f>IF(LEN(J367),MATCH(J367,'MPIO_SFIO Table'!$A$11:$A$65525,0)-1,"")</f>
        <v/>
      </c>
      <c r="P367" t="str">
        <f>IF(LEN(K367),MATCH(K367,'MPIO_SFIO Table'!$A$11:$A$65525,0)-1,"")</f>
        <v/>
      </c>
      <c r="Q367" t="str">
        <f>IF(LEN(L367),MATCH(L367,'MPIO_SFIO Table'!$A$11:$A$65525,0)-1,"")</f>
        <v/>
      </c>
      <c r="R367" t="str">
        <f ca="1">IF(ISNUMBER(M367),OFFSET('MPIO_SFIO Table'!$AJ$11,M367,0),"")</f>
        <v/>
      </c>
      <c r="S367" t="str">
        <f ca="1">IF(ISNUMBER(N367),OFFSET('MPIO_SFIO Table'!$AJ$11,N367,0),"")</f>
        <v/>
      </c>
      <c r="T367" t="str">
        <f ca="1">IF(ISNUMBER(O367),OFFSET('MPIO_SFIO Table'!$AJ$11,O367,0),"")</f>
        <v/>
      </c>
      <c r="U367" t="str">
        <f ca="1">IF(ISNUMBER(P367),OFFSET('MPIO_SFIO Table'!$AJ$11,P367,0),"")</f>
        <v/>
      </c>
      <c r="V367" t="str">
        <f ca="1">IF(ISNUMBER(Q367),OFFSET('MPIO_SFIO Table'!$AJ$11,Q367,0),"")</f>
        <v/>
      </c>
      <c r="W367">
        <f t="shared" ca="1" si="51"/>
        <v>0</v>
      </c>
      <c r="X367">
        <f t="shared" ca="1" si="52"/>
        <v>0</v>
      </c>
      <c r="Y367">
        <f t="shared" ca="1" si="53"/>
        <v>0</v>
      </c>
      <c r="Z367">
        <f t="shared" ca="1" si="54"/>
        <v>0</v>
      </c>
      <c r="AA367">
        <f t="shared" ca="1" si="55"/>
        <v>0</v>
      </c>
    </row>
    <row r="368" spans="1:27" x14ac:dyDescent="0.25">
      <c r="A368">
        <f t="shared" ca="1" si="48"/>
        <v>0</v>
      </c>
      <c r="B368" t="str">
        <f t="shared" ca="1" si="49"/>
        <v/>
      </c>
      <c r="C368" t="str">
        <f t="shared" si="50"/>
        <v>I2C1</v>
      </c>
      <c r="D368" t="s">
        <v>253</v>
      </c>
      <c r="E368" t="s">
        <v>253</v>
      </c>
      <c r="F368" s="3" t="s">
        <v>2478</v>
      </c>
      <c r="G368" s="11" t="s">
        <v>716</v>
      </c>
      <c r="H368" s="11" t="s">
        <v>219</v>
      </c>
      <c r="I368" s="3" t="s">
        <v>253</v>
      </c>
      <c r="J368" s="3" t="s">
        <v>253</v>
      </c>
      <c r="K368" s="3" t="s">
        <v>253</v>
      </c>
      <c r="L368" s="3" t="s">
        <v>253</v>
      </c>
      <c r="M368">
        <f>IF(LEN(H368),MATCH(H368,'MPIO_SFIO Table'!$A$11:$A$65525,0)-1,"")</f>
        <v>237</v>
      </c>
      <c r="N368" t="str">
        <f>IF(LEN(I368),MATCH(I368,'MPIO_SFIO Table'!$A$11:$A$65525,0)-1,"")</f>
        <v/>
      </c>
      <c r="O368" t="str">
        <f>IF(LEN(J368),MATCH(J368,'MPIO_SFIO Table'!$A$11:$A$65525,0)-1,"")</f>
        <v/>
      </c>
      <c r="P368" t="str">
        <f>IF(LEN(K368),MATCH(K368,'MPIO_SFIO Table'!$A$11:$A$65525,0)-1,"")</f>
        <v/>
      </c>
      <c r="Q368" t="str">
        <f>IF(LEN(L368),MATCH(L368,'MPIO_SFIO Table'!$A$11:$A$65525,0)-1,"")</f>
        <v/>
      </c>
      <c r="R368" t="str">
        <f ca="1">IF(ISNUMBER(M368),OFFSET('MPIO_SFIO Table'!$AJ$11,M368,0),"")</f>
        <v>unused_GEN1_I2C_SCL</v>
      </c>
      <c r="S368" t="str">
        <f ca="1">IF(ISNUMBER(N368),OFFSET('MPIO_SFIO Table'!$AJ$11,N368,0),"")</f>
        <v/>
      </c>
      <c r="T368" t="str">
        <f ca="1">IF(ISNUMBER(O368),OFFSET('MPIO_SFIO Table'!$AJ$11,O368,0),"")</f>
        <v/>
      </c>
      <c r="U368" t="str">
        <f ca="1">IF(ISNUMBER(P368),OFFSET('MPIO_SFIO Table'!$AJ$11,P368,0),"")</f>
        <v/>
      </c>
      <c r="V368" t="str">
        <f ca="1">IF(ISNUMBER(Q368),OFFSET('MPIO_SFIO Table'!$AJ$11,Q368,0),"")</f>
        <v/>
      </c>
      <c r="W368">
        <f t="shared" ca="1" si="51"/>
        <v>0</v>
      </c>
      <c r="X368">
        <f t="shared" ca="1" si="52"/>
        <v>0</v>
      </c>
      <c r="Y368">
        <f t="shared" ca="1" si="53"/>
        <v>0</v>
      </c>
      <c r="Z368">
        <f t="shared" ca="1" si="54"/>
        <v>0</v>
      </c>
      <c r="AA368">
        <f t="shared" ca="1" si="55"/>
        <v>0</v>
      </c>
    </row>
    <row r="369" spans="1:27" x14ac:dyDescent="0.25">
      <c r="A369">
        <f t="shared" ca="1" si="48"/>
        <v>0</v>
      </c>
      <c r="B369" t="str">
        <f t="shared" ca="1" si="49"/>
        <v/>
      </c>
      <c r="C369" t="str">
        <f t="shared" si="50"/>
        <v>I2C1</v>
      </c>
      <c r="D369" t="s">
        <v>253</v>
      </c>
      <c r="E369" t="s">
        <v>253</v>
      </c>
      <c r="F369" s="3" t="s">
        <v>2818</v>
      </c>
      <c r="G369" s="11" t="s">
        <v>717</v>
      </c>
      <c r="H369" s="11" t="s">
        <v>220</v>
      </c>
      <c r="I369" s="3" t="s">
        <v>253</v>
      </c>
      <c r="J369" s="3" t="s">
        <v>253</v>
      </c>
      <c r="K369" s="3" t="s">
        <v>253</v>
      </c>
      <c r="L369" s="3" t="s">
        <v>253</v>
      </c>
      <c r="M369">
        <f>IF(LEN(H369),MATCH(H369,'MPIO_SFIO Table'!$A$11:$A$65525,0)-1,"")</f>
        <v>238</v>
      </c>
      <c r="N369" t="str">
        <f>IF(LEN(I369),MATCH(I369,'MPIO_SFIO Table'!$A$11:$A$65525,0)-1,"")</f>
        <v/>
      </c>
      <c r="O369" t="str">
        <f>IF(LEN(J369),MATCH(J369,'MPIO_SFIO Table'!$A$11:$A$65525,0)-1,"")</f>
        <v/>
      </c>
      <c r="P369" t="str">
        <f>IF(LEN(K369),MATCH(K369,'MPIO_SFIO Table'!$A$11:$A$65525,0)-1,"")</f>
        <v/>
      </c>
      <c r="Q369" t="str">
        <f>IF(LEN(L369),MATCH(L369,'MPIO_SFIO Table'!$A$11:$A$65525,0)-1,"")</f>
        <v/>
      </c>
      <c r="R369" t="str">
        <f ca="1">IF(ISNUMBER(M369),OFFSET('MPIO_SFIO Table'!$AJ$11,M369,0),"")</f>
        <v>unused_GEN1_I2C_SDA</v>
      </c>
      <c r="S369" t="str">
        <f ca="1">IF(ISNUMBER(N369),OFFSET('MPIO_SFIO Table'!$AJ$11,N369,0),"")</f>
        <v/>
      </c>
      <c r="T369" t="str">
        <f ca="1">IF(ISNUMBER(O369),OFFSET('MPIO_SFIO Table'!$AJ$11,O369,0),"")</f>
        <v/>
      </c>
      <c r="U369" t="str">
        <f ca="1">IF(ISNUMBER(P369),OFFSET('MPIO_SFIO Table'!$AJ$11,P369,0),"")</f>
        <v/>
      </c>
      <c r="V369" t="str">
        <f ca="1">IF(ISNUMBER(Q369),OFFSET('MPIO_SFIO Table'!$AJ$11,Q369,0),"")</f>
        <v/>
      </c>
      <c r="W369">
        <f t="shared" ca="1" si="51"/>
        <v>0</v>
      </c>
      <c r="X369">
        <f t="shared" ca="1" si="52"/>
        <v>0</v>
      </c>
      <c r="Y369">
        <f t="shared" ca="1" si="53"/>
        <v>0</v>
      </c>
      <c r="Z369">
        <f t="shared" ca="1" si="54"/>
        <v>0</v>
      </c>
      <c r="AA369">
        <f t="shared" ca="1" si="55"/>
        <v>0</v>
      </c>
    </row>
    <row r="370" spans="1:27" x14ac:dyDescent="0.25">
      <c r="A370">
        <f t="shared" ca="1" si="48"/>
        <v>0</v>
      </c>
      <c r="B370" t="str">
        <f t="shared" ca="1" si="49"/>
        <v/>
      </c>
      <c r="C370" t="str">
        <f t="shared" si="50"/>
        <v/>
      </c>
      <c r="D370" t="s">
        <v>2483</v>
      </c>
      <c r="E370" t="s">
        <v>1046</v>
      </c>
      <c r="F370" s="3" t="s">
        <v>253</v>
      </c>
      <c r="G370" s="11" t="s">
        <v>253</v>
      </c>
      <c r="H370" s="11" t="s">
        <v>253</v>
      </c>
      <c r="I370" s="3" t="s">
        <v>253</v>
      </c>
      <c r="J370" s="3" t="s">
        <v>253</v>
      </c>
      <c r="K370" s="3" t="s">
        <v>253</v>
      </c>
      <c r="L370" s="3" t="s">
        <v>253</v>
      </c>
      <c r="M370" t="str">
        <f>IF(LEN(H370),MATCH(H370,'MPIO_SFIO Table'!$A$11:$A$65525,0)-1,"")</f>
        <v/>
      </c>
      <c r="N370" t="str">
        <f>IF(LEN(I370),MATCH(I370,'MPIO_SFIO Table'!$A$11:$A$65525,0)-1,"")</f>
        <v/>
      </c>
      <c r="O370" t="str">
        <f>IF(LEN(J370),MATCH(J370,'MPIO_SFIO Table'!$A$11:$A$65525,0)-1,"")</f>
        <v/>
      </c>
      <c r="P370" t="str">
        <f>IF(LEN(K370),MATCH(K370,'MPIO_SFIO Table'!$A$11:$A$65525,0)-1,"")</f>
        <v/>
      </c>
      <c r="Q370" t="str">
        <f>IF(LEN(L370),MATCH(L370,'MPIO_SFIO Table'!$A$11:$A$65525,0)-1,"")</f>
        <v/>
      </c>
      <c r="R370" t="str">
        <f ca="1">IF(ISNUMBER(M370),OFFSET('MPIO_SFIO Table'!$AJ$11,M370,0),"")</f>
        <v/>
      </c>
      <c r="S370" t="str">
        <f ca="1">IF(ISNUMBER(N370),OFFSET('MPIO_SFIO Table'!$AJ$11,N370,0),"")</f>
        <v/>
      </c>
      <c r="T370" t="str">
        <f ca="1">IF(ISNUMBER(O370),OFFSET('MPIO_SFIO Table'!$AJ$11,O370,0),"")</f>
        <v/>
      </c>
      <c r="U370" t="str">
        <f ca="1">IF(ISNUMBER(P370),OFFSET('MPIO_SFIO Table'!$AJ$11,P370,0),"")</f>
        <v/>
      </c>
      <c r="V370" t="str">
        <f ca="1">IF(ISNUMBER(Q370),OFFSET('MPIO_SFIO Table'!$AJ$11,Q370,0),"")</f>
        <v/>
      </c>
      <c r="W370">
        <f t="shared" ca="1" si="51"/>
        <v>0</v>
      </c>
      <c r="X370">
        <f t="shared" ca="1" si="52"/>
        <v>0</v>
      </c>
      <c r="Y370">
        <f t="shared" ca="1" si="53"/>
        <v>0</v>
      </c>
      <c r="Z370">
        <f t="shared" ca="1" si="54"/>
        <v>0</v>
      </c>
      <c r="AA370">
        <f t="shared" ca="1" si="55"/>
        <v>0</v>
      </c>
    </row>
    <row r="371" spans="1:27" x14ac:dyDescent="0.25">
      <c r="A371">
        <f t="shared" ca="1" si="48"/>
        <v>0</v>
      </c>
      <c r="B371" t="str">
        <f t="shared" ca="1" si="49"/>
        <v/>
      </c>
      <c r="C371" t="str">
        <f t="shared" si="50"/>
        <v>I2C2</v>
      </c>
      <c r="D371" t="s">
        <v>253</v>
      </c>
      <c r="E371" t="s">
        <v>253</v>
      </c>
      <c r="F371" s="3" t="s">
        <v>2478</v>
      </c>
      <c r="G371" s="11" t="s">
        <v>400</v>
      </c>
      <c r="H371" s="11" t="s">
        <v>59</v>
      </c>
      <c r="I371" s="3" t="s">
        <v>253</v>
      </c>
      <c r="J371" s="3" t="s">
        <v>253</v>
      </c>
      <c r="K371" s="3" t="s">
        <v>253</v>
      </c>
      <c r="L371" s="3" t="s">
        <v>253</v>
      </c>
      <c r="M371">
        <f>IF(LEN(H371),MATCH(H371,'MPIO_SFIO Table'!$A$11:$A$65525,0)-1,"")</f>
        <v>54</v>
      </c>
      <c r="N371" t="str">
        <f>IF(LEN(I371),MATCH(I371,'MPIO_SFIO Table'!$A$11:$A$65525,0)-1,"")</f>
        <v/>
      </c>
      <c r="O371" t="str">
        <f>IF(LEN(J371),MATCH(J371,'MPIO_SFIO Table'!$A$11:$A$65525,0)-1,"")</f>
        <v/>
      </c>
      <c r="P371" t="str">
        <f>IF(LEN(K371),MATCH(K371,'MPIO_SFIO Table'!$A$11:$A$65525,0)-1,"")</f>
        <v/>
      </c>
      <c r="Q371" t="str">
        <f>IF(LEN(L371),MATCH(L371,'MPIO_SFIO Table'!$A$11:$A$65525,0)-1,"")</f>
        <v/>
      </c>
      <c r="R371" t="str">
        <f ca="1">IF(ISNUMBER(M371),OFFSET('MPIO_SFIO Table'!$AJ$11,M371,0),"")</f>
        <v>unused_GEN2_I2C_SCL</v>
      </c>
      <c r="S371" t="str">
        <f ca="1">IF(ISNUMBER(N371),OFFSET('MPIO_SFIO Table'!$AJ$11,N371,0),"")</f>
        <v/>
      </c>
      <c r="T371" t="str">
        <f ca="1">IF(ISNUMBER(O371),OFFSET('MPIO_SFIO Table'!$AJ$11,O371,0),"")</f>
        <v/>
      </c>
      <c r="U371" t="str">
        <f ca="1">IF(ISNUMBER(P371),OFFSET('MPIO_SFIO Table'!$AJ$11,P371,0),"")</f>
        <v/>
      </c>
      <c r="V371" t="str">
        <f ca="1">IF(ISNUMBER(Q371),OFFSET('MPIO_SFIO Table'!$AJ$11,Q371,0),"")</f>
        <v/>
      </c>
      <c r="W371">
        <f t="shared" ca="1" si="51"/>
        <v>0</v>
      </c>
      <c r="X371">
        <f t="shared" ca="1" si="52"/>
        <v>0</v>
      </c>
      <c r="Y371">
        <f t="shared" ca="1" si="53"/>
        <v>0</v>
      </c>
      <c r="Z371">
        <f t="shared" ca="1" si="54"/>
        <v>0</v>
      </c>
      <c r="AA371">
        <f t="shared" ca="1" si="55"/>
        <v>0</v>
      </c>
    </row>
    <row r="372" spans="1:27" x14ac:dyDescent="0.25">
      <c r="A372">
        <f t="shared" ca="1" si="48"/>
        <v>0</v>
      </c>
      <c r="B372" t="str">
        <f t="shared" ca="1" si="49"/>
        <v/>
      </c>
      <c r="C372" t="str">
        <f t="shared" si="50"/>
        <v>I2C2</v>
      </c>
      <c r="D372" t="s">
        <v>253</v>
      </c>
      <c r="E372" t="s">
        <v>253</v>
      </c>
      <c r="F372" s="3" t="s">
        <v>2818</v>
      </c>
      <c r="G372" s="11" t="s">
        <v>403</v>
      </c>
      <c r="H372" s="11" t="s">
        <v>60</v>
      </c>
      <c r="I372" s="3" t="s">
        <v>253</v>
      </c>
      <c r="J372" s="3" t="s">
        <v>253</v>
      </c>
      <c r="K372" s="3" t="s">
        <v>253</v>
      </c>
      <c r="L372" s="3" t="s">
        <v>253</v>
      </c>
      <c r="M372">
        <f>IF(LEN(H372),MATCH(H372,'MPIO_SFIO Table'!$A$11:$A$65525,0)-1,"")</f>
        <v>55</v>
      </c>
      <c r="N372" t="str">
        <f>IF(LEN(I372),MATCH(I372,'MPIO_SFIO Table'!$A$11:$A$65525,0)-1,"")</f>
        <v/>
      </c>
      <c r="O372" t="str">
        <f>IF(LEN(J372),MATCH(J372,'MPIO_SFIO Table'!$A$11:$A$65525,0)-1,"")</f>
        <v/>
      </c>
      <c r="P372" t="str">
        <f>IF(LEN(K372),MATCH(K372,'MPIO_SFIO Table'!$A$11:$A$65525,0)-1,"")</f>
        <v/>
      </c>
      <c r="Q372" t="str">
        <f>IF(LEN(L372),MATCH(L372,'MPIO_SFIO Table'!$A$11:$A$65525,0)-1,"")</f>
        <v/>
      </c>
      <c r="R372" t="str">
        <f ca="1">IF(ISNUMBER(M372),OFFSET('MPIO_SFIO Table'!$AJ$11,M372,0),"")</f>
        <v>unused_GEN2_I2C_SDA</v>
      </c>
      <c r="S372" t="str">
        <f ca="1">IF(ISNUMBER(N372),OFFSET('MPIO_SFIO Table'!$AJ$11,N372,0),"")</f>
        <v/>
      </c>
      <c r="T372" t="str">
        <f ca="1">IF(ISNUMBER(O372),OFFSET('MPIO_SFIO Table'!$AJ$11,O372,0),"")</f>
        <v/>
      </c>
      <c r="U372" t="str">
        <f ca="1">IF(ISNUMBER(P372),OFFSET('MPIO_SFIO Table'!$AJ$11,P372,0),"")</f>
        <v/>
      </c>
      <c r="V372" t="str">
        <f ca="1">IF(ISNUMBER(Q372),OFFSET('MPIO_SFIO Table'!$AJ$11,Q372,0),"")</f>
        <v/>
      </c>
      <c r="W372">
        <f t="shared" ca="1" si="51"/>
        <v>0</v>
      </c>
      <c r="X372">
        <f t="shared" ca="1" si="52"/>
        <v>0</v>
      </c>
      <c r="Y372">
        <f t="shared" ca="1" si="53"/>
        <v>0</v>
      </c>
      <c r="Z372">
        <f t="shared" ca="1" si="54"/>
        <v>0</v>
      </c>
      <c r="AA372">
        <f t="shared" ca="1" si="55"/>
        <v>0</v>
      </c>
    </row>
    <row r="373" spans="1:27" x14ac:dyDescent="0.25">
      <c r="A373">
        <f t="shared" ca="1" si="48"/>
        <v>0</v>
      </c>
      <c r="B373" t="str">
        <f t="shared" ca="1" si="49"/>
        <v/>
      </c>
      <c r="C373" t="str">
        <f t="shared" si="50"/>
        <v/>
      </c>
      <c r="D373" t="s">
        <v>2484</v>
      </c>
      <c r="E373" t="s">
        <v>1026</v>
      </c>
      <c r="F373" s="3" t="s">
        <v>253</v>
      </c>
      <c r="G373" s="11" t="s">
        <v>253</v>
      </c>
      <c r="H373" s="11" t="s">
        <v>253</v>
      </c>
      <c r="I373" s="3" t="s">
        <v>253</v>
      </c>
      <c r="J373" s="3" t="s">
        <v>253</v>
      </c>
      <c r="K373" s="3" t="s">
        <v>253</v>
      </c>
      <c r="L373" s="3" t="s">
        <v>253</v>
      </c>
      <c r="M373" t="str">
        <f>IF(LEN(H373),MATCH(H373,'MPIO_SFIO Table'!$A$11:$A$65525,0)-1,"")</f>
        <v/>
      </c>
      <c r="N373" t="str">
        <f>IF(LEN(I373),MATCH(I373,'MPIO_SFIO Table'!$A$11:$A$65525,0)-1,"")</f>
        <v/>
      </c>
      <c r="O373" t="str">
        <f>IF(LEN(J373),MATCH(J373,'MPIO_SFIO Table'!$A$11:$A$65525,0)-1,"")</f>
        <v/>
      </c>
      <c r="P373" t="str">
        <f>IF(LEN(K373),MATCH(K373,'MPIO_SFIO Table'!$A$11:$A$65525,0)-1,"")</f>
        <v/>
      </c>
      <c r="Q373" t="str">
        <f>IF(LEN(L373),MATCH(L373,'MPIO_SFIO Table'!$A$11:$A$65525,0)-1,"")</f>
        <v/>
      </c>
      <c r="R373" t="str">
        <f ca="1">IF(ISNUMBER(M373),OFFSET('MPIO_SFIO Table'!$AJ$11,M373,0),"")</f>
        <v/>
      </c>
      <c r="S373" t="str">
        <f ca="1">IF(ISNUMBER(N373),OFFSET('MPIO_SFIO Table'!$AJ$11,N373,0),"")</f>
        <v/>
      </c>
      <c r="T373" t="str">
        <f ca="1">IF(ISNUMBER(O373),OFFSET('MPIO_SFIO Table'!$AJ$11,O373,0),"")</f>
        <v/>
      </c>
      <c r="U373" t="str">
        <f ca="1">IF(ISNUMBER(P373),OFFSET('MPIO_SFIO Table'!$AJ$11,P373,0),"")</f>
        <v/>
      </c>
      <c r="V373" t="str">
        <f ca="1">IF(ISNUMBER(Q373),OFFSET('MPIO_SFIO Table'!$AJ$11,Q373,0),"")</f>
        <v/>
      </c>
      <c r="W373">
        <f t="shared" ca="1" si="51"/>
        <v>0</v>
      </c>
      <c r="X373">
        <f t="shared" ca="1" si="52"/>
        <v>0</v>
      </c>
      <c r="Y373">
        <f t="shared" ca="1" si="53"/>
        <v>0</v>
      </c>
      <c r="Z373">
        <f t="shared" ca="1" si="54"/>
        <v>0</v>
      </c>
      <c r="AA373">
        <f t="shared" ca="1" si="55"/>
        <v>0</v>
      </c>
    </row>
    <row r="374" spans="1:27" x14ac:dyDescent="0.25">
      <c r="A374">
        <f t="shared" ca="1" si="48"/>
        <v>0</v>
      </c>
      <c r="B374" t="str">
        <f t="shared" ca="1" si="49"/>
        <v/>
      </c>
      <c r="C374" t="str">
        <f t="shared" si="50"/>
        <v>I2C3</v>
      </c>
      <c r="D374" t="s">
        <v>253</v>
      </c>
      <c r="E374" t="s">
        <v>253</v>
      </c>
      <c r="F374" s="3" t="s">
        <v>2478</v>
      </c>
      <c r="G374" s="11" t="s">
        <v>1039</v>
      </c>
      <c r="H374" s="11" t="s">
        <v>48</v>
      </c>
      <c r="I374" s="3" t="s">
        <v>253</v>
      </c>
      <c r="J374" s="3" t="s">
        <v>253</v>
      </c>
      <c r="K374" s="3" t="s">
        <v>253</v>
      </c>
      <c r="L374" s="3" t="s">
        <v>253</v>
      </c>
      <c r="M374">
        <f>IF(LEN(H374),MATCH(H374,'MPIO_SFIO Table'!$A$11:$A$65525,0)-1,"")</f>
        <v>42</v>
      </c>
      <c r="N374" t="str">
        <f>IF(LEN(I374),MATCH(I374,'MPIO_SFIO Table'!$A$11:$A$65525,0)-1,"")</f>
        <v/>
      </c>
      <c r="O374" t="str">
        <f>IF(LEN(J374),MATCH(J374,'MPIO_SFIO Table'!$A$11:$A$65525,0)-1,"")</f>
        <v/>
      </c>
      <c r="P374" t="str">
        <f>IF(LEN(K374),MATCH(K374,'MPIO_SFIO Table'!$A$11:$A$65525,0)-1,"")</f>
        <v/>
      </c>
      <c r="Q374" t="str">
        <f>IF(LEN(L374),MATCH(L374,'MPIO_SFIO Table'!$A$11:$A$65525,0)-1,"")</f>
        <v/>
      </c>
      <c r="R374" t="str">
        <f ca="1">IF(ISNUMBER(M374),OFFSET('MPIO_SFIO Table'!$AJ$11,M374,0),"")</f>
        <v>unused_CAM_I2C_SCL</v>
      </c>
      <c r="S374" t="str">
        <f ca="1">IF(ISNUMBER(N374),OFFSET('MPIO_SFIO Table'!$AJ$11,N374,0),"")</f>
        <v/>
      </c>
      <c r="T374" t="str">
        <f ca="1">IF(ISNUMBER(O374),OFFSET('MPIO_SFIO Table'!$AJ$11,O374,0),"")</f>
        <v/>
      </c>
      <c r="U374" t="str">
        <f ca="1">IF(ISNUMBER(P374),OFFSET('MPIO_SFIO Table'!$AJ$11,P374,0),"")</f>
        <v/>
      </c>
      <c r="V374" t="str">
        <f ca="1">IF(ISNUMBER(Q374),OFFSET('MPIO_SFIO Table'!$AJ$11,Q374,0),"")</f>
        <v/>
      </c>
      <c r="W374">
        <f t="shared" ca="1" si="51"/>
        <v>0</v>
      </c>
      <c r="X374">
        <f t="shared" ca="1" si="52"/>
        <v>0</v>
      </c>
      <c r="Y374">
        <f t="shared" ca="1" si="53"/>
        <v>0</v>
      </c>
      <c r="Z374">
        <f t="shared" ca="1" si="54"/>
        <v>0</v>
      </c>
      <c r="AA374">
        <f t="shared" ca="1" si="55"/>
        <v>0</v>
      </c>
    </row>
    <row r="375" spans="1:27" x14ac:dyDescent="0.25">
      <c r="A375">
        <f t="shared" ca="1" si="48"/>
        <v>0</v>
      </c>
      <c r="B375" t="str">
        <f t="shared" ca="1" si="49"/>
        <v/>
      </c>
      <c r="C375" t="str">
        <f t="shared" si="50"/>
        <v>I2C3</v>
      </c>
      <c r="D375" t="s">
        <v>253</v>
      </c>
      <c r="E375" t="s">
        <v>253</v>
      </c>
      <c r="F375" s="3" t="s">
        <v>2818</v>
      </c>
      <c r="G375" s="11" t="s">
        <v>1040</v>
      </c>
      <c r="H375" s="11" t="s">
        <v>49</v>
      </c>
      <c r="I375" s="3" t="s">
        <v>253</v>
      </c>
      <c r="J375" s="3" t="s">
        <v>253</v>
      </c>
      <c r="K375" s="3" t="s">
        <v>253</v>
      </c>
      <c r="L375" s="3" t="s">
        <v>253</v>
      </c>
      <c r="M375">
        <f>IF(LEN(H375),MATCH(H375,'MPIO_SFIO Table'!$A$11:$A$65525,0)-1,"")</f>
        <v>43</v>
      </c>
      <c r="N375" t="str">
        <f>IF(LEN(I375),MATCH(I375,'MPIO_SFIO Table'!$A$11:$A$65525,0)-1,"")</f>
        <v/>
      </c>
      <c r="O375" t="str">
        <f>IF(LEN(J375),MATCH(J375,'MPIO_SFIO Table'!$A$11:$A$65525,0)-1,"")</f>
        <v/>
      </c>
      <c r="P375" t="str">
        <f>IF(LEN(K375),MATCH(K375,'MPIO_SFIO Table'!$A$11:$A$65525,0)-1,"")</f>
        <v/>
      </c>
      <c r="Q375" t="str">
        <f>IF(LEN(L375),MATCH(L375,'MPIO_SFIO Table'!$A$11:$A$65525,0)-1,"")</f>
        <v/>
      </c>
      <c r="R375" t="str">
        <f ca="1">IF(ISNUMBER(M375),OFFSET('MPIO_SFIO Table'!$AJ$11,M375,0),"")</f>
        <v>unused_CAM_I2C_SDA</v>
      </c>
      <c r="S375" t="str">
        <f ca="1">IF(ISNUMBER(N375),OFFSET('MPIO_SFIO Table'!$AJ$11,N375,0),"")</f>
        <v/>
      </c>
      <c r="T375" t="str">
        <f ca="1">IF(ISNUMBER(O375),OFFSET('MPIO_SFIO Table'!$AJ$11,O375,0),"")</f>
        <v/>
      </c>
      <c r="U375" t="str">
        <f ca="1">IF(ISNUMBER(P375),OFFSET('MPIO_SFIO Table'!$AJ$11,P375,0),"")</f>
        <v/>
      </c>
      <c r="V375" t="str">
        <f ca="1">IF(ISNUMBER(Q375),OFFSET('MPIO_SFIO Table'!$AJ$11,Q375,0),"")</f>
        <v/>
      </c>
      <c r="W375">
        <f t="shared" ca="1" si="51"/>
        <v>0</v>
      </c>
      <c r="X375">
        <f t="shared" ca="1" si="52"/>
        <v>0</v>
      </c>
      <c r="Y375">
        <f t="shared" ca="1" si="53"/>
        <v>0</v>
      </c>
      <c r="Z375">
        <f t="shared" ca="1" si="54"/>
        <v>0</v>
      </c>
      <c r="AA375">
        <f t="shared" ca="1" si="55"/>
        <v>0</v>
      </c>
    </row>
    <row r="376" spans="1:27" x14ac:dyDescent="0.25">
      <c r="A376">
        <f t="shared" ca="1" si="48"/>
        <v>0</v>
      </c>
      <c r="B376" t="str">
        <f t="shared" ca="1" si="49"/>
        <v/>
      </c>
      <c r="C376" t="str">
        <f t="shared" si="50"/>
        <v/>
      </c>
      <c r="D376" t="s">
        <v>253</v>
      </c>
      <c r="E376" t="s">
        <v>1027</v>
      </c>
      <c r="F376" s="3" t="s">
        <v>253</v>
      </c>
      <c r="G376" s="11" t="s">
        <v>253</v>
      </c>
      <c r="H376" s="11" t="s">
        <v>253</v>
      </c>
      <c r="I376" s="3" t="s">
        <v>253</v>
      </c>
      <c r="J376" s="3" t="s">
        <v>253</v>
      </c>
      <c r="K376" s="3" t="s">
        <v>253</v>
      </c>
      <c r="L376" s="3" t="s">
        <v>253</v>
      </c>
      <c r="M376" t="str">
        <f>IF(LEN(H376),MATCH(H376,'MPIO_SFIO Table'!$A$11:$A$65525,0)-1,"")</f>
        <v/>
      </c>
      <c r="N376" t="str">
        <f>IF(LEN(I376),MATCH(I376,'MPIO_SFIO Table'!$A$11:$A$65525,0)-1,"")</f>
        <v/>
      </c>
      <c r="O376" t="str">
        <f>IF(LEN(J376),MATCH(J376,'MPIO_SFIO Table'!$A$11:$A$65525,0)-1,"")</f>
        <v/>
      </c>
      <c r="P376" t="str">
        <f>IF(LEN(K376),MATCH(K376,'MPIO_SFIO Table'!$A$11:$A$65525,0)-1,"")</f>
        <v/>
      </c>
      <c r="Q376" t="str">
        <f>IF(LEN(L376),MATCH(L376,'MPIO_SFIO Table'!$A$11:$A$65525,0)-1,"")</f>
        <v/>
      </c>
      <c r="R376" t="str">
        <f ca="1">IF(ISNUMBER(M376),OFFSET('MPIO_SFIO Table'!$AJ$11,M376,0),"")</f>
        <v/>
      </c>
      <c r="S376" t="str">
        <f ca="1">IF(ISNUMBER(N376),OFFSET('MPIO_SFIO Table'!$AJ$11,N376,0),"")</f>
        <v/>
      </c>
      <c r="T376" t="str">
        <f ca="1">IF(ISNUMBER(O376),OFFSET('MPIO_SFIO Table'!$AJ$11,O376,0),"")</f>
        <v/>
      </c>
      <c r="U376" t="str">
        <f ca="1">IF(ISNUMBER(P376),OFFSET('MPIO_SFIO Table'!$AJ$11,P376,0),"")</f>
        <v/>
      </c>
      <c r="V376" t="str">
        <f ca="1">IF(ISNUMBER(Q376),OFFSET('MPIO_SFIO Table'!$AJ$11,Q376,0),"")</f>
        <v/>
      </c>
      <c r="W376">
        <f t="shared" ca="1" si="51"/>
        <v>0</v>
      </c>
      <c r="X376">
        <f t="shared" ca="1" si="52"/>
        <v>0</v>
      </c>
      <c r="Y376">
        <f t="shared" ca="1" si="53"/>
        <v>0</v>
      </c>
      <c r="Z376">
        <f t="shared" ca="1" si="54"/>
        <v>0</v>
      </c>
      <c r="AA376">
        <f t="shared" ca="1" si="55"/>
        <v>0</v>
      </c>
    </row>
    <row r="377" spans="1:27" x14ac:dyDescent="0.25">
      <c r="A377">
        <f t="shared" ca="1" si="48"/>
        <v>0</v>
      </c>
      <c r="B377" t="str">
        <f t="shared" ca="1" si="49"/>
        <v/>
      </c>
      <c r="C377" t="str">
        <f t="shared" si="50"/>
        <v>I2C3</v>
      </c>
      <c r="D377" t="s">
        <v>253</v>
      </c>
      <c r="E377" t="s">
        <v>253</v>
      </c>
      <c r="F377" s="3" t="s">
        <v>2478</v>
      </c>
      <c r="G377" s="11" t="s">
        <v>1041</v>
      </c>
      <c r="H377" s="11" t="s">
        <v>173</v>
      </c>
      <c r="I377" s="3" t="s">
        <v>253</v>
      </c>
      <c r="J377" s="3" t="s">
        <v>253</v>
      </c>
      <c r="K377" s="3" t="s">
        <v>253</v>
      </c>
      <c r="L377" s="3" t="s">
        <v>253</v>
      </c>
      <c r="M377">
        <f>IF(LEN(H377),MATCH(H377,'MPIO_SFIO Table'!$A$11:$A$65525,0)-1,"")</f>
        <v>177</v>
      </c>
      <c r="N377" t="str">
        <f>IF(LEN(I377),MATCH(I377,'MPIO_SFIO Table'!$A$11:$A$65525,0)-1,"")</f>
        <v/>
      </c>
      <c r="O377" t="str">
        <f>IF(LEN(J377),MATCH(J377,'MPIO_SFIO Table'!$A$11:$A$65525,0)-1,"")</f>
        <v/>
      </c>
      <c r="P377" t="str">
        <f>IF(LEN(K377),MATCH(K377,'MPIO_SFIO Table'!$A$11:$A$65525,0)-1,"")</f>
        <v/>
      </c>
      <c r="Q377" t="str">
        <f>IF(LEN(L377),MATCH(L377,'MPIO_SFIO Table'!$A$11:$A$65525,0)-1,"")</f>
        <v/>
      </c>
      <c r="R377" t="str">
        <f ca="1">IF(ISNUMBER(M377),OFFSET('MPIO_SFIO Table'!$AJ$11,M377,0),"")</f>
        <v>unused_SDMMC4_CMD</v>
      </c>
      <c r="S377" t="str">
        <f ca="1">IF(ISNUMBER(N377),OFFSET('MPIO_SFIO Table'!$AJ$11,N377,0),"")</f>
        <v/>
      </c>
      <c r="T377" t="str">
        <f ca="1">IF(ISNUMBER(O377),OFFSET('MPIO_SFIO Table'!$AJ$11,O377,0),"")</f>
        <v/>
      </c>
      <c r="U377" t="str">
        <f ca="1">IF(ISNUMBER(P377),OFFSET('MPIO_SFIO Table'!$AJ$11,P377,0),"")</f>
        <v/>
      </c>
      <c r="V377" t="str">
        <f ca="1">IF(ISNUMBER(Q377),OFFSET('MPIO_SFIO Table'!$AJ$11,Q377,0),"")</f>
        <v/>
      </c>
      <c r="W377">
        <f t="shared" ca="1" si="51"/>
        <v>0</v>
      </c>
      <c r="X377">
        <f t="shared" ca="1" si="52"/>
        <v>0</v>
      </c>
      <c r="Y377">
        <f t="shared" ca="1" si="53"/>
        <v>0</v>
      </c>
      <c r="Z377">
        <f t="shared" ca="1" si="54"/>
        <v>0</v>
      </c>
      <c r="AA377">
        <f t="shared" ca="1" si="55"/>
        <v>0</v>
      </c>
    </row>
    <row r="378" spans="1:27" x14ac:dyDescent="0.25">
      <c r="A378">
        <f t="shared" ca="1" si="48"/>
        <v>0</v>
      </c>
      <c r="B378" t="str">
        <f t="shared" ca="1" si="49"/>
        <v/>
      </c>
      <c r="C378" t="str">
        <f t="shared" si="50"/>
        <v>I2C3</v>
      </c>
      <c r="D378" t="s">
        <v>253</v>
      </c>
      <c r="E378" t="s">
        <v>253</v>
      </c>
      <c r="F378" s="3" t="s">
        <v>2818</v>
      </c>
      <c r="G378" s="11" t="s">
        <v>1042</v>
      </c>
      <c r="H378" s="11" t="s">
        <v>178</v>
      </c>
      <c r="I378" s="3" t="s">
        <v>253</v>
      </c>
      <c r="J378" s="3" t="s">
        <v>253</v>
      </c>
      <c r="K378" s="3" t="s">
        <v>253</v>
      </c>
      <c r="L378" s="3" t="s">
        <v>253</v>
      </c>
      <c r="M378">
        <f>IF(LEN(H378),MATCH(H378,'MPIO_SFIO Table'!$A$11:$A$65525,0)-1,"")</f>
        <v>182</v>
      </c>
      <c r="N378" t="str">
        <f>IF(LEN(I378),MATCH(I378,'MPIO_SFIO Table'!$A$11:$A$65525,0)-1,"")</f>
        <v/>
      </c>
      <c r="O378" t="str">
        <f>IF(LEN(J378),MATCH(J378,'MPIO_SFIO Table'!$A$11:$A$65525,0)-1,"")</f>
        <v/>
      </c>
      <c r="P378" t="str">
        <f>IF(LEN(K378),MATCH(K378,'MPIO_SFIO Table'!$A$11:$A$65525,0)-1,"")</f>
        <v/>
      </c>
      <c r="Q378" t="str">
        <f>IF(LEN(L378),MATCH(L378,'MPIO_SFIO Table'!$A$11:$A$65525,0)-1,"")</f>
        <v/>
      </c>
      <c r="R378" t="str">
        <f ca="1">IF(ISNUMBER(M378),OFFSET('MPIO_SFIO Table'!$AJ$11,M378,0),"")</f>
        <v>unused_SDMMC4_DAT4</v>
      </c>
      <c r="S378" t="str">
        <f ca="1">IF(ISNUMBER(N378),OFFSET('MPIO_SFIO Table'!$AJ$11,N378,0),"")</f>
        <v/>
      </c>
      <c r="T378" t="str">
        <f ca="1">IF(ISNUMBER(O378),OFFSET('MPIO_SFIO Table'!$AJ$11,O378,0),"")</f>
        <v/>
      </c>
      <c r="U378" t="str">
        <f ca="1">IF(ISNUMBER(P378),OFFSET('MPIO_SFIO Table'!$AJ$11,P378,0),"")</f>
        <v/>
      </c>
      <c r="V378" t="str">
        <f ca="1">IF(ISNUMBER(Q378),OFFSET('MPIO_SFIO Table'!$AJ$11,Q378,0),"")</f>
        <v/>
      </c>
      <c r="W378">
        <f t="shared" ca="1" si="51"/>
        <v>0</v>
      </c>
      <c r="X378">
        <f t="shared" ca="1" si="52"/>
        <v>0</v>
      </c>
      <c r="Y378">
        <f t="shared" ca="1" si="53"/>
        <v>0</v>
      </c>
      <c r="Z378">
        <f t="shared" ca="1" si="54"/>
        <v>0</v>
      </c>
      <c r="AA378">
        <f t="shared" ca="1" si="55"/>
        <v>0</v>
      </c>
    </row>
    <row r="379" spans="1:27" x14ac:dyDescent="0.25">
      <c r="A379">
        <f t="shared" ca="1" si="48"/>
        <v>0</v>
      </c>
      <c r="B379" t="str">
        <f t="shared" ca="1" si="49"/>
        <v/>
      </c>
      <c r="C379" t="str">
        <f t="shared" si="50"/>
        <v/>
      </c>
      <c r="D379" t="s">
        <v>2485</v>
      </c>
      <c r="E379" t="s">
        <v>1046</v>
      </c>
      <c r="F379" s="3" t="s">
        <v>253</v>
      </c>
      <c r="G379" s="11" t="s">
        <v>253</v>
      </c>
      <c r="H379" s="11" t="s">
        <v>253</v>
      </c>
      <c r="I379" s="3" t="s">
        <v>253</v>
      </c>
      <c r="J379" s="3" t="s">
        <v>253</v>
      </c>
      <c r="K379" s="3" t="s">
        <v>253</v>
      </c>
      <c r="L379" s="3" t="s">
        <v>253</v>
      </c>
      <c r="M379" t="str">
        <f>IF(LEN(H379),MATCH(H379,'MPIO_SFIO Table'!$A$11:$A$65525,0)-1,"")</f>
        <v/>
      </c>
      <c r="N379" t="str">
        <f>IF(LEN(I379),MATCH(I379,'MPIO_SFIO Table'!$A$11:$A$65525,0)-1,"")</f>
        <v/>
      </c>
      <c r="O379" t="str">
        <f>IF(LEN(J379),MATCH(J379,'MPIO_SFIO Table'!$A$11:$A$65525,0)-1,"")</f>
        <v/>
      </c>
      <c r="P379" t="str">
        <f>IF(LEN(K379),MATCH(K379,'MPIO_SFIO Table'!$A$11:$A$65525,0)-1,"")</f>
        <v/>
      </c>
      <c r="Q379" t="str">
        <f>IF(LEN(L379),MATCH(L379,'MPIO_SFIO Table'!$A$11:$A$65525,0)-1,"")</f>
        <v/>
      </c>
      <c r="R379" t="str">
        <f ca="1">IF(ISNUMBER(M379),OFFSET('MPIO_SFIO Table'!$AJ$11,M379,0),"")</f>
        <v/>
      </c>
      <c r="S379" t="str">
        <f ca="1">IF(ISNUMBER(N379),OFFSET('MPIO_SFIO Table'!$AJ$11,N379,0),"")</f>
        <v/>
      </c>
      <c r="T379" t="str">
        <f ca="1">IF(ISNUMBER(O379),OFFSET('MPIO_SFIO Table'!$AJ$11,O379,0),"")</f>
        <v/>
      </c>
      <c r="U379" t="str">
        <f ca="1">IF(ISNUMBER(P379),OFFSET('MPIO_SFIO Table'!$AJ$11,P379,0),"")</f>
        <v/>
      </c>
      <c r="V379" t="str">
        <f ca="1">IF(ISNUMBER(Q379),OFFSET('MPIO_SFIO Table'!$AJ$11,Q379,0),"")</f>
        <v/>
      </c>
      <c r="W379">
        <f t="shared" ca="1" si="51"/>
        <v>0</v>
      </c>
      <c r="X379">
        <f t="shared" ca="1" si="52"/>
        <v>0</v>
      </c>
      <c r="Y379">
        <f t="shared" ca="1" si="53"/>
        <v>0</v>
      </c>
      <c r="Z379">
        <f t="shared" ca="1" si="54"/>
        <v>0</v>
      </c>
      <c r="AA379">
        <f t="shared" ca="1" si="55"/>
        <v>0</v>
      </c>
    </row>
    <row r="380" spans="1:27" x14ac:dyDescent="0.25">
      <c r="A380">
        <f t="shared" ca="1" si="48"/>
        <v>0</v>
      </c>
      <c r="B380" t="str">
        <f t="shared" ca="1" si="49"/>
        <v/>
      </c>
      <c r="C380" t="str">
        <f t="shared" si="50"/>
        <v>I2C4</v>
      </c>
      <c r="D380" t="s">
        <v>253</v>
      </c>
      <c r="E380" t="s">
        <v>253</v>
      </c>
      <c r="F380" s="3" t="s">
        <v>2478</v>
      </c>
      <c r="G380" s="11" t="s">
        <v>476</v>
      </c>
      <c r="H380" s="11" t="s">
        <v>99</v>
      </c>
      <c r="I380" s="3" t="s">
        <v>253</v>
      </c>
      <c r="J380" s="3" t="s">
        <v>253</v>
      </c>
      <c r="K380" s="3" t="s">
        <v>253</v>
      </c>
      <c r="L380" s="3" t="s">
        <v>253</v>
      </c>
      <c r="M380">
        <f>IF(LEN(H380),MATCH(H380,'MPIO_SFIO Table'!$A$11:$A$65525,0)-1,"")</f>
        <v>95</v>
      </c>
      <c r="N380" t="str">
        <f>IF(LEN(I380),MATCH(I380,'MPIO_SFIO Table'!$A$11:$A$65525,0)-1,"")</f>
        <v/>
      </c>
      <c r="O380" t="str">
        <f>IF(LEN(J380),MATCH(J380,'MPIO_SFIO Table'!$A$11:$A$65525,0)-1,"")</f>
        <v/>
      </c>
      <c r="P380" t="str">
        <f>IF(LEN(K380),MATCH(K380,'MPIO_SFIO Table'!$A$11:$A$65525,0)-1,"")</f>
        <v/>
      </c>
      <c r="Q380" t="str">
        <f>IF(LEN(L380),MATCH(L380,'MPIO_SFIO Table'!$A$11:$A$65525,0)-1,"")</f>
        <v/>
      </c>
      <c r="R380" t="str">
        <f ca="1">IF(ISNUMBER(M380),OFFSET('MPIO_SFIO Table'!$AJ$11,M380,0),"")</f>
        <v>unused_DDC_SCL</v>
      </c>
      <c r="S380" t="str">
        <f ca="1">IF(ISNUMBER(N380),OFFSET('MPIO_SFIO Table'!$AJ$11,N380,0),"")</f>
        <v/>
      </c>
      <c r="T380" t="str">
        <f ca="1">IF(ISNUMBER(O380),OFFSET('MPIO_SFIO Table'!$AJ$11,O380,0),"")</f>
        <v/>
      </c>
      <c r="U380" t="str">
        <f ca="1">IF(ISNUMBER(P380),OFFSET('MPIO_SFIO Table'!$AJ$11,P380,0),"")</f>
        <v/>
      </c>
      <c r="V380" t="str">
        <f ca="1">IF(ISNUMBER(Q380),OFFSET('MPIO_SFIO Table'!$AJ$11,Q380,0),"")</f>
        <v/>
      </c>
      <c r="W380">
        <f t="shared" ca="1" si="51"/>
        <v>0</v>
      </c>
      <c r="X380">
        <f t="shared" ca="1" si="52"/>
        <v>0</v>
      </c>
      <c r="Y380">
        <f t="shared" ca="1" si="53"/>
        <v>0</v>
      </c>
      <c r="Z380">
        <f t="shared" ca="1" si="54"/>
        <v>0</v>
      </c>
      <c r="AA380">
        <f t="shared" ca="1" si="55"/>
        <v>0</v>
      </c>
    </row>
    <row r="381" spans="1:27" x14ac:dyDescent="0.25">
      <c r="A381">
        <f t="shared" ca="1" si="48"/>
        <v>0</v>
      </c>
      <c r="B381" t="str">
        <f t="shared" ca="1" si="49"/>
        <v/>
      </c>
      <c r="C381" t="str">
        <f t="shared" si="50"/>
        <v>I2C4</v>
      </c>
      <c r="D381" t="s">
        <v>253</v>
      </c>
      <c r="E381" t="s">
        <v>253</v>
      </c>
      <c r="F381" s="3" t="s">
        <v>2818</v>
      </c>
      <c r="G381" s="11" t="s">
        <v>480</v>
      </c>
      <c r="H381" s="11" t="s">
        <v>100</v>
      </c>
      <c r="I381" s="3" t="s">
        <v>253</v>
      </c>
      <c r="J381" s="3" t="s">
        <v>253</v>
      </c>
      <c r="K381" s="3" t="s">
        <v>253</v>
      </c>
      <c r="L381" s="3" t="s">
        <v>253</v>
      </c>
      <c r="M381">
        <f>IF(LEN(H381),MATCH(H381,'MPIO_SFIO Table'!$A$11:$A$65525,0)-1,"")</f>
        <v>96</v>
      </c>
      <c r="N381" t="str">
        <f>IF(LEN(I381),MATCH(I381,'MPIO_SFIO Table'!$A$11:$A$65525,0)-1,"")</f>
        <v/>
      </c>
      <c r="O381" t="str">
        <f>IF(LEN(J381),MATCH(J381,'MPIO_SFIO Table'!$A$11:$A$65525,0)-1,"")</f>
        <v/>
      </c>
      <c r="P381" t="str">
        <f>IF(LEN(K381),MATCH(K381,'MPIO_SFIO Table'!$A$11:$A$65525,0)-1,"")</f>
        <v/>
      </c>
      <c r="Q381" t="str">
        <f>IF(LEN(L381),MATCH(L381,'MPIO_SFIO Table'!$A$11:$A$65525,0)-1,"")</f>
        <v/>
      </c>
      <c r="R381" t="str">
        <f ca="1">IF(ISNUMBER(M381),OFFSET('MPIO_SFIO Table'!$AJ$11,M381,0),"")</f>
        <v>unused_DDC_SDA</v>
      </c>
      <c r="S381" t="str">
        <f ca="1">IF(ISNUMBER(N381),OFFSET('MPIO_SFIO Table'!$AJ$11,N381,0),"")</f>
        <v/>
      </c>
      <c r="T381" t="str">
        <f ca="1">IF(ISNUMBER(O381),OFFSET('MPIO_SFIO Table'!$AJ$11,O381,0),"")</f>
        <v/>
      </c>
      <c r="U381" t="str">
        <f ca="1">IF(ISNUMBER(P381),OFFSET('MPIO_SFIO Table'!$AJ$11,P381,0),"")</f>
        <v/>
      </c>
      <c r="V381" t="str">
        <f ca="1">IF(ISNUMBER(Q381),OFFSET('MPIO_SFIO Table'!$AJ$11,Q381,0),"")</f>
        <v/>
      </c>
      <c r="W381">
        <f t="shared" ca="1" si="51"/>
        <v>0</v>
      </c>
      <c r="X381">
        <f t="shared" ca="1" si="52"/>
        <v>0</v>
      </c>
      <c r="Y381">
        <f t="shared" ca="1" si="53"/>
        <v>0</v>
      </c>
      <c r="Z381">
        <f t="shared" ca="1" si="54"/>
        <v>0</v>
      </c>
      <c r="AA381">
        <f t="shared" ca="1" si="55"/>
        <v>0</v>
      </c>
    </row>
    <row r="382" spans="1:27" x14ac:dyDescent="0.25">
      <c r="A382">
        <f t="shared" ca="1" si="48"/>
        <v>0</v>
      </c>
      <c r="B382" t="str">
        <f t="shared" ca="1" si="49"/>
        <v/>
      </c>
      <c r="C382" t="str">
        <f t="shared" si="50"/>
        <v/>
      </c>
      <c r="D382" t="s">
        <v>2486</v>
      </c>
      <c r="E382" t="s">
        <v>1046</v>
      </c>
      <c r="F382" s="3" t="s">
        <v>253</v>
      </c>
      <c r="G382" s="11" t="s">
        <v>253</v>
      </c>
      <c r="H382" s="11" t="s">
        <v>253</v>
      </c>
      <c r="I382" s="3" t="s">
        <v>253</v>
      </c>
      <c r="J382" s="3" t="s">
        <v>253</v>
      </c>
      <c r="K382" s="3" t="s">
        <v>253</v>
      </c>
      <c r="L382" s="3" t="s">
        <v>253</v>
      </c>
      <c r="M382" t="str">
        <f>IF(LEN(H382),MATCH(H382,'MPIO_SFIO Table'!$A$11:$A$65525,0)-1,"")</f>
        <v/>
      </c>
      <c r="N382" t="str">
        <f>IF(LEN(I382),MATCH(I382,'MPIO_SFIO Table'!$A$11:$A$65525,0)-1,"")</f>
        <v/>
      </c>
      <c r="O382" t="str">
        <f>IF(LEN(J382),MATCH(J382,'MPIO_SFIO Table'!$A$11:$A$65525,0)-1,"")</f>
        <v/>
      </c>
      <c r="P382" t="str">
        <f>IF(LEN(K382),MATCH(K382,'MPIO_SFIO Table'!$A$11:$A$65525,0)-1,"")</f>
        <v/>
      </c>
      <c r="Q382" t="str">
        <f>IF(LEN(L382),MATCH(L382,'MPIO_SFIO Table'!$A$11:$A$65525,0)-1,"")</f>
        <v/>
      </c>
      <c r="R382" t="str">
        <f ca="1">IF(ISNUMBER(M382),OFFSET('MPIO_SFIO Table'!$AJ$11,M382,0),"")</f>
        <v/>
      </c>
      <c r="S382" t="str">
        <f ca="1">IF(ISNUMBER(N382),OFFSET('MPIO_SFIO Table'!$AJ$11,N382,0),"")</f>
        <v/>
      </c>
      <c r="T382" t="str">
        <f ca="1">IF(ISNUMBER(O382),OFFSET('MPIO_SFIO Table'!$AJ$11,O382,0),"")</f>
        <v/>
      </c>
      <c r="U382" t="str">
        <f ca="1">IF(ISNUMBER(P382),OFFSET('MPIO_SFIO Table'!$AJ$11,P382,0),"")</f>
        <v/>
      </c>
      <c r="V382" t="str">
        <f ca="1">IF(ISNUMBER(Q382),OFFSET('MPIO_SFIO Table'!$AJ$11,Q382,0),"")</f>
        <v/>
      </c>
      <c r="W382">
        <f t="shared" ca="1" si="51"/>
        <v>0</v>
      </c>
      <c r="X382">
        <f t="shared" ca="1" si="52"/>
        <v>0</v>
      </c>
      <c r="Y382">
        <f t="shared" ca="1" si="53"/>
        <v>0</v>
      </c>
      <c r="Z382">
        <f t="shared" ca="1" si="54"/>
        <v>0</v>
      </c>
      <c r="AA382">
        <f t="shared" ca="1" si="55"/>
        <v>0</v>
      </c>
    </row>
    <row r="383" spans="1:27" x14ac:dyDescent="0.25">
      <c r="A383">
        <f t="shared" ca="1" si="48"/>
        <v>0</v>
      </c>
      <c r="B383" t="str">
        <f t="shared" ca="1" si="49"/>
        <v/>
      </c>
      <c r="C383" t="str">
        <f t="shared" si="50"/>
        <v>I2S0</v>
      </c>
      <c r="D383" t="s">
        <v>253</v>
      </c>
      <c r="E383" t="s">
        <v>253</v>
      </c>
      <c r="F383" s="3" t="s">
        <v>2819</v>
      </c>
      <c r="G383" s="11" t="s">
        <v>276</v>
      </c>
      <c r="H383" s="11" t="s">
        <v>12</v>
      </c>
      <c r="I383" s="3" t="s">
        <v>253</v>
      </c>
      <c r="J383" s="3" t="s">
        <v>253</v>
      </c>
      <c r="K383" s="3" t="s">
        <v>253</v>
      </c>
      <c r="L383" s="3" t="s">
        <v>253</v>
      </c>
      <c r="M383">
        <f>IF(LEN(H383),MATCH(H383,'MPIO_SFIO Table'!$A$11:$A$65525,0)-1,"")</f>
        <v>4</v>
      </c>
      <c r="N383" t="str">
        <f>IF(LEN(I383),MATCH(I383,'MPIO_SFIO Table'!$A$11:$A$65525,0)-1,"")</f>
        <v/>
      </c>
      <c r="O383" t="str">
        <f>IF(LEN(J383),MATCH(J383,'MPIO_SFIO Table'!$A$11:$A$65525,0)-1,"")</f>
        <v/>
      </c>
      <c r="P383" t="str">
        <f>IF(LEN(K383),MATCH(K383,'MPIO_SFIO Table'!$A$11:$A$65525,0)-1,"")</f>
        <v/>
      </c>
      <c r="Q383" t="str">
        <f>IF(LEN(L383),MATCH(L383,'MPIO_SFIO Table'!$A$11:$A$65525,0)-1,"")</f>
        <v/>
      </c>
      <c r="R383" t="str">
        <f ca="1">IF(ISNUMBER(M383),OFFSET('MPIO_SFIO Table'!$AJ$11,M383,0),"")</f>
        <v>unused_DAP1_FS</v>
      </c>
      <c r="S383" t="str">
        <f ca="1">IF(ISNUMBER(N383),OFFSET('MPIO_SFIO Table'!$AJ$11,N383,0),"")</f>
        <v/>
      </c>
      <c r="T383" t="str">
        <f ca="1">IF(ISNUMBER(O383),OFFSET('MPIO_SFIO Table'!$AJ$11,O383,0),"")</f>
        <v/>
      </c>
      <c r="U383" t="str">
        <f ca="1">IF(ISNUMBER(P383),OFFSET('MPIO_SFIO Table'!$AJ$11,P383,0),"")</f>
        <v/>
      </c>
      <c r="V383" t="str">
        <f ca="1">IF(ISNUMBER(Q383),OFFSET('MPIO_SFIO Table'!$AJ$11,Q383,0),"")</f>
        <v/>
      </c>
      <c r="W383">
        <f t="shared" ca="1" si="51"/>
        <v>0</v>
      </c>
      <c r="X383">
        <f t="shared" ca="1" si="52"/>
        <v>0</v>
      </c>
      <c r="Y383">
        <f t="shared" ca="1" si="53"/>
        <v>0</v>
      </c>
      <c r="Z383">
        <f t="shared" ca="1" si="54"/>
        <v>0</v>
      </c>
      <c r="AA383">
        <f t="shared" ca="1" si="55"/>
        <v>0</v>
      </c>
    </row>
    <row r="384" spans="1:27" x14ac:dyDescent="0.25">
      <c r="A384">
        <f t="shared" ca="1" si="48"/>
        <v>0</v>
      </c>
      <c r="B384" t="str">
        <f t="shared" ca="1" si="49"/>
        <v/>
      </c>
      <c r="C384" t="str">
        <f t="shared" si="50"/>
        <v>I2S0</v>
      </c>
      <c r="D384" t="s">
        <v>253</v>
      </c>
      <c r="E384" t="s">
        <v>253</v>
      </c>
      <c r="F384" s="3" t="s">
        <v>2820</v>
      </c>
      <c r="G384" s="11" t="s">
        <v>280</v>
      </c>
      <c r="H384" s="11" t="s">
        <v>13</v>
      </c>
      <c r="I384" s="3" t="s">
        <v>253</v>
      </c>
      <c r="J384" s="3" t="s">
        <v>253</v>
      </c>
      <c r="K384" s="3" t="s">
        <v>253</v>
      </c>
      <c r="L384" s="3" t="s">
        <v>253</v>
      </c>
      <c r="M384">
        <f>IF(LEN(H384),MATCH(H384,'MPIO_SFIO Table'!$A$11:$A$65525,0)-1,"")</f>
        <v>5</v>
      </c>
      <c r="N384" t="str">
        <f>IF(LEN(I384),MATCH(I384,'MPIO_SFIO Table'!$A$11:$A$65525,0)-1,"")</f>
        <v/>
      </c>
      <c r="O384" t="str">
        <f>IF(LEN(J384),MATCH(J384,'MPIO_SFIO Table'!$A$11:$A$65525,0)-1,"")</f>
        <v/>
      </c>
      <c r="P384" t="str">
        <f>IF(LEN(K384),MATCH(K384,'MPIO_SFIO Table'!$A$11:$A$65525,0)-1,"")</f>
        <v/>
      </c>
      <c r="Q384" t="str">
        <f>IF(LEN(L384),MATCH(L384,'MPIO_SFIO Table'!$A$11:$A$65525,0)-1,"")</f>
        <v/>
      </c>
      <c r="R384" t="str">
        <f ca="1">IF(ISNUMBER(M384),OFFSET('MPIO_SFIO Table'!$AJ$11,M384,0),"")</f>
        <v>unused_DAP1_SCLK</v>
      </c>
      <c r="S384" t="str">
        <f ca="1">IF(ISNUMBER(N384),OFFSET('MPIO_SFIO Table'!$AJ$11,N384,0),"")</f>
        <v/>
      </c>
      <c r="T384" t="str">
        <f ca="1">IF(ISNUMBER(O384),OFFSET('MPIO_SFIO Table'!$AJ$11,O384,0),"")</f>
        <v/>
      </c>
      <c r="U384" t="str">
        <f ca="1">IF(ISNUMBER(P384),OFFSET('MPIO_SFIO Table'!$AJ$11,P384,0),"")</f>
        <v/>
      </c>
      <c r="V384" t="str">
        <f ca="1">IF(ISNUMBER(Q384),OFFSET('MPIO_SFIO Table'!$AJ$11,Q384,0),"")</f>
        <v/>
      </c>
      <c r="W384">
        <f t="shared" ca="1" si="51"/>
        <v>0</v>
      </c>
      <c r="X384">
        <f t="shared" ca="1" si="52"/>
        <v>0</v>
      </c>
      <c r="Y384">
        <f t="shared" ca="1" si="53"/>
        <v>0</v>
      </c>
      <c r="Z384">
        <f t="shared" ca="1" si="54"/>
        <v>0</v>
      </c>
      <c r="AA384">
        <f t="shared" ca="1" si="55"/>
        <v>0</v>
      </c>
    </row>
    <row r="385" spans="1:27" x14ac:dyDescent="0.25">
      <c r="A385">
        <f t="shared" ca="1" si="48"/>
        <v>0</v>
      </c>
      <c r="B385" t="str">
        <f t="shared" ca="1" si="49"/>
        <v/>
      </c>
      <c r="C385" t="str">
        <f t="shared" si="50"/>
        <v>I2S0</v>
      </c>
      <c r="D385" t="s">
        <v>253</v>
      </c>
      <c r="E385" t="s">
        <v>253</v>
      </c>
      <c r="F385" s="3" t="s">
        <v>2821</v>
      </c>
      <c r="G385" s="11" t="s">
        <v>266</v>
      </c>
      <c r="H385" s="11" t="s">
        <v>10</v>
      </c>
      <c r="I385" s="3" t="s">
        <v>253</v>
      </c>
      <c r="J385" s="3" t="s">
        <v>253</v>
      </c>
      <c r="K385" s="3" t="s">
        <v>253</v>
      </c>
      <c r="L385" s="3" t="s">
        <v>253</v>
      </c>
      <c r="M385">
        <f>IF(LEN(H385),MATCH(H385,'MPIO_SFIO Table'!$A$11:$A$65525,0)-1,"")</f>
        <v>2</v>
      </c>
      <c r="N385" t="str">
        <f>IF(LEN(I385),MATCH(I385,'MPIO_SFIO Table'!$A$11:$A$65525,0)-1,"")</f>
        <v/>
      </c>
      <c r="O385" t="str">
        <f>IF(LEN(J385),MATCH(J385,'MPIO_SFIO Table'!$A$11:$A$65525,0)-1,"")</f>
        <v/>
      </c>
      <c r="P385" t="str">
        <f>IF(LEN(K385),MATCH(K385,'MPIO_SFIO Table'!$A$11:$A$65525,0)-1,"")</f>
        <v/>
      </c>
      <c r="Q385" t="str">
        <f>IF(LEN(L385),MATCH(L385,'MPIO_SFIO Table'!$A$11:$A$65525,0)-1,"")</f>
        <v/>
      </c>
      <c r="R385" t="str">
        <f ca="1">IF(ISNUMBER(M385),OFFSET('MPIO_SFIO Table'!$AJ$11,M385,0),"")</f>
        <v>unused_DAP1_DIN</v>
      </c>
      <c r="S385" t="str">
        <f ca="1">IF(ISNUMBER(N385),OFFSET('MPIO_SFIO Table'!$AJ$11,N385,0),"")</f>
        <v/>
      </c>
      <c r="T385" t="str">
        <f ca="1">IF(ISNUMBER(O385),OFFSET('MPIO_SFIO Table'!$AJ$11,O385,0),"")</f>
        <v/>
      </c>
      <c r="U385" t="str">
        <f ca="1">IF(ISNUMBER(P385),OFFSET('MPIO_SFIO Table'!$AJ$11,P385,0),"")</f>
        <v/>
      </c>
      <c r="V385" t="str">
        <f ca="1">IF(ISNUMBER(Q385),OFFSET('MPIO_SFIO Table'!$AJ$11,Q385,0),"")</f>
        <v/>
      </c>
      <c r="W385">
        <f t="shared" ca="1" si="51"/>
        <v>0</v>
      </c>
      <c r="X385">
        <f t="shared" ca="1" si="52"/>
        <v>0</v>
      </c>
      <c r="Y385">
        <f t="shared" ca="1" si="53"/>
        <v>0</v>
      </c>
      <c r="Z385">
        <f t="shared" ca="1" si="54"/>
        <v>0</v>
      </c>
      <c r="AA385">
        <f t="shared" ca="1" si="55"/>
        <v>0</v>
      </c>
    </row>
    <row r="386" spans="1:27" x14ac:dyDescent="0.25">
      <c r="A386">
        <f t="shared" ca="1" si="48"/>
        <v>0</v>
      </c>
      <c r="B386" t="str">
        <f t="shared" ca="1" si="49"/>
        <v/>
      </c>
      <c r="C386" t="str">
        <f t="shared" si="50"/>
        <v>I2S0</v>
      </c>
      <c r="D386" t="s">
        <v>253</v>
      </c>
      <c r="E386" t="s">
        <v>253</v>
      </c>
      <c r="F386" s="3" t="s">
        <v>2822</v>
      </c>
      <c r="G386" s="11" t="s">
        <v>272</v>
      </c>
      <c r="H386" s="11" t="s">
        <v>11</v>
      </c>
      <c r="I386" s="3" t="s">
        <v>253</v>
      </c>
      <c r="J386" s="3" t="s">
        <v>253</v>
      </c>
      <c r="K386" s="3" t="s">
        <v>253</v>
      </c>
      <c r="L386" s="3" t="s">
        <v>253</v>
      </c>
      <c r="M386">
        <f>IF(LEN(H386),MATCH(H386,'MPIO_SFIO Table'!$A$11:$A$65525,0)-1,"")</f>
        <v>3</v>
      </c>
      <c r="N386" t="str">
        <f>IF(LEN(I386),MATCH(I386,'MPIO_SFIO Table'!$A$11:$A$65525,0)-1,"")</f>
        <v/>
      </c>
      <c r="O386" t="str">
        <f>IF(LEN(J386),MATCH(J386,'MPIO_SFIO Table'!$A$11:$A$65525,0)-1,"")</f>
        <v/>
      </c>
      <c r="P386" t="str">
        <f>IF(LEN(K386),MATCH(K386,'MPIO_SFIO Table'!$A$11:$A$65525,0)-1,"")</f>
        <v/>
      </c>
      <c r="Q386" t="str">
        <f>IF(LEN(L386),MATCH(L386,'MPIO_SFIO Table'!$A$11:$A$65525,0)-1,"")</f>
        <v/>
      </c>
      <c r="R386" t="str">
        <f ca="1">IF(ISNUMBER(M386),OFFSET('MPIO_SFIO Table'!$AJ$11,M386,0),"")</f>
        <v>unused_DAP1_DOUT</v>
      </c>
      <c r="S386" t="str">
        <f ca="1">IF(ISNUMBER(N386),OFFSET('MPIO_SFIO Table'!$AJ$11,N386,0),"")</f>
        <v/>
      </c>
      <c r="T386" t="str">
        <f ca="1">IF(ISNUMBER(O386),OFFSET('MPIO_SFIO Table'!$AJ$11,O386,0),"")</f>
        <v/>
      </c>
      <c r="U386" t="str">
        <f ca="1">IF(ISNUMBER(P386),OFFSET('MPIO_SFIO Table'!$AJ$11,P386,0),"")</f>
        <v/>
      </c>
      <c r="V386" t="str">
        <f ca="1">IF(ISNUMBER(Q386),OFFSET('MPIO_SFIO Table'!$AJ$11,Q386,0),"")</f>
        <v/>
      </c>
      <c r="W386">
        <f t="shared" ca="1" si="51"/>
        <v>0</v>
      </c>
      <c r="X386">
        <f t="shared" ca="1" si="52"/>
        <v>0</v>
      </c>
      <c r="Y386">
        <f t="shared" ca="1" si="53"/>
        <v>0</v>
      </c>
      <c r="Z386">
        <f t="shared" ca="1" si="54"/>
        <v>0</v>
      </c>
      <c r="AA386">
        <f t="shared" ca="1" si="55"/>
        <v>0</v>
      </c>
    </row>
    <row r="387" spans="1:27" x14ac:dyDescent="0.25">
      <c r="A387">
        <f t="shared" ca="1" si="48"/>
        <v>0</v>
      </c>
      <c r="B387" t="str">
        <f t="shared" ca="1" si="49"/>
        <v/>
      </c>
      <c r="C387" t="str">
        <f t="shared" si="50"/>
        <v/>
      </c>
      <c r="D387" t="s">
        <v>2487</v>
      </c>
      <c r="E387" t="s">
        <v>1046</v>
      </c>
      <c r="F387" s="3" t="s">
        <v>253</v>
      </c>
      <c r="G387" s="11" t="s">
        <v>253</v>
      </c>
      <c r="H387" s="11" t="s">
        <v>253</v>
      </c>
      <c r="I387" s="3" t="s">
        <v>253</v>
      </c>
      <c r="J387" s="3" t="s">
        <v>253</v>
      </c>
      <c r="K387" s="3" t="s">
        <v>253</v>
      </c>
      <c r="L387" s="3" t="s">
        <v>253</v>
      </c>
      <c r="M387" t="str">
        <f>IF(LEN(H387),MATCH(H387,'MPIO_SFIO Table'!$A$11:$A$65525,0)-1,"")</f>
        <v/>
      </c>
      <c r="N387" t="str">
        <f>IF(LEN(I387),MATCH(I387,'MPIO_SFIO Table'!$A$11:$A$65525,0)-1,"")</f>
        <v/>
      </c>
      <c r="O387" t="str">
        <f>IF(LEN(J387),MATCH(J387,'MPIO_SFIO Table'!$A$11:$A$65525,0)-1,"")</f>
        <v/>
      </c>
      <c r="P387" t="str">
        <f>IF(LEN(K387),MATCH(K387,'MPIO_SFIO Table'!$A$11:$A$65525,0)-1,"")</f>
        <v/>
      </c>
      <c r="Q387" t="str">
        <f>IF(LEN(L387),MATCH(L387,'MPIO_SFIO Table'!$A$11:$A$65525,0)-1,"")</f>
        <v/>
      </c>
      <c r="R387" t="str">
        <f ca="1">IF(ISNUMBER(M387),OFFSET('MPIO_SFIO Table'!$AJ$11,M387,0),"")</f>
        <v/>
      </c>
      <c r="S387" t="str">
        <f ca="1">IF(ISNUMBER(N387),OFFSET('MPIO_SFIO Table'!$AJ$11,N387,0),"")</f>
        <v/>
      </c>
      <c r="T387" t="str">
        <f ca="1">IF(ISNUMBER(O387),OFFSET('MPIO_SFIO Table'!$AJ$11,O387,0),"")</f>
        <v/>
      </c>
      <c r="U387" t="str">
        <f ca="1">IF(ISNUMBER(P387),OFFSET('MPIO_SFIO Table'!$AJ$11,P387,0),"")</f>
        <v/>
      </c>
      <c r="V387" t="str">
        <f ca="1">IF(ISNUMBER(Q387),OFFSET('MPIO_SFIO Table'!$AJ$11,Q387,0),"")</f>
        <v/>
      </c>
      <c r="W387">
        <f t="shared" ca="1" si="51"/>
        <v>0</v>
      </c>
      <c r="X387">
        <f t="shared" ca="1" si="52"/>
        <v>0</v>
      </c>
      <c r="Y387">
        <f t="shared" ca="1" si="53"/>
        <v>0</v>
      </c>
      <c r="Z387">
        <f t="shared" ca="1" si="54"/>
        <v>0</v>
      </c>
      <c r="AA387">
        <f t="shared" ca="1" si="55"/>
        <v>0</v>
      </c>
    </row>
    <row r="388" spans="1:27" x14ac:dyDescent="0.25">
      <c r="A388">
        <f t="shared" ca="1" si="48"/>
        <v>0</v>
      </c>
      <c r="B388" t="str">
        <f t="shared" ca="1" si="49"/>
        <v/>
      </c>
      <c r="C388" t="str">
        <f t="shared" si="50"/>
        <v>I2S1</v>
      </c>
      <c r="D388" t="s">
        <v>253</v>
      </c>
      <c r="E388" t="s">
        <v>253</v>
      </c>
      <c r="F388" s="3" t="s">
        <v>2819</v>
      </c>
      <c r="G388" s="11" t="s">
        <v>291</v>
      </c>
      <c r="H388" s="11" t="s">
        <v>16</v>
      </c>
      <c r="I388" s="3" t="s">
        <v>253</v>
      </c>
      <c r="J388" s="3" t="s">
        <v>253</v>
      </c>
      <c r="K388" s="3" t="s">
        <v>253</v>
      </c>
      <c r="L388" s="3" t="s">
        <v>253</v>
      </c>
      <c r="M388">
        <f>IF(LEN(H388),MATCH(H388,'MPIO_SFIO Table'!$A$11:$A$65525,0)-1,"")</f>
        <v>8</v>
      </c>
      <c r="N388" t="str">
        <f>IF(LEN(I388),MATCH(I388,'MPIO_SFIO Table'!$A$11:$A$65525,0)-1,"")</f>
        <v/>
      </c>
      <c r="O388" t="str">
        <f>IF(LEN(J388),MATCH(J388,'MPIO_SFIO Table'!$A$11:$A$65525,0)-1,"")</f>
        <v/>
      </c>
      <c r="P388" t="str">
        <f>IF(LEN(K388),MATCH(K388,'MPIO_SFIO Table'!$A$11:$A$65525,0)-1,"")</f>
        <v/>
      </c>
      <c r="Q388" t="str">
        <f>IF(LEN(L388),MATCH(L388,'MPIO_SFIO Table'!$A$11:$A$65525,0)-1,"")</f>
        <v/>
      </c>
      <c r="R388" t="str">
        <f ca="1">IF(ISNUMBER(M388),OFFSET('MPIO_SFIO Table'!$AJ$11,M388,0),"")</f>
        <v>unused_DAP2_FS</v>
      </c>
      <c r="S388" t="str">
        <f ca="1">IF(ISNUMBER(N388),OFFSET('MPIO_SFIO Table'!$AJ$11,N388,0),"")</f>
        <v/>
      </c>
      <c r="T388" t="str">
        <f ca="1">IF(ISNUMBER(O388),OFFSET('MPIO_SFIO Table'!$AJ$11,O388,0),"")</f>
        <v/>
      </c>
      <c r="U388" t="str">
        <f ca="1">IF(ISNUMBER(P388),OFFSET('MPIO_SFIO Table'!$AJ$11,P388,0),"")</f>
        <v/>
      </c>
      <c r="V388" t="str">
        <f ca="1">IF(ISNUMBER(Q388),OFFSET('MPIO_SFIO Table'!$AJ$11,Q388,0),"")</f>
        <v/>
      </c>
      <c r="W388">
        <f t="shared" ca="1" si="51"/>
        <v>0</v>
      </c>
      <c r="X388">
        <f t="shared" ca="1" si="52"/>
        <v>0</v>
      </c>
      <c r="Y388">
        <f t="shared" ca="1" si="53"/>
        <v>0</v>
      </c>
      <c r="Z388">
        <f t="shared" ca="1" si="54"/>
        <v>0</v>
      </c>
      <c r="AA388">
        <f t="shared" ca="1" si="55"/>
        <v>0</v>
      </c>
    </row>
    <row r="389" spans="1:27" x14ac:dyDescent="0.25">
      <c r="A389">
        <f t="shared" ca="1" si="48"/>
        <v>0</v>
      </c>
      <c r="B389" t="str">
        <f t="shared" ca="1" si="49"/>
        <v/>
      </c>
      <c r="C389" t="str">
        <f t="shared" si="50"/>
        <v>I2S1</v>
      </c>
      <c r="D389" t="s">
        <v>253</v>
      </c>
      <c r="E389" t="s">
        <v>253</v>
      </c>
      <c r="F389" s="3" t="s">
        <v>2820</v>
      </c>
      <c r="G389" s="11" t="s">
        <v>294</v>
      </c>
      <c r="H389" s="11" t="s">
        <v>17</v>
      </c>
      <c r="I389" s="3" t="s">
        <v>253</v>
      </c>
      <c r="J389" s="3" t="s">
        <v>253</v>
      </c>
      <c r="K389" s="3" t="s">
        <v>253</v>
      </c>
      <c r="L389" s="3" t="s">
        <v>253</v>
      </c>
      <c r="M389">
        <f>IF(LEN(H389),MATCH(H389,'MPIO_SFIO Table'!$A$11:$A$65525,0)-1,"")</f>
        <v>9</v>
      </c>
      <c r="N389" t="str">
        <f>IF(LEN(I389),MATCH(I389,'MPIO_SFIO Table'!$A$11:$A$65525,0)-1,"")</f>
        <v/>
      </c>
      <c r="O389" t="str">
        <f>IF(LEN(J389),MATCH(J389,'MPIO_SFIO Table'!$A$11:$A$65525,0)-1,"")</f>
        <v/>
      </c>
      <c r="P389" t="str">
        <f>IF(LEN(K389),MATCH(K389,'MPIO_SFIO Table'!$A$11:$A$65525,0)-1,"")</f>
        <v/>
      </c>
      <c r="Q389" t="str">
        <f>IF(LEN(L389),MATCH(L389,'MPIO_SFIO Table'!$A$11:$A$65525,0)-1,"")</f>
        <v/>
      </c>
      <c r="R389" t="str">
        <f ca="1">IF(ISNUMBER(M389),OFFSET('MPIO_SFIO Table'!$AJ$11,M389,0),"")</f>
        <v>unused_DAP2_SCLK</v>
      </c>
      <c r="S389" t="str">
        <f ca="1">IF(ISNUMBER(N389),OFFSET('MPIO_SFIO Table'!$AJ$11,N389,0),"")</f>
        <v/>
      </c>
      <c r="T389" t="str">
        <f ca="1">IF(ISNUMBER(O389),OFFSET('MPIO_SFIO Table'!$AJ$11,O389,0),"")</f>
        <v/>
      </c>
      <c r="U389" t="str">
        <f ca="1">IF(ISNUMBER(P389),OFFSET('MPIO_SFIO Table'!$AJ$11,P389,0),"")</f>
        <v/>
      </c>
      <c r="V389" t="str">
        <f ca="1">IF(ISNUMBER(Q389),OFFSET('MPIO_SFIO Table'!$AJ$11,Q389,0),"")</f>
        <v/>
      </c>
      <c r="W389">
        <f t="shared" ca="1" si="51"/>
        <v>0</v>
      </c>
      <c r="X389">
        <f t="shared" ca="1" si="52"/>
        <v>0</v>
      </c>
      <c r="Y389">
        <f t="shared" ca="1" si="53"/>
        <v>0</v>
      </c>
      <c r="Z389">
        <f t="shared" ca="1" si="54"/>
        <v>0</v>
      </c>
      <c r="AA389">
        <f t="shared" ca="1" si="55"/>
        <v>0</v>
      </c>
    </row>
    <row r="390" spans="1:27" x14ac:dyDescent="0.25">
      <c r="A390">
        <f t="shared" ca="1" si="48"/>
        <v>0</v>
      </c>
      <c r="B390" t="str">
        <f t="shared" ca="1" si="49"/>
        <v/>
      </c>
      <c r="C390" t="str">
        <f t="shared" si="50"/>
        <v>I2S1</v>
      </c>
      <c r="D390" t="s">
        <v>253</v>
      </c>
      <c r="E390" t="s">
        <v>253</v>
      </c>
      <c r="F390" s="3" t="s">
        <v>2821</v>
      </c>
      <c r="G390" s="11" t="s">
        <v>284</v>
      </c>
      <c r="H390" s="11" t="s">
        <v>14</v>
      </c>
      <c r="I390" s="3" t="s">
        <v>253</v>
      </c>
      <c r="J390" s="3" t="s">
        <v>253</v>
      </c>
      <c r="K390" s="3" t="s">
        <v>253</v>
      </c>
      <c r="L390" s="3" t="s">
        <v>253</v>
      </c>
      <c r="M390">
        <f>IF(LEN(H390),MATCH(H390,'MPIO_SFIO Table'!$A$11:$A$65525,0)-1,"")</f>
        <v>6</v>
      </c>
      <c r="N390" t="str">
        <f>IF(LEN(I390),MATCH(I390,'MPIO_SFIO Table'!$A$11:$A$65525,0)-1,"")</f>
        <v/>
      </c>
      <c r="O390" t="str">
        <f>IF(LEN(J390),MATCH(J390,'MPIO_SFIO Table'!$A$11:$A$65525,0)-1,"")</f>
        <v/>
      </c>
      <c r="P390" t="str">
        <f>IF(LEN(K390),MATCH(K390,'MPIO_SFIO Table'!$A$11:$A$65525,0)-1,"")</f>
        <v/>
      </c>
      <c r="Q390" t="str">
        <f>IF(LEN(L390),MATCH(L390,'MPIO_SFIO Table'!$A$11:$A$65525,0)-1,"")</f>
        <v/>
      </c>
      <c r="R390" t="str">
        <f ca="1">IF(ISNUMBER(M390),OFFSET('MPIO_SFIO Table'!$AJ$11,M390,0),"")</f>
        <v>unused_DAP2_DIN</v>
      </c>
      <c r="S390" t="str">
        <f ca="1">IF(ISNUMBER(N390),OFFSET('MPIO_SFIO Table'!$AJ$11,N390,0),"")</f>
        <v/>
      </c>
      <c r="T390" t="str">
        <f ca="1">IF(ISNUMBER(O390),OFFSET('MPIO_SFIO Table'!$AJ$11,O390,0),"")</f>
        <v/>
      </c>
      <c r="U390" t="str">
        <f ca="1">IF(ISNUMBER(P390),OFFSET('MPIO_SFIO Table'!$AJ$11,P390,0),"")</f>
        <v/>
      </c>
      <c r="V390" t="str">
        <f ca="1">IF(ISNUMBER(Q390),OFFSET('MPIO_SFIO Table'!$AJ$11,Q390,0),"")</f>
        <v/>
      </c>
      <c r="W390">
        <f t="shared" ca="1" si="51"/>
        <v>0</v>
      </c>
      <c r="X390">
        <f t="shared" ca="1" si="52"/>
        <v>0</v>
      </c>
      <c r="Y390">
        <f t="shared" ca="1" si="53"/>
        <v>0</v>
      </c>
      <c r="Z390">
        <f t="shared" ca="1" si="54"/>
        <v>0</v>
      </c>
      <c r="AA390">
        <f t="shared" ca="1" si="55"/>
        <v>0</v>
      </c>
    </row>
    <row r="391" spans="1:27" x14ac:dyDescent="0.25">
      <c r="A391">
        <f t="shared" ca="1" si="48"/>
        <v>0</v>
      </c>
      <c r="B391" t="str">
        <f t="shared" ca="1" si="49"/>
        <v/>
      </c>
      <c r="C391" t="str">
        <f t="shared" si="50"/>
        <v>I2S1</v>
      </c>
      <c r="D391" t="s">
        <v>253</v>
      </c>
      <c r="E391" t="s">
        <v>253</v>
      </c>
      <c r="F391" s="3" t="s">
        <v>2822</v>
      </c>
      <c r="G391" s="11" t="s">
        <v>288</v>
      </c>
      <c r="H391" s="11" t="s">
        <v>15</v>
      </c>
      <c r="I391" s="3" t="s">
        <v>253</v>
      </c>
      <c r="J391" s="3" t="s">
        <v>253</v>
      </c>
      <c r="K391" s="3" t="s">
        <v>253</v>
      </c>
      <c r="L391" s="3" t="s">
        <v>253</v>
      </c>
      <c r="M391">
        <f>IF(LEN(H391),MATCH(H391,'MPIO_SFIO Table'!$A$11:$A$65525,0)-1,"")</f>
        <v>7</v>
      </c>
      <c r="N391" t="str">
        <f>IF(LEN(I391),MATCH(I391,'MPIO_SFIO Table'!$A$11:$A$65525,0)-1,"")</f>
        <v/>
      </c>
      <c r="O391" t="str">
        <f>IF(LEN(J391),MATCH(J391,'MPIO_SFIO Table'!$A$11:$A$65525,0)-1,"")</f>
        <v/>
      </c>
      <c r="P391" t="str">
        <f>IF(LEN(K391),MATCH(K391,'MPIO_SFIO Table'!$A$11:$A$65525,0)-1,"")</f>
        <v/>
      </c>
      <c r="Q391" t="str">
        <f>IF(LEN(L391),MATCH(L391,'MPIO_SFIO Table'!$A$11:$A$65525,0)-1,"")</f>
        <v/>
      </c>
      <c r="R391" t="str">
        <f ca="1">IF(ISNUMBER(M391),OFFSET('MPIO_SFIO Table'!$AJ$11,M391,0),"")</f>
        <v>unused_DAP2_DOUT</v>
      </c>
      <c r="S391" t="str">
        <f ca="1">IF(ISNUMBER(N391),OFFSET('MPIO_SFIO Table'!$AJ$11,N391,0),"")</f>
        <v/>
      </c>
      <c r="T391" t="str">
        <f ca="1">IF(ISNUMBER(O391),OFFSET('MPIO_SFIO Table'!$AJ$11,O391,0),"")</f>
        <v/>
      </c>
      <c r="U391" t="str">
        <f ca="1">IF(ISNUMBER(P391),OFFSET('MPIO_SFIO Table'!$AJ$11,P391,0),"")</f>
        <v/>
      </c>
      <c r="V391" t="str">
        <f ca="1">IF(ISNUMBER(Q391),OFFSET('MPIO_SFIO Table'!$AJ$11,Q391,0),"")</f>
        <v/>
      </c>
      <c r="W391">
        <f t="shared" ca="1" si="51"/>
        <v>0</v>
      </c>
      <c r="X391">
        <f t="shared" ca="1" si="52"/>
        <v>0</v>
      </c>
      <c r="Y391">
        <f t="shared" ca="1" si="53"/>
        <v>0</v>
      </c>
      <c r="Z391">
        <f t="shared" ca="1" si="54"/>
        <v>0</v>
      </c>
      <c r="AA391">
        <f t="shared" ca="1" si="55"/>
        <v>0</v>
      </c>
    </row>
    <row r="392" spans="1:27" x14ac:dyDescent="0.25">
      <c r="A392">
        <f t="shared" ref="A392:A455" ca="1" si="56">SUM($W392:$AA392)</f>
        <v>0</v>
      </c>
      <c r="B392" t="str">
        <f t="shared" ref="B392:B455" ca="1" si="57">IF(A392&lt;&gt;0,REPLACE(G392,FIND("-",G392),LEN(G392),""),"")</f>
        <v/>
      </c>
      <c r="C392" t="str">
        <f t="shared" si="50"/>
        <v/>
      </c>
      <c r="D392" t="s">
        <v>2488</v>
      </c>
      <c r="E392" t="s">
        <v>1046</v>
      </c>
      <c r="F392" s="3" t="s">
        <v>253</v>
      </c>
      <c r="G392" s="11" t="s">
        <v>253</v>
      </c>
      <c r="H392" s="11" t="s">
        <v>253</v>
      </c>
      <c r="I392" s="3" t="s">
        <v>253</v>
      </c>
      <c r="J392" s="3" t="s">
        <v>253</v>
      </c>
      <c r="K392" s="3" t="s">
        <v>253</v>
      </c>
      <c r="L392" s="3" t="s">
        <v>253</v>
      </c>
      <c r="M392" t="str">
        <f>IF(LEN(H392),MATCH(H392,'MPIO_SFIO Table'!$A$11:$A$65525,0)-1,"")</f>
        <v/>
      </c>
      <c r="N392" t="str">
        <f>IF(LEN(I392),MATCH(I392,'MPIO_SFIO Table'!$A$11:$A$65525,0)-1,"")</f>
        <v/>
      </c>
      <c r="O392" t="str">
        <f>IF(LEN(J392),MATCH(J392,'MPIO_SFIO Table'!$A$11:$A$65525,0)-1,"")</f>
        <v/>
      </c>
      <c r="P392" t="str">
        <f>IF(LEN(K392),MATCH(K392,'MPIO_SFIO Table'!$A$11:$A$65525,0)-1,"")</f>
        <v/>
      </c>
      <c r="Q392" t="str">
        <f>IF(LEN(L392),MATCH(L392,'MPIO_SFIO Table'!$A$11:$A$65525,0)-1,"")</f>
        <v/>
      </c>
      <c r="R392" t="str">
        <f ca="1">IF(ISNUMBER(M392),OFFSET('MPIO_SFIO Table'!$AJ$11,M392,0),"")</f>
        <v/>
      </c>
      <c r="S392" t="str">
        <f ca="1">IF(ISNUMBER(N392),OFFSET('MPIO_SFIO Table'!$AJ$11,N392,0),"")</f>
        <v/>
      </c>
      <c r="T392" t="str">
        <f ca="1">IF(ISNUMBER(O392),OFFSET('MPIO_SFIO Table'!$AJ$11,O392,0),"")</f>
        <v/>
      </c>
      <c r="U392" t="str">
        <f ca="1">IF(ISNUMBER(P392),OFFSET('MPIO_SFIO Table'!$AJ$11,P392,0),"")</f>
        <v/>
      </c>
      <c r="V392" t="str">
        <f ca="1">IF(ISNUMBER(Q392),OFFSET('MPIO_SFIO Table'!$AJ$11,Q392,0),"")</f>
        <v/>
      </c>
      <c r="W392">
        <f t="shared" ca="1" si="51"/>
        <v>0</v>
      </c>
      <c r="X392">
        <f t="shared" ca="1" si="52"/>
        <v>0</v>
      </c>
      <c r="Y392">
        <f t="shared" ca="1" si="53"/>
        <v>0</v>
      </c>
      <c r="Z392">
        <f t="shared" ca="1" si="54"/>
        <v>0</v>
      </c>
      <c r="AA392">
        <f t="shared" ca="1" si="55"/>
        <v>0</v>
      </c>
    </row>
    <row r="393" spans="1:27" x14ac:dyDescent="0.25">
      <c r="A393">
        <f t="shared" ca="1" si="56"/>
        <v>0</v>
      </c>
      <c r="B393" t="str">
        <f t="shared" ca="1" si="57"/>
        <v/>
      </c>
      <c r="C393" t="str">
        <f t="shared" ref="C393:C456" si="58">REPLACE(G393,FIND(".",CONCATENATE(REPLACE(G393,FIND("-",CONCATENATE(G393,"-")),LEN(G393),""),".")),LEN(G393),"")</f>
        <v>I2S2</v>
      </c>
      <c r="D393" t="s">
        <v>253</v>
      </c>
      <c r="E393" t="s">
        <v>253</v>
      </c>
      <c r="F393" s="3" t="s">
        <v>2819</v>
      </c>
      <c r="G393" s="11" t="s">
        <v>332</v>
      </c>
      <c r="H393" s="11" t="s">
        <v>32</v>
      </c>
      <c r="I393" s="3" t="s">
        <v>253</v>
      </c>
      <c r="J393" s="3" t="s">
        <v>253</v>
      </c>
      <c r="K393" s="3" t="s">
        <v>253</v>
      </c>
      <c r="L393" s="3" t="s">
        <v>253</v>
      </c>
      <c r="M393">
        <f>IF(LEN(H393),MATCH(H393,'MPIO_SFIO Table'!$A$11:$A$65525,0)-1,"")</f>
        <v>25</v>
      </c>
      <c r="N393" t="str">
        <f>IF(LEN(I393),MATCH(I393,'MPIO_SFIO Table'!$A$11:$A$65525,0)-1,"")</f>
        <v/>
      </c>
      <c r="O393" t="str">
        <f>IF(LEN(J393),MATCH(J393,'MPIO_SFIO Table'!$A$11:$A$65525,0)-1,"")</f>
        <v/>
      </c>
      <c r="P393" t="str">
        <f>IF(LEN(K393),MATCH(K393,'MPIO_SFIO Table'!$A$11:$A$65525,0)-1,"")</f>
        <v/>
      </c>
      <c r="Q393" t="str">
        <f>IF(LEN(L393),MATCH(L393,'MPIO_SFIO Table'!$A$11:$A$65525,0)-1,"")</f>
        <v/>
      </c>
      <c r="R393" t="str">
        <f ca="1">IF(ISNUMBER(M393),OFFSET('MPIO_SFIO Table'!$AJ$11,M393,0),"")</f>
        <v>unused_DAP3_FS</v>
      </c>
      <c r="S393" t="str">
        <f ca="1">IF(ISNUMBER(N393),OFFSET('MPIO_SFIO Table'!$AJ$11,N393,0),"")</f>
        <v/>
      </c>
      <c r="T393" t="str">
        <f ca="1">IF(ISNUMBER(O393),OFFSET('MPIO_SFIO Table'!$AJ$11,O393,0),"")</f>
        <v/>
      </c>
      <c r="U393" t="str">
        <f ca="1">IF(ISNUMBER(P393),OFFSET('MPIO_SFIO Table'!$AJ$11,P393,0),"")</f>
        <v/>
      </c>
      <c r="V393" t="str">
        <f ca="1">IF(ISNUMBER(Q393),OFFSET('MPIO_SFIO Table'!$AJ$11,Q393,0),"")</f>
        <v/>
      </c>
      <c r="W393">
        <f t="shared" ref="W393:W456" ca="1" si="59">1*AND(ISTEXT(R393),LEN(R393),R393=$G393)</f>
        <v>0</v>
      </c>
      <c r="X393">
        <f t="shared" ref="X393:X456" ca="1" si="60">1*AND(ISTEXT(S393),LEN(S393),S393=$G393)</f>
        <v>0</v>
      </c>
      <c r="Y393">
        <f t="shared" ref="Y393:Y456" ca="1" si="61">1*AND(ISTEXT(T393),LEN(T393),T393=$G393)</f>
        <v>0</v>
      </c>
      <c r="Z393">
        <f t="shared" ref="Z393:Z456" ca="1" si="62">1*AND(ISTEXT(U393),LEN(U393),U393=$G393)</f>
        <v>0</v>
      </c>
      <c r="AA393">
        <f t="shared" ref="AA393:AA456" ca="1" si="63">1*AND(ISTEXT(V393),LEN(V393),V393=$G393)</f>
        <v>0</v>
      </c>
    </row>
    <row r="394" spans="1:27" x14ac:dyDescent="0.25">
      <c r="A394">
        <f t="shared" ca="1" si="56"/>
        <v>0</v>
      </c>
      <c r="B394" t="str">
        <f t="shared" ca="1" si="57"/>
        <v/>
      </c>
      <c r="C394" t="str">
        <f t="shared" si="58"/>
        <v>I2S2</v>
      </c>
      <c r="D394" t="s">
        <v>253</v>
      </c>
      <c r="E394" t="s">
        <v>253</v>
      </c>
      <c r="F394" s="3" t="s">
        <v>2820</v>
      </c>
      <c r="G394" s="11" t="s">
        <v>335</v>
      </c>
      <c r="H394" s="11" t="s">
        <v>33</v>
      </c>
      <c r="I394" s="3" t="s">
        <v>253</v>
      </c>
      <c r="J394" s="3" t="s">
        <v>253</v>
      </c>
      <c r="K394" s="3" t="s">
        <v>253</v>
      </c>
      <c r="L394" s="3" t="s">
        <v>253</v>
      </c>
      <c r="M394">
        <f>IF(LEN(H394),MATCH(H394,'MPIO_SFIO Table'!$A$11:$A$65525,0)-1,"")</f>
        <v>26</v>
      </c>
      <c r="N394" t="str">
        <f>IF(LEN(I394),MATCH(I394,'MPIO_SFIO Table'!$A$11:$A$65525,0)-1,"")</f>
        <v/>
      </c>
      <c r="O394" t="str">
        <f>IF(LEN(J394),MATCH(J394,'MPIO_SFIO Table'!$A$11:$A$65525,0)-1,"")</f>
        <v/>
      </c>
      <c r="P394" t="str">
        <f>IF(LEN(K394),MATCH(K394,'MPIO_SFIO Table'!$A$11:$A$65525,0)-1,"")</f>
        <v/>
      </c>
      <c r="Q394" t="str">
        <f>IF(LEN(L394),MATCH(L394,'MPIO_SFIO Table'!$A$11:$A$65525,0)-1,"")</f>
        <v/>
      </c>
      <c r="R394" t="str">
        <f ca="1">IF(ISNUMBER(M394),OFFSET('MPIO_SFIO Table'!$AJ$11,M394,0),"")</f>
        <v>unused_DAP3_SCLK</v>
      </c>
      <c r="S394" t="str">
        <f ca="1">IF(ISNUMBER(N394),OFFSET('MPIO_SFIO Table'!$AJ$11,N394,0),"")</f>
        <v/>
      </c>
      <c r="T394" t="str">
        <f ca="1">IF(ISNUMBER(O394),OFFSET('MPIO_SFIO Table'!$AJ$11,O394,0),"")</f>
        <v/>
      </c>
      <c r="U394" t="str">
        <f ca="1">IF(ISNUMBER(P394),OFFSET('MPIO_SFIO Table'!$AJ$11,P394,0),"")</f>
        <v/>
      </c>
      <c r="V394" t="str">
        <f ca="1">IF(ISNUMBER(Q394),OFFSET('MPIO_SFIO Table'!$AJ$11,Q394,0),"")</f>
        <v/>
      </c>
      <c r="W394">
        <f t="shared" ca="1" si="59"/>
        <v>0</v>
      </c>
      <c r="X394">
        <f t="shared" ca="1" si="60"/>
        <v>0</v>
      </c>
      <c r="Y394">
        <f t="shared" ca="1" si="61"/>
        <v>0</v>
      </c>
      <c r="Z394">
        <f t="shared" ca="1" si="62"/>
        <v>0</v>
      </c>
      <c r="AA394">
        <f t="shared" ca="1" si="63"/>
        <v>0</v>
      </c>
    </row>
    <row r="395" spans="1:27" x14ac:dyDescent="0.25">
      <c r="A395">
        <f t="shared" ca="1" si="56"/>
        <v>0</v>
      </c>
      <c r="B395" t="str">
        <f t="shared" ca="1" si="57"/>
        <v/>
      </c>
      <c r="C395" t="str">
        <f t="shared" si="58"/>
        <v>I2S2</v>
      </c>
      <c r="D395" t="s">
        <v>253</v>
      </c>
      <c r="E395" t="s">
        <v>253</v>
      </c>
      <c r="F395" s="3" t="s">
        <v>2821</v>
      </c>
      <c r="G395" s="11" t="s">
        <v>324</v>
      </c>
      <c r="H395" s="11" t="s">
        <v>30</v>
      </c>
      <c r="I395" s="3" t="s">
        <v>253</v>
      </c>
      <c r="J395" s="3" t="s">
        <v>253</v>
      </c>
      <c r="K395" s="3" t="s">
        <v>253</v>
      </c>
      <c r="L395" s="3" t="s">
        <v>253</v>
      </c>
      <c r="M395">
        <f>IF(LEN(H395),MATCH(H395,'MPIO_SFIO Table'!$A$11:$A$65525,0)-1,"")</f>
        <v>23</v>
      </c>
      <c r="N395" t="str">
        <f>IF(LEN(I395),MATCH(I395,'MPIO_SFIO Table'!$A$11:$A$65525,0)-1,"")</f>
        <v/>
      </c>
      <c r="O395" t="str">
        <f>IF(LEN(J395),MATCH(J395,'MPIO_SFIO Table'!$A$11:$A$65525,0)-1,"")</f>
        <v/>
      </c>
      <c r="P395" t="str">
        <f>IF(LEN(K395),MATCH(K395,'MPIO_SFIO Table'!$A$11:$A$65525,0)-1,"")</f>
        <v/>
      </c>
      <c r="Q395" t="str">
        <f>IF(LEN(L395),MATCH(L395,'MPIO_SFIO Table'!$A$11:$A$65525,0)-1,"")</f>
        <v/>
      </c>
      <c r="R395" t="str">
        <f ca="1">IF(ISNUMBER(M395),OFFSET('MPIO_SFIO Table'!$AJ$11,M395,0),"")</f>
        <v>unused_DAP3_DIN</v>
      </c>
      <c r="S395" t="str">
        <f ca="1">IF(ISNUMBER(N395),OFFSET('MPIO_SFIO Table'!$AJ$11,N395,0),"")</f>
        <v/>
      </c>
      <c r="T395" t="str">
        <f ca="1">IF(ISNUMBER(O395),OFFSET('MPIO_SFIO Table'!$AJ$11,O395,0),"")</f>
        <v/>
      </c>
      <c r="U395" t="str">
        <f ca="1">IF(ISNUMBER(P395),OFFSET('MPIO_SFIO Table'!$AJ$11,P395,0),"")</f>
        <v/>
      </c>
      <c r="V395" t="str">
        <f ca="1">IF(ISNUMBER(Q395),OFFSET('MPIO_SFIO Table'!$AJ$11,Q395,0),"")</f>
        <v/>
      </c>
      <c r="W395">
        <f t="shared" ca="1" si="59"/>
        <v>0</v>
      </c>
      <c r="X395">
        <f t="shared" ca="1" si="60"/>
        <v>0</v>
      </c>
      <c r="Y395">
        <f t="shared" ca="1" si="61"/>
        <v>0</v>
      </c>
      <c r="Z395">
        <f t="shared" ca="1" si="62"/>
        <v>0</v>
      </c>
      <c r="AA395">
        <f t="shared" ca="1" si="63"/>
        <v>0</v>
      </c>
    </row>
    <row r="396" spans="1:27" x14ac:dyDescent="0.25">
      <c r="A396">
        <f t="shared" ca="1" si="56"/>
        <v>0</v>
      </c>
      <c r="B396" t="str">
        <f t="shared" ca="1" si="57"/>
        <v/>
      </c>
      <c r="C396" t="str">
        <f t="shared" si="58"/>
        <v>I2S2</v>
      </c>
      <c r="D396" t="s">
        <v>253</v>
      </c>
      <c r="E396" t="s">
        <v>253</v>
      </c>
      <c r="F396" s="3" t="s">
        <v>2822</v>
      </c>
      <c r="G396" s="11" t="s">
        <v>329</v>
      </c>
      <c r="H396" s="11" t="s">
        <v>31</v>
      </c>
      <c r="I396" s="3" t="s">
        <v>253</v>
      </c>
      <c r="J396" s="3" t="s">
        <v>253</v>
      </c>
      <c r="K396" s="3" t="s">
        <v>253</v>
      </c>
      <c r="L396" s="3" t="s">
        <v>253</v>
      </c>
      <c r="M396">
        <f>IF(LEN(H396),MATCH(H396,'MPIO_SFIO Table'!$A$11:$A$65525,0)-1,"")</f>
        <v>24</v>
      </c>
      <c r="N396" t="str">
        <f>IF(LEN(I396),MATCH(I396,'MPIO_SFIO Table'!$A$11:$A$65525,0)-1,"")</f>
        <v/>
      </c>
      <c r="O396" t="str">
        <f>IF(LEN(J396),MATCH(J396,'MPIO_SFIO Table'!$A$11:$A$65525,0)-1,"")</f>
        <v/>
      </c>
      <c r="P396" t="str">
        <f>IF(LEN(K396),MATCH(K396,'MPIO_SFIO Table'!$A$11:$A$65525,0)-1,"")</f>
        <v/>
      </c>
      <c r="Q396" t="str">
        <f>IF(LEN(L396),MATCH(L396,'MPIO_SFIO Table'!$A$11:$A$65525,0)-1,"")</f>
        <v/>
      </c>
      <c r="R396" t="str">
        <f ca="1">IF(ISNUMBER(M396),OFFSET('MPIO_SFIO Table'!$AJ$11,M396,0),"")</f>
        <v>unused_DAP3_DOUT</v>
      </c>
      <c r="S396" t="str">
        <f ca="1">IF(ISNUMBER(N396),OFFSET('MPIO_SFIO Table'!$AJ$11,N396,0),"")</f>
        <v/>
      </c>
      <c r="T396" t="str">
        <f ca="1">IF(ISNUMBER(O396),OFFSET('MPIO_SFIO Table'!$AJ$11,O396,0),"")</f>
        <v/>
      </c>
      <c r="U396" t="str">
        <f ca="1">IF(ISNUMBER(P396),OFFSET('MPIO_SFIO Table'!$AJ$11,P396,0),"")</f>
        <v/>
      </c>
      <c r="V396" t="str">
        <f ca="1">IF(ISNUMBER(Q396),OFFSET('MPIO_SFIO Table'!$AJ$11,Q396,0),"")</f>
        <v/>
      </c>
      <c r="W396">
        <f t="shared" ca="1" si="59"/>
        <v>0</v>
      </c>
      <c r="X396">
        <f t="shared" ca="1" si="60"/>
        <v>0</v>
      </c>
      <c r="Y396">
        <f t="shared" ca="1" si="61"/>
        <v>0</v>
      </c>
      <c r="Z396">
        <f t="shared" ca="1" si="62"/>
        <v>0</v>
      </c>
      <c r="AA396">
        <f t="shared" ca="1" si="63"/>
        <v>0</v>
      </c>
    </row>
    <row r="397" spans="1:27" x14ac:dyDescent="0.25">
      <c r="A397">
        <f t="shared" ca="1" si="56"/>
        <v>0</v>
      </c>
      <c r="B397" t="str">
        <f t="shared" ca="1" si="57"/>
        <v/>
      </c>
      <c r="C397" t="str">
        <f t="shared" si="58"/>
        <v/>
      </c>
      <c r="D397" t="s">
        <v>2489</v>
      </c>
      <c r="E397" t="s">
        <v>1046</v>
      </c>
      <c r="F397" s="3" t="s">
        <v>253</v>
      </c>
      <c r="G397" s="11" t="s">
        <v>253</v>
      </c>
      <c r="H397" s="11" t="s">
        <v>253</v>
      </c>
      <c r="I397" s="3" t="s">
        <v>253</v>
      </c>
      <c r="J397" s="3" t="s">
        <v>253</v>
      </c>
      <c r="K397" s="3" t="s">
        <v>253</v>
      </c>
      <c r="L397" s="3" t="s">
        <v>253</v>
      </c>
      <c r="M397" t="str">
        <f>IF(LEN(H397),MATCH(H397,'MPIO_SFIO Table'!$A$11:$A$65525,0)-1,"")</f>
        <v/>
      </c>
      <c r="N397" t="str">
        <f>IF(LEN(I397),MATCH(I397,'MPIO_SFIO Table'!$A$11:$A$65525,0)-1,"")</f>
        <v/>
      </c>
      <c r="O397" t="str">
        <f>IF(LEN(J397),MATCH(J397,'MPIO_SFIO Table'!$A$11:$A$65525,0)-1,"")</f>
        <v/>
      </c>
      <c r="P397" t="str">
        <f>IF(LEN(K397),MATCH(K397,'MPIO_SFIO Table'!$A$11:$A$65525,0)-1,"")</f>
        <v/>
      </c>
      <c r="Q397" t="str">
        <f>IF(LEN(L397),MATCH(L397,'MPIO_SFIO Table'!$A$11:$A$65525,0)-1,"")</f>
        <v/>
      </c>
      <c r="R397" t="str">
        <f ca="1">IF(ISNUMBER(M397),OFFSET('MPIO_SFIO Table'!$AJ$11,M397,0),"")</f>
        <v/>
      </c>
      <c r="S397" t="str">
        <f ca="1">IF(ISNUMBER(N397),OFFSET('MPIO_SFIO Table'!$AJ$11,N397,0),"")</f>
        <v/>
      </c>
      <c r="T397" t="str">
        <f ca="1">IF(ISNUMBER(O397),OFFSET('MPIO_SFIO Table'!$AJ$11,O397,0),"")</f>
        <v/>
      </c>
      <c r="U397" t="str">
        <f ca="1">IF(ISNUMBER(P397),OFFSET('MPIO_SFIO Table'!$AJ$11,P397,0),"")</f>
        <v/>
      </c>
      <c r="V397" t="str">
        <f ca="1">IF(ISNUMBER(Q397),OFFSET('MPIO_SFIO Table'!$AJ$11,Q397,0),"")</f>
        <v/>
      </c>
      <c r="W397">
        <f t="shared" ca="1" si="59"/>
        <v>0</v>
      </c>
      <c r="X397">
        <f t="shared" ca="1" si="60"/>
        <v>0</v>
      </c>
      <c r="Y397">
        <f t="shared" ca="1" si="61"/>
        <v>0</v>
      </c>
      <c r="Z397">
        <f t="shared" ca="1" si="62"/>
        <v>0</v>
      </c>
      <c r="AA397">
        <f t="shared" ca="1" si="63"/>
        <v>0</v>
      </c>
    </row>
    <row r="398" spans="1:27" x14ac:dyDescent="0.25">
      <c r="A398">
        <f t="shared" ca="1" si="56"/>
        <v>0</v>
      </c>
      <c r="B398" t="str">
        <f t="shared" ca="1" si="57"/>
        <v/>
      </c>
      <c r="C398" t="str">
        <f t="shared" si="58"/>
        <v>I2S3</v>
      </c>
      <c r="D398" t="s">
        <v>253</v>
      </c>
      <c r="E398" t="s">
        <v>253</v>
      </c>
      <c r="F398" s="3" t="s">
        <v>2819</v>
      </c>
      <c r="G398" s="11" t="s">
        <v>712</v>
      </c>
      <c r="H398" s="11" t="s">
        <v>217</v>
      </c>
      <c r="I398" s="3" t="s">
        <v>253</v>
      </c>
      <c r="J398" s="3" t="s">
        <v>253</v>
      </c>
      <c r="K398" s="3" t="s">
        <v>253</v>
      </c>
      <c r="L398" s="3" t="s">
        <v>253</v>
      </c>
      <c r="M398">
        <f>IF(LEN(H398),MATCH(H398,'MPIO_SFIO Table'!$A$11:$A$65525,0)-1,"")</f>
        <v>235</v>
      </c>
      <c r="N398" t="str">
        <f>IF(LEN(I398),MATCH(I398,'MPIO_SFIO Table'!$A$11:$A$65525,0)-1,"")</f>
        <v/>
      </c>
      <c r="O398" t="str">
        <f>IF(LEN(J398),MATCH(J398,'MPIO_SFIO Table'!$A$11:$A$65525,0)-1,"")</f>
        <v/>
      </c>
      <c r="P398" t="str">
        <f>IF(LEN(K398),MATCH(K398,'MPIO_SFIO Table'!$A$11:$A$65525,0)-1,"")</f>
        <v/>
      </c>
      <c r="Q398" t="str">
        <f>IF(LEN(L398),MATCH(L398,'MPIO_SFIO Table'!$A$11:$A$65525,0)-1,"")</f>
        <v/>
      </c>
      <c r="R398" t="str">
        <f ca="1">IF(ISNUMBER(M398),OFFSET('MPIO_SFIO Table'!$AJ$11,M398,0),"")</f>
        <v>unused_DAP4_FS</v>
      </c>
      <c r="S398" t="str">
        <f ca="1">IF(ISNUMBER(N398),OFFSET('MPIO_SFIO Table'!$AJ$11,N398,0),"")</f>
        <v/>
      </c>
      <c r="T398" t="str">
        <f ca="1">IF(ISNUMBER(O398),OFFSET('MPIO_SFIO Table'!$AJ$11,O398,0),"")</f>
        <v/>
      </c>
      <c r="U398" t="str">
        <f ca="1">IF(ISNUMBER(P398),OFFSET('MPIO_SFIO Table'!$AJ$11,P398,0),"")</f>
        <v/>
      </c>
      <c r="V398" t="str">
        <f ca="1">IF(ISNUMBER(Q398),OFFSET('MPIO_SFIO Table'!$AJ$11,Q398,0),"")</f>
        <v/>
      </c>
      <c r="W398">
        <f t="shared" ca="1" si="59"/>
        <v>0</v>
      </c>
      <c r="X398">
        <f t="shared" ca="1" si="60"/>
        <v>0</v>
      </c>
      <c r="Y398">
        <f t="shared" ca="1" si="61"/>
        <v>0</v>
      </c>
      <c r="Z398">
        <f t="shared" ca="1" si="62"/>
        <v>0</v>
      </c>
      <c r="AA398">
        <f t="shared" ca="1" si="63"/>
        <v>0</v>
      </c>
    </row>
    <row r="399" spans="1:27" x14ac:dyDescent="0.25">
      <c r="A399">
        <f t="shared" ca="1" si="56"/>
        <v>0</v>
      </c>
      <c r="B399" t="str">
        <f t="shared" ca="1" si="57"/>
        <v/>
      </c>
      <c r="C399" t="str">
        <f t="shared" si="58"/>
        <v>I2S3</v>
      </c>
      <c r="D399" t="s">
        <v>253</v>
      </c>
      <c r="E399" t="s">
        <v>253</v>
      </c>
      <c r="F399" s="3" t="s">
        <v>2820</v>
      </c>
      <c r="G399" s="11" t="s">
        <v>714</v>
      </c>
      <c r="H399" s="11" t="s">
        <v>218</v>
      </c>
      <c r="I399" s="3" t="s">
        <v>253</v>
      </c>
      <c r="J399" s="3" t="s">
        <v>253</v>
      </c>
      <c r="K399" s="3" t="s">
        <v>253</v>
      </c>
      <c r="L399" s="3" t="s">
        <v>253</v>
      </c>
      <c r="M399">
        <f>IF(LEN(H399),MATCH(H399,'MPIO_SFIO Table'!$A$11:$A$65525,0)-1,"")</f>
        <v>236</v>
      </c>
      <c r="N399" t="str">
        <f>IF(LEN(I399),MATCH(I399,'MPIO_SFIO Table'!$A$11:$A$65525,0)-1,"")</f>
        <v/>
      </c>
      <c r="O399" t="str">
        <f>IF(LEN(J399),MATCH(J399,'MPIO_SFIO Table'!$A$11:$A$65525,0)-1,"")</f>
        <v/>
      </c>
      <c r="P399" t="str">
        <f>IF(LEN(K399),MATCH(K399,'MPIO_SFIO Table'!$A$11:$A$65525,0)-1,"")</f>
        <v/>
      </c>
      <c r="Q399" t="str">
        <f>IF(LEN(L399),MATCH(L399,'MPIO_SFIO Table'!$A$11:$A$65525,0)-1,"")</f>
        <v/>
      </c>
      <c r="R399" t="str">
        <f ca="1">IF(ISNUMBER(M399),OFFSET('MPIO_SFIO Table'!$AJ$11,M399,0),"")</f>
        <v>unused_DAP4_SCLK</v>
      </c>
      <c r="S399" t="str">
        <f ca="1">IF(ISNUMBER(N399),OFFSET('MPIO_SFIO Table'!$AJ$11,N399,0),"")</f>
        <v/>
      </c>
      <c r="T399" t="str">
        <f ca="1">IF(ISNUMBER(O399),OFFSET('MPIO_SFIO Table'!$AJ$11,O399,0),"")</f>
        <v/>
      </c>
      <c r="U399" t="str">
        <f ca="1">IF(ISNUMBER(P399),OFFSET('MPIO_SFIO Table'!$AJ$11,P399,0),"")</f>
        <v/>
      </c>
      <c r="V399" t="str">
        <f ca="1">IF(ISNUMBER(Q399),OFFSET('MPIO_SFIO Table'!$AJ$11,Q399,0),"")</f>
        <v/>
      </c>
      <c r="W399">
        <f t="shared" ca="1" si="59"/>
        <v>0</v>
      </c>
      <c r="X399">
        <f t="shared" ca="1" si="60"/>
        <v>0</v>
      </c>
      <c r="Y399">
        <f t="shared" ca="1" si="61"/>
        <v>0</v>
      </c>
      <c r="Z399">
        <f t="shared" ca="1" si="62"/>
        <v>0</v>
      </c>
      <c r="AA399">
        <f t="shared" ca="1" si="63"/>
        <v>0</v>
      </c>
    </row>
    <row r="400" spans="1:27" x14ac:dyDescent="0.25">
      <c r="A400">
        <f t="shared" ca="1" si="56"/>
        <v>0</v>
      </c>
      <c r="B400" t="str">
        <f t="shared" ca="1" si="57"/>
        <v/>
      </c>
      <c r="C400" t="str">
        <f t="shared" si="58"/>
        <v>I2S3</v>
      </c>
      <c r="D400" t="s">
        <v>253</v>
      </c>
      <c r="E400" t="s">
        <v>253</v>
      </c>
      <c r="F400" s="3" t="s">
        <v>2821</v>
      </c>
      <c r="G400" s="11" t="s">
        <v>707</v>
      </c>
      <c r="H400" s="11" t="s">
        <v>215</v>
      </c>
      <c r="I400" s="3" t="s">
        <v>253</v>
      </c>
      <c r="J400" s="3" t="s">
        <v>253</v>
      </c>
      <c r="K400" s="3" t="s">
        <v>253</v>
      </c>
      <c r="L400" s="3" t="s">
        <v>253</v>
      </c>
      <c r="M400">
        <f>IF(LEN(H400),MATCH(H400,'MPIO_SFIO Table'!$A$11:$A$65525,0)-1,"")</f>
        <v>233</v>
      </c>
      <c r="N400" t="str">
        <f>IF(LEN(I400),MATCH(I400,'MPIO_SFIO Table'!$A$11:$A$65525,0)-1,"")</f>
        <v/>
      </c>
      <c r="O400" t="str">
        <f>IF(LEN(J400),MATCH(J400,'MPIO_SFIO Table'!$A$11:$A$65525,0)-1,"")</f>
        <v/>
      </c>
      <c r="P400" t="str">
        <f>IF(LEN(K400),MATCH(K400,'MPIO_SFIO Table'!$A$11:$A$65525,0)-1,"")</f>
        <v/>
      </c>
      <c r="Q400" t="str">
        <f>IF(LEN(L400),MATCH(L400,'MPIO_SFIO Table'!$A$11:$A$65525,0)-1,"")</f>
        <v/>
      </c>
      <c r="R400" t="str">
        <f ca="1">IF(ISNUMBER(M400),OFFSET('MPIO_SFIO Table'!$AJ$11,M400,0),"")</f>
        <v>unused_DAP4_DIN</v>
      </c>
      <c r="S400" t="str">
        <f ca="1">IF(ISNUMBER(N400),OFFSET('MPIO_SFIO Table'!$AJ$11,N400,0),"")</f>
        <v/>
      </c>
      <c r="T400" t="str">
        <f ca="1">IF(ISNUMBER(O400),OFFSET('MPIO_SFIO Table'!$AJ$11,O400,0),"")</f>
        <v/>
      </c>
      <c r="U400" t="str">
        <f ca="1">IF(ISNUMBER(P400),OFFSET('MPIO_SFIO Table'!$AJ$11,P400,0),"")</f>
        <v/>
      </c>
      <c r="V400" t="str">
        <f ca="1">IF(ISNUMBER(Q400),OFFSET('MPIO_SFIO Table'!$AJ$11,Q400,0),"")</f>
        <v/>
      </c>
      <c r="W400">
        <f t="shared" ca="1" si="59"/>
        <v>0</v>
      </c>
      <c r="X400">
        <f t="shared" ca="1" si="60"/>
        <v>0</v>
      </c>
      <c r="Y400">
        <f t="shared" ca="1" si="61"/>
        <v>0</v>
      </c>
      <c r="Z400">
        <f t="shared" ca="1" si="62"/>
        <v>0</v>
      </c>
      <c r="AA400">
        <f t="shared" ca="1" si="63"/>
        <v>0</v>
      </c>
    </row>
    <row r="401" spans="1:27" x14ac:dyDescent="0.25">
      <c r="A401">
        <f t="shared" ca="1" si="56"/>
        <v>0</v>
      </c>
      <c r="B401" t="str">
        <f t="shared" ca="1" si="57"/>
        <v/>
      </c>
      <c r="C401" t="str">
        <f t="shared" si="58"/>
        <v>I2S3</v>
      </c>
      <c r="D401" t="s">
        <v>253</v>
      </c>
      <c r="E401" t="s">
        <v>253</v>
      </c>
      <c r="F401" s="3" t="s">
        <v>2822</v>
      </c>
      <c r="G401" s="11" t="s">
        <v>710</v>
      </c>
      <c r="H401" s="11" t="s">
        <v>216</v>
      </c>
      <c r="I401" s="3" t="s">
        <v>253</v>
      </c>
      <c r="J401" s="3" t="s">
        <v>253</v>
      </c>
      <c r="K401" s="3" t="s">
        <v>253</v>
      </c>
      <c r="L401" s="3" t="s">
        <v>253</v>
      </c>
      <c r="M401">
        <f>IF(LEN(H401),MATCH(H401,'MPIO_SFIO Table'!$A$11:$A$65525,0)-1,"")</f>
        <v>234</v>
      </c>
      <c r="N401" t="str">
        <f>IF(LEN(I401),MATCH(I401,'MPIO_SFIO Table'!$A$11:$A$65525,0)-1,"")</f>
        <v/>
      </c>
      <c r="O401" t="str">
        <f>IF(LEN(J401),MATCH(J401,'MPIO_SFIO Table'!$A$11:$A$65525,0)-1,"")</f>
        <v/>
      </c>
      <c r="P401" t="str">
        <f>IF(LEN(K401),MATCH(K401,'MPIO_SFIO Table'!$A$11:$A$65525,0)-1,"")</f>
        <v/>
      </c>
      <c r="Q401" t="str">
        <f>IF(LEN(L401),MATCH(L401,'MPIO_SFIO Table'!$A$11:$A$65525,0)-1,"")</f>
        <v/>
      </c>
      <c r="R401" t="str">
        <f ca="1">IF(ISNUMBER(M401),OFFSET('MPIO_SFIO Table'!$AJ$11,M401,0),"")</f>
        <v>unused_DAP4_DOUT</v>
      </c>
      <c r="S401" t="str">
        <f ca="1">IF(ISNUMBER(N401),OFFSET('MPIO_SFIO Table'!$AJ$11,N401,0),"")</f>
        <v/>
      </c>
      <c r="T401" t="str">
        <f ca="1">IF(ISNUMBER(O401),OFFSET('MPIO_SFIO Table'!$AJ$11,O401,0),"")</f>
        <v/>
      </c>
      <c r="U401" t="str">
        <f ca="1">IF(ISNUMBER(P401),OFFSET('MPIO_SFIO Table'!$AJ$11,P401,0),"")</f>
        <v/>
      </c>
      <c r="V401" t="str">
        <f ca="1">IF(ISNUMBER(Q401),OFFSET('MPIO_SFIO Table'!$AJ$11,Q401,0),"")</f>
        <v/>
      </c>
      <c r="W401">
        <f t="shared" ca="1" si="59"/>
        <v>0</v>
      </c>
      <c r="X401">
        <f t="shared" ca="1" si="60"/>
        <v>0</v>
      </c>
      <c r="Y401">
        <f t="shared" ca="1" si="61"/>
        <v>0</v>
      </c>
      <c r="Z401">
        <f t="shared" ca="1" si="62"/>
        <v>0</v>
      </c>
      <c r="AA401">
        <f t="shared" ca="1" si="63"/>
        <v>0</v>
      </c>
    </row>
    <row r="402" spans="1:27" x14ac:dyDescent="0.25">
      <c r="A402">
        <f t="shared" ca="1" si="56"/>
        <v>0</v>
      </c>
      <c r="B402" t="str">
        <f t="shared" ca="1" si="57"/>
        <v/>
      </c>
      <c r="C402" t="str">
        <f t="shared" si="58"/>
        <v/>
      </c>
      <c r="D402" t="s">
        <v>2490</v>
      </c>
      <c r="E402" t="s">
        <v>1026</v>
      </c>
      <c r="F402" s="3" t="s">
        <v>253</v>
      </c>
      <c r="G402" s="11" t="s">
        <v>253</v>
      </c>
      <c r="H402" s="11" t="s">
        <v>253</v>
      </c>
      <c r="I402" s="3" t="s">
        <v>253</v>
      </c>
      <c r="J402" s="3" t="s">
        <v>253</v>
      </c>
      <c r="K402" s="3" t="s">
        <v>253</v>
      </c>
      <c r="L402" s="3" t="s">
        <v>253</v>
      </c>
      <c r="M402" t="str">
        <f>IF(LEN(H402),MATCH(H402,'MPIO_SFIO Table'!$A$11:$A$65525,0)-1,"")</f>
        <v/>
      </c>
      <c r="N402" t="str">
        <f>IF(LEN(I402),MATCH(I402,'MPIO_SFIO Table'!$A$11:$A$65525,0)-1,"")</f>
        <v/>
      </c>
      <c r="O402" t="str">
        <f>IF(LEN(J402),MATCH(J402,'MPIO_SFIO Table'!$A$11:$A$65525,0)-1,"")</f>
        <v/>
      </c>
      <c r="P402" t="str">
        <f>IF(LEN(K402),MATCH(K402,'MPIO_SFIO Table'!$A$11:$A$65525,0)-1,"")</f>
        <v/>
      </c>
      <c r="Q402" t="str">
        <f>IF(LEN(L402),MATCH(L402,'MPIO_SFIO Table'!$A$11:$A$65525,0)-1,"")</f>
        <v/>
      </c>
      <c r="R402" t="str">
        <f ca="1">IF(ISNUMBER(M402),OFFSET('MPIO_SFIO Table'!$AJ$11,M402,0),"")</f>
        <v/>
      </c>
      <c r="S402" t="str">
        <f ca="1">IF(ISNUMBER(N402),OFFSET('MPIO_SFIO Table'!$AJ$11,N402,0),"")</f>
        <v/>
      </c>
      <c r="T402" t="str">
        <f ca="1">IF(ISNUMBER(O402),OFFSET('MPIO_SFIO Table'!$AJ$11,O402,0),"")</f>
        <v/>
      </c>
      <c r="U402" t="str">
        <f ca="1">IF(ISNUMBER(P402),OFFSET('MPIO_SFIO Table'!$AJ$11,P402,0),"")</f>
        <v/>
      </c>
      <c r="V402" t="str">
        <f ca="1">IF(ISNUMBER(Q402),OFFSET('MPIO_SFIO Table'!$AJ$11,Q402,0),"")</f>
        <v/>
      </c>
      <c r="W402">
        <f t="shared" ca="1" si="59"/>
        <v>0</v>
      </c>
      <c r="X402">
        <f t="shared" ca="1" si="60"/>
        <v>0</v>
      </c>
      <c r="Y402">
        <f t="shared" ca="1" si="61"/>
        <v>0</v>
      </c>
      <c r="Z402">
        <f t="shared" ca="1" si="62"/>
        <v>0</v>
      </c>
      <c r="AA402">
        <f t="shared" ca="1" si="63"/>
        <v>0</v>
      </c>
    </row>
    <row r="403" spans="1:27" x14ac:dyDescent="0.25">
      <c r="A403">
        <f t="shared" ca="1" si="56"/>
        <v>0</v>
      </c>
      <c r="B403" t="str">
        <f t="shared" ca="1" si="57"/>
        <v/>
      </c>
      <c r="C403" t="str">
        <f t="shared" si="58"/>
        <v>I2S4</v>
      </c>
      <c r="D403" t="s">
        <v>253</v>
      </c>
      <c r="E403" t="s">
        <v>253</v>
      </c>
      <c r="F403" s="3" t="s">
        <v>2819</v>
      </c>
      <c r="G403" s="11" t="s">
        <v>395</v>
      </c>
      <c r="H403" s="11" t="s">
        <v>57</v>
      </c>
      <c r="I403" s="3" t="s">
        <v>253</v>
      </c>
      <c r="J403" s="3" t="s">
        <v>253</v>
      </c>
      <c r="K403" s="3" t="s">
        <v>253</v>
      </c>
      <c r="L403" s="3" t="s">
        <v>253</v>
      </c>
      <c r="M403">
        <f>IF(LEN(H403),MATCH(H403,'MPIO_SFIO Table'!$A$11:$A$65525,0)-1,"")</f>
        <v>51</v>
      </c>
      <c r="N403" t="str">
        <f>IF(LEN(I403),MATCH(I403,'MPIO_SFIO Table'!$A$11:$A$65525,0)-1,"")</f>
        <v/>
      </c>
      <c r="O403" t="str">
        <f>IF(LEN(J403),MATCH(J403,'MPIO_SFIO Table'!$A$11:$A$65525,0)-1,"")</f>
        <v/>
      </c>
      <c r="P403" t="str">
        <f>IF(LEN(K403),MATCH(K403,'MPIO_SFIO Table'!$A$11:$A$65525,0)-1,"")</f>
        <v/>
      </c>
      <c r="Q403" t="str">
        <f>IF(LEN(L403),MATCH(L403,'MPIO_SFIO Table'!$A$11:$A$65525,0)-1,"")</f>
        <v/>
      </c>
      <c r="R403" t="str">
        <f ca="1">IF(ISNUMBER(M403),OFFSET('MPIO_SFIO Table'!$AJ$11,M403,0),"")</f>
        <v>unused_GPIO_PCC1</v>
      </c>
      <c r="S403" t="str">
        <f ca="1">IF(ISNUMBER(N403),OFFSET('MPIO_SFIO Table'!$AJ$11,N403,0),"")</f>
        <v/>
      </c>
      <c r="T403" t="str">
        <f ca="1">IF(ISNUMBER(O403),OFFSET('MPIO_SFIO Table'!$AJ$11,O403,0),"")</f>
        <v/>
      </c>
      <c r="U403" t="str">
        <f ca="1">IF(ISNUMBER(P403),OFFSET('MPIO_SFIO Table'!$AJ$11,P403,0),"")</f>
        <v/>
      </c>
      <c r="V403" t="str">
        <f ca="1">IF(ISNUMBER(Q403),OFFSET('MPIO_SFIO Table'!$AJ$11,Q403,0),"")</f>
        <v/>
      </c>
      <c r="W403">
        <f t="shared" ca="1" si="59"/>
        <v>0</v>
      </c>
      <c r="X403">
        <f t="shared" ca="1" si="60"/>
        <v>0</v>
      </c>
      <c r="Y403">
        <f t="shared" ca="1" si="61"/>
        <v>0</v>
      </c>
      <c r="Z403">
        <f t="shared" ca="1" si="62"/>
        <v>0</v>
      </c>
      <c r="AA403">
        <f t="shared" ca="1" si="63"/>
        <v>0</v>
      </c>
    </row>
    <row r="404" spans="1:27" x14ac:dyDescent="0.25">
      <c r="A404">
        <f t="shared" ca="1" si="56"/>
        <v>0</v>
      </c>
      <c r="B404" t="str">
        <f t="shared" ca="1" si="57"/>
        <v/>
      </c>
      <c r="C404" t="str">
        <f t="shared" si="58"/>
        <v>I2S4</v>
      </c>
      <c r="D404" t="s">
        <v>253</v>
      </c>
      <c r="E404" t="s">
        <v>253</v>
      </c>
      <c r="F404" s="3" t="s">
        <v>2820</v>
      </c>
      <c r="G404" s="11" t="s">
        <v>398</v>
      </c>
      <c r="H404" s="11" t="s">
        <v>58</v>
      </c>
      <c r="I404" s="3" t="s">
        <v>253</v>
      </c>
      <c r="J404" s="3" t="s">
        <v>253</v>
      </c>
      <c r="K404" s="3" t="s">
        <v>253</v>
      </c>
      <c r="L404" s="3" t="s">
        <v>253</v>
      </c>
      <c r="M404">
        <f>IF(LEN(H404),MATCH(H404,'MPIO_SFIO Table'!$A$11:$A$65525,0)-1,"")</f>
        <v>52</v>
      </c>
      <c r="N404" t="str">
        <f>IF(LEN(I404),MATCH(I404,'MPIO_SFIO Table'!$A$11:$A$65525,0)-1,"")</f>
        <v/>
      </c>
      <c r="O404" t="str">
        <f>IF(LEN(J404),MATCH(J404,'MPIO_SFIO Table'!$A$11:$A$65525,0)-1,"")</f>
        <v/>
      </c>
      <c r="P404" t="str">
        <f>IF(LEN(K404),MATCH(K404,'MPIO_SFIO Table'!$A$11:$A$65525,0)-1,"")</f>
        <v/>
      </c>
      <c r="Q404" t="str">
        <f>IF(LEN(L404),MATCH(L404,'MPIO_SFIO Table'!$A$11:$A$65525,0)-1,"")</f>
        <v/>
      </c>
      <c r="R404" t="str">
        <f ca="1">IF(ISNUMBER(M404),OFFSET('MPIO_SFIO Table'!$AJ$11,M404,0),"")</f>
        <v>unused_GPIO_PCC2</v>
      </c>
      <c r="S404" t="str">
        <f ca="1">IF(ISNUMBER(N404),OFFSET('MPIO_SFIO Table'!$AJ$11,N404,0),"")</f>
        <v/>
      </c>
      <c r="T404" t="str">
        <f ca="1">IF(ISNUMBER(O404),OFFSET('MPIO_SFIO Table'!$AJ$11,O404,0),"")</f>
        <v/>
      </c>
      <c r="U404" t="str">
        <f ca="1">IF(ISNUMBER(P404),OFFSET('MPIO_SFIO Table'!$AJ$11,P404,0),"")</f>
        <v/>
      </c>
      <c r="V404" t="str">
        <f ca="1">IF(ISNUMBER(Q404),OFFSET('MPIO_SFIO Table'!$AJ$11,Q404,0),"")</f>
        <v/>
      </c>
      <c r="W404">
        <f t="shared" ca="1" si="59"/>
        <v>0</v>
      </c>
      <c r="X404">
        <f t="shared" ca="1" si="60"/>
        <v>0</v>
      </c>
      <c r="Y404">
        <f t="shared" ca="1" si="61"/>
        <v>0</v>
      </c>
      <c r="Z404">
        <f t="shared" ca="1" si="62"/>
        <v>0</v>
      </c>
      <c r="AA404">
        <f t="shared" ca="1" si="63"/>
        <v>0</v>
      </c>
    </row>
    <row r="405" spans="1:27" x14ac:dyDescent="0.25">
      <c r="A405">
        <f t="shared" ca="1" si="56"/>
        <v>0</v>
      </c>
      <c r="B405" t="str">
        <f t="shared" ca="1" si="57"/>
        <v/>
      </c>
      <c r="C405" t="str">
        <f t="shared" si="58"/>
        <v>I2S4</v>
      </c>
      <c r="D405" t="s">
        <v>253</v>
      </c>
      <c r="E405" t="s">
        <v>253</v>
      </c>
      <c r="F405" s="3" t="s">
        <v>2821</v>
      </c>
      <c r="G405" s="11" t="s">
        <v>374</v>
      </c>
      <c r="H405" s="11" t="s">
        <v>51</v>
      </c>
      <c r="I405" s="3" t="s">
        <v>253</v>
      </c>
      <c r="J405" s="3" t="s">
        <v>253</v>
      </c>
      <c r="K405" s="3" t="s">
        <v>253</v>
      </c>
      <c r="L405" s="3" t="s">
        <v>253</v>
      </c>
      <c r="M405">
        <f>IF(LEN(H405),MATCH(H405,'MPIO_SFIO Table'!$A$11:$A$65525,0)-1,"")</f>
        <v>45</v>
      </c>
      <c r="N405" t="str">
        <f>IF(LEN(I405),MATCH(I405,'MPIO_SFIO Table'!$A$11:$A$65525,0)-1,"")</f>
        <v/>
      </c>
      <c r="O405" t="str">
        <f>IF(LEN(J405),MATCH(J405,'MPIO_SFIO Table'!$A$11:$A$65525,0)-1,"")</f>
        <v/>
      </c>
      <c r="P405" t="str">
        <f>IF(LEN(K405),MATCH(K405,'MPIO_SFIO Table'!$A$11:$A$65525,0)-1,"")</f>
        <v/>
      </c>
      <c r="Q405" t="str">
        <f>IF(LEN(L405),MATCH(L405,'MPIO_SFIO Table'!$A$11:$A$65525,0)-1,"")</f>
        <v/>
      </c>
      <c r="R405" t="str">
        <f ca="1">IF(ISNUMBER(M405),OFFSET('MPIO_SFIO Table'!$AJ$11,M405,0),"")</f>
        <v>unused_GPIO_PBB0</v>
      </c>
      <c r="S405" t="str">
        <f ca="1">IF(ISNUMBER(N405),OFFSET('MPIO_SFIO Table'!$AJ$11,N405,0),"")</f>
        <v/>
      </c>
      <c r="T405" t="str">
        <f ca="1">IF(ISNUMBER(O405),OFFSET('MPIO_SFIO Table'!$AJ$11,O405,0),"")</f>
        <v/>
      </c>
      <c r="U405" t="str">
        <f ca="1">IF(ISNUMBER(P405),OFFSET('MPIO_SFIO Table'!$AJ$11,P405,0),"")</f>
        <v/>
      </c>
      <c r="V405" t="str">
        <f ca="1">IF(ISNUMBER(Q405),OFFSET('MPIO_SFIO Table'!$AJ$11,Q405,0),"")</f>
        <v/>
      </c>
      <c r="W405">
        <f t="shared" ca="1" si="59"/>
        <v>0</v>
      </c>
      <c r="X405">
        <f t="shared" ca="1" si="60"/>
        <v>0</v>
      </c>
      <c r="Y405">
        <f t="shared" ca="1" si="61"/>
        <v>0</v>
      </c>
      <c r="Z405">
        <f t="shared" ca="1" si="62"/>
        <v>0</v>
      </c>
      <c r="AA405">
        <f t="shared" ca="1" si="63"/>
        <v>0</v>
      </c>
    </row>
    <row r="406" spans="1:27" x14ac:dyDescent="0.25">
      <c r="A406">
        <f t="shared" ca="1" si="56"/>
        <v>0</v>
      </c>
      <c r="B406" t="str">
        <f t="shared" ca="1" si="57"/>
        <v/>
      </c>
      <c r="C406" t="str">
        <f t="shared" si="58"/>
        <v>I2S4</v>
      </c>
      <c r="D406" t="s">
        <v>253</v>
      </c>
      <c r="E406" t="s">
        <v>253</v>
      </c>
      <c r="F406" s="3" t="s">
        <v>2822</v>
      </c>
      <c r="G406" s="11" t="s">
        <v>393</v>
      </c>
      <c r="H406" s="11" t="s">
        <v>56</v>
      </c>
      <c r="I406" s="3" t="s">
        <v>253</v>
      </c>
      <c r="J406" s="3" t="s">
        <v>253</v>
      </c>
      <c r="K406" s="3" t="s">
        <v>253</v>
      </c>
      <c r="L406" s="3" t="s">
        <v>253</v>
      </c>
      <c r="M406">
        <f>IF(LEN(H406),MATCH(H406,'MPIO_SFIO Table'!$A$11:$A$65525,0)-1,"")</f>
        <v>50</v>
      </c>
      <c r="N406" t="str">
        <f>IF(LEN(I406),MATCH(I406,'MPIO_SFIO Table'!$A$11:$A$65525,0)-1,"")</f>
        <v/>
      </c>
      <c r="O406" t="str">
        <f>IF(LEN(J406),MATCH(J406,'MPIO_SFIO Table'!$A$11:$A$65525,0)-1,"")</f>
        <v/>
      </c>
      <c r="P406" t="str">
        <f>IF(LEN(K406),MATCH(K406,'MPIO_SFIO Table'!$A$11:$A$65525,0)-1,"")</f>
        <v/>
      </c>
      <c r="Q406" t="str">
        <f>IF(LEN(L406),MATCH(L406,'MPIO_SFIO Table'!$A$11:$A$65525,0)-1,"")</f>
        <v/>
      </c>
      <c r="R406" t="str">
        <f ca="1">IF(ISNUMBER(M406),OFFSET('MPIO_SFIO Table'!$AJ$11,M406,0),"")</f>
        <v>unused_GPIO_PBB7</v>
      </c>
      <c r="S406" t="str">
        <f ca="1">IF(ISNUMBER(N406),OFFSET('MPIO_SFIO Table'!$AJ$11,N406,0),"")</f>
        <v/>
      </c>
      <c r="T406" t="str">
        <f ca="1">IF(ISNUMBER(O406),OFFSET('MPIO_SFIO Table'!$AJ$11,O406,0),"")</f>
        <v/>
      </c>
      <c r="U406" t="str">
        <f ca="1">IF(ISNUMBER(P406),OFFSET('MPIO_SFIO Table'!$AJ$11,P406,0),"")</f>
        <v/>
      </c>
      <c r="V406" t="str">
        <f ca="1">IF(ISNUMBER(Q406),OFFSET('MPIO_SFIO Table'!$AJ$11,Q406,0),"")</f>
        <v/>
      </c>
      <c r="W406">
        <f t="shared" ca="1" si="59"/>
        <v>0</v>
      </c>
      <c r="X406">
        <f t="shared" ca="1" si="60"/>
        <v>0</v>
      </c>
      <c r="Y406">
        <f t="shared" ca="1" si="61"/>
        <v>0</v>
      </c>
      <c r="Z406">
        <f t="shared" ca="1" si="62"/>
        <v>0</v>
      </c>
      <c r="AA406">
        <f t="shared" ca="1" si="63"/>
        <v>0</v>
      </c>
    </row>
    <row r="407" spans="1:27" x14ac:dyDescent="0.25">
      <c r="A407">
        <f t="shared" ca="1" si="56"/>
        <v>0</v>
      </c>
      <c r="B407" t="str">
        <f t="shared" ca="1" si="57"/>
        <v/>
      </c>
      <c r="C407" t="str">
        <f t="shared" si="58"/>
        <v/>
      </c>
      <c r="D407" t="s">
        <v>253</v>
      </c>
      <c r="E407" t="s">
        <v>1027</v>
      </c>
      <c r="F407" s="3" t="s">
        <v>253</v>
      </c>
      <c r="G407" s="11" t="s">
        <v>253</v>
      </c>
      <c r="H407" s="11" t="s">
        <v>253</v>
      </c>
      <c r="I407" s="3" t="s">
        <v>253</v>
      </c>
      <c r="J407" s="3" t="s">
        <v>253</v>
      </c>
      <c r="K407" s="3" t="s">
        <v>253</v>
      </c>
      <c r="L407" s="3" t="s">
        <v>253</v>
      </c>
      <c r="M407" t="str">
        <f>IF(LEN(H407),MATCH(H407,'MPIO_SFIO Table'!$A$11:$A$65525,0)-1,"")</f>
        <v/>
      </c>
      <c r="N407" t="str">
        <f>IF(LEN(I407),MATCH(I407,'MPIO_SFIO Table'!$A$11:$A$65525,0)-1,"")</f>
        <v/>
      </c>
      <c r="O407" t="str">
        <f>IF(LEN(J407),MATCH(J407,'MPIO_SFIO Table'!$A$11:$A$65525,0)-1,"")</f>
        <v/>
      </c>
      <c r="P407" t="str">
        <f>IF(LEN(K407),MATCH(K407,'MPIO_SFIO Table'!$A$11:$A$65525,0)-1,"")</f>
        <v/>
      </c>
      <c r="Q407" t="str">
        <f>IF(LEN(L407),MATCH(L407,'MPIO_SFIO Table'!$A$11:$A$65525,0)-1,"")</f>
        <v/>
      </c>
      <c r="R407" t="str">
        <f ca="1">IF(ISNUMBER(M407),OFFSET('MPIO_SFIO Table'!$AJ$11,M407,0),"")</f>
        <v/>
      </c>
      <c r="S407" t="str">
        <f ca="1">IF(ISNUMBER(N407),OFFSET('MPIO_SFIO Table'!$AJ$11,N407,0),"")</f>
        <v/>
      </c>
      <c r="T407" t="str">
        <f ca="1">IF(ISNUMBER(O407),OFFSET('MPIO_SFIO Table'!$AJ$11,O407,0),"")</f>
        <v/>
      </c>
      <c r="U407" t="str">
        <f ca="1">IF(ISNUMBER(P407),OFFSET('MPIO_SFIO Table'!$AJ$11,P407,0),"")</f>
        <v/>
      </c>
      <c r="V407" t="str">
        <f ca="1">IF(ISNUMBER(Q407),OFFSET('MPIO_SFIO Table'!$AJ$11,Q407,0),"")</f>
        <v/>
      </c>
      <c r="W407">
        <f t="shared" ca="1" si="59"/>
        <v>0</v>
      </c>
      <c r="X407">
        <f t="shared" ca="1" si="60"/>
        <v>0</v>
      </c>
      <c r="Y407">
        <f t="shared" ca="1" si="61"/>
        <v>0</v>
      </c>
      <c r="Z407">
        <f t="shared" ca="1" si="62"/>
        <v>0</v>
      </c>
      <c r="AA407">
        <f t="shared" ca="1" si="63"/>
        <v>0</v>
      </c>
    </row>
    <row r="408" spans="1:27" x14ac:dyDescent="0.25">
      <c r="A408">
        <f t="shared" ca="1" si="56"/>
        <v>0</v>
      </c>
      <c r="B408" t="str">
        <f t="shared" ca="1" si="57"/>
        <v/>
      </c>
      <c r="C408" t="str">
        <f t="shared" si="58"/>
        <v>I2S4</v>
      </c>
      <c r="D408" t="s">
        <v>253</v>
      </c>
      <c r="E408" t="s">
        <v>253</v>
      </c>
      <c r="F408" s="3" t="s">
        <v>2819</v>
      </c>
      <c r="G408" s="11" t="s">
        <v>632</v>
      </c>
      <c r="H408" s="11" t="s">
        <v>178</v>
      </c>
      <c r="I408" s="3" t="s">
        <v>253</v>
      </c>
      <c r="J408" s="3" t="s">
        <v>253</v>
      </c>
      <c r="K408" s="3" t="s">
        <v>253</v>
      </c>
      <c r="L408" s="3" t="s">
        <v>253</v>
      </c>
      <c r="M408">
        <f>IF(LEN(H408),MATCH(H408,'MPIO_SFIO Table'!$A$11:$A$65525,0)-1,"")</f>
        <v>182</v>
      </c>
      <c r="N408" t="str">
        <f>IF(LEN(I408),MATCH(I408,'MPIO_SFIO Table'!$A$11:$A$65525,0)-1,"")</f>
        <v/>
      </c>
      <c r="O408" t="str">
        <f>IF(LEN(J408),MATCH(J408,'MPIO_SFIO Table'!$A$11:$A$65525,0)-1,"")</f>
        <v/>
      </c>
      <c r="P408" t="str">
        <f>IF(LEN(K408),MATCH(K408,'MPIO_SFIO Table'!$A$11:$A$65525,0)-1,"")</f>
        <v/>
      </c>
      <c r="Q408" t="str">
        <f>IF(LEN(L408),MATCH(L408,'MPIO_SFIO Table'!$A$11:$A$65525,0)-1,"")</f>
        <v/>
      </c>
      <c r="R408" t="str">
        <f ca="1">IF(ISNUMBER(M408),OFFSET('MPIO_SFIO Table'!$AJ$11,M408,0),"")</f>
        <v>unused_SDMMC4_DAT4</v>
      </c>
      <c r="S408" t="str">
        <f ca="1">IF(ISNUMBER(N408),OFFSET('MPIO_SFIO Table'!$AJ$11,N408,0),"")</f>
        <v/>
      </c>
      <c r="T408" t="str">
        <f ca="1">IF(ISNUMBER(O408),OFFSET('MPIO_SFIO Table'!$AJ$11,O408,0),"")</f>
        <v/>
      </c>
      <c r="U408" t="str">
        <f ca="1">IF(ISNUMBER(P408),OFFSET('MPIO_SFIO Table'!$AJ$11,P408,0),"")</f>
        <v/>
      </c>
      <c r="V408" t="str">
        <f ca="1">IF(ISNUMBER(Q408),OFFSET('MPIO_SFIO Table'!$AJ$11,Q408,0),"")</f>
        <v/>
      </c>
      <c r="W408">
        <f t="shared" ca="1" si="59"/>
        <v>0</v>
      </c>
      <c r="X408">
        <f t="shared" ca="1" si="60"/>
        <v>0</v>
      </c>
      <c r="Y408">
        <f t="shared" ca="1" si="61"/>
        <v>0</v>
      </c>
      <c r="Z408">
        <f t="shared" ca="1" si="62"/>
        <v>0</v>
      </c>
      <c r="AA408">
        <f t="shared" ca="1" si="63"/>
        <v>0</v>
      </c>
    </row>
    <row r="409" spans="1:27" x14ac:dyDescent="0.25">
      <c r="A409">
        <f t="shared" ca="1" si="56"/>
        <v>0</v>
      </c>
      <c r="B409" t="str">
        <f t="shared" ca="1" si="57"/>
        <v/>
      </c>
      <c r="C409" t="str">
        <f t="shared" si="58"/>
        <v>I2S4</v>
      </c>
      <c r="D409" t="s">
        <v>253</v>
      </c>
      <c r="E409" t="s">
        <v>253</v>
      </c>
      <c r="F409" s="3" t="s">
        <v>2820</v>
      </c>
      <c r="G409" s="11" t="s">
        <v>645</v>
      </c>
      <c r="H409" s="11" t="s">
        <v>181</v>
      </c>
      <c r="I409" s="3" t="s">
        <v>253</v>
      </c>
      <c r="J409" s="3" t="s">
        <v>253</v>
      </c>
      <c r="K409" s="3" t="s">
        <v>253</v>
      </c>
      <c r="L409" s="3" t="s">
        <v>253</v>
      </c>
      <c r="M409">
        <f>IF(LEN(H409),MATCH(H409,'MPIO_SFIO Table'!$A$11:$A$65525,0)-1,"")</f>
        <v>185</v>
      </c>
      <c r="N409" t="str">
        <f>IF(LEN(I409),MATCH(I409,'MPIO_SFIO Table'!$A$11:$A$65525,0)-1,"")</f>
        <v/>
      </c>
      <c r="O409" t="str">
        <f>IF(LEN(J409),MATCH(J409,'MPIO_SFIO Table'!$A$11:$A$65525,0)-1,"")</f>
        <v/>
      </c>
      <c r="P409" t="str">
        <f>IF(LEN(K409),MATCH(K409,'MPIO_SFIO Table'!$A$11:$A$65525,0)-1,"")</f>
        <v/>
      </c>
      <c r="Q409" t="str">
        <f>IF(LEN(L409),MATCH(L409,'MPIO_SFIO Table'!$A$11:$A$65525,0)-1,"")</f>
        <v/>
      </c>
      <c r="R409" t="str">
        <f ca="1">IF(ISNUMBER(M409),OFFSET('MPIO_SFIO Table'!$AJ$11,M409,0),"")</f>
        <v>unused_SDMMC4_DAT7</v>
      </c>
      <c r="S409" t="str">
        <f ca="1">IF(ISNUMBER(N409),OFFSET('MPIO_SFIO Table'!$AJ$11,N409,0),"")</f>
        <v/>
      </c>
      <c r="T409" t="str">
        <f ca="1">IF(ISNUMBER(O409),OFFSET('MPIO_SFIO Table'!$AJ$11,O409,0),"")</f>
        <v/>
      </c>
      <c r="U409" t="str">
        <f ca="1">IF(ISNUMBER(P409),OFFSET('MPIO_SFIO Table'!$AJ$11,P409,0),"")</f>
        <v/>
      </c>
      <c r="V409" t="str">
        <f ca="1">IF(ISNUMBER(Q409),OFFSET('MPIO_SFIO Table'!$AJ$11,Q409,0),"")</f>
        <v/>
      </c>
      <c r="W409">
        <f t="shared" ca="1" si="59"/>
        <v>0</v>
      </c>
      <c r="X409">
        <f t="shared" ca="1" si="60"/>
        <v>0</v>
      </c>
      <c r="Y409">
        <f t="shared" ca="1" si="61"/>
        <v>0</v>
      </c>
      <c r="Z409">
        <f t="shared" ca="1" si="62"/>
        <v>0</v>
      </c>
      <c r="AA409">
        <f t="shared" ca="1" si="63"/>
        <v>0</v>
      </c>
    </row>
    <row r="410" spans="1:27" x14ac:dyDescent="0.25">
      <c r="A410">
        <f t="shared" ca="1" si="56"/>
        <v>0</v>
      </c>
      <c r="B410" t="str">
        <f t="shared" ca="1" si="57"/>
        <v/>
      </c>
      <c r="C410" t="str">
        <f t="shared" si="58"/>
        <v>I2S4</v>
      </c>
      <c r="D410" t="s">
        <v>253</v>
      </c>
      <c r="E410" t="s">
        <v>253</v>
      </c>
      <c r="F410" s="3" t="s">
        <v>2821</v>
      </c>
      <c r="G410" s="11" t="s">
        <v>637</v>
      </c>
      <c r="H410" s="11" t="s">
        <v>179</v>
      </c>
      <c r="I410" s="3" t="s">
        <v>253</v>
      </c>
      <c r="J410" s="3" t="s">
        <v>253</v>
      </c>
      <c r="K410" s="3" t="s">
        <v>253</v>
      </c>
      <c r="L410" s="3" t="s">
        <v>253</v>
      </c>
      <c r="M410">
        <f>IF(LEN(H410),MATCH(H410,'MPIO_SFIO Table'!$A$11:$A$65525,0)-1,"")</f>
        <v>183</v>
      </c>
      <c r="N410" t="str">
        <f>IF(LEN(I410),MATCH(I410,'MPIO_SFIO Table'!$A$11:$A$65525,0)-1,"")</f>
        <v/>
      </c>
      <c r="O410" t="str">
        <f>IF(LEN(J410),MATCH(J410,'MPIO_SFIO Table'!$A$11:$A$65525,0)-1,"")</f>
        <v/>
      </c>
      <c r="P410" t="str">
        <f>IF(LEN(K410),MATCH(K410,'MPIO_SFIO Table'!$A$11:$A$65525,0)-1,"")</f>
        <v/>
      </c>
      <c r="Q410" t="str">
        <f>IF(LEN(L410),MATCH(L410,'MPIO_SFIO Table'!$A$11:$A$65525,0)-1,"")</f>
        <v/>
      </c>
      <c r="R410" t="str">
        <f ca="1">IF(ISNUMBER(M410),OFFSET('MPIO_SFIO Table'!$AJ$11,M410,0),"")</f>
        <v>unused_SDMMC4_DAT5</v>
      </c>
      <c r="S410" t="str">
        <f ca="1">IF(ISNUMBER(N410),OFFSET('MPIO_SFIO Table'!$AJ$11,N410,0),"")</f>
        <v/>
      </c>
      <c r="T410" t="str">
        <f ca="1">IF(ISNUMBER(O410),OFFSET('MPIO_SFIO Table'!$AJ$11,O410,0),"")</f>
        <v/>
      </c>
      <c r="U410" t="str">
        <f ca="1">IF(ISNUMBER(P410),OFFSET('MPIO_SFIO Table'!$AJ$11,P410,0),"")</f>
        <v/>
      </c>
      <c r="V410" t="str">
        <f ca="1">IF(ISNUMBER(Q410),OFFSET('MPIO_SFIO Table'!$AJ$11,Q410,0),"")</f>
        <v/>
      </c>
      <c r="W410">
        <f t="shared" ca="1" si="59"/>
        <v>0</v>
      </c>
      <c r="X410">
        <f t="shared" ca="1" si="60"/>
        <v>0</v>
      </c>
      <c r="Y410">
        <f t="shared" ca="1" si="61"/>
        <v>0</v>
      </c>
      <c r="Z410">
        <f t="shared" ca="1" si="62"/>
        <v>0</v>
      </c>
      <c r="AA410">
        <f t="shared" ca="1" si="63"/>
        <v>0</v>
      </c>
    </row>
    <row r="411" spans="1:27" x14ac:dyDescent="0.25">
      <c r="A411">
        <f t="shared" ca="1" si="56"/>
        <v>0</v>
      </c>
      <c r="B411" t="str">
        <f t="shared" ca="1" si="57"/>
        <v/>
      </c>
      <c r="C411" t="str">
        <f t="shared" si="58"/>
        <v>I2S4</v>
      </c>
      <c r="D411" t="s">
        <v>253</v>
      </c>
      <c r="E411" t="s">
        <v>253</v>
      </c>
      <c r="F411" s="3" t="s">
        <v>2822</v>
      </c>
      <c r="G411" s="11" t="s">
        <v>641</v>
      </c>
      <c r="H411" s="11" t="s">
        <v>180</v>
      </c>
      <c r="I411" s="3" t="s">
        <v>253</v>
      </c>
      <c r="J411" s="3" t="s">
        <v>253</v>
      </c>
      <c r="K411" s="3" t="s">
        <v>253</v>
      </c>
      <c r="L411" s="3" t="s">
        <v>253</v>
      </c>
      <c r="M411">
        <f>IF(LEN(H411),MATCH(H411,'MPIO_SFIO Table'!$A$11:$A$65525,0)-1,"")</f>
        <v>184</v>
      </c>
      <c r="N411" t="str">
        <f>IF(LEN(I411),MATCH(I411,'MPIO_SFIO Table'!$A$11:$A$65525,0)-1,"")</f>
        <v/>
      </c>
      <c r="O411" t="str">
        <f>IF(LEN(J411),MATCH(J411,'MPIO_SFIO Table'!$A$11:$A$65525,0)-1,"")</f>
        <v/>
      </c>
      <c r="P411" t="str">
        <f>IF(LEN(K411),MATCH(K411,'MPIO_SFIO Table'!$A$11:$A$65525,0)-1,"")</f>
        <v/>
      </c>
      <c r="Q411" t="str">
        <f>IF(LEN(L411),MATCH(L411,'MPIO_SFIO Table'!$A$11:$A$65525,0)-1,"")</f>
        <v/>
      </c>
      <c r="R411" t="str">
        <f ca="1">IF(ISNUMBER(M411),OFFSET('MPIO_SFIO Table'!$AJ$11,M411,0),"")</f>
        <v>unused_SDMMC4_DAT6</v>
      </c>
      <c r="S411" t="str">
        <f ca="1">IF(ISNUMBER(N411),OFFSET('MPIO_SFIO Table'!$AJ$11,N411,0),"")</f>
        <v/>
      </c>
      <c r="T411" t="str">
        <f ca="1">IF(ISNUMBER(O411),OFFSET('MPIO_SFIO Table'!$AJ$11,O411,0),"")</f>
        <v/>
      </c>
      <c r="U411" t="str">
        <f ca="1">IF(ISNUMBER(P411),OFFSET('MPIO_SFIO Table'!$AJ$11,P411,0),"")</f>
        <v/>
      </c>
      <c r="V411" t="str">
        <f ca="1">IF(ISNUMBER(Q411),OFFSET('MPIO_SFIO Table'!$AJ$11,Q411,0),"")</f>
        <v/>
      </c>
      <c r="W411">
        <f t="shared" ca="1" si="59"/>
        <v>0</v>
      </c>
      <c r="X411">
        <f t="shared" ca="1" si="60"/>
        <v>0</v>
      </c>
      <c r="Y411">
        <f t="shared" ca="1" si="61"/>
        <v>0</v>
      </c>
      <c r="Z411">
        <f t="shared" ca="1" si="62"/>
        <v>0</v>
      </c>
      <c r="AA411">
        <f t="shared" ca="1" si="63"/>
        <v>0</v>
      </c>
    </row>
    <row r="412" spans="1:27" x14ac:dyDescent="0.25">
      <c r="A412">
        <f t="shared" ca="1" si="56"/>
        <v>0</v>
      </c>
      <c r="B412" t="str">
        <f t="shared" ca="1" si="57"/>
        <v/>
      </c>
      <c r="C412" t="str">
        <f t="shared" si="58"/>
        <v/>
      </c>
      <c r="D412" t="s">
        <v>2491</v>
      </c>
      <c r="E412" t="s">
        <v>1046</v>
      </c>
      <c r="F412" s="3" t="s">
        <v>253</v>
      </c>
      <c r="G412" s="11" t="s">
        <v>253</v>
      </c>
      <c r="H412" s="11" t="s">
        <v>253</v>
      </c>
      <c r="I412" s="3" t="s">
        <v>253</v>
      </c>
      <c r="J412" s="3" t="s">
        <v>253</v>
      </c>
      <c r="K412" s="3" t="s">
        <v>253</v>
      </c>
      <c r="L412" s="3" t="s">
        <v>253</v>
      </c>
      <c r="M412" t="str">
        <f>IF(LEN(H412),MATCH(H412,'MPIO_SFIO Table'!$A$11:$A$65525,0)-1,"")</f>
        <v/>
      </c>
      <c r="N412" t="str">
        <f>IF(LEN(I412),MATCH(I412,'MPIO_SFIO Table'!$A$11:$A$65525,0)-1,"")</f>
        <v/>
      </c>
      <c r="O412" t="str">
        <f>IF(LEN(J412),MATCH(J412,'MPIO_SFIO Table'!$A$11:$A$65525,0)-1,"")</f>
        <v/>
      </c>
      <c r="P412" t="str">
        <f>IF(LEN(K412),MATCH(K412,'MPIO_SFIO Table'!$A$11:$A$65525,0)-1,"")</f>
        <v/>
      </c>
      <c r="Q412" t="str">
        <f>IF(LEN(L412),MATCH(L412,'MPIO_SFIO Table'!$A$11:$A$65525,0)-1,"")</f>
        <v/>
      </c>
      <c r="R412" t="str">
        <f ca="1">IF(ISNUMBER(M412),OFFSET('MPIO_SFIO Table'!$AJ$11,M412,0),"")</f>
        <v/>
      </c>
      <c r="S412" t="str">
        <f ca="1">IF(ISNUMBER(N412),OFFSET('MPIO_SFIO Table'!$AJ$11,N412,0),"")</f>
        <v/>
      </c>
      <c r="T412" t="str">
        <f ca="1">IF(ISNUMBER(O412),OFFSET('MPIO_SFIO Table'!$AJ$11,O412,0),"")</f>
        <v/>
      </c>
      <c r="U412" t="str">
        <f ca="1">IF(ISNUMBER(P412),OFFSET('MPIO_SFIO Table'!$AJ$11,P412,0),"")</f>
        <v/>
      </c>
      <c r="V412" t="str">
        <f ca="1">IF(ISNUMBER(Q412),OFFSET('MPIO_SFIO Table'!$AJ$11,Q412,0),"")</f>
        <v/>
      </c>
      <c r="W412">
        <f t="shared" ca="1" si="59"/>
        <v>0</v>
      </c>
      <c r="X412">
        <f t="shared" ca="1" si="60"/>
        <v>0</v>
      </c>
      <c r="Y412">
        <f t="shared" ca="1" si="61"/>
        <v>0</v>
      </c>
      <c r="Z412">
        <f t="shared" ca="1" si="62"/>
        <v>0</v>
      </c>
      <c r="AA412">
        <f t="shared" ca="1" si="63"/>
        <v>0</v>
      </c>
    </row>
    <row r="413" spans="1:27" x14ac:dyDescent="0.25">
      <c r="A413">
        <f t="shared" ca="1" si="56"/>
        <v>0</v>
      </c>
      <c r="B413" t="str">
        <f t="shared" ca="1" si="57"/>
        <v/>
      </c>
      <c r="C413" t="str">
        <f t="shared" si="58"/>
        <v>KBC</v>
      </c>
      <c r="D413" t="s">
        <v>253</v>
      </c>
      <c r="E413" t="s">
        <v>253</v>
      </c>
      <c r="F413" s="3" t="s">
        <v>2823</v>
      </c>
      <c r="G413" s="11" t="s">
        <v>655</v>
      </c>
      <c r="H413" s="11" t="s">
        <v>185</v>
      </c>
      <c r="I413" s="3" t="s">
        <v>253</v>
      </c>
      <c r="J413" s="3" t="s">
        <v>253</v>
      </c>
      <c r="K413" s="3" t="s">
        <v>253</v>
      </c>
      <c r="L413" s="3" t="s">
        <v>253</v>
      </c>
      <c r="M413">
        <f>IF(LEN(H413),MATCH(H413,'MPIO_SFIO Table'!$A$11:$A$65525,0)-1,"")</f>
        <v>199</v>
      </c>
      <c r="N413" t="str">
        <f>IF(LEN(I413),MATCH(I413,'MPIO_SFIO Table'!$A$11:$A$65525,0)-1,"")</f>
        <v/>
      </c>
      <c r="O413" t="str">
        <f>IF(LEN(J413),MATCH(J413,'MPIO_SFIO Table'!$A$11:$A$65525,0)-1,"")</f>
        <v/>
      </c>
      <c r="P413" t="str">
        <f>IF(LEN(K413),MATCH(K413,'MPIO_SFIO Table'!$A$11:$A$65525,0)-1,"")</f>
        <v/>
      </c>
      <c r="Q413" t="str">
        <f>IF(LEN(L413),MATCH(L413,'MPIO_SFIO Table'!$A$11:$A$65525,0)-1,"")</f>
        <v/>
      </c>
      <c r="R413" t="str">
        <f ca="1">IF(ISNUMBER(M413),OFFSET('MPIO_SFIO Table'!$AJ$11,M413,0),"")</f>
        <v>unused_KB_COL0</v>
      </c>
      <c r="S413" t="str">
        <f ca="1">IF(ISNUMBER(N413),OFFSET('MPIO_SFIO Table'!$AJ$11,N413,0),"")</f>
        <v/>
      </c>
      <c r="T413" t="str">
        <f ca="1">IF(ISNUMBER(O413),OFFSET('MPIO_SFIO Table'!$AJ$11,O413,0),"")</f>
        <v/>
      </c>
      <c r="U413" t="str">
        <f ca="1">IF(ISNUMBER(P413),OFFSET('MPIO_SFIO Table'!$AJ$11,P413,0),"")</f>
        <v/>
      </c>
      <c r="V413" t="str">
        <f ca="1">IF(ISNUMBER(Q413),OFFSET('MPIO_SFIO Table'!$AJ$11,Q413,0),"")</f>
        <v/>
      </c>
      <c r="W413">
        <f t="shared" ca="1" si="59"/>
        <v>0</v>
      </c>
      <c r="X413">
        <f t="shared" ca="1" si="60"/>
        <v>0</v>
      </c>
      <c r="Y413">
        <f t="shared" ca="1" si="61"/>
        <v>0</v>
      </c>
      <c r="Z413">
        <f t="shared" ca="1" si="62"/>
        <v>0</v>
      </c>
      <c r="AA413">
        <f t="shared" ca="1" si="63"/>
        <v>0</v>
      </c>
    </row>
    <row r="414" spans="1:27" x14ac:dyDescent="0.25">
      <c r="A414">
        <f t="shared" ca="1" si="56"/>
        <v>0</v>
      </c>
      <c r="B414" t="str">
        <f t="shared" ca="1" si="57"/>
        <v/>
      </c>
      <c r="C414" t="str">
        <f t="shared" si="58"/>
        <v>KBC</v>
      </c>
      <c r="D414" t="s">
        <v>253</v>
      </c>
      <c r="E414" t="s">
        <v>253</v>
      </c>
      <c r="F414" s="3" t="s">
        <v>2824</v>
      </c>
      <c r="G414" s="11" t="s">
        <v>657</v>
      </c>
      <c r="H414" s="11" t="s">
        <v>186</v>
      </c>
      <c r="I414" s="3" t="s">
        <v>253</v>
      </c>
      <c r="J414" s="3" t="s">
        <v>253</v>
      </c>
      <c r="K414" s="3" t="s">
        <v>253</v>
      </c>
      <c r="L414" s="3" t="s">
        <v>253</v>
      </c>
      <c r="M414">
        <f>IF(LEN(H414),MATCH(H414,'MPIO_SFIO Table'!$A$11:$A$65525,0)-1,"")</f>
        <v>200</v>
      </c>
      <c r="N414" t="str">
        <f>IF(LEN(I414),MATCH(I414,'MPIO_SFIO Table'!$A$11:$A$65525,0)-1,"")</f>
        <v/>
      </c>
      <c r="O414" t="str">
        <f>IF(LEN(J414),MATCH(J414,'MPIO_SFIO Table'!$A$11:$A$65525,0)-1,"")</f>
        <v/>
      </c>
      <c r="P414" t="str">
        <f>IF(LEN(K414),MATCH(K414,'MPIO_SFIO Table'!$A$11:$A$65525,0)-1,"")</f>
        <v/>
      </c>
      <c r="Q414" t="str">
        <f>IF(LEN(L414),MATCH(L414,'MPIO_SFIO Table'!$A$11:$A$65525,0)-1,"")</f>
        <v/>
      </c>
      <c r="R414" t="str">
        <f ca="1">IF(ISNUMBER(M414),OFFSET('MPIO_SFIO Table'!$AJ$11,M414,0),"")</f>
        <v>unused_KB_COL1</v>
      </c>
      <c r="S414" t="str">
        <f ca="1">IF(ISNUMBER(N414),OFFSET('MPIO_SFIO Table'!$AJ$11,N414,0),"")</f>
        <v/>
      </c>
      <c r="T414" t="str">
        <f ca="1">IF(ISNUMBER(O414),OFFSET('MPIO_SFIO Table'!$AJ$11,O414,0),"")</f>
        <v/>
      </c>
      <c r="U414" t="str">
        <f ca="1">IF(ISNUMBER(P414),OFFSET('MPIO_SFIO Table'!$AJ$11,P414,0),"")</f>
        <v/>
      </c>
      <c r="V414" t="str">
        <f ca="1">IF(ISNUMBER(Q414),OFFSET('MPIO_SFIO Table'!$AJ$11,Q414,0),"")</f>
        <v/>
      </c>
      <c r="W414">
        <f t="shared" ca="1" si="59"/>
        <v>0</v>
      </c>
      <c r="X414">
        <f t="shared" ca="1" si="60"/>
        <v>0</v>
      </c>
      <c r="Y414">
        <f t="shared" ca="1" si="61"/>
        <v>0</v>
      </c>
      <c r="Z414">
        <f t="shared" ca="1" si="62"/>
        <v>0</v>
      </c>
      <c r="AA414">
        <f t="shared" ca="1" si="63"/>
        <v>0</v>
      </c>
    </row>
    <row r="415" spans="1:27" x14ac:dyDescent="0.25">
      <c r="A415">
        <f t="shared" ca="1" si="56"/>
        <v>0</v>
      </c>
      <c r="B415" t="str">
        <f t="shared" ca="1" si="57"/>
        <v/>
      </c>
      <c r="C415" t="str">
        <f t="shared" si="58"/>
        <v>KBC</v>
      </c>
      <c r="D415" t="s">
        <v>253</v>
      </c>
      <c r="E415" t="s">
        <v>253</v>
      </c>
      <c r="F415" s="3" t="s">
        <v>2825</v>
      </c>
      <c r="G415" s="11" t="s">
        <v>659</v>
      </c>
      <c r="H415" s="11" t="s">
        <v>187</v>
      </c>
      <c r="I415" s="3" t="s">
        <v>253</v>
      </c>
      <c r="J415" s="3" t="s">
        <v>253</v>
      </c>
      <c r="K415" s="3" t="s">
        <v>253</v>
      </c>
      <c r="L415" s="3" t="s">
        <v>253</v>
      </c>
      <c r="M415">
        <f>IF(LEN(H415),MATCH(H415,'MPIO_SFIO Table'!$A$11:$A$65525,0)-1,"")</f>
        <v>201</v>
      </c>
      <c r="N415" t="str">
        <f>IF(LEN(I415),MATCH(I415,'MPIO_SFIO Table'!$A$11:$A$65525,0)-1,"")</f>
        <v/>
      </c>
      <c r="O415" t="str">
        <f>IF(LEN(J415),MATCH(J415,'MPIO_SFIO Table'!$A$11:$A$65525,0)-1,"")</f>
        <v/>
      </c>
      <c r="P415" t="str">
        <f>IF(LEN(K415),MATCH(K415,'MPIO_SFIO Table'!$A$11:$A$65525,0)-1,"")</f>
        <v/>
      </c>
      <c r="Q415" t="str">
        <f>IF(LEN(L415),MATCH(L415,'MPIO_SFIO Table'!$A$11:$A$65525,0)-1,"")</f>
        <v/>
      </c>
      <c r="R415" t="str">
        <f ca="1">IF(ISNUMBER(M415),OFFSET('MPIO_SFIO Table'!$AJ$11,M415,0),"")</f>
        <v>unused_KB_COL2</v>
      </c>
      <c r="S415" t="str">
        <f ca="1">IF(ISNUMBER(N415),OFFSET('MPIO_SFIO Table'!$AJ$11,N415,0),"")</f>
        <v/>
      </c>
      <c r="T415" t="str">
        <f ca="1">IF(ISNUMBER(O415),OFFSET('MPIO_SFIO Table'!$AJ$11,O415,0),"")</f>
        <v/>
      </c>
      <c r="U415" t="str">
        <f ca="1">IF(ISNUMBER(P415),OFFSET('MPIO_SFIO Table'!$AJ$11,P415,0),"")</f>
        <v/>
      </c>
      <c r="V415" t="str">
        <f ca="1">IF(ISNUMBER(Q415),OFFSET('MPIO_SFIO Table'!$AJ$11,Q415,0),"")</f>
        <v/>
      </c>
      <c r="W415">
        <f t="shared" ca="1" si="59"/>
        <v>0</v>
      </c>
      <c r="X415">
        <f t="shared" ca="1" si="60"/>
        <v>0</v>
      </c>
      <c r="Y415">
        <f t="shared" ca="1" si="61"/>
        <v>0</v>
      </c>
      <c r="Z415">
        <f t="shared" ca="1" si="62"/>
        <v>0</v>
      </c>
      <c r="AA415">
        <f t="shared" ca="1" si="63"/>
        <v>0</v>
      </c>
    </row>
    <row r="416" spans="1:27" x14ac:dyDescent="0.25">
      <c r="A416">
        <f t="shared" ca="1" si="56"/>
        <v>0</v>
      </c>
      <c r="B416" t="str">
        <f t="shared" ca="1" si="57"/>
        <v/>
      </c>
      <c r="C416" t="str">
        <f t="shared" si="58"/>
        <v>KBC</v>
      </c>
      <c r="D416" t="s">
        <v>253</v>
      </c>
      <c r="E416" t="s">
        <v>253</v>
      </c>
      <c r="F416" s="3" t="s">
        <v>2826</v>
      </c>
      <c r="G416" s="11" t="s">
        <v>661</v>
      </c>
      <c r="H416" s="11" t="s">
        <v>188</v>
      </c>
      <c r="I416" s="3" t="s">
        <v>253</v>
      </c>
      <c r="J416" s="3" t="s">
        <v>253</v>
      </c>
      <c r="K416" s="3" t="s">
        <v>253</v>
      </c>
      <c r="L416" s="3" t="s">
        <v>253</v>
      </c>
      <c r="M416">
        <f>IF(LEN(H416),MATCH(H416,'MPIO_SFIO Table'!$A$11:$A$65525,0)-1,"")</f>
        <v>202</v>
      </c>
      <c r="N416" t="str">
        <f>IF(LEN(I416),MATCH(I416,'MPIO_SFIO Table'!$A$11:$A$65525,0)-1,"")</f>
        <v/>
      </c>
      <c r="O416" t="str">
        <f>IF(LEN(J416),MATCH(J416,'MPIO_SFIO Table'!$A$11:$A$65525,0)-1,"")</f>
        <v/>
      </c>
      <c r="P416" t="str">
        <f>IF(LEN(K416),MATCH(K416,'MPIO_SFIO Table'!$A$11:$A$65525,0)-1,"")</f>
        <v/>
      </c>
      <c r="Q416" t="str">
        <f>IF(LEN(L416),MATCH(L416,'MPIO_SFIO Table'!$A$11:$A$65525,0)-1,"")</f>
        <v/>
      </c>
      <c r="R416" t="str">
        <f ca="1">IF(ISNUMBER(M416),OFFSET('MPIO_SFIO Table'!$AJ$11,M416,0),"")</f>
        <v>unused_KB_COL3</v>
      </c>
      <c r="S416" t="str">
        <f ca="1">IF(ISNUMBER(N416),OFFSET('MPIO_SFIO Table'!$AJ$11,N416,0),"")</f>
        <v/>
      </c>
      <c r="T416" t="str">
        <f ca="1">IF(ISNUMBER(O416),OFFSET('MPIO_SFIO Table'!$AJ$11,O416,0),"")</f>
        <v/>
      </c>
      <c r="U416" t="str">
        <f ca="1">IF(ISNUMBER(P416),OFFSET('MPIO_SFIO Table'!$AJ$11,P416,0),"")</f>
        <v/>
      </c>
      <c r="V416" t="str">
        <f ca="1">IF(ISNUMBER(Q416),OFFSET('MPIO_SFIO Table'!$AJ$11,Q416,0),"")</f>
        <v/>
      </c>
      <c r="W416">
        <f t="shared" ca="1" si="59"/>
        <v>0</v>
      </c>
      <c r="X416">
        <f t="shared" ca="1" si="60"/>
        <v>0</v>
      </c>
      <c r="Y416">
        <f t="shared" ca="1" si="61"/>
        <v>0</v>
      </c>
      <c r="Z416">
        <f t="shared" ca="1" si="62"/>
        <v>0</v>
      </c>
      <c r="AA416">
        <f t="shared" ca="1" si="63"/>
        <v>0</v>
      </c>
    </row>
    <row r="417" spans="1:27" x14ac:dyDescent="0.25">
      <c r="A417">
        <f t="shared" ca="1" si="56"/>
        <v>0</v>
      </c>
      <c r="B417" t="str">
        <f t="shared" ca="1" si="57"/>
        <v/>
      </c>
      <c r="C417" t="str">
        <f t="shared" si="58"/>
        <v>KBC</v>
      </c>
      <c r="D417" t="s">
        <v>253</v>
      </c>
      <c r="E417" t="s">
        <v>253</v>
      </c>
      <c r="F417" s="3" t="s">
        <v>2827</v>
      </c>
      <c r="G417" s="11" t="s">
        <v>663</v>
      </c>
      <c r="H417" s="11" t="s">
        <v>189</v>
      </c>
      <c r="I417" s="3" t="s">
        <v>253</v>
      </c>
      <c r="J417" s="3" t="s">
        <v>253</v>
      </c>
      <c r="K417" s="3" t="s">
        <v>253</v>
      </c>
      <c r="L417" s="3" t="s">
        <v>253</v>
      </c>
      <c r="M417">
        <f>IF(LEN(H417),MATCH(H417,'MPIO_SFIO Table'!$A$11:$A$65525,0)-1,"")</f>
        <v>203</v>
      </c>
      <c r="N417" t="str">
        <f>IF(LEN(I417),MATCH(I417,'MPIO_SFIO Table'!$A$11:$A$65525,0)-1,"")</f>
        <v/>
      </c>
      <c r="O417" t="str">
        <f>IF(LEN(J417),MATCH(J417,'MPIO_SFIO Table'!$A$11:$A$65525,0)-1,"")</f>
        <v/>
      </c>
      <c r="P417" t="str">
        <f>IF(LEN(K417),MATCH(K417,'MPIO_SFIO Table'!$A$11:$A$65525,0)-1,"")</f>
        <v/>
      </c>
      <c r="Q417" t="str">
        <f>IF(LEN(L417),MATCH(L417,'MPIO_SFIO Table'!$A$11:$A$65525,0)-1,"")</f>
        <v/>
      </c>
      <c r="R417" t="str">
        <f ca="1">IF(ISNUMBER(M417),OFFSET('MPIO_SFIO Table'!$AJ$11,M417,0),"")</f>
        <v>unused_KB_COL4</v>
      </c>
      <c r="S417" t="str">
        <f ca="1">IF(ISNUMBER(N417),OFFSET('MPIO_SFIO Table'!$AJ$11,N417,0),"")</f>
        <v/>
      </c>
      <c r="T417" t="str">
        <f ca="1">IF(ISNUMBER(O417),OFFSET('MPIO_SFIO Table'!$AJ$11,O417,0),"")</f>
        <v/>
      </c>
      <c r="U417" t="str">
        <f ca="1">IF(ISNUMBER(P417),OFFSET('MPIO_SFIO Table'!$AJ$11,P417,0),"")</f>
        <v/>
      </c>
      <c r="V417" t="str">
        <f ca="1">IF(ISNUMBER(Q417),OFFSET('MPIO_SFIO Table'!$AJ$11,Q417,0),"")</f>
        <v/>
      </c>
      <c r="W417">
        <f t="shared" ca="1" si="59"/>
        <v>0</v>
      </c>
      <c r="X417">
        <f t="shared" ca="1" si="60"/>
        <v>0</v>
      </c>
      <c r="Y417">
        <f t="shared" ca="1" si="61"/>
        <v>0</v>
      </c>
      <c r="Z417">
        <f t="shared" ca="1" si="62"/>
        <v>0</v>
      </c>
      <c r="AA417">
        <f t="shared" ca="1" si="63"/>
        <v>0</v>
      </c>
    </row>
    <row r="418" spans="1:27" x14ac:dyDescent="0.25">
      <c r="A418">
        <f t="shared" ca="1" si="56"/>
        <v>0</v>
      </c>
      <c r="B418" t="str">
        <f t="shared" ca="1" si="57"/>
        <v/>
      </c>
      <c r="C418" t="str">
        <f t="shared" si="58"/>
        <v>KBC</v>
      </c>
      <c r="D418" t="s">
        <v>253</v>
      </c>
      <c r="E418" t="s">
        <v>253</v>
      </c>
      <c r="F418" s="3" t="s">
        <v>2828</v>
      </c>
      <c r="G418" s="11" t="s">
        <v>665</v>
      </c>
      <c r="H418" s="11" t="s">
        <v>190</v>
      </c>
      <c r="I418" s="3" t="s">
        <v>253</v>
      </c>
      <c r="J418" s="3" t="s">
        <v>253</v>
      </c>
      <c r="K418" s="3" t="s">
        <v>253</v>
      </c>
      <c r="L418" s="3" t="s">
        <v>253</v>
      </c>
      <c r="M418">
        <f>IF(LEN(H418),MATCH(H418,'MPIO_SFIO Table'!$A$11:$A$65525,0)-1,"")</f>
        <v>204</v>
      </c>
      <c r="N418" t="str">
        <f>IF(LEN(I418),MATCH(I418,'MPIO_SFIO Table'!$A$11:$A$65525,0)-1,"")</f>
        <v/>
      </c>
      <c r="O418" t="str">
        <f>IF(LEN(J418),MATCH(J418,'MPIO_SFIO Table'!$A$11:$A$65525,0)-1,"")</f>
        <v/>
      </c>
      <c r="P418" t="str">
        <f>IF(LEN(K418),MATCH(K418,'MPIO_SFIO Table'!$A$11:$A$65525,0)-1,"")</f>
        <v/>
      </c>
      <c r="Q418" t="str">
        <f>IF(LEN(L418),MATCH(L418,'MPIO_SFIO Table'!$A$11:$A$65525,0)-1,"")</f>
        <v/>
      </c>
      <c r="R418" t="str">
        <f ca="1">IF(ISNUMBER(M418),OFFSET('MPIO_SFIO Table'!$AJ$11,M418,0),"")</f>
        <v>unused_KB_COL5</v>
      </c>
      <c r="S418" t="str">
        <f ca="1">IF(ISNUMBER(N418),OFFSET('MPIO_SFIO Table'!$AJ$11,N418,0),"")</f>
        <v/>
      </c>
      <c r="T418" t="str">
        <f ca="1">IF(ISNUMBER(O418),OFFSET('MPIO_SFIO Table'!$AJ$11,O418,0),"")</f>
        <v/>
      </c>
      <c r="U418" t="str">
        <f ca="1">IF(ISNUMBER(P418),OFFSET('MPIO_SFIO Table'!$AJ$11,P418,0),"")</f>
        <v/>
      </c>
      <c r="V418" t="str">
        <f ca="1">IF(ISNUMBER(Q418),OFFSET('MPIO_SFIO Table'!$AJ$11,Q418,0),"")</f>
        <v/>
      </c>
      <c r="W418">
        <f t="shared" ca="1" si="59"/>
        <v>0</v>
      </c>
      <c r="X418">
        <f t="shared" ca="1" si="60"/>
        <v>0</v>
      </c>
      <c r="Y418">
        <f t="shared" ca="1" si="61"/>
        <v>0</v>
      </c>
      <c r="Z418">
        <f t="shared" ca="1" si="62"/>
        <v>0</v>
      </c>
      <c r="AA418">
        <f t="shared" ca="1" si="63"/>
        <v>0</v>
      </c>
    </row>
    <row r="419" spans="1:27" x14ac:dyDescent="0.25">
      <c r="A419">
        <f t="shared" ca="1" si="56"/>
        <v>0</v>
      </c>
      <c r="B419" t="str">
        <f t="shared" ca="1" si="57"/>
        <v/>
      </c>
      <c r="C419" t="str">
        <f t="shared" si="58"/>
        <v>KBC</v>
      </c>
      <c r="D419" t="s">
        <v>253</v>
      </c>
      <c r="E419" t="s">
        <v>253</v>
      </c>
      <c r="F419" s="3" t="s">
        <v>2829</v>
      </c>
      <c r="G419" s="11" t="s">
        <v>667</v>
      </c>
      <c r="H419" s="11" t="s">
        <v>191</v>
      </c>
      <c r="I419" s="3" t="s">
        <v>253</v>
      </c>
      <c r="J419" s="3" t="s">
        <v>253</v>
      </c>
      <c r="K419" s="3" t="s">
        <v>253</v>
      </c>
      <c r="L419" s="3" t="s">
        <v>253</v>
      </c>
      <c r="M419">
        <f>IF(LEN(H419),MATCH(H419,'MPIO_SFIO Table'!$A$11:$A$65525,0)-1,"")</f>
        <v>205</v>
      </c>
      <c r="N419" t="str">
        <f>IF(LEN(I419),MATCH(I419,'MPIO_SFIO Table'!$A$11:$A$65525,0)-1,"")</f>
        <v/>
      </c>
      <c r="O419" t="str">
        <f>IF(LEN(J419),MATCH(J419,'MPIO_SFIO Table'!$A$11:$A$65525,0)-1,"")</f>
        <v/>
      </c>
      <c r="P419" t="str">
        <f>IF(LEN(K419),MATCH(K419,'MPIO_SFIO Table'!$A$11:$A$65525,0)-1,"")</f>
        <v/>
      </c>
      <c r="Q419" t="str">
        <f>IF(LEN(L419),MATCH(L419,'MPIO_SFIO Table'!$A$11:$A$65525,0)-1,"")</f>
        <v/>
      </c>
      <c r="R419" t="str">
        <f ca="1">IF(ISNUMBER(M419),OFFSET('MPIO_SFIO Table'!$AJ$11,M419,0),"")</f>
        <v>unused_KB_COL6</v>
      </c>
      <c r="S419" t="str">
        <f ca="1">IF(ISNUMBER(N419),OFFSET('MPIO_SFIO Table'!$AJ$11,N419,0),"")</f>
        <v/>
      </c>
      <c r="T419" t="str">
        <f ca="1">IF(ISNUMBER(O419),OFFSET('MPIO_SFIO Table'!$AJ$11,O419,0),"")</f>
        <v/>
      </c>
      <c r="U419" t="str">
        <f ca="1">IF(ISNUMBER(P419),OFFSET('MPIO_SFIO Table'!$AJ$11,P419,0),"")</f>
        <v/>
      </c>
      <c r="V419" t="str">
        <f ca="1">IF(ISNUMBER(Q419),OFFSET('MPIO_SFIO Table'!$AJ$11,Q419,0),"")</f>
        <v/>
      </c>
      <c r="W419">
        <f t="shared" ca="1" si="59"/>
        <v>0</v>
      </c>
      <c r="X419">
        <f t="shared" ca="1" si="60"/>
        <v>0</v>
      </c>
      <c r="Y419">
        <f t="shared" ca="1" si="61"/>
        <v>0</v>
      </c>
      <c r="Z419">
        <f t="shared" ca="1" si="62"/>
        <v>0</v>
      </c>
      <c r="AA419">
        <f t="shared" ca="1" si="63"/>
        <v>0</v>
      </c>
    </row>
    <row r="420" spans="1:27" x14ac:dyDescent="0.25">
      <c r="A420">
        <f t="shared" ca="1" si="56"/>
        <v>0</v>
      </c>
      <c r="B420" t="str">
        <f t="shared" ca="1" si="57"/>
        <v/>
      </c>
      <c r="C420" t="str">
        <f t="shared" si="58"/>
        <v>KBC</v>
      </c>
      <c r="D420" t="s">
        <v>253</v>
      </c>
      <c r="E420" t="s">
        <v>253</v>
      </c>
      <c r="F420" s="3" t="s">
        <v>2830</v>
      </c>
      <c r="G420" s="11" t="s">
        <v>669</v>
      </c>
      <c r="H420" s="11" t="s">
        <v>192</v>
      </c>
      <c r="I420" s="3" t="s">
        <v>253</v>
      </c>
      <c r="J420" s="3" t="s">
        <v>253</v>
      </c>
      <c r="K420" s="3" t="s">
        <v>253</v>
      </c>
      <c r="L420" s="3" t="s">
        <v>253</v>
      </c>
      <c r="M420">
        <f>IF(LEN(H420),MATCH(H420,'MPIO_SFIO Table'!$A$11:$A$65525,0)-1,"")</f>
        <v>206</v>
      </c>
      <c r="N420" t="str">
        <f>IF(LEN(I420),MATCH(I420,'MPIO_SFIO Table'!$A$11:$A$65525,0)-1,"")</f>
        <v/>
      </c>
      <c r="O420" t="str">
        <f>IF(LEN(J420),MATCH(J420,'MPIO_SFIO Table'!$A$11:$A$65525,0)-1,"")</f>
        <v/>
      </c>
      <c r="P420" t="str">
        <f>IF(LEN(K420),MATCH(K420,'MPIO_SFIO Table'!$A$11:$A$65525,0)-1,"")</f>
        <v/>
      </c>
      <c r="Q420" t="str">
        <f>IF(LEN(L420),MATCH(L420,'MPIO_SFIO Table'!$A$11:$A$65525,0)-1,"")</f>
        <v/>
      </c>
      <c r="R420" t="str">
        <f ca="1">IF(ISNUMBER(M420),OFFSET('MPIO_SFIO Table'!$AJ$11,M420,0),"")</f>
        <v>unused_KB_COL7</v>
      </c>
      <c r="S420" t="str">
        <f ca="1">IF(ISNUMBER(N420),OFFSET('MPIO_SFIO Table'!$AJ$11,N420,0),"")</f>
        <v/>
      </c>
      <c r="T420" t="str">
        <f ca="1">IF(ISNUMBER(O420),OFFSET('MPIO_SFIO Table'!$AJ$11,O420,0),"")</f>
        <v/>
      </c>
      <c r="U420" t="str">
        <f ca="1">IF(ISNUMBER(P420),OFFSET('MPIO_SFIO Table'!$AJ$11,P420,0),"")</f>
        <v/>
      </c>
      <c r="V420" t="str">
        <f ca="1">IF(ISNUMBER(Q420),OFFSET('MPIO_SFIO Table'!$AJ$11,Q420,0),"")</f>
        <v/>
      </c>
      <c r="W420">
        <f t="shared" ca="1" si="59"/>
        <v>0</v>
      </c>
      <c r="X420">
        <f t="shared" ca="1" si="60"/>
        <v>0</v>
      </c>
      <c r="Y420">
        <f t="shared" ca="1" si="61"/>
        <v>0</v>
      </c>
      <c r="Z420">
        <f t="shared" ca="1" si="62"/>
        <v>0</v>
      </c>
      <c r="AA420">
        <f t="shared" ca="1" si="63"/>
        <v>0</v>
      </c>
    </row>
    <row r="421" spans="1:27" x14ac:dyDescent="0.25">
      <c r="A421">
        <f t="shared" ca="1" si="56"/>
        <v>0</v>
      </c>
      <c r="B421" t="str">
        <f t="shared" ca="1" si="57"/>
        <v/>
      </c>
      <c r="C421" t="str">
        <f t="shared" si="58"/>
        <v>KBC</v>
      </c>
      <c r="D421" t="s">
        <v>253</v>
      </c>
      <c r="E421" t="s">
        <v>253</v>
      </c>
      <c r="F421" s="3" t="s">
        <v>2831</v>
      </c>
      <c r="G421" s="11" t="s">
        <v>671</v>
      </c>
      <c r="H421" s="11" t="s">
        <v>193</v>
      </c>
      <c r="I421" s="3" t="s">
        <v>253</v>
      </c>
      <c r="J421" s="3" t="s">
        <v>253</v>
      </c>
      <c r="K421" s="3" t="s">
        <v>253</v>
      </c>
      <c r="L421" s="3" t="s">
        <v>253</v>
      </c>
      <c r="M421">
        <f>IF(LEN(H421),MATCH(H421,'MPIO_SFIO Table'!$A$11:$A$65525,0)-1,"")</f>
        <v>207</v>
      </c>
      <c r="N421" t="str">
        <f>IF(LEN(I421),MATCH(I421,'MPIO_SFIO Table'!$A$11:$A$65525,0)-1,"")</f>
        <v/>
      </c>
      <c r="O421" t="str">
        <f>IF(LEN(J421),MATCH(J421,'MPIO_SFIO Table'!$A$11:$A$65525,0)-1,"")</f>
        <v/>
      </c>
      <c r="P421" t="str">
        <f>IF(LEN(K421),MATCH(K421,'MPIO_SFIO Table'!$A$11:$A$65525,0)-1,"")</f>
        <v/>
      </c>
      <c r="Q421" t="str">
        <f>IF(LEN(L421),MATCH(L421,'MPIO_SFIO Table'!$A$11:$A$65525,0)-1,"")</f>
        <v/>
      </c>
      <c r="R421" t="str">
        <f ca="1">IF(ISNUMBER(M421),OFFSET('MPIO_SFIO Table'!$AJ$11,M421,0),"")</f>
        <v>unused_KB_ROW0</v>
      </c>
      <c r="S421" t="str">
        <f ca="1">IF(ISNUMBER(N421),OFFSET('MPIO_SFIO Table'!$AJ$11,N421,0),"")</f>
        <v/>
      </c>
      <c r="T421" t="str">
        <f ca="1">IF(ISNUMBER(O421),OFFSET('MPIO_SFIO Table'!$AJ$11,O421,0),"")</f>
        <v/>
      </c>
      <c r="U421" t="str">
        <f ca="1">IF(ISNUMBER(P421),OFFSET('MPIO_SFIO Table'!$AJ$11,P421,0),"")</f>
        <v/>
      </c>
      <c r="V421" t="str">
        <f ca="1">IF(ISNUMBER(Q421),OFFSET('MPIO_SFIO Table'!$AJ$11,Q421,0),"")</f>
        <v/>
      </c>
      <c r="W421">
        <f t="shared" ca="1" si="59"/>
        <v>0</v>
      </c>
      <c r="X421">
        <f t="shared" ca="1" si="60"/>
        <v>0</v>
      </c>
      <c r="Y421">
        <f t="shared" ca="1" si="61"/>
        <v>0</v>
      </c>
      <c r="Z421">
        <f t="shared" ca="1" si="62"/>
        <v>0</v>
      </c>
      <c r="AA421">
        <f t="shared" ca="1" si="63"/>
        <v>0</v>
      </c>
    </row>
    <row r="422" spans="1:27" x14ac:dyDescent="0.25">
      <c r="A422">
        <f t="shared" ca="1" si="56"/>
        <v>0</v>
      </c>
      <c r="B422" t="str">
        <f t="shared" ca="1" si="57"/>
        <v/>
      </c>
      <c r="C422" t="str">
        <f t="shared" si="58"/>
        <v>KBC</v>
      </c>
      <c r="D422" t="s">
        <v>253</v>
      </c>
      <c r="E422" t="s">
        <v>253</v>
      </c>
      <c r="F422" s="3" t="s">
        <v>2832</v>
      </c>
      <c r="G422" s="11" t="s">
        <v>673</v>
      </c>
      <c r="H422" s="11" t="s">
        <v>194</v>
      </c>
      <c r="I422" s="3" t="s">
        <v>253</v>
      </c>
      <c r="J422" s="3" t="s">
        <v>253</v>
      </c>
      <c r="K422" s="3" t="s">
        <v>253</v>
      </c>
      <c r="L422" s="3" t="s">
        <v>253</v>
      </c>
      <c r="M422">
        <f>IF(LEN(H422),MATCH(H422,'MPIO_SFIO Table'!$A$11:$A$65525,0)-1,"")</f>
        <v>208</v>
      </c>
      <c r="N422" t="str">
        <f>IF(LEN(I422),MATCH(I422,'MPIO_SFIO Table'!$A$11:$A$65525,0)-1,"")</f>
        <v/>
      </c>
      <c r="O422" t="str">
        <f>IF(LEN(J422),MATCH(J422,'MPIO_SFIO Table'!$A$11:$A$65525,0)-1,"")</f>
        <v/>
      </c>
      <c r="P422" t="str">
        <f>IF(LEN(K422),MATCH(K422,'MPIO_SFIO Table'!$A$11:$A$65525,0)-1,"")</f>
        <v/>
      </c>
      <c r="Q422" t="str">
        <f>IF(LEN(L422),MATCH(L422,'MPIO_SFIO Table'!$A$11:$A$65525,0)-1,"")</f>
        <v/>
      </c>
      <c r="R422" t="str">
        <f ca="1">IF(ISNUMBER(M422),OFFSET('MPIO_SFIO Table'!$AJ$11,M422,0),"")</f>
        <v>unused_KB_ROW1</v>
      </c>
      <c r="S422" t="str">
        <f ca="1">IF(ISNUMBER(N422),OFFSET('MPIO_SFIO Table'!$AJ$11,N422,0),"")</f>
        <v/>
      </c>
      <c r="T422" t="str">
        <f ca="1">IF(ISNUMBER(O422),OFFSET('MPIO_SFIO Table'!$AJ$11,O422,0),"")</f>
        <v/>
      </c>
      <c r="U422" t="str">
        <f ca="1">IF(ISNUMBER(P422),OFFSET('MPIO_SFIO Table'!$AJ$11,P422,0),"")</f>
        <v/>
      </c>
      <c r="V422" t="str">
        <f ca="1">IF(ISNUMBER(Q422),OFFSET('MPIO_SFIO Table'!$AJ$11,Q422,0),"")</f>
        <v/>
      </c>
      <c r="W422">
        <f t="shared" ca="1" si="59"/>
        <v>0</v>
      </c>
      <c r="X422">
        <f t="shared" ca="1" si="60"/>
        <v>0</v>
      </c>
      <c r="Y422">
        <f t="shared" ca="1" si="61"/>
        <v>0</v>
      </c>
      <c r="Z422">
        <f t="shared" ca="1" si="62"/>
        <v>0</v>
      </c>
      <c r="AA422">
        <f t="shared" ca="1" si="63"/>
        <v>0</v>
      </c>
    </row>
    <row r="423" spans="1:27" x14ac:dyDescent="0.25">
      <c r="A423">
        <f t="shared" ca="1" si="56"/>
        <v>0</v>
      </c>
      <c r="B423" t="str">
        <f t="shared" ca="1" si="57"/>
        <v/>
      </c>
      <c r="C423" t="str">
        <f t="shared" si="58"/>
        <v>KBC</v>
      </c>
      <c r="D423" t="s">
        <v>253</v>
      </c>
      <c r="E423" t="s">
        <v>253</v>
      </c>
      <c r="F423" s="3" t="s">
        <v>2833</v>
      </c>
      <c r="G423" s="11" t="s">
        <v>674</v>
      </c>
      <c r="H423" s="11" t="s">
        <v>195</v>
      </c>
      <c r="I423" s="3" t="s">
        <v>253</v>
      </c>
      <c r="J423" s="3" t="s">
        <v>253</v>
      </c>
      <c r="K423" s="3" t="s">
        <v>253</v>
      </c>
      <c r="L423" s="3" t="s">
        <v>253</v>
      </c>
      <c r="M423">
        <f>IF(LEN(H423),MATCH(H423,'MPIO_SFIO Table'!$A$11:$A$65525,0)-1,"")</f>
        <v>209</v>
      </c>
      <c r="N423" t="str">
        <f>IF(LEN(I423),MATCH(I423,'MPIO_SFIO Table'!$A$11:$A$65525,0)-1,"")</f>
        <v/>
      </c>
      <c r="O423" t="str">
        <f>IF(LEN(J423),MATCH(J423,'MPIO_SFIO Table'!$A$11:$A$65525,0)-1,"")</f>
        <v/>
      </c>
      <c r="P423" t="str">
        <f>IF(LEN(K423),MATCH(K423,'MPIO_SFIO Table'!$A$11:$A$65525,0)-1,"")</f>
        <v/>
      </c>
      <c r="Q423" t="str">
        <f>IF(LEN(L423),MATCH(L423,'MPIO_SFIO Table'!$A$11:$A$65525,0)-1,"")</f>
        <v/>
      </c>
      <c r="R423" t="str">
        <f ca="1">IF(ISNUMBER(M423),OFFSET('MPIO_SFIO Table'!$AJ$11,M423,0),"")</f>
        <v>unused_KB_ROW10</v>
      </c>
      <c r="S423" t="str">
        <f ca="1">IF(ISNUMBER(N423),OFFSET('MPIO_SFIO Table'!$AJ$11,N423,0),"")</f>
        <v/>
      </c>
      <c r="T423" t="str">
        <f ca="1">IF(ISNUMBER(O423),OFFSET('MPIO_SFIO Table'!$AJ$11,O423,0),"")</f>
        <v/>
      </c>
      <c r="U423" t="str">
        <f ca="1">IF(ISNUMBER(P423),OFFSET('MPIO_SFIO Table'!$AJ$11,P423,0),"")</f>
        <v/>
      </c>
      <c r="V423" t="str">
        <f ca="1">IF(ISNUMBER(Q423),OFFSET('MPIO_SFIO Table'!$AJ$11,Q423,0),"")</f>
        <v/>
      </c>
      <c r="W423">
        <f t="shared" ca="1" si="59"/>
        <v>0</v>
      </c>
      <c r="X423">
        <f t="shared" ca="1" si="60"/>
        <v>0</v>
      </c>
      <c r="Y423">
        <f t="shared" ca="1" si="61"/>
        <v>0</v>
      </c>
      <c r="Z423">
        <f t="shared" ca="1" si="62"/>
        <v>0</v>
      </c>
      <c r="AA423">
        <f t="shared" ca="1" si="63"/>
        <v>0</v>
      </c>
    </row>
    <row r="424" spans="1:27" x14ac:dyDescent="0.25">
      <c r="A424">
        <f t="shared" ca="1" si="56"/>
        <v>0</v>
      </c>
      <c r="B424" t="str">
        <f t="shared" ca="1" si="57"/>
        <v/>
      </c>
      <c r="C424" t="str">
        <f t="shared" si="58"/>
        <v>KBC</v>
      </c>
      <c r="D424" t="s">
        <v>253</v>
      </c>
      <c r="E424" t="s">
        <v>253</v>
      </c>
      <c r="F424" s="3" t="s">
        <v>2834</v>
      </c>
      <c r="G424" s="11" t="s">
        <v>676</v>
      </c>
      <c r="H424" s="11" t="s">
        <v>196</v>
      </c>
      <c r="I424" s="3" t="s">
        <v>253</v>
      </c>
      <c r="J424" s="3" t="s">
        <v>253</v>
      </c>
      <c r="K424" s="3" t="s">
        <v>253</v>
      </c>
      <c r="L424" s="3" t="s">
        <v>253</v>
      </c>
      <c r="M424">
        <f>IF(LEN(H424),MATCH(H424,'MPIO_SFIO Table'!$A$11:$A$65525,0)-1,"")</f>
        <v>210</v>
      </c>
      <c r="N424" t="str">
        <f>IF(LEN(I424),MATCH(I424,'MPIO_SFIO Table'!$A$11:$A$65525,0)-1,"")</f>
        <v/>
      </c>
      <c r="O424" t="str">
        <f>IF(LEN(J424),MATCH(J424,'MPIO_SFIO Table'!$A$11:$A$65525,0)-1,"")</f>
        <v/>
      </c>
      <c r="P424" t="str">
        <f>IF(LEN(K424),MATCH(K424,'MPIO_SFIO Table'!$A$11:$A$65525,0)-1,"")</f>
        <v/>
      </c>
      <c r="Q424" t="str">
        <f>IF(LEN(L424),MATCH(L424,'MPIO_SFIO Table'!$A$11:$A$65525,0)-1,"")</f>
        <v/>
      </c>
      <c r="R424" t="str">
        <f ca="1">IF(ISNUMBER(M424),OFFSET('MPIO_SFIO Table'!$AJ$11,M424,0),"")</f>
        <v>unused_KB_ROW11</v>
      </c>
      <c r="S424" t="str">
        <f ca="1">IF(ISNUMBER(N424),OFFSET('MPIO_SFIO Table'!$AJ$11,N424,0),"")</f>
        <v/>
      </c>
      <c r="T424" t="str">
        <f ca="1">IF(ISNUMBER(O424),OFFSET('MPIO_SFIO Table'!$AJ$11,O424,0),"")</f>
        <v/>
      </c>
      <c r="U424" t="str">
        <f ca="1">IF(ISNUMBER(P424),OFFSET('MPIO_SFIO Table'!$AJ$11,P424,0),"")</f>
        <v/>
      </c>
      <c r="V424" t="str">
        <f ca="1">IF(ISNUMBER(Q424),OFFSET('MPIO_SFIO Table'!$AJ$11,Q424,0),"")</f>
        <v/>
      </c>
      <c r="W424">
        <f t="shared" ca="1" si="59"/>
        <v>0</v>
      </c>
      <c r="X424">
        <f t="shared" ca="1" si="60"/>
        <v>0</v>
      </c>
      <c r="Y424">
        <f t="shared" ca="1" si="61"/>
        <v>0</v>
      </c>
      <c r="Z424">
        <f t="shared" ca="1" si="62"/>
        <v>0</v>
      </c>
      <c r="AA424">
        <f t="shared" ca="1" si="63"/>
        <v>0</v>
      </c>
    </row>
    <row r="425" spans="1:27" x14ac:dyDescent="0.25">
      <c r="A425">
        <f t="shared" ca="1" si="56"/>
        <v>0</v>
      </c>
      <c r="B425" t="str">
        <f t="shared" ca="1" si="57"/>
        <v/>
      </c>
      <c r="C425" t="str">
        <f t="shared" si="58"/>
        <v>KBC</v>
      </c>
      <c r="D425" t="s">
        <v>253</v>
      </c>
      <c r="E425" t="s">
        <v>253</v>
      </c>
      <c r="F425" s="3" t="s">
        <v>2835</v>
      </c>
      <c r="G425" s="11" t="s">
        <v>678</v>
      </c>
      <c r="H425" s="11" t="s">
        <v>197</v>
      </c>
      <c r="I425" s="3" t="s">
        <v>253</v>
      </c>
      <c r="J425" s="3" t="s">
        <v>253</v>
      </c>
      <c r="K425" s="3" t="s">
        <v>253</v>
      </c>
      <c r="L425" s="3" t="s">
        <v>253</v>
      </c>
      <c r="M425">
        <f>IF(LEN(H425),MATCH(H425,'MPIO_SFIO Table'!$A$11:$A$65525,0)-1,"")</f>
        <v>211</v>
      </c>
      <c r="N425" t="str">
        <f>IF(LEN(I425),MATCH(I425,'MPIO_SFIO Table'!$A$11:$A$65525,0)-1,"")</f>
        <v/>
      </c>
      <c r="O425" t="str">
        <f>IF(LEN(J425),MATCH(J425,'MPIO_SFIO Table'!$A$11:$A$65525,0)-1,"")</f>
        <v/>
      </c>
      <c r="P425" t="str">
        <f>IF(LEN(K425),MATCH(K425,'MPIO_SFIO Table'!$A$11:$A$65525,0)-1,"")</f>
        <v/>
      </c>
      <c r="Q425" t="str">
        <f>IF(LEN(L425),MATCH(L425,'MPIO_SFIO Table'!$A$11:$A$65525,0)-1,"")</f>
        <v/>
      </c>
      <c r="R425" t="str">
        <f ca="1">IF(ISNUMBER(M425),OFFSET('MPIO_SFIO Table'!$AJ$11,M425,0),"")</f>
        <v>unused_KB_ROW12</v>
      </c>
      <c r="S425" t="str">
        <f ca="1">IF(ISNUMBER(N425),OFFSET('MPIO_SFIO Table'!$AJ$11,N425,0),"")</f>
        <v/>
      </c>
      <c r="T425" t="str">
        <f ca="1">IF(ISNUMBER(O425),OFFSET('MPIO_SFIO Table'!$AJ$11,O425,0),"")</f>
        <v/>
      </c>
      <c r="U425" t="str">
        <f ca="1">IF(ISNUMBER(P425),OFFSET('MPIO_SFIO Table'!$AJ$11,P425,0),"")</f>
        <v/>
      </c>
      <c r="V425" t="str">
        <f ca="1">IF(ISNUMBER(Q425),OFFSET('MPIO_SFIO Table'!$AJ$11,Q425,0),"")</f>
        <v/>
      </c>
      <c r="W425">
        <f t="shared" ca="1" si="59"/>
        <v>0</v>
      </c>
      <c r="X425">
        <f t="shared" ca="1" si="60"/>
        <v>0</v>
      </c>
      <c r="Y425">
        <f t="shared" ca="1" si="61"/>
        <v>0</v>
      </c>
      <c r="Z425">
        <f t="shared" ca="1" si="62"/>
        <v>0</v>
      </c>
      <c r="AA425">
        <f t="shared" ca="1" si="63"/>
        <v>0</v>
      </c>
    </row>
    <row r="426" spans="1:27" x14ac:dyDescent="0.25">
      <c r="A426">
        <f t="shared" ca="1" si="56"/>
        <v>0</v>
      </c>
      <c r="B426" t="str">
        <f t="shared" ca="1" si="57"/>
        <v/>
      </c>
      <c r="C426" t="str">
        <f t="shared" si="58"/>
        <v>KBC</v>
      </c>
      <c r="D426" t="s">
        <v>253</v>
      </c>
      <c r="E426" t="s">
        <v>253</v>
      </c>
      <c r="F426" s="3" t="s">
        <v>2836</v>
      </c>
      <c r="G426" s="11" t="s">
        <v>680</v>
      </c>
      <c r="H426" s="11" t="s">
        <v>198</v>
      </c>
      <c r="I426" s="3" t="s">
        <v>253</v>
      </c>
      <c r="J426" s="3" t="s">
        <v>253</v>
      </c>
      <c r="K426" s="3" t="s">
        <v>253</v>
      </c>
      <c r="L426" s="3" t="s">
        <v>253</v>
      </c>
      <c r="M426">
        <f>IF(LEN(H426),MATCH(H426,'MPIO_SFIO Table'!$A$11:$A$65525,0)-1,"")</f>
        <v>212</v>
      </c>
      <c r="N426" t="str">
        <f>IF(LEN(I426),MATCH(I426,'MPIO_SFIO Table'!$A$11:$A$65525,0)-1,"")</f>
        <v/>
      </c>
      <c r="O426" t="str">
        <f>IF(LEN(J426),MATCH(J426,'MPIO_SFIO Table'!$A$11:$A$65525,0)-1,"")</f>
        <v/>
      </c>
      <c r="P426" t="str">
        <f>IF(LEN(K426),MATCH(K426,'MPIO_SFIO Table'!$A$11:$A$65525,0)-1,"")</f>
        <v/>
      </c>
      <c r="Q426" t="str">
        <f>IF(LEN(L426),MATCH(L426,'MPIO_SFIO Table'!$A$11:$A$65525,0)-1,"")</f>
        <v/>
      </c>
      <c r="R426" t="str">
        <f ca="1">IF(ISNUMBER(M426),OFFSET('MPIO_SFIO Table'!$AJ$11,M426,0),"")</f>
        <v>unused_KB_ROW13</v>
      </c>
      <c r="S426" t="str">
        <f ca="1">IF(ISNUMBER(N426),OFFSET('MPIO_SFIO Table'!$AJ$11,N426,0),"")</f>
        <v/>
      </c>
      <c r="T426" t="str">
        <f ca="1">IF(ISNUMBER(O426),OFFSET('MPIO_SFIO Table'!$AJ$11,O426,0),"")</f>
        <v/>
      </c>
      <c r="U426" t="str">
        <f ca="1">IF(ISNUMBER(P426),OFFSET('MPIO_SFIO Table'!$AJ$11,P426,0),"")</f>
        <v/>
      </c>
      <c r="V426" t="str">
        <f ca="1">IF(ISNUMBER(Q426),OFFSET('MPIO_SFIO Table'!$AJ$11,Q426,0),"")</f>
        <v/>
      </c>
      <c r="W426">
        <f t="shared" ca="1" si="59"/>
        <v>0</v>
      </c>
      <c r="X426">
        <f t="shared" ca="1" si="60"/>
        <v>0</v>
      </c>
      <c r="Y426">
        <f t="shared" ca="1" si="61"/>
        <v>0</v>
      </c>
      <c r="Z426">
        <f t="shared" ca="1" si="62"/>
        <v>0</v>
      </c>
      <c r="AA426">
        <f t="shared" ca="1" si="63"/>
        <v>0</v>
      </c>
    </row>
    <row r="427" spans="1:27" x14ac:dyDescent="0.25">
      <c r="A427">
        <f t="shared" ca="1" si="56"/>
        <v>0</v>
      </c>
      <c r="B427" t="str">
        <f t="shared" ca="1" si="57"/>
        <v/>
      </c>
      <c r="C427" t="str">
        <f t="shared" si="58"/>
        <v>KBC</v>
      </c>
      <c r="D427" t="s">
        <v>253</v>
      </c>
      <c r="E427" t="s">
        <v>253</v>
      </c>
      <c r="F427" s="3" t="s">
        <v>2837</v>
      </c>
      <c r="G427" s="11" t="s">
        <v>682</v>
      </c>
      <c r="H427" s="11" t="s">
        <v>199</v>
      </c>
      <c r="I427" s="3" t="s">
        <v>253</v>
      </c>
      <c r="J427" s="3" t="s">
        <v>253</v>
      </c>
      <c r="K427" s="3" t="s">
        <v>253</v>
      </c>
      <c r="L427" s="3" t="s">
        <v>253</v>
      </c>
      <c r="M427">
        <f>IF(LEN(H427),MATCH(H427,'MPIO_SFIO Table'!$A$11:$A$65525,0)-1,"")</f>
        <v>213</v>
      </c>
      <c r="N427" t="str">
        <f>IF(LEN(I427),MATCH(I427,'MPIO_SFIO Table'!$A$11:$A$65525,0)-1,"")</f>
        <v/>
      </c>
      <c r="O427" t="str">
        <f>IF(LEN(J427),MATCH(J427,'MPIO_SFIO Table'!$A$11:$A$65525,0)-1,"")</f>
        <v/>
      </c>
      <c r="P427" t="str">
        <f>IF(LEN(K427),MATCH(K427,'MPIO_SFIO Table'!$A$11:$A$65525,0)-1,"")</f>
        <v/>
      </c>
      <c r="Q427" t="str">
        <f>IF(LEN(L427),MATCH(L427,'MPIO_SFIO Table'!$A$11:$A$65525,0)-1,"")</f>
        <v/>
      </c>
      <c r="R427" t="str">
        <f ca="1">IF(ISNUMBER(M427),OFFSET('MPIO_SFIO Table'!$AJ$11,M427,0),"")</f>
        <v>unused_KB_ROW14</v>
      </c>
      <c r="S427" t="str">
        <f ca="1">IF(ISNUMBER(N427),OFFSET('MPIO_SFIO Table'!$AJ$11,N427,0),"")</f>
        <v/>
      </c>
      <c r="T427" t="str">
        <f ca="1">IF(ISNUMBER(O427),OFFSET('MPIO_SFIO Table'!$AJ$11,O427,0),"")</f>
        <v/>
      </c>
      <c r="U427" t="str">
        <f ca="1">IF(ISNUMBER(P427),OFFSET('MPIO_SFIO Table'!$AJ$11,P427,0),"")</f>
        <v/>
      </c>
      <c r="V427" t="str">
        <f ca="1">IF(ISNUMBER(Q427),OFFSET('MPIO_SFIO Table'!$AJ$11,Q427,0),"")</f>
        <v/>
      </c>
      <c r="W427">
        <f t="shared" ca="1" si="59"/>
        <v>0</v>
      </c>
      <c r="X427">
        <f t="shared" ca="1" si="60"/>
        <v>0</v>
      </c>
      <c r="Y427">
        <f t="shared" ca="1" si="61"/>
        <v>0</v>
      </c>
      <c r="Z427">
        <f t="shared" ca="1" si="62"/>
        <v>0</v>
      </c>
      <c r="AA427">
        <f t="shared" ca="1" si="63"/>
        <v>0</v>
      </c>
    </row>
    <row r="428" spans="1:27" x14ac:dyDescent="0.25">
      <c r="A428">
        <f t="shared" ca="1" si="56"/>
        <v>0</v>
      </c>
      <c r="B428" t="str">
        <f t="shared" ca="1" si="57"/>
        <v/>
      </c>
      <c r="C428" t="str">
        <f t="shared" si="58"/>
        <v>KBC</v>
      </c>
      <c r="D428" t="s">
        <v>253</v>
      </c>
      <c r="E428" t="s">
        <v>253</v>
      </c>
      <c r="F428" s="3" t="s">
        <v>2838</v>
      </c>
      <c r="G428" s="11" t="s">
        <v>684</v>
      </c>
      <c r="H428" s="11" t="s">
        <v>200</v>
      </c>
      <c r="I428" s="3" t="s">
        <v>253</v>
      </c>
      <c r="J428" s="3" t="s">
        <v>253</v>
      </c>
      <c r="K428" s="3" t="s">
        <v>253</v>
      </c>
      <c r="L428" s="3" t="s">
        <v>253</v>
      </c>
      <c r="M428">
        <f>IF(LEN(H428),MATCH(H428,'MPIO_SFIO Table'!$A$11:$A$65525,0)-1,"")</f>
        <v>214</v>
      </c>
      <c r="N428" t="str">
        <f>IF(LEN(I428),MATCH(I428,'MPIO_SFIO Table'!$A$11:$A$65525,0)-1,"")</f>
        <v/>
      </c>
      <c r="O428" t="str">
        <f>IF(LEN(J428),MATCH(J428,'MPIO_SFIO Table'!$A$11:$A$65525,0)-1,"")</f>
        <v/>
      </c>
      <c r="P428" t="str">
        <f>IF(LEN(K428),MATCH(K428,'MPIO_SFIO Table'!$A$11:$A$65525,0)-1,"")</f>
        <v/>
      </c>
      <c r="Q428" t="str">
        <f>IF(LEN(L428),MATCH(L428,'MPIO_SFIO Table'!$A$11:$A$65525,0)-1,"")</f>
        <v/>
      </c>
      <c r="R428" t="str">
        <f ca="1">IF(ISNUMBER(M428),OFFSET('MPIO_SFIO Table'!$AJ$11,M428,0),"")</f>
        <v>unused_KB_ROW15</v>
      </c>
      <c r="S428" t="str">
        <f ca="1">IF(ISNUMBER(N428),OFFSET('MPIO_SFIO Table'!$AJ$11,N428,0),"")</f>
        <v/>
      </c>
      <c r="T428" t="str">
        <f ca="1">IF(ISNUMBER(O428),OFFSET('MPIO_SFIO Table'!$AJ$11,O428,0),"")</f>
        <v/>
      </c>
      <c r="U428" t="str">
        <f ca="1">IF(ISNUMBER(P428),OFFSET('MPIO_SFIO Table'!$AJ$11,P428,0),"")</f>
        <v/>
      </c>
      <c r="V428" t="str">
        <f ca="1">IF(ISNUMBER(Q428),OFFSET('MPIO_SFIO Table'!$AJ$11,Q428,0),"")</f>
        <v/>
      </c>
      <c r="W428">
        <f t="shared" ca="1" si="59"/>
        <v>0</v>
      </c>
      <c r="X428">
        <f t="shared" ca="1" si="60"/>
        <v>0</v>
      </c>
      <c r="Y428">
        <f t="shared" ca="1" si="61"/>
        <v>0</v>
      </c>
      <c r="Z428">
        <f t="shared" ca="1" si="62"/>
        <v>0</v>
      </c>
      <c r="AA428">
        <f t="shared" ca="1" si="63"/>
        <v>0</v>
      </c>
    </row>
    <row r="429" spans="1:27" x14ac:dyDescent="0.25">
      <c r="A429">
        <f t="shared" ca="1" si="56"/>
        <v>0</v>
      </c>
      <c r="B429" t="str">
        <f t="shared" ca="1" si="57"/>
        <v/>
      </c>
      <c r="C429" t="str">
        <f t="shared" si="58"/>
        <v>KBC</v>
      </c>
      <c r="D429" t="s">
        <v>253</v>
      </c>
      <c r="E429" t="s">
        <v>253</v>
      </c>
      <c r="F429" s="3" t="s">
        <v>2839</v>
      </c>
      <c r="G429" s="11" t="s">
        <v>686</v>
      </c>
      <c r="H429" s="11" t="s">
        <v>201</v>
      </c>
      <c r="I429" s="3" t="s">
        <v>253</v>
      </c>
      <c r="J429" s="3" t="s">
        <v>253</v>
      </c>
      <c r="K429" s="3" t="s">
        <v>253</v>
      </c>
      <c r="L429" s="3" t="s">
        <v>253</v>
      </c>
      <c r="M429">
        <f>IF(LEN(H429),MATCH(H429,'MPIO_SFIO Table'!$A$11:$A$65525,0)-1,"")</f>
        <v>215</v>
      </c>
      <c r="N429" t="str">
        <f>IF(LEN(I429),MATCH(I429,'MPIO_SFIO Table'!$A$11:$A$65525,0)-1,"")</f>
        <v/>
      </c>
      <c r="O429" t="str">
        <f>IF(LEN(J429),MATCH(J429,'MPIO_SFIO Table'!$A$11:$A$65525,0)-1,"")</f>
        <v/>
      </c>
      <c r="P429" t="str">
        <f>IF(LEN(K429),MATCH(K429,'MPIO_SFIO Table'!$A$11:$A$65525,0)-1,"")</f>
        <v/>
      </c>
      <c r="Q429" t="str">
        <f>IF(LEN(L429),MATCH(L429,'MPIO_SFIO Table'!$A$11:$A$65525,0)-1,"")</f>
        <v/>
      </c>
      <c r="R429" t="str">
        <f ca="1">IF(ISNUMBER(M429),OFFSET('MPIO_SFIO Table'!$AJ$11,M429,0),"")</f>
        <v>unused_KB_ROW2</v>
      </c>
      <c r="S429" t="str">
        <f ca="1">IF(ISNUMBER(N429),OFFSET('MPIO_SFIO Table'!$AJ$11,N429,0),"")</f>
        <v/>
      </c>
      <c r="T429" t="str">
        <f ca="1">IF(ISNUMBER(O429),OFFSET('MPIO_SFIO Table'!$AJ$11,O429,0),"")</f>
        <v/>
      </c>
      <c r="U429" t="str">
        <f ca="1">IF(ISNUMBER(P429),OFFSET('MPIO_SFIO Table'!$AJ$11,P429,0),"")</f>
        <v/>
      </c>
      <c r="V429" t="str">
        <f ca="1">IF(ISNUMBER(Q429),OFFSET('MPIO_SFIO Table'!$AJ$11,Q429,0),"")</f>
        <v/>
      </c>
      <c r="W429">
        <f t="shared" ca="1" si="59"/>
        <v>0</v>
      </c>
      <c r="X429">
        <f t="shared" ca="1" si="60"/>
        <v>0</v>
      </c>
      <c r="Y429">
        <f t="shared" ca="1" si="61"/>
        <v>0</v>
      </c>
      <c r="Z429">
        <f t="shared" ca="1" si="62"/>
        <v>0</v>
      </c>
      <c r="AA429">
        <f t="shared" ca="1" si="63"/>
        <v>0</v>
      </c>
    </row>
    <row r="430" spans="1:27" x14ac:dyDescent="0.25">
      <c r="A430">
        <f t="shared" ca="1" si="56"/>
        <v>0</v>
      </c>
      <c r="B430" t="str">
        <f t="shared" ca="1" si="57"/>
        <v/>
      </c>
      <c r="C430" t="str">
        <f t="shared" si="58"/>
        <v>KBC</v>
      </c>
      <c r="D430" t="s">
        <v>253</v>
      </c>
      <c r="E430" t="s">
        <v>253</v>
      </c>
      <c r="F430" s="3" t="s">
        <v>2840</v>
      </c>
      <c r="G430" s="11" t="s">
        <v>687</v>
      </c>
      <c r="H430" s="11" t="s">
        <v>202</v>
      </c>
      <c r="I430" s="3" t="s">
        <v>253</v>
      </c>
      <c r="J430" s="3" t="s">
        <v>253</v>
      </c>
      <c r="K430" s="3" t="s">
        <v>253</v>
      </c>
      <c r="L430" s="3" t="s">
        <v>253</v>
      </c>
      <c r="M430">
        <f>IF(LEN(H430),MATCH(H430,'MPIO_SFIO Table'!$A$11:$A$65525,0)-1,"")</f>
        <v>216</v>
      </c>
      <c r="N430" t="str">
        <f>IF(LEN(I430),MATCH(I430,'MPIO_SFIO Table'!$A$11:$A$65525,0)-1,"")</f>
        <v/>
      </c>
      <c r="O430" t="str">
        <f>IF(LEN(J430),MATCH(J430,'MPIO_SFIO Table'!$A$11:$A$65525,0)-1,"")</f>
        <v/>
      </c>
      <c r="P430" t="str">
        <f>IF(LEN(K430),MATCH(K430,'MPIO_SFIO Table'!$A$11:$A$65525,0)-1,"")</f>
        <v/>
      </c>
      <c r="Q430" t="str">
        <f>IF(LEN(L430),MATCH(L430,'MPIO_SFIO Table'!$A$11:$A$65525,0)-1,"")</f>
        <v/>
      </c>
      <c r="R430" t="str">
        <f ca="1">IF(ISNUMBER(M430),OFFSET('MPIO_SFIO Table'!$AJ$11,M430,0),"")</f>
        <v>unused_KB_ROW3</v>
      </c>
      <c r="S430" t="str">
        <f ca="1">IF(ISNUMBER(N430),OFFSET('MPIO_SFIO Table'!$AJ$11,N430,0),"")</f>
        <v/>
      </c>
      <c r="T430" t="str">
        <f ca="1">IF(ISNUMBER(O430),OFFSET('MPIO_SFIO Table'!$AJ$11,O430,0),"")</f>
        <v/>
      </c>
      <c r="U430" t="str">
        <f ca="1">IF(ISNUMBER(P430),OFFSET('MPIO_SFIO Table'!$AJ$11,P430,0),"")</f>
        <v/>
      </c>
      <c r="V430" t="str">
        <f ca="1">IF(ISNUMBER(Q430),OFFSET('MPIO_SFIO Table'!$AJ$11,Q430,0),"")</f>
        <v/>
      </c>
      <c r="W430">
        <f t="shared" ca="1" si="59"/>
        <v>0</v>
      </c>
      <c r="X430">
        <f t="shared" ca="1" si="60"/>
        <v>0</v>
      </c>
      <c r="Y430">
        <f t="shared" ca="1" si="61"/>
        <v>0</v>
      </c>
      <c r="Z430">
        <f t="shared" ca="1" si="62"/>
        <v>0</v>
      </c>
      <c r="AA430">
        <f t="shared" ca="1" si="63"/>
        <v>0</v>
      </c>
    </row>
    <row r="431" spans="1:27" x14ac:dyDescent="0.25">
      <c r="A431">
        <f t="shared" ca="1" si="56"/>
        <v>0</v>
      </c>
      <c r="B431" t="str">
        <f t="shared" ca="1" si="57"/>
        <v/>
      </c>
      <c r="C431" t="str">
        <f t="shared" si="58"/>
        <v>KBC</v>
      </c>
      <c r="D431" t="s">
        <v>253</v>
      </c>
      <c r="E431" t="s">
        <v>253</v>
      </c>
      <c r="F431" s="3" t="s">
        <v>2841</v>
      </c>
      <c r="G431" s="11" t="s">
        <v>688</v>
      </c>
      <c r="H431" s="11" t="s">
        <v>203</v>
      </c>
      <c r="I431" s="3" t="s">
        <v>253</v>
      </c>
      <c r="J431" s="3" t="s">
        <v>253</v>
      </c>
      <c r="K431" s="3" t="s">
        <v>253</v>
      </c>
      <c r="L431" s="3" t="s">
        <v>253</v>
      </c>
      <c r="M431">
        <f>IF(LEN(H431),MATCH(H431,'MPIO_SFIO Table'!$A$11:$A$65525,0)-1,"")</f>
        <v>217</v>
      </c>
      <c r="N431" t="str">
        <f>IF(LEN(I431),MATCH(I431,'MPIO_SFIO Table'!$A$11:$A$65525,0)-1,"")</f>
        <v/>
      </c>
      <c r="O431" t="str">
        <f>IF(LEN(J431),MATCH(J431,'MPIO_SFIO Table'!$A$11:$A$65525,0)-1,"")</f>
        <v/>
      </c>
      <c r="P431" t="str">
        <f>IF(LEN(K431),MATCH(K431,'MPIO_SFIO Table'!$A$11:$A$65525,0)-1,"")</f>
        <v/>
      </c>
      <c r="Q431" t="str">
        <f>IF(LEN(L431),MATCH(L431,'MPIO_SFIO Table'!$A$11:$A$65525,0)-1,"")</f>
        <v/>
      </c>
      <c r="R431" t="str">
        <f ca="1">IF(ISNUMBER(M431),OFFSET('MPIO_SFIO Table'!$AJ$11,M431,0),"")</f>
        <v>unused_KB_ROW4</v>
      </c>
      <c r="S431" t="str">
        <f ca="1">IF(ISNUMBER(N431),OFFSET('MPIO_SFIO Table'!$AJ$11,N431,0),"")</f>
        <v/>
      </c>
      <c r="T431" t="str">
        <f ca="1">IF(ISNUMBER(O431),OFFSET('MPIO_SFIO Table'!$AJ$11,O431,0),"")</f>
        <v/>
      </c>
      <c r="U431" t="str">
        <f ca="1">IF(ISNUMBER(P431),OFFSET('MPIO_SFIO Table'!$AJ$11,P431,0),"")</f>
        <v/>
      </c>
      <c r="V431" t="str">
        <f ca="1">IF(ISNUMBER(Q431),OFFSET('MPIO_SFIO Table'!$AJ$11,Q431,0),"")</f>
        <v/>
      </c>
      <c r="W431">
        <f t="shared" ca="1" si="59"/>
        <v>0</v>
      </c>
      <c r="X431">
        <f t="shared" ca="1" si="60"/>
        <v>0</v>
      </c>
      <c r="Y431">
        <f t="shared" ca="1" si="61"/>
        <v>0</v>
      </c>
      <c r="Z431">
        <f t="shared" ca="1" si="62"/>
        <v>0</v>
      </c>
      <c r="AA431">
        <f t="shared" ca="1" si="63"/>
        <v>0</v>
      </c>
    </row>
    <row r="432" spans="1:27" x14ac:dyDescent="0.25">
      <c r="A432">
        <f t="shared" ca="1" si="56"/>
        <v>0</v>
      </c>
      <c r="B432" t="str">
        <f t="shared" ca="1" si="57"/>
        <v/>
      </c>
      <c r="C432" t="str">
        <f t="shared" si="58"/>
        <v>KBC</v>
      </c>
      <c r="D432" t="s">
        <v>253</v>
      </c>
      <c r="E432" t="s">
        <v>253</v>
      </c>
      <c r="F432" s="3" t="s">
        <v>2842</v>
      </c>
      <c r="G432" s="11" t="s">
        <v>690</v>
      </c>
      <c r="H432" s="11" t="s">
        <v>204</v>
      </c>
      <c r="I432" s="3" t="s">
        <v>253</v>
      </c>
      <c r="J432" s="3" t="s">
        <v>253</v>
      </c>
      <c r="K432" s="3" t="s">
        <v>253</v>
      </c>
      <c r="L432" s="3" t="s">
        <v>253</v>
      </c>
      <c r="M432">
        <f>IF(LEN(H432),MATCH(H432,'MPIO_SFIO Table'!$A$11:$A$65525,0)-1,"")</f>
        <v>218</v>
      </c>
      <c r="N432" t="str">
        <f>IF(LEN(I432),MATCH(I432,'MPIO_SFIO Table'!$A$11:$A$65525,0)-1,"")</f>
        <v/>
      </c>
      <c r="O432" t="str">
        <f>IF(LEN(J432),MATCH(J432,'MPIO_SFIO Table'!$A$11:$A$65525,0)-1,"")</f>
        <v/>
      </c>
      <c r="P432" t="str">
        <f>IF(LEN(K432),MATCH(K432,'MPIO_SFIO Table'!$A$11:$A$65525,0)-1,"")</f>
        <v/>
      </c>
      <c r="Q432" t="str">
        <f>IF(LEN(L432),MATCH(L432,'MPIO_SFIO Table'!$A$11:$A$65525,0)-1,"")</f>
        <v/>
      </c>
      <c r="R432" t="str">
        <f ca="1">IF(ISNUMBER(M432),OFFSET('MPIO_SFIO Table'!$AJ$11,M432,0),"")</f>
        <v>unused_KB_ROW5</v>
      </c>
      <c r="S432" t="str">
        <f ca="1">IF(ISNUMBER(N432),OFFSET('MPIO_SFIO Table'!$AJ$11,N432,0),"")</f>
        <v/>
      </c>
      <c r="T432" t="str">
        <f ca="1">IF(ISNUMBER(O432),OFFSET('MPIO_SFIO Table'!$AJ$11,O432,0),"")</f>
        <v/>
      </c>
      <c r="U432" t="str">
        <f ca="1">IF(ISNUMBER(P432),OFFSET('MPIO_SFIO Table'!$AJ$11,P432,0),"")</f>
        <v/>
      </c>
      <c r="V432" t="str">
        <f ca="1">IF(ISNUMBER(Q432),OFFSET('MPIO_SFIO Table'!$AJ$11,Q432,0),"")</f>
        <v/>
      </c>
      <c r="W432">
        <f t="shared" ca="1" si="59"/>
        <v>0</v>
      </c>
      <c r="X432">
        <f t="shared" ca="1" si="60"/>
        <v>0</v>
      </c>
      <c r="Y432">
        <f t="shared" ca="1" si="61"/>
        <v>0</v>
      </c>
      <c r="Z432">
        <f t="shared" ca="1" si="62"/>
        <v>0</v>
      </c>
      <c r="AA432">
        <f t="shared" ca="1" si="63"/>
        <v>0</v>
      </c>
    </row>
    <row r="433" spans="1:27" x14ac:dyDescent="0.25">
      <c r="A433">
        <f t="shared" ca="1" si="56"/>
        <v>0</v>
      </c>
      <c r="B433" t="str">
        <f t="shared" ca="1" si="57"/>
        <v/>
      </c>
      <c r="C433" t="str">
        <f t="shared" si="58"/>
        <v>KBC</v>
      </c>
      <c r="D433" t="s">
        <v>253</v>
      </c>
      <c r="E433" t="s">
        <v>253</v>
      </c>
      <c r="F433" s="3" t="s">
        <v>2843</v>
      </c>
      <c r="G433" s="11" t="s">
        <v>692</v>
      </c>
      <c r="H433" s="11" t="s">
        <v>205</v>
      </c>
      <c r="I433" s="3" t="s">
        <v>253</v>
      </c>
      <c r="J433" s="3" t="s">
        <v>253</v>
      </c>
      <c r="K433" s="3" t="s">
        <v>253</v>
      </c>
      <c r="L433" s="3" t="s">
        <v>253</v>
      </c>
      <c r="M433">
        <f>IF(LEN(H433),MATCH(H433,'MPIO_SFIO Table'!$A$11:$A$65525,0)-1,"")</f>
        <v>219</v>
      </c>
      <c r="N433" t="str">
        <f>IF(LEN(I433),MATCH(I433,'MPIO_SFIO Table'!$A$11:$A$65525,0)-1,"")</f>
        <v/>
      </c>
      <c r="O433" t="str">
        <f>IF(LEN(J433),MATCH(J433,'MPIO_SFIO Table'!$A$11:$A$65525,0)-1,"")</f>
        <v/>
      </c>
      <c r="P433" t="str">
        <f>IF(LEN(K433),MATCH(K433,'MPIO_SFIO Table'!$A$11:$A$65525,0)-1,"")</f>
        <v/>
      </c>
      <c r="Q433" t="str">
        <f>IF(LEN(L433),MATCH(L433,'MPIO_SFIO Table'!$A$11:$A$65525,0)-1,"")</f>
        <v/>
      </c>
      <c r="R433" t="str">
        <f ca="1">IF(ISNUMBER(M433),OFFSET('MPIO_SFIO Table'!$AJ$11,M433,0),"")</f>
        <v>unused_KB_ROW6</v>
      </c>
      <c r="S433" t="str">
        <f ca="1">IF(ISNUMBER(N433),OFFSET('MPIO_SFIO Table'!$AJ$11,N433,0),"")</f>
        <v/>
      </c>
      <c r="T433" t="str">
        <f ca="1">IF(ISNUMBER(O433),OFFSET('MPIO_SFIO Table'!$AJ$11,O433,0),"")</f>
        <v/>
      </c>
      <c r="U433" t="str">
        <f ca="1">IF(ISNUMBER(P433),OFFSET('MPIO_SFIO Table'!$AJ$11,P433,0),"")</f>
        <v/>
      </c>
      <c r="V433" t="str">
        <f ca="1">IF(ISNUMBER(Q433),OFFSET('MPIO_SFIO Table'!$AJ$11,Q433,0),"")</f>
        <v/>
      </c>
      <c r="W433">
        <f t="shared" ca="1" si="59"/>
        <v>0</v>
      </c>
      <c r="X433">
        <f t="shared" ca="1" si="60"/>
        <v>0</v>
      </c>
      <c r="Y433">
        <f t="shared" ca="1" si="61"/>
        <v>0</v>
      </c>
      <c r="Z433">
        <f t="shared" ca="1" si="62"/>
        <v>0</v>
      </c>
      <c r="AA433">
        <f t="shared" ca="1" si="63"/>
        <v>0</v>
      </c>
    </row>
    <row r="434" spans="1:27" x14ac:dyDescent="0.25">
      <c r="A434">
        <f t="shared" ca="1" si="56"/>
        <v>0</v>
      </c>
      <c r="B434" t="str">
        <f t="shared" ca="1" si="57"/>
        <v/>
      </c>
      <c r="C434" t="str">
        <f t="shared" si="58"/>
        <v>KBC</v>
      </c>
      <c r="D434" t="s">
        <v>253</v>
      </c>
      <c r="E434" t="s">
        <v>253</v>
      </c>
      <c r="F434" s="3" t="s">
        <v>2844</v>
      </c>
      <c r="G434" s="11" t="s">
        <v>694</v>
      </c>
      <c r="H434" s="11" t="s">
        <v>206</v>
      </c>
      <c r="I434" s="3" t="s">
        <v>253</v>
      </c>
      <c r="J434" s="3" t="s">
        <v>253</v>
      </c>
      <c r="K434" s="3" t="s">
        <v>253</v>
      </c>
      <c r="L434" s="3" t="s">
        <v>253</v>
      </c>
      <c r="M434">
        <f>IF(LEN(H434),MATCH(H434,'MPIO_SFIO Table'!$A$11:$A$65525,0)-1,"")</f>
        <v>220</v>
      </c>
      <c r="N434" t="str">
        <f>IF(LEN(I434),MATCH(I434,'MPIO_SFIO Table'!$A$11:$A$65525,0)-1,"")</f>
        <v/>
      </c>
      <c r="O434" t="str">
        <f>IF(LEN(J434),MATCH(J434,'MPIO_SFIO Table'!$A$11:$A$65525,0)-1,"")</f>
        <v/>
      </c>
      <c r="P434" t="str">
        <f>IF(LEN(K434),MATCH(K434,'MPIO_SFIO Table'!$A$11:$A$65525,0)-1,"")</f>
        <v/>
      </c>
      <c r="Q434" t="str">
        <f>IF(LEN(L434),MATCH(L434,'MPIO_SFIO Table'!$A$11:$A$65525,0)-1,"")</f>
        <v/>
      </c>
      <c r="R434" t="str">
        <f ca="1">IF(ISNUMBER(M434),OFFSET('MPIO_SFIO Table'!$AJ$11,M434,0),"")</f>
        <v>unused_KB_ROW7</v>
      </c>
      <c r="S434" t="str">
        <f ca="1">IF(ISNUMBER(N434),OFFSET('MPIO_SFIO Table'!$AJ$11,N434,0),"")</f>
        <v/>
      </c>
      <c r="T434" t="str">
        <f ca="1">IF(ISNUMBER(O434),OFFSET('MPIO_SFIO Table'!$AJ$11,O434,0),"")</f>
        <v/>
      </c>
      <c r="U434" t="str">
        <f ca="1">IF(ISNUMBER(P434),OFFSET('MPIO_SFIO Table'!$AJ$11,P434,0),"")</f>
        <v/>
      </c>
      <c r="V434" t="str">
        <f ca="1">IF(ISNUMBER(Q434),OFFSET('MPIO_SFIO Table'!$AJ$11,Q434,0),"")</f>
        <v/>
      </c>
      <c r="W434">
        <f t="shared" ca="1" si="59"/>
        <v>0</v>
      </c>
      <c r="X434">
        <f t="shared" ca="1" si="60"/>
        <v>0</v>
      </c>
      <c r="Y434">
        <f t="shared" ca="1" si="61"/>
        <v>0</v>
      </c>
      <c r="Z434">
        <f t="shared" ca="1" si="62"/>
        <v>0</v>
      </c>
      <c r="AA434">
        <f t="shared" ca="1" si="63"/>
        <v>0</v>
      </c>
    </row>
    <row r="435" spans="1:27" x14ac:dyDescent="0.25">
      <c r="A435">
        <f t="shared" ca="1" si="56"/>
        <v>0</v>
      </c>
      <c r="B435" t="str">
        <f t="shared" ca="1" si="57"/>
        <v/>
      </c>
      <c r="C435" t="str">
        <f t="shared" si="58"/>
        <v>KBC</v>
      </c>
      <c r="D435" t="s">
        <v>253</v>
      </c>
      <c r="E435" t="s">
        <v>253</v>
      </c>
      <c r="F435" s="3" t="s">
        <v>2845</v>
      </c>
      <c r="G435" s="11" t="s">
        <v>696</v>
      </c>
      <c r="H435" s="11" t="s">
        <v>207</v>
      </c>
      <c r="I435" s="3" t="s">
        <v>253</v>
      </c>
      <c r="J435" s="3" t="s">
        <v>253</v>
      </c>
      <c r="K435" s="3" t="s">
        <v>253</v>
      </c>
      <c r="L435" s="3" t="s">
        <v>253</v>
      </c>
      <c r="M435">
        <f>IF(LEN(H435),MATCH(H435,'MPIO_SFIO Table'!$A$11:$A$65525,0)-1,"")</f>
        <v>221</v>
      </c>
      <c r="N435" t="str">
        <f>IF(LEN(I435),MATCH(I435,'MPIO_SFIO Table'!$A$11:$A$65525,0)-1,"")</f>
        <v/>
      </c>
      <c r="O435" t="str">
        <f>IF(LEN(J435),MATCH(J435,'MPIO_SFIO Table'!$A$11:$A$65525,0)-1,"")</f>
        <v/>
      </c>
      <c r="P435" t="str">
        <f>IF(LEN(K435),MATCH(K435,'MPIO_SFIO Table'!$A$11:$A$65525,0)-1,"")</f>
        <v/>
      </c>
      <c r="Q435" t="str">
        <f>IF(LEN(L435),MATCH(L435,'MPIO_SFIO Table'!$A$11:$A$65525,0)-1,"")</f>
        <v/>
      </c>
      <c r="R435" t="str">
        <f ca="1">IF(ISNUMBER(M435),OFFSET('MPIO_SFIO Table'!$AJ$11,M435,0),"")</f>
        <v>unused_KB_ROW8</v>
      </c>
      <c r="S435" t="str">
        <f ca="1">IF(ISNUMBER(N435),OFFSET('MPIO_SFIO Table'!$AJ$11,N435,0),"")</f>
        <v/>
      </c>
      <c r="T435" t="str">
        <f ca="1">IF(ISNUMBER(O435),OFFSET('MPIO_SFIO Table'!$AJ$11,O435,0),"")</f>
        <v/>
      </c>
      <c r="U435" t="str">
        <f ca="1">IF(ISNUMBER(P435),OFFSET('MPIO_SFIO Table'!$AJ$11,P435,0),"")</f>
        <v/>
      </c>
      <c r="V435" t="str">
        <f ca="1">IF(ISNUMBER(Q435),OFFSET('MPIO_SFIO Table'!$AJ$11,Q435,0),"")</f>
        <v/>
      </c>
      <c r="W435">
        <f t="shared" ca="1" si="59"/>
        <v>0</v>
      </c>
      <c r="X435">
        <f t="shared" ca="1" si="60"/>
        <v>0</v>
      </c>
      <c r="Y435">
        <f t="shared" ca="1" si="61"/>
        <v>0</v>
      </c>
      <c r="Z435">
        <f t="shared" ca="1" si="62"/>
        <v>0</v>
      </c>
      <c r="AA435">
        <f t="shared" ca="1" si="63"/>
        <v>0</v>
      </c>
    </row>
    <row r="436" spans="1:27" x14ac:dyDescent="0.25">
      <c r="A436">
        <f t="shared" ca="1" si="56"/>
        <v>0</v>
      </c>
      <c r="B436" t="str">
        <f t="shared" ca="1" si="57"/>
        <v/>
      </c>
      <c r="C436" t="str">
        <f t="shared" si="58"/>
        <v>KBC</v>
      </c>
      <c r="D436" t="s">
        <v>253</v>
      </c>
      <c r="E436" t="s">
        <v>253</v>
      </c>
      <c r="F436" s="3" t="s">
        <v>2846</v>
      </c>
      <c r="G436" s="11" t="s">
        <v>698</v>
      </c>
      <c r="H436" s="11" t="s">
        <v>208</v>
      </c>
      <c r="I436" s="3" t="s">
        <v>253</v>
      </c>
      <c r="J436" s="3" t="s">
        <v>253</v>
      </c>
      <c r="K436" s="3" t="s">
        <v>253</v>
      </c>
      <c r="L436" s="3" t="s">
        <v>253</v>
      </c>
      <c r="M436">
        <f>IF(LEN(H436),MATCH(H436,'MPIO_SFIO Table'!$A$11:$A$65525,0)-1,"")</f>
        <v>222</v>
      </c>
      <c r="N436" t="str">
        <f>IF(LEN(I436),MATCH(I436,'MPIO_SFIO Table'!$A$11:$A$65525,0)-1,"")</f>
        <v/>
      </c>
      <c r="O436" t="str">
        <f>IF(LEN(J436),MATCH(J436,'MPIO_SFIO Table'!$A$11:$A$65525,0)-1,"")</f>
        <v/>
      </c>
      <c r="P436" t="str">
        <f>IF(LEN(K436),MATCH(K436,'MPIO_SFIO Table'!$A$11:$A$65525,0)-1,"")</f>
        <v/>
      </c>
      <c r="Q436" t="str">
        <f>IF(LEN(L436),MATCH(L436,'MPIO_SFIO Table'!$A$11:$A$65525,0)-1,"")</f>
        <v/>
      </c>
      <c r="R436" t="str">
        <f ca="1">IF(ISNUMBER(M436),OFFSET('MPIO_SFIO Table'!$AJ$11,M436,0),"")</f>
        <v>unused_KB_ROW9</v>
      </c>
      <c r="S436" t="str">
        <f ca="1">IF(ISNUMBER(N436),OFFSET('MPIO_SFIO Table'!$AJ$11,N436,0),"")</f>
        <v/>
      </c>
      <c r="T436" t="str">
        <f ca="1">IF(ISNUMBER(O436),OFFSET('MPIO_SFIO Table'!$AJ$11,O436,0),"")</f>
        <v/>
      </c>
      <c r="U436" t="str">
        <f ca="1">IF(ISNUMBER(P436),OFFSET('MPIO_SFIO Table'!$AJ$11,P436,0),"")</f>
        <v/>
      </c>
      <c r="V436" t="str">
        <f ca="1">IF(ISNUMBER(Q436),OFFSET('MPIO_SFIO Table'!$AJ$11,Q436,0),"")</f>
        <v/>
      </c>
      <c r="W436">
        <f t="shared" ca="1" si="59"/>
        <v>0</v>
      </c>
      <c r="X436">
        <f t="shared" ca="1" si="60"/>
        <v>0</v>
      </c>
      <c r="Y436">
        <f t="shared" ca="1" si="61"/>
        <v>0</v>
      </c>
      <c r="Z436">
        <f t="shared" ca="1" si="62"/>
        <v>0</v>
      </c>
      <c r="AA436">
        <f t="shared" ca="1" si="63"/>
        <v>0</v>
      </c>
    </row>
    <row r="437" spans="1:27" x14ac:dyDescent="0.25">
      <c r="A437">
        <f t="shared" ca="1" si="56"/>
        <v>0</v>
      </c>
      <c r="B437" t="str">
        <f t="shared" ca="1" si="57"/>
        <v/>
      </c>
      <c r="C437" t="str">
        <f t="shared" si="58"/>
        <v/>
      </c>
      <c r="D437" t="s">
        <v>2492</v>
      </c>
      <c r="E437" t="s">
        <v>1026</v>
      </c>
      <c r="F437" s="3" t="s">
        <v>253</v>
      </c>
      <c r="G437" s="11" t="s">
        <v>253</v>
      </c>
      <c r="H437" s="11" t="s">
        <v>253</v>
      </c>
      <c r="I437" s="3" t="s">
        <v>253</v>
      </c>
      <c r="J437" s="3" t="s">
        <v>253</v>
      </c>
      <c r="K437" s="3" t="s">
        <v>253</v>
      </c>
      <c r="L437" s="3" t="s">
        <v>253</v>
      </c>
      <c r="M437" t="str">
        <f>IF(LEN(H437),MATCH(H437,'MPIO_SFIO Table'!$A$11:$A$65525,0)-1,"")</f>
        <v/>
      </c>
      <c r="N437" t="str">
        <f>IF(LEN(I437),MATCH(I437,'MPIO_SFIO Table'!$A$11:$A$65525,0)-1,"")</f>
        <v/>
      </c>
      <c r="O437" t="str">
        <f>IF(LEN(J437),MATCH(J437,'MPIO_SFIO Table'!$A$11:$A$65525,0)-1,"")</f>
        <v/>
      </c>
      <c r="P437" t="str">
        <f>IF(LEN(K437),MATCH(K437,'MPIO_SFIO Table'!$A$11:$A$65525,0)-1,"")</f>
        <v/>
      </c>
      <c r="Q437" t="str">
        <f>IF(LEN(L437),MATCH(L437,'MPIO_SFIO Table'!$A$11:$A$65525,0)-1,"")</f>
        <v/>
      </c>
      <c r="R437" t="str">
        <f ca="1">IF(ISNUMBER(M437),OFFSET('MPIO_SFIO Table'!$AJ$11,M437,0),"")</f>
        <v/>
      </c>
      <c r="S437" t="str">
        <f ca="1">IF(ISNUMBER(N437),OFFSET('MPIO_SFIO Table'!$AJ$11,N437,0),"")</f>
        <v/>
      </c>
      <c r="T437" t="str">
        <f ca="1">IF(ISNUMBER(O437),OFFSET('MPIO_SFIO Table'!$AJ$11,O437,0),"")</f>
        <v/>
      </c>
      <c r="U437" t="str">
        <f ca="1">IF(ISNUMBER(P437),OFFSET('MPIO_SFIO Table'!$AJ$11,P437,0),"")</f>
        <v/>
      </c>
      <c r="V437" t="str">
        <f ca="1">IF(ISNUMBER(Q437),OFFSET('MPIO_SFIO Table'!$AJ$11,Q437,0),"")</f>
        <v/>
      </c>
      <c r="W437">
        <f t="shared" ca="1" si="59"/>
        <v>0</v>
      </c>
      <c r="X437">
        <f t="shared" ca="1" si="60"/>
        <v>0</v>
      </c>
      <c r="Y437">
        <f t="shared" ca="1" si="61"/>
        <v>0</v>
      </c>
      <c r="Z437">
        <f t="shared" ca="1" si="62"/>
        <v>0</v>
      </c>
      <c r="AA437">
        <f t="shared" ca="1" si="63"/>
        <v>0</v>
      </c>
    </row>
    <row r="438" spans="1:27" x14ac:dyDescent="0.25">
      <c r="A438">
        <f t="shared" ca="1" si="56"/>
        <v>0</v>
      </c>
      <c r="B438" t="str">
        <f t="shared" ca="1" si="57"/>
        <v/>
      </c>
      <c r="C438" t="str">
        <f t="shared" si="58"/>
        <v>LCD0</v>
      </c>
      <c r="D438" t="s">
        <v>253</v>
      </c>
      <c r="E438" t="s">
        <v>253</v>
      </c>
      <c r="F438" s="3" t="s">
        <v>2847</v>
      </c>
      <c r="G438" s="11" t="s">
        <v>537</v>
      </c>
      <c r="H438" s="11" t="s">
        <v>130</v>
      </c>
      <c r="I438" s="3" t="s">
        <v>253</v>
      </c>
      <c r="J438" s="3" t="s">
        <v>253</v>
      </c>
      <c r="K438" s="3" t="s">
        <v>253</v>
      </c>
      <c r="L438" s="3" t="s">
        <v>253</v>
      </c>
      <c r="M438">
        <f>IF(LEN(H438),MATCH(H438,'MPIO_SFIO Table'!$A$11:$A$65525,0)-1,"")</f>
        <v>126</v>
      </c>
      <c r="N438" t="str">
        <f>IF(LEN(I438),MATCH(I438,'MPIO_SFIO Table'!$A$11:$A$65525,0)-1,"")</f>
        <v/>
      </c>
      <c r="O438" t="str">
        <f>IF(LEN(J438),MATCH(J438,'MPIO_SFIO Table'!$A$11:$A$65525,0)-1,"")</f>
        <v/>
      </c>
      <c r="P438" t="str">
        <f>IF(LEN(K438),MATCH(K438,'MPIO_SFIO Table'!$A$11:$A$65525,0)-1,"")</f>
        <v/>
      </c>
      <c r="Q438" t="str">
        <f>IF(LEN(L438),MATCH(L438,'MPIO_SFIO Table'!$A$11:$A$65525,0)-1,"")</f>
        <v/>
      </c>
      <c r="R438" t="str">
        <f ca="1">IF(ISNUMBER(M438),OFFSET('MPIO_SFIO Table'!$AJ$11,M438,0),"")</f>
        <v>unused_LCD_DE</v>
      </c>
      <c r="S438" t="str">
        <f ca="1">IF(ISNUMBER(N438),OFFSET('MPIO_SFIO Table'!$AJ$11,N438,0),"")</f>
        <v/>
      </c>
      <c r="T438" t="str">
        <f ca="1">IF(ISNUMBER(O438),OFFSET('MPIO_SFIO Table'!$AJ$11,O438,0),"")</f>
        <v/>
      </c>
      <c r="U438" t="str">
        <f ca="1">IF(ISNUMBER(P438),OFFSET('MPIO_SFIO Table'!$AJ$11,P438,0),"")</f>
        <v/>
      </c>
      <c r="V438" t="str">
        <f ca="1">IF(ISNUMBER(Q438),OFFSET('MPIO_SFIO Table'!$AJ$11,Q438,0),"")</f>
        <v/>
      </c>
      <c r="W438">
        <f t="shared" ca="1" si="59"/>
        <v>0</v>
      </c>
      <c r="X438">
        <f t="shared" ca="1" si="60"/>
        <v>0</v>
      </c>
      <c r="Y438">
        <f t="shared" ca="1" si="61"/>
        <v>0</v>
      </c>
      <c r="Z438">
        <f t="shared" ca="1" si="62"/>
        <v>0</v>
      </c>
      <c r="AA438">
        <f t="shared" ca="1" si="63"/>
        <v>0</v>
      </c>
    </row>
    <row r="439" spans="1:27" x14ac:dyDescent="0.25">
      <c r="A439">
        <f t="shared" ca="1" si="56"/>
        <v>0</v>
      </c>
      <c r="B439" t="str">
        <f t="shared" ca="1" si="57"/>
        <v/>
      </c>
      <c r="C439" t="str">
        <f t="shared" si="58"/>
        <v>LCD0</v>
      </c>
      <c r="D439" t="s">
        <v>253</v>
      </c>
      <c r="E439" t="s">
        <v>253</v>
      </c>
      <c r="F439" s="3" t="s">
        <v>2848</v>
      </c>
      <c r="G439" s="11" t="s">
        <v>539</v>
      </c>
      <c r="H439" s="11" t="s">
        <v>131</v>
      </c>
      <c r="I439" s="3" t="s">
        <v>253</v>
      </c>
      <c r="J439" s="3" t="s">
        <v>253</v>
      </c>
      <c r="K439" s="3" t="s">
        <v>253</v>
      </c>
      <c r="L439" s="3" t="s">
        <v>253</v>
      </c>
      <c r="M439">
        <f>IF(LEN(H439),MATCH(H439,'MPIO_SFIO Table'!$A$11:$A$65525,0)-1,"")</f>
        <v>127</v>
      </c>
      <c r="N439" t="str">
        <f>IF(LEN(I439),MATCH(I439,'MPIO_SFIO Table'!$A$11:$A$65525,0)-1,"")</f>
        <v/>
      </c>
      <c r="O439" t="str">
        <f>IF(LEN(J439),MATCH(J439,'MPIO_SFIO Table'!$A$11:$A$65525,0)-1,"")</f>
        <v/>
      </c>
      <c r="P439" t="str">
        <f>IF(LEN(K439),MATCH(K439,'MPIO_SFIO Table'!$A$11:$A$65525,0)-1,"")</f>
        <v/>
      </c>
      <c r="Q439" t="str">
        <f>IF(LEN(L439),MATCH(L439,'MPIO_SFIO Table'!$A$11:$A$65525,0)-1,"")</f>
        <v/>
      </c>
      <c r="R439" t="str">
        <f ca="1">IF(ISNUMBER(M439),OFFSET('MPIO_SFIO Table'!$AJ$11,M439,0),"")</f>
        <v>unused_LCD_HSYNC</v>
      </c>
      <c r="S439" t="str">
        <f ca="1">IF(ISNUMBER(N439),OFFSET('MPIO_SFIO Table'!$AJ$11,N439,0),"")</f>
        <v/>
      </c>
      <c r="T439" t="str">
        <f ca="1">IF(ISNUMBER(O439),OFFSET('MPIO_SFIO Table'!$AJ$11,O439,0),"")</f>
        <v/>
      </c>
      <c r="U439" t="str">
        <f ca="1">IF(ISNUMBER(P439),OFFSET('MPIO_SFIO Table'!$AJ$11,P439,0),"")</f>
        <v/>
      </c>
      <c r="V439" t="str">
        <f ca="1">IF(ISNUMBER(Q439),OFFSET('MPIO_SFIO Table'!$AJ$11,Q439,0),"")</f>
        <v/>
      </c>
      <c r="W439">
        <f t="shared" ca="1" si="59"/>
        <v>0</v>
      </c>
      <c r="X439">
        <f t="shared" ca="1" si="60"/>
        <v>0</v>
      </c>
      <c r="Y439">
        <f t="shared" ca="1" si="61"/>
        <v>0</v>
      </c>
      <c r="Z439">
        <f t="shared" ca="1" si="62"/>
        <v>0</v>
      </c>
      <c r="AA439">
        <f t="shared" ca="1" si="63"/>
        <v>0</v>
      </c>
    </row>
    <row r="440" spans="1:27" x14ac:dyDescent="0.25">
      <c r="A440">
        <f t="shared" ca="1" si="56"/>
        <v>0</v>
      </c>
      <c r="B440" t="str">
        <f t="shared" ca="1" si="57"/>
        <v/>
      </c>
      <c r="C440" t="str">
        <f t="shared" si="58"/>
        <v>LCD0</v>
      </c>
      <c r="D440" t="s">
        <v>253</v>
      </c>
      <c r="E440" t="s">
        <v>253</v>
      </c>
      <c r="F440" s="3" t="s">
        <v>2849</v>
      </c>
      <c r="G440" s="11" t="s">
        <v>543</v>
      </c>
      <c r="H440" s="11" t="s">
        <v>133</v>
      </c>
      <c r="I440" s="3" t="s">
        <v>253</v>
      </c>
      <c r="J440" s="3" t="s">
        <v>253</v>
      </c>
      <c r="K440" s="3" t="s">
        <v>253</v>
      </c>
      <c r="L440" s="3" t="s">
        <v>253</v>
      </c>
      <c r="M440">
        <f>IF(LEN(H440),MATCH(H440,'MPIO_SFIO Table'!$A$11:$A$65525,0)-1,"")</f>
        <v>129</v>
      </c>
      <c r="N440" t="str">
        <f>IF(LEN(I440),MATCH(I440,'MPIO_SFIO Table'!$A$11:$A$65525,0)-1,"")</f>
        <v/>
      </c>
      <c r="O440" t="str">
        <f>IF(LEN(J440),MATCH(J440,'MPIO_SFIO Table'!$A$11:$A$65525,0)-1,"")</f>
        <v/>
      </c>
      <c r="P440" t="str">
        <f>IF(LEN(K440),MATCH(K440,'MPIO_SFIO Table'!$A$11:$A$65525,0)-1,"")</f>
        <v/>
      </c>
      <c r="Q440" t="str">
        <f>IF(LEN(L440),MATCH(L440,'MPIO_SFIO Table'!$A$11:$A$65525,0)-1,"")</f>
        <v/>
      </c>
      <c r="R440" t="str">
        <f ca="1">IF(ISNUMBER(M440),OFFSET('MPIO_SFIO Table'!$AJ$11,M440,0),"")</f>
        <v>unused_LCD_PCLK</v>
      </c>
      <c r="S440" t="str">
        <f ca="1">IF(ISNUMBER(N440),OFFSET('MPIO_SFIO Table'!$AJ$11,N440,0),"")</f>
        <v/>
      </c>
      <c r="T440" t="str">
        <f ca="1">IF(ISNUMBER(O440),OFFSET('MPIO_SFIO Table'!$AJ$11,O440,0),"")</f>
        <v/>
      </c>
      <c r="U440" t="str">
        <f ca="1">IF(ISNUMBER(P440),OFFSET('MPIO_SFIO Table'!$AJ$11,P440,0),"")</f>
        <v/>
      </c>
      <c r="V440" t="str">
        <f ca="1">IF(ISNUMBER(Q440),OFFSET('MPIO_SFIO Table'!$AJ$11,Q440,0),"")</f>
        <v/>
      </c>
      <c r="W440">
        <f t="shared" ca="1" si="59"/>
        <v>0</v>
      </c>
      <c r="X440">
        <f t="shared" ca="1" si="60"/>
        <v>0</v>
      </c>
      <c r="Y440">
        <f t="shared" ca="1" si="61"/>
        <v>0</v>
      </c>
      <c r="Z440">
        <f t="shared" ca="1" si="62"/>
        <v>0</v>
      </c>
      <c r="AA440">
        <f t="shared" ca="1" si="63"/>
        <v>0</v>
      </c>
    </row>
    <row r="441" spans="1:27" x14ac:dyDescent="0.25">
      <c r="A441">
        <f t="shared" ca="1" si="56"/>
        <v>0</v>
      </c>
      <c r="B441" t="str">
        <f t="shared" ca="1" si="57"/>
        <v/>
      </c>
      <c r="C441" t="str">
        <f t="shared" si="58"/>
        <v>LCD0</v>
      </c>
      <c r="D441" t="s">
        <v>253</v>
      </c>
      <c r="E441" t="s">
        <v>253</v>
      </c>
      <c r="F441" s="3" t="s">
        <v>2850</v>
      </c>
      <c r="G441" s="11" t="s">
        <v>562</v>
      </c>
      <c r="H441" s="11" t="s">
        <v>140</v>
      </c>
      <c r="I441" s="3" t="s">
        <v>253</v>
      </c>
      <c r="J441" s="3" t="s">
        <v>253</v>
      </c>
      <c r="K441" s="3" t="s">
        <v>253</v>
      </c>
      <c r="L441" s="3" t="s">
        <v>253</v>
      </c>
      <c r="M441">
        <f>IF(LEN(H441),MATCH(H441,'MPIO_SFIO Table'!$A$11:$A$65525,0)-1,"")</f>
        <v>136</v>
      </c>
      <c r="N441" t="str">
        <f>IF(LEN(I441),MATCH(I441,'MPIO_SFIO Table'!$A$11:$A$65525,0)-1,"")</f>
        <v/>
      </c>
      <c r="O441" t="str">
        <f>IF(LEN(J441),MATCH(J441,'MPIO_SFIO Table'!$A$11:$A$65525,0)-1,"")</f>
        <v/>
      </c>
      <c r="P441" t="str">
        <f>IF(LEN(K441),MATCH(K441,'MPIO_SFIO Table'!$A$11:$A$65525,0)-1,"")</f>
        <v/>
      </c>
      <c r="Q441" t="str">
        <f>IF(LEN(L441),MATCH(L441,'MPIO_SFIO Table'!$A$11:$A$65525,0)-1,"")</f>
        <v/>
      </c>
      <c r="R441" t="str">
        <f ca="1">IF(ISNUMBER(M441),OFFSET('MPIO_SFIO Table'!$AJ$11,M441,0),"")</f>
        <v>unused_LCD_VSYNC</v>
      </c>
      <c r="S441" t="str">
        <f ca="1">IF(ISNUMBER(N441),OFFSET('MPIO_SFIO Table'!$AJ$11,N441,0),"")</f>
        <v/>
      </c>
      <c r="T441" t="str">
        <f ca="1">IF(ISNUMBER(O441),OFFSET('MPIO_SFIO Table'!$AJ$11,O441,0),"")</f>
        <v/>
      </c>
      <c r="U441" t="str">
        <f ca="1">IF(ISNUMBER(P441),OFFSET('MPIO_SFIO Table'!$AJ$11,P441,0),"")</f>
        <v/>
      </c>
      <c r="V441" t="str">
        <f ca="1">IF(ISNUMBER(Q441),OFFSET('MPIO_SFIO Table'!$AJ$11,Q441,0),"")</f>
        <v/>
      </c>
      <c r="W441">
        <f t="shared" ca="1" si="59"/>
        <v>0</v>
      </c>
      <c r="X441">
        <f t="shared" ca="1" si="60"/>
        <v>0</v>
      </c>
      <c r="Y441">
        <f t="shared" ca="1" si="61"/>
        <v>0</v>
      </c>
      <c r="Z441">
        <f t="shared" ca="1" si="62"/>
        <v>0</v>
      </c>
      <c r="AA441">
        <f t="shared" ca="1" si="63"/>
        <v>0</v>
      </c>
    </row>
    <row r="442" spans="1:27" x14ac:dyDescent="0.25">
      <c r="A442">
        <f t="shared" ca="1" si="56"/>
        <v>0</v>
      </c>
      <c r="B442" t="str">
        <f t="shared" ca="1" si="57"/>
        <v/>
      </c>
      <c r="C442" t="str">
        <f t="shared" si="58"/>
        <v/>
      </c>
      <c r="D442" t="s">
        <v>253</v>
      </c>
      <c r="E442" t="s">
        <v>1027</v>
      </c>
      <c r="F442" s="3" t="s">
        <v>253</v>
      </c>
      <c r="G442" s="11" t="s">
        <v>253</v>
      </c>
      <c r="H442" s="11" t="s">
        <v>253</v>
      </c>
      <c r="I442" s="3" t="s">
        <v>253</v>
      </c>
      <c r="J442" s="3" t="s">
        <v>253</v>
      </c>
      <c r="K442" s="3" t="s">
        <v>253</v>
      </c>
      <c r="L442" s="3" t="s">
        <v>253</v>
      </c>
      <c r="M442" t="str">
        <f>IF(LEN(H442),MATCH(H442,'MPIO_SFIO Table'!$A$11:$A$65525,0)-1,"")</f>
        <v/>
      </c>
      <c r="N442" t="str">
        <f>IF(LEN(I442),MATCH(I442,'MPIO_SFIO Table'!$A$11:$A$65525,0)-1,"")</f>
        <v/>
      </c>
      <c r="O442" t="str">
        <f>IF(LEN(J442),MATCH(J442,'MPIO_SFIO Table'!$A$11:$A$65525,0)-1,"")</f>
        <v/>
      </c>
      <c r="P442" t="str">
        <f>IF(LEN(K442),MATCH(K442,'MPIO_SFIO Table'!$A$11:$A$65525,0)-1,"")</f>
        <v/>
      </c>
      <c r="Q442" t="str">
        <f>IF(LEN(L442),MATCH(L442,'MPIO_SFIO Table'!$A$11:$A$65525,0)-1,"")</f>
        <v/>
      </c>
      <c r="R442" t="str">
        <f ca="1">IF(ISNUMBER(M442),OFFSET('MPIO_SFIO Table'!$AJ$11,M442,0),"")</f>
        <v/>
      </c>
      <c r="S442" t="str">
        <f ca="1">IF(ISNUMBER(N442),OFFSET('MPIO_SFIO Table'!$AJ$11,N442,0),"")</f>
        <v/>
      </c>
      <c r="T442" t="str">
        <f ca="1">IF(ISNUMBER(O442),OFFSET('MPIO_SFIO Table'!$AJ$11,O442,0),"")</f>
        <v/>
      </c>
      <c r="U442" t="str">
        <f ca="1">IF(ISNUMBER(P442),OFFSET('MPIO_SFIO Table'!$AJ$11,P442,0),"")</f>
        <v/>
      </c>
      <c r="V442" t="str">
        <f ca="1">IF(ISNUMBER(Q442),OFFSET('MPIO_SFIO Table'!$AJ$11,Q442,0),"")</f>
        <v/>
      </c>
      <c r="W442">
        <f t="shared" ca="1" si="59"/>
        <v>0</v>
      </c>
      <c r="X442">
        <f t="shared" ca="1" si="60"/>
        <v>0</v>
      </c>
      <c r="Y442">
        <f t="shared" ca="1" si="61"/>
        <v>0</v>
      </c>
      <c r="Z442">
        <f t="shared" ca="1" si="62"/>
        <v>0</v>
      </c>
      <c r="AA442">
        <f t="shared" ca="1" si="63"/>
        <v>0</v>
      </c>
    </row>
    <row r="443" spans="1:27" x14ac:dyDescent="0.25">
      <c r="A443">
        <f t="shared" ca="1" si="56"/>
        <v>0</v>
      </c>
      <c r="B443" t="str">
        <f t="shared" ca="1" si="57"/>
        <v/>
      </c>
      <c r="C443" t="str">
        <f t="shared" si="58"/>
        <v>LCD0</v>
      </c>
      <c r="D443" t="s">
        <v>253</v>
      </c>
      <c r="E443" t="s">
        <v>253</v>
      </c>
      <c r="F443" s="3" t="s">
        <v>2847</v>
      </c>
      <c r="G443" s="11" t="s">
        <v>333</v>
      </c>
      <c r="H443" s="11" t="s">
        <v>32</v>
      </c>
      <c r="I443" s="3" t="s">
        <v>253</v>
      </c>
      <c r="J443" s="3" t="s">
        <v>253</v>
      </c>
      <c r="K443" s="3" t="s">
        <v>253</v>
      </c>
      <c r="L443" s="3" t="s">
        <v>253</v>
      </c>
      <c r="M443">
        <f>IF(LEN(H443),MATCH(H443,'MPIO_SFIO Table'!$A$11:$A$65525,0)-1,"")</f>
        <v>25</v>
      </c>
      <c r="N443" t="str">
        <f>IF(LEN(I443),MATCH(I443,'MPIO_SFIO Table'!$A$11:$A$65525,0)-1,"")</f>
        <v/>
      </c>
      <c r="O443" t="str">
        <f>IF(LEN(J443),MATCH(J443,'MPIO_SFIO Table'!$A$11:$A$65525,0)-1,"")</f>
        <v/>
      </c>
      <c r="P443" t="str">
        <f>IF(LEN(K443),MATCH(K443,'MPIO_SFIO Table'!$A$11:$A$65525,0)-1,"")</f>
        <v/>
      </c>
      <c r="Q443" t="str">
        <f>IF(LEN(L443),MATCH(L443,'MPIO_SFIO Table'!$A$11:$A$65525,0)-1,"")</f>
        <v/>
      </c>
      <c r="R443" t="str">
        <f ca="1">IF(ISNUMBER(M443),OFFSET('MPIO_SFIO Table'!$AJ$11,M443,0),"")</f>
        <v>unused_DAP3_FS</v>
      </c>
      <c r="S443" t="str">
        <f ca="1">IF(ISNUMBER(N443),OFFSET('MPIO_SFIO Table'!$AJ$11,N443,0),"")</f>
        <v/>
      </c>
      <c r="T443" t="str">
        <f ca="1">IF(ISNUMBER(O443),OFFSET('MPIO_SFIO Table'!$AJ$11,O443,0),"")</f>
        <v/>
      </c>
      <c r="U443" t="str">
        <f ca="1">IF(ISNUMBER(P443),OFFSET('MPIO_SFIO Table'!$AJ$11,P443,0),"")</f>
        <v/>
      </c>
      <c r="V443" t="str">
        <f ca="1">IF(ISNUMBER(Q443),OFFSET('MPIO_SFIO Table'!$AJ$11,Q443,0),"")</f>
        <v/>
      </c>
      <c r="W443">
        <f t="shared" ca="1" si="59"/>
        <v>0</v>
      </c>
      <c r="X443">
        <f t="shared" ca="1" si="60"/>
        <v>0</v>
      </c>
      <c r="Y443">
        <f t="shared" ca="1" si="61"/>
        <v>0</v>
      </c>
      <c r="Z443">
        <f t="shared" ca="1" si="62"/>
        <v>0</v>
      </c>
      <c r="AA443">
        <f t="shared" ca="1" si="63"/>
        <v>0</v>
      </c>
    </row>
    <row r="444" spans="1:27" x14ac:dyDescent="0.25">
      <c r="A444">
        <f t="shared" ca="1" si="56"/>
        <v>0</v>
      </c>
      <c r="B444" t="str">
        <f t="shared" ca="1" si="57"/>
        <v/>
      </c>
      <c r="C444" t="str">
        <f t="shared" si="58"/>
        <v>LCD0</v>
      </c>
      <c r="D444" t="s">
        <v>253</v>
      </c>
      <c r="E444" t="s">
        <v>253</v>
      </c>
      <c r="F444" s="3" t="s">
        <v>2848</v>
      </c>
      <c r="G444" s="11" t="s">
        <v>325</v>
      </c>
      <c r="H444" s="11" t="s">
        <v>30</v>
      </c>
      <c r="I444" s="3" t="s">
        <v>253</v>
      </c>
      <c r="J444" s="3" t="s">
        <v>253</v>
      </c>
      <c r="K444" s="3" t="s">
        <v>253</v>
      </c>
      <c r="L444" s="3" t="s">
        <v>253</v>
      </c>
      <c r="M444">
        <f>IF(LEN(H444),MATCH(H444,'MPIO_SFIO Table'!$A$11:$A$65525,0)-1,"")</f>
        <v>23</v>
      </c>
      <c r="N444" t="str">
        <f>IF(LEN(I444),MATCH(I444,'MPIO_SFIO Table'!$A$11:$A$65525,0)-1,"")</f>
        <v/>
      </c>
      <c r="O444" t="str">
        <f>IF(LEN(J444),MATCH(J444,'MPIO_SFIO Table'!$A$11:$A$65525,0)-1,"")</f>
        <v/>
      </c>
      <c r="P444" t="str">
        <f>IF(LEN(K444),MATCH(K444,'MPIO_SFIO Table'!$A$11:$A$65525,0)-1,"")</f>
        <v/>
      </c>
      <c r="Q444" t="str">
        <f>IF(LEN(L444),MATCH(L444,'MPIO_SFIO Table'!$A$11:$A$65525,0)-1,"")</f>
        <v/>
      </c>
      <c r="R444" t="str">
        <f ca="1">IF(ISNUMBER(M444),OFFSET('MPIO_SFIO Table'!$AJ$11,M444,0),"")</f>
        <v>unused_DAP3_DIN</v>
      </c>
      <c r="S444" t="str">
        <f ca="1">IF(ISNUMBER(N444),OFFSET('MPIO_SFIO Table'!$AJ$11,N444,0),"")</f>
        <v/>
      </c>
      <c r="T444" t="str">
        <f ca="1">IF(ISNUMBER(O444),OFFSET('MPIO_SFIO Table'!$AJ$11,O444,0),"")</f>
        <v/>
      </c>
      <c r="U444" t="str">
        <f ca="1">IF(ISNUMBER(P444),OFFSET('MPIO_SFIO Table'!$AJ$11,P444,0),"")</f>
        <v/>
      </c>
      <c r="V444" t="str">
        <f ca="1">IF(ISNUMBER(Q444),OFFSET('MPIO_SFIO Table'!$AJ$11,Q444,0),"")</f>
        <v/>
      </c>
      <c r="W444">
        <f t="shared" ca="1" si="59"/>
        <v>0</v>
      </c>
      <c r="X444">
        <f t="shared" ca="1" si="60"/>
        <v>0</v>
      </c>
      <c r="Y444">
        <f t="shared" ca="1" si="61"/>
        <v>0</v>
      </c>
      <c r="Z444">
        <f t="shared" ca="1" si="62"/>
        <v>0</v>
      </c>
      <c r="AA444">
        <f t="shared" ca="1" si="63"/>
        <v>0</v>
      </c>
    </row>
    <row r="445" spans="1:27" x14ac:dyDescent="0.25">
      <c r="A445">
        <f t="shared" ca="1" si="56"/>
        <v>0</v>
      </c>
      <c r="B445" t="str">
        <f t="shared" ca="1" si="57"/>
        <v/>
      </c>
      <c r="C445" t="str">
        <f t="shared" si="58"/>
        <v>LCD0</v>
      </c>
      <c r="D445" t="s">
        <v>253</v>
      </c>
      <c r="E445" t="s">
        <v>253</v>
      </c>
      <c r="F445" s="3" t="s">
        <v>2849</v>
      </c>
      <c r="G445" s="11" t="s">
        <v>336</v>
      </c>
      <c r="H445" s="11" t="s">
        <v>33</v>
      </c>
      <c r="I445" s="3" t="s">
        <v>253</v>
      </c>
      <c r="J445" s="3" t="s">
        <v>253</v>
      </c>
      <c r="K445" s="3" t="s">
        <v>253</v>
      </c>
      <c r="L445" s="3" t="s">
        <v>253</v>
      </c>
      <c r="M445">
        <f>IF(LEN(H445),MATCH(H445,'MPIO_SFIO Table'!$A$11:$A$65525,0)-1,"")</f>
        <v>26</v>
      </c>
      <c r="N445" t="str">
        <f>IF(LEN(I445),MATCH(I445,'MPIO_SFIO Table'!$A$11:$A$65525,0)-1,"")</f>
        <v/>
      </c>
      <c r="O445" t="str">
        <f>IF(LEN(J445),MATCH(J445,'MPIO_SFIO Table'!$A$11:$A$65525,0)-1,"")</f>
        <v/>
      </c>
      <c r="P445" t="str">
        <f>IF(LEN(K445),MATCH(K445,'MPIO_SFIO Table'!$A$11:$A$65525,0)-1,"")</f>
        <v/>
      </c>
      <c r="Q445" t="str">
        <f>IF(LEN(L445),MATCH(L445,'MPIO_SFIO Table'!$A$11:$A$65525,0)-1,"")</f>
        <v/>
      </c>
      <c r="R445" t="str">
        <f ca="1">IF(ISNUMBER(M445),OFFSET('MPIO_SFIO Table'!$AJ$11,M445,0),"")</f>
        <v>unused_DAP3_SCLK</v>
      </c>
      <c r="S445" t="str">
        <f ca="1">IF(ISNUMBER(N445),OFFSET('MPIO_SFIO Table'!$AJ$11,N445,0),"")</f>
        <v/>
      </c>
      <c r="T445" t="str">
        <f ca="1">IF(ISNUMBER(O445),OFFSET('MPIO_SFIO Table'!$AJ$11,O445,0),"")</f>
        <v/>
      </c>
      <c r="U445" t="str">
        <f ca="1">IF(ISNUMBER(P445),OFFSET('MPIO_SFIO Table'!$AJ$11,P445,0),"")</f>
        <v/>
      </c>
      <c r="V445" t="str">
        <f ca="1">IF(ISNUMBER(Q445),OFFSET('MPIO_SFIO Table'!$AJ$11,Q445,0),"")</f>
        <v/>
      </c>
      <c r="W445">
        <f t="shared" ca="1" si="59"/>
        <v>0</v>
      </c>
      <c r="X445">
        <f t="shared" ca="1" si="60"/>
        <v>0</v>
      </c>
      <c r="Y445">
        <f t="shared" ca="1" si="61"/>
        <v>0</v>
      </c>
      <c r="Z445">
        <f t="shared" ca="1" si="62"/>
        <v>0</v>
      </c>
      <c r="AA445">
        <f t="shared" ca="1" si="63"/>
        <v>0</v>
      </c>
    </row>
    <row r="446" spans="1:27" x14ac:dyDescent="0.25">
      <c r="A446">
        <f t="shared" ca="1" si="56"/>
        <v>0</v>
      </c>
      <c r="B446" t="str">
        <f t="shared" ca="1" si="57"/>
        <v/>
      </c>
      <c r="C446" t="str">
        <f t="shared" si="58"/>
        <v>LCD0</v>
      </c>
      <c r="D446" t="s">
        <v>253</v>
      </c>
      <c r="E446" t="s">
        <v>253</v>
      </c>
      <c r="F446" s="3" t="s">
        <v>2850</v>
      </c>
      <c r="G446" s="11" t="s">
        <v>330</v>
      </c>
      <c r="H446" s="11" t="s">
        <v>31</v>
      </c>
      <c r="I446" s="3" t="s">
        <v>253</v>
      </c>
      <c r="J446" s="3" t="s">
        <v>253</v>
      </c>
      <c r="K446" s="3" t="s">
        <v>253</v>
      </c>
      <c r="L446" s="3" t="s">
        <v>253</v>
      </c>
      <c r="M446">
        <f>IF(LEN(H446),MATCH(H446,'MPIO_SFIO Table'!$A$11:$A$65525,0)-1,"")</f>
        <v>24</v>
      </c>
      <c r="N446" t="str">
        <f>IF(LEN(I446),MATCH(I446,'MPIO_SFIO Table'!$A$11:$A$65525,0)-1,"")</f>
        <v/>
      </c>
      <c r="O446" t="str">
        <f>IF(LEN(J446),MATCH(J446,'MPIO_SFIO Table'!$A$11:$A$65525,0)-1,"")</f>
        <v/>
      </c>
      <c r="P446" t="str">
        <f>IF(LEN(K446),MATCH(K446,'MPIO_SFIO Table'!$A$11:$A$65525,0)-1,"")</f>
        <v/>
      </c>
      <c r="Q446" t="str">
        <f>IF(LEN(L446),MATCH(L446,'MPIO_SFIO Table'!$A$11:$A$65525,0)-1,"")</f>
        <v/>
      </c>
      <c r="R446" t="str">
        <f ca="1">IF(ISNUMBER(M446),OFFSET('MPIO_SFIO Table'!$AJ$11,M446,0),"")</f>
        <v>unused_DAP3_DOUT</v>
      </c>
      <c r="S446" t="str">
        <f ca="1">IF(ISNUMBER(N446),OFFSET('MPIO_SFIO Table'!$AJ$11,N446,0),"")</f>
        <v/>
      </c>
      <c r="T446" t="str">
        <f ca="1">IF(ISNUMBER(O446),OFFSET('MPIO_SFIO Table'!$AJ$11,O446,0),"")</f>
        <v/>
      </c>
      <c r="U446" t="str">
        <f ca="1">IF(ISNUMBER(P446),OFFSET('MPIO_SFIO Table'!$AJ$11,P446,0),"")</f>
        <v/>
      </c>
      <c r="V446" t="str">
        <f ca="1">IF(ISNUMBER(Q446),OFFSET('MPIO_SFIO Table'!$AJ$11,Q446,0),"")</f>
        <v/>
      </c>
      <c r="W446">
        <f t="shared" ca="1" si="59"/>
        <v>0</v>
      </c>
      <c r="X446">
        <f t="shared" ca="1" si="60"/>
        <v>0</v>
      </c>
      <c r="Y446">
        <f t="shared" ca="1" si="61"/>
        <v>0</v>
      </c>
      <c r="Z446">
        <f t="shared" ca="1" si="62"/>
        <v>0</v>
      </c>
      <c r="AA446">
        <f t="shared" ca="1" si="63"/>
        <v>0</v>
      </c>
    </row>
    <row r="447" spans="1:27" x14ac:dyDescent="0.25">
      <c r="A447">
        <f t="shared" ca="1" si="56"/>
        <v>0</v>
      </c>
      <c r="B447" t="str">
        <f t="shared" ca="1" si="57"/>
        <v/>
      </c>
      <c r="C447" t="str">
        <f t="shared" si="58"/>
        <v/>
      </c>
      <c r="D447" t="s">
        <v>253</v>
      </c>
      <c r="E447" t="s">
        <v>1028</v>
      </c>
      <c r="F447" s="3" t="s">
        <v>253</v>
      </c>
      <c r="G447" s="11" t="s">
        <v>253</v>
      </c>
      <c r="H447" s="11" t="s">
        <v>253</v>
      </c>
      <c r="I447" s="3" t="s">
        <v>253</v>
      </c>
      <c r="J447" s="3" t="s">
        <v>253</v>
      </c>
      <c r="K447" s="3" t="s">
        <v>253</v>
      </c>
      <c r="L447" s="3" t="s">
        <v>253</v>
      </c>
      <c r="M447" t="str">
        <f>IF(LEN(H447),MATCH(H447,'MPIO_SFIO Table'!$A$11:$A$65525,0)-1,"")</f>
        <v/>
      </c>
      <c r="N447" t="str">
        <f>IF(LEN(I447),MATCH(I447,'MPIO_SFIO Table'!$A$11:$A$65525,0)-1,"")</f>
        <v/>
      </c>
      <c r="O447" t="str">
        <f>IF(LEN(J447),MATCH(J447,'MPIO_SFIO Table'!$A$11:$A$65525,0)-1,"")</f>
        <v/>
      </c>
      <c r="P447" t="str">
        <f>IF(LEN(K447),MATCH(K447,'MPIO_SFIO Table'!$A$11:$A$65525,0)-1,"")</f>
        <v/>
      </c>
      <c r="Q447" t="str">
        <f>IF(LEN(L447),MATCH(L447,'MPIO_SFIO Table'!$A$11:$A$65525,0)-1,"")</f>
        <v/>
      </c>
      <c r="R447" t="str">
        <f ca="1">IF(ISNUMBER(M447),OFFSET('MPIO_SFIO Table'!$AJ$11,M447,0),"")</f>
        <v/>
      </c>
      <c r="S447" t="str">
        <f ca="1">IF(ISNUMBER(N447),OFFSET('MPIO_SFIO Table'!$AJ$11,N447,0),"")</f>
        <v/>
      </c>
      <c r="T447" t="str">
        <f ca="1">IF(ISNUMBER(O447),OFFSET('MPIO_SFIO Table'!$AJ$11,O447,0),"")</f>
        <v/>
      </c>
      <c r="U447" t="str">
        <f ca="1">IF(ISNUMBER(P447),OFFSET('MPIO_SFIO Table'!$AJ$11,P447,0),"")</f>
        <v/>
      </c>
      <c r="V447" t="str">
        <f ca="1">IF(ISNUMBER(Q447),OFFSET('MPIO_SFIO Table'!$AJ$11,Q447,0),"")</f>
        <v/>
      </c>
      <c r="W447">
        <f t="shared" ca="1" si="59"/>
        <v>0</v>
      </c>
      <c r="X447">
        <f t="shared" ca="1" si="60"/>
        <v>0</v>
      </c>
      <c r="Y447">
        <f t="shared" ca="1" si="61"/>
        <v>0</v>
      </c>
      <c r="Z447">
        <f t="shared" ca="1" si="62"/>
        <v>0</v>
      </c>
      <c r="AA447">
        <f t="shared" ca="1" si="63"/>
        <v>0</v>
      </c>
    </row>
    <row r="448" spans="1:27" x14ac:dyDescent="0.25">
      <c r="A448">
        <f t="shared" ca="1" si="56"/>
        <v>0</v>
      </c>
      <c r="B448" t="str">
        <f t="shared" ca="1" si="57"/>
        <v/>
      </c>
      <c r="C448" t="str">
        <f t="shared" si="58"/>
        <v>LCD0</v>
      </c>
      <c r="D448" t="s">
        <v>253</v>
      </c>
      <c r="E448" t="s">
        <v>253</v>
      </c>
      <c r="F448" s="3" t="s">
        <v>2847</v>
      </c>
      <c r="G448" s="11" t="s">
        <v>377</v>
      </c>
      <c r="H448" s="11" t="s">
        <v>52</v>
      </c>
      <c r="I448" s="3" t="s">
        <v>253</v>
      </c>
      <c r="J448" s="3" t="s">
        <v>253</v>
      </c>
      <c r="K448" s="3" t="s">
        <v>253</v>
      </c>
      <c r="L448" s="3" t="s">
        <v>253</v>
      </c>
      <c r="M448">
        <f>IF(LEN(H448),MATCH(H448,'MPIO_SFIO Table'!$A$11:$A$65525,0)-1,"")</f>
        <v>46</v>
      </c>
      <c r="N448" t="str">
        <f>IF(LEN(I448),MATCH(I448,'MPIO_SFIO Table'!$A$11:$A$65525,0)-1,"")</f>
        <v/>
      </c>
      <c r="O448" t="str">
        <f>IF(LEN(J448),MATCH(J448,'MPIO_SFIO Table'!$A$11:$A$65525,0)-1,"")</f>
        <v/>
      </c>
      <c r="P448" t="str">
        <f>IF(LEN(K448),MATCH(K448,'MPIO_SFIO Table'!$A$11:$A$65525,0)-1,"")</f>
        <v/>
      </c>
      <c r="Q448" t="str">
        <f>IF(LEN(L448),MATCH(L448,'MPIO_SFIO Table'!$A$11:$A$65525,0)-1,"")</f>
        <v/>
      </c>
      <c r="R448" t="str">
        <f ca="1">IF(ISNUMBER(M448),OFFSET('MPIO_SFIO Table'!$AJ$11,M448,0),"")</f>
        <v>unused_GPIO_PBB3</v>
      </c>
      <c r="S448" t="str">
        <f ca="1">IF(ISNUMBER(N448),OFFSET('MPIO_SFIO Table'!$AJ$11,N448,0),"")</f>
        <v/>
      </c>
      <c r="T448" t="str">
        <f ca="1">IF(ISNUMBER(O448),OFFSET('MPIO_SFIO Table'!$AJ$11,O448,0),"")</f>
        <v/>
      </c>
      <c r="U448" t="str">
        <f ca="1">IF(ISNUMBER(P448),OFFSET('MPIO_SFIO Table'!$AJ$11,P448,0),"")</f>
        <v/>
      </c>
      <c r="V448" t="str">
        <f ca="1">IF(ISNUMBER(Q448),OFFSET('MPIO_SFIO Table'!$AJ$11,Q448,0),"")</f>
        <v/>
      </c>
      <c r="W448">
        <f t="shared" ca="1" si="59"/>
        <v>0</v>
      </c>
      <c r="X448">
        <f t="shared" ca="1" si="60"/>
        <v>0</v>
      </c>
      <c r="Y448">
        <f t="shared" ca="1" si="61"/>
        <v>0</v>
      </c>
      <c r="Z448">
        <f t="shared" ca="1" si="62"/>
        <v>0</v>
      </c>
      <c r="AA448">
        <f t="shared" ca="1" si="63"/>
        <v>0</v>
      </c>
    </row>
    <row r="449" spans="1:27" x14ac:dyDescent="0.25">
      <c r="A449">
        <f t="shared" ca="1" si="56"/>
        <v>0</v>
      </c>
      <c r="B449" t="str">
        <f t="shared" ca="1" si="57"/>
        <v/>
      </c>
      <c r="C449" t="str">
        <f t="shared" si="58"/>
        <v>LCD0</v>
      </c>
      <c r="D449" t="s">
        <v>253</v>
      </c>
      <c r="E449" t="s">
        <v>253</v>
      </c>
      <c r="F449" s="3" t="s">
        <v>2848</v>
      </c>
      <c r="G449" s="11" t="s">
        <v>381</v>
      </c>
      <c r="H449" s="11" t="s">
        <v>53</v>
      </c>
      <c r="I449" s="3" t="s">
        <v>253</v>
      </c>
      <c r="J449" s="3" t="s">
        <v>253</v>
      </c>
      <c r="K449" s="3" t="s">
        <v>253</v>
      </c>
      <c r="L449" s="3" t="s">
        <v>253</v>
      </c>
      <c r="M449">
        <f>IF(LEN(H449),MATCH(H449,'MPIO_SFIO Table'!$A$11:$A$65525,0)-1,"")</f>
        <v>47</v>
      </c>
      <c r="N449" t="str">
        <f>IF(LEN(I449),MATCH(I449,'MPIO_SFIO Table'!$A$11:$A$65525,0)-1,"")</f>
        <v/>
      </c>
      <c r="O449" t="str">
        <f>IF(LEN(J449),MATCH(J449,'MPIO_SFIO Table'!$A$11:$A$65525,0)-1,"")</f>
        <v/>
      </c>
      <c r="P449" t="str">
        <f>IF(LEN(K449),MATCH(K449,'MPIO_SFIO Table'!$A$11:$A$65525,0)-1,"")</f>
        <v/>
      </c>
      <c r="Q449" t="str">
        <f>IF(LEN(L449),MATCH(L449,'MPIO_SFIO Table'!$A$11:$A$65525,0)-1,"")</f>
        <v/>
      </c>
      <c r="R449" t="str">
        <f ca="1">IF(ISNUMBER(M449),OFFSET('MPIO_SFIO Table'!$AJ$11,M449,0),"")</f>
        <v>unused_GPIO_PBB4</v>
      </c>
      <c r="S449" t="str">
        <f ca="1">IF(ISNUMBER(N449),OFFSET('MPIO_SFIO Table'!$AJ$11,N449,0),"")</f>
        <v/>
      </c>
      <c r="T449" t="str">
        <f ca="1">IF(ISNUMBER(O449),OFFSET('MPIO_SFIO Table'!$AJ$11,O449,0),"")</f>
        <v/>
      </c>
      <c r="U449" t="str">
        <f ca="1">IF(ISNUMBER(P449),OFFSET('MPIO_SFIO Table'!$AJ$11,P449,0),"")</f>
        <v/>
      </c>
      <c r="V449" t="str">
        <f ca="1">IF(ISNUMBER(Q449),OFFSET('MPIO_SFIO Table'!$AJ$11,Q449,0),"")</f>
        <v/>
      </c>
      <c r="W449">
        <f t="shared" ca="1" si="59"/>
        <v>0</v>
      </c>
      <c r="X449">
        <f t="shared" ca="1" si="60"/>
        <v>0</v>
      </c>
      <c r="Y449">
        <f t="shared" ca="1" si="61"/>
        <v>0</v>
      </c>
      <c r="Z449">
        <f t="shared" ca="1" si="62"/>
        <v>0</v>
      </c>
      <c r="AA449">
        <f t="shared" ca="1" si="63"/>
        <v>0</v>
      </c>
    </row>
    <row r="450" spans="1:27" x14ac:dyDescent="0.25">
      <c r="A450">
        <f t="shared" ca="1" si="56"/>
        <v>0</v>
      </c>
      <c r="B450" t="str">
        <f t="shared" ca="1" si="57"/>
        <v/>
      </c>
      <c r="C450" t="str">
        <f t="shared" si="58"/>
        <v>LCD0</v>
      </c>
      <c r="D450" t="s">
        <v>253</v>
      </c>
      <c r="E450" t="s">
        <v>253</v>
      </c>
      <c r="F450" s="3" t="s">
        <v>2849</v>
      </c>
      <c r="G450" s="11" t="s">
        <v>390</v>
      </c>
      <c r="H450" s="11" t="s">
        <v>55</v>
      </c>
      <c r="I450" s="3" t="s">
        <v>253</v>
      </c>
      <c r="J450" s="3" t="s">
        <v>253</v>
      </c>
      <c r="K450" s="3" t="s">
        <v>253</v>
      </c>
      <c r="L450" s="3" t="s">
        <v>253</v>
      </c>
      <c r="M450">
        <f>IF(LEN(H450),MATCH(H450,'MPIO_SFIO Table'!$A$11:$A$65525,0)-1,"")</f>
        <v>49</v>
      </c>
      <c r="N450" t="str">
        <f>IF(LEN(I450),MATCH(I450,'MPIO_SFIO Table'!$A$11:$A$65525,0)-1,"")</f>
        <v/>
      </c>
      <c r="O450" t="str">
        <f>IF(LEN(J450),MATCH(J450,'MPIO_SFIO Table'!$A$11:$A$65525,0)-1,"")</f>
        <v/>
      </c>
      <c r="P450" t="str">
        <f>IF(LEN(K450),MATCH(K450,'MPIO_SFIO Table'!$A$11:$A$65525,0)-1,"")</f>
        <v/>
      </c>
      <c r="Q450" t="str">
        <f>IF(LEN(L450),MATCH(L450,'MPIO_SFIO Table'!$A$11:$A$65525,0)-1,"")</f>
        <v/>
      </c>
      <c r="R450" t="str">
        <f ca="1">IF(ISNUMBER(M450),OFFSET('MPIO_SFIO Table'!$AJ$11,M450,0),"")</f>
        <v>unused_GPIO_PBB6</v>
      </c>
      <c r="S450" t="str">
        <f ca="1">IF(ISNUMBER(N450),OFFSET('MPIO_SFIO Table'!$AJ$11,N450,0),"")</f>
        <v/>
      </c>
      <c r="T450" t="str">
        <f ca="1">IF(ISNUMBER(O450),OFFSET('MPIO_SFIO Table'!$AJ$11,O450,0),"")</f>
        <v/>
      </c>
      <c r="U450" t="str">
        <f ca="1">IF(ISNUMBER(P450),OFFSET('MPIO_SFIO Table'!$AJ$11,P450,0),"")</f>
        <v/>
      </c>
      <c r="V450" t="str">
        <f ca="1">IF(ISNUMBER(Q450),OFFSET('MPIO_SFIO Table'!$AJ$11,Q450,0),"")</f>
        <v/>
      </c>
      <c r="W450">
        <f t="shared" ca="1" si="59"/>
        <v>0</v>
      </c>
      <c r="X450">
        <f t="shared" ca="1" si="60"/>
        <v>0</v>
      </c>
      <c r="Y450">
        <f t="shared" ca="1" si="61"/>
        <v>0</v>
      </c>
      <c r="Z450">
        <f t="shared" ca="1" si="62"/>
        <v>0</v>
      </c>
      <c r="AA450">
        <f t="shared" ca="1" si="63"/>
        <v>0</v>
      </c>
    </row>
    <row r="451" spans="1:27" x14ac:dyDescent="0.25">
      <c r="A451">
        <f t="shared" ca="1" si="56"/>
        <v>0</v>
      </c>
      <c r="B451" t="str">
        <f t="shared" ca="1" si="57"/>
        <v/>
      </c>
      <c r="C451" t="str">
        <f t="shared" si="58"/>
        <v>LCD0</v>
      </c>
      <c r="D451" t="s">
        <v>253</v>
      </c>
      <c r="E451" t="s">
        <v>253</v>
      </c>
      <c r="F451" s="3" t="s">
        <v>2850</v>
      </c>
      <c r="G451" s="11" t="s">
        <v>386</v>
      </c>
      <c r="H451" s="11" t="s">
        <v>54</v>
      </c>
      <c r="I451" s="3" t="s">
        <v>253</v>
      </c>
      <c r="J451" s="3" t="s">
        <v>253</v>
      </c>
      <c r="K451" s="3" t="s">
        <v>253</v>
      </c>
      <c r="L451" s="3" t="s">
        <v>253</v>
      </c>
      <c r="M451">
        <f>IF(LEN(H451),MATCH(H451,'MPIO_SFIO Table'!$A$11:$A$65525,0)-1,"")</f>
        <v>48</v>
      </c>
      <c r="N451" t="str">
        <f>IF(LEN(I451),MATCH(I451,'MPIO_SFIO Table'!$A$11:$A$65525,0)-1,"")</f>
        <v/>
      </c>
      <c r="O451" t="str">
        <f>IF(LEN(J451),MATCH(J451,'MPIO_SFIO Table'!$A$11:$A$65525,0)-1,"")</f>
        <v/>
      </c>
      <c r="P451" t="str">
        <f>IF(LEN(K451),MATCH(K451,'MPIO_SFIO Table'!$A$11:$A$65525,0)-1,"")</f>
        <v/>
      </c>
      <c r="Q451" t="str">
        <f>IF(LEN(L451),MATCH(L451,'MPIO_SFIO Table'!$A$11:$A$65525,0)-1,"")</f>
        <v/>
      </c>
      <c r="R451" t="str">
        <f ca="1">IF(ISNUMBER(M451),OFFSET('MPIO_SFIO Table'!$AJ$11,M451,0),"")</f>
        <v>unused_GPIO_PBB5</v>
      </c>
      <c r="S451" t="str">
        <f ca="1">IF(ISNUMBER(N451),OFFSET('MPIO_SFIO Table'!$AJ$11,N451,0),"")</f>
        <v/>
      </c>
      <c r="T451" t="str">
        <f ca="1">IF(ISNUMBER(O451),OFFSET('MPIO_SFIO Table'!$AJ$11,O451,0),"")</f>
        <v/>
      </c>
      <c r="U451" t="str">
        <f ca="1">IF(ISNUMBER(P451),OFFSET('MPIO_SFIO Table'!$AJ$11,P451,0),"")</f>
        <v/>
      </c>
      <c r="V451" t="str">
        <f ca="1">IF(ISNUMBER(Q451),OFFSET('MPIO_SFIO Table'!$AJ$11,Q451,0),"")</f>
        <v/>
      </c>
      <c r="W451">
        <f t="shared" ca="1" si="59"/>
        <v>0</v>
      </c>
      <c r="X451">
        <f t="shared" ca="1" si="60"/>
        <v>0</v>
      </c>
      <c r="Y451">
        <f t="shared" ca="1" si="61"/>
        <v>0</v>
      </c>
      <c r="Z451">
        <f t="shared" ca="1" si="62"/>
        <v>0</v>
      </c>
      <c r="AA451">
        <f t="shared" ca="1" si="63"/>
        <v>0</v>
      </c>
    </row>
    <row r="452" spans="1:27" x14ac:dyDescent="0.25">
      <c r="A452">
        <f t="shared" ca="1" si="56"/>
        <v>0</v>
      </c>
      <c r="B452" t="str">
        <f t="shared" ca="1" si="57"/>
        <v/>
      </c>
      <c r="C452" t="str">
        <f t="shared" si="58"/>
        <v/>
      </c>
      <c r="D452" t="s">
        <v>253</v>
      </c>
      <c r="E452" t="s">
        <v>1046</v>
      </c>
      <c r="F452" s="3" t="s">
        <v>253</v>
      </c>
      <c r="G452" s="11" t="s">
        <v>253</v>
      </c>
      <c r="H452" s="11" t="s">
        <v>253</v>
      </c>
      <c r="I452" s="3" t="s">
        <v>253</v>
      </c>
      <c r="J452" s="3" t="s">
        <v>253</v>
      </c>
      <c r="K452" s="3" t="s">
        <v>253</v>
      </c>
      <c r="L452" s="3" t="s">
        <v>253</v>
      </c>
      <c r="M452" t="str">
        <f>IF(LEN(H452),MATCH(H452,'MPIO_SFIO Table'!$A$11:$A$65525,0)-1,"")</f>
        <v/>
      </c>
      <c r="N452" t="str">
        <f>IF(LEN(I452),MATCH(I452,'MPIO_SFIO Table'!$A$11:$A$65525,0)-1,"")</f>
        <v/>
      </c>
      <c r="O452" t="str">
        <f>IF(LEN(J452),MATCH(J452,'MPIO_SFIO Table'!$A$11:$A$65525,0)-1,"")</f>
        <v/>
      </c>
      <c r="P452" t="str">
        <f>IF(LEN(K452),MATCH(K452,'MPIO_SFIO Table'!$A$11:$A$65525,0)-1,"")</f>
        <v/>
      </c>
      <c r="Q452" t="str">
        <f>IF(LEN(L452),MATCH(L452,'MPIO_SFIO Table'!$A$11:$A$65525,0)-1,"")</f>
        <v/>
      </c>
      <c r="R452" t="str">
        <f ca="1">IF(ISNUMBER(M452),OFFSET('MPIO_SFIO Table'!$AJ$11,M452,0),"")</f>
        <v/>
      </c>
      <c r="S452" t="str">
        <f ca="1">IF(ISNUMBER(N452),OFFSET('MPIO_SFIO Table'!$AJ$11,N452,0),"")</f>
        <v/>
      </c>
      <c r="T452" t="str">
        <f ca="1">IF(ISNUMBER(O452),OFFSET('MPIO_SFIO Table'!$AJ$11,O452,0),"")</f>
        <v/>
      </c>
      <c r="U452" t="str">
        <f ca="1">IF(ISNUMBER(P452),OFFSET('MPIO_SFIO Table'!$AJ$11,P452,0),"")</f>
        <v/>
      </c>
      <c r="V452" t="str">
        <f ca="1">IF(ISNUMBER(Q452),OFFSET('MPIO_SFIO Table'!$AJ$11,Q452,0),"")</f>
        <v/>
      </c>
      <c r="W452">
        <f t="shared" ca="1" si="59"/>
        <v>0</v>
      </c>
      <c r="X452">
        <f t="shared" ca="1" si="60"/>
        <v>0</v>
      </c>
      <c r="Y452">
        <f t="shared" ca="1" si="61"/>
        <v>0</v>
      </c>
      <c r="Z452">
        <f t="shared" ca="1" si="62"/>
        <v>0</v>
      </c>
      <c r="AA452">
        <f t="shared" ca="1" si="63"/>
        <v>0</v>
      </c>
    </row>
    <row r="453" spans="1:27" x14ac:dyDescent="0.25">
      <c r="A453">
        <f t="shared" ca="1" si="56"/>
        <v>0</v>
      </c>
      <c r="B453" t="str">
        <f t="shared" ca="1" si="57"/>
        <v/>
      </c>
      <c r="C453" t="str">
        <f t="shared" si="58"/>
        <v>LCD0</v>
      </c>
      <c r="D453" t="s">
        <v>253</v>
      </c>
      <c r="E453" t="s">
        <v>253</v>
      </c>
      <c r="F453" s="3" t="s">
        <v>2851</v>
      </c>
      <c r="G453" s="11" t="s">
        <v>2186</v>
      </c>
      <c r="H453" s="11" t="s">
        <v>102</v>
      </c>
      <c r="I453" s="3" t="s">
        <v>253</v>
      </c>
      <c r="J453" s="3" t="s">
        <v>253</v>
      </c>
      <c r="K453" s="3" t="s">
        <v>253</v>
      </c>
      <c r="L453" s="3" t="s">
        <v>253</v>
      </c>
      <c r="M453">
        <f>IF(LEN(H453),MATCH(H453,'MPIO_SFIO Table'!$A$11:$A$65525,0)-1,"")</f>
        <v>98</v>
      </c>
      <c r="N453" t="str">
        <f>IF(LEN(I453),MATCH(I453,'MPIO_SFIO Table'!$A$11:$A$65525,0)-1,"")</f>
        <v/>
      </c>
      <c r="O453" t="str">
        <f>IF(LEN(J453),MATCH(J453,'MPIO_SFIO Table'!$A$11:$A$65525,0)-1,"")</f>
        <v/>
      </c>
      <c r="P453" t="str">
        <f>IF(LEN(K453),MATCH(K453,'MPIO_SFIO Table'!$A$11:$A$65525,0)-1,"")</f>
        <v/>
      </c>
      <c r="Q453" t="str">
        <f>IF(LEN(L453),MATCH(L453,'MPIO_SFIO Table'!$A$11:$A$65525,0)-1,"")</f>
        <v/>
      </c>
      <c r="R453" t="str">
        <f ca="1">IF(ISNUMBER(M453),OFFSET('MPIO_SFIO Table'!$AJ$11,M453,0),"")</f>
        <v>unused_LCD_CS0_N</v>
      </c>
      <c r="S453" t="str">
        <f ca="1">IF(ISNUMBER(N453),OFFSET('MPIO_SFIO Table'!$AJ$11,N453,0),"")</f>
        <v/>
      </c>
      <c r="T453" t="str">
        <f ca="1">IF(ISNUMBER(O453),OFFSET('MPIO_SFIO Table'!$AJ$11,O453,0),"")</f>
        <v/>
      </c>
      <c r="U453" t="str">
        <f ca="1">IF(ISNUMBER(P453),OFFSET('MPIO_SFIO Table'!$AJ$11,P453,0),"")</f>
        <v/>
      </c>
      <c r="V453" t="str">
        <f ca="1">IF(ISNUMBER(Q453),OFFSET('MPIO_SFIO Table'!$AJ$11,Q453,0),"")</f>
        <v/>
      </c>
      <c r="W453">
        <f t="shared" ca="1" si="59"/>
        <v>0</v>
      </c>
      <c r="X453">
        <f t="shared" ca="1" si="60"/>
        <v>0</v>
      </c>
      <c r="Y453">
        <f t="shared" ca="1" si="61"/>
        <v>0</v>
      </c>
      <c r="Z453">
        <f t="shared" ca="1" si="62"/>
        <v>0</v>
      </c>
      <c r="AA453">
        <f t="shared" ca="1" si="63"/>
        <v>0</v>
      </c>
    </row>
    <row r="454" spans="1:27" x14ac:dyDescent="0.25">
      <c r="A454">
        <f t="shared" ca="1" si="56"/>
        <v>0</v>
      </c>
      <c r="B454" t="str">
        <f t="shared" ca="1" si="57"/>
        <v/>
      </c>
      <c r="C454" t="str">
        <f t="shared" si="58"/>
        <v>LCD0</v>
      </c>
      <c r="D454" t="s">
        <v>253</v>
      </c>
      <c r="E454" t="s">
        <v>253</v>
      </c>
      <c r="F454" s="3" t="s">
        <v>2852</v>
      </c>
      <c r="G454" s="11" t="s">
        <v>485</v>
      </c>
      <c r="H454" s="11" t="s">
        <v>104</v>
      </c>
      <c r="I454" s="3" t="s">
        <v>253</v>
      </c>
      <c r="J454" s="3" t="s">
        <v>253</v>
      </c>
      <c r="K454" s="3" t="s">
        <v>253</v>
      </c>
      <c r="L454" s="3" t="s">
        <v>253</v>
      </c>
      <c r="M454">
        <f>IF(LEN(H454),MATCH(H454,'MPIO_SFIO Table'!$A$11:$A$65525,0)-1,"")</f>
        <v>100</v>
      </c>
      <c r="N454" t="str">
        <f>IF(LEN(I454),MATCH(I454,'MPIO_SFIO Table'!$A$11:$A$65525,0)-1,"")</f>
        <v/>
      </c>
      <c r="O454" t="str">
        <f>IF(LEN(J454),MATCH(J454,'MPIO_SFIO Table'!$A$11:$A$65525,0)-1,"")</f>
        <v/>
      </c>
      <c r="P454" t="str">
        <f>IF(LEN(K454),MATCH(K454,'MPIO_SFIO Table'!$A$11:$A$65525,0)-1,"")</f>
        <v/>
      </c>
      <c r="Q454" t="str">
        <f>IF(LEN(L454),MATCH(L454,'MPIO_SFIO Table'!$A$11:$A$65525,0)-1,"")</f>
        <v/>
      </c>
      <c r="R454" t="str">
        <f ca="1">IF(ISNUMBER(M454),OFFSET('MPIO_SFIO Table'!$AJ$11,M454,0),"")</f>
        <v>unused_LCD_D0</v>
      </c>
      <c r="S454" t="str">
        <f ca="1">IF(ISNUMBER(N454),OFFSET('MPIO_SFIO Table'!$AJ$11,N454,0),"")</f>
        <v/>
      </c>
      <c r="T454" t="str">
        <f ca="1">IF(ISNUMBER(O454),OFFSET('MPIO_SFIO Table'!$AJ$11,O454,0),"")</f>
        <v/>
      </c>
      <c r="U454" t="str">
        <f ca="1">IF(ISNUMBER(P454),OFFSET('MPIO_SFIO Table'!$AJ$11,P454,0),"")</f>
        <v/>
      </c>
      <c r="V454" t="str">
        <f ca="1">IF(ISNUMBER(Q454),OFFSET('MPIO_SFIO Table'!$AJ$11,Q454,0),"")</f>
        <v/>
      </c>
      <c r="W454">
        <f t="shared" ca="1" si="59"/>
        <v>0</v>
      </c>
      <c r="X454">
        <f t="shared" ca="1" si="60"/>
        <v>0</v>
      </c>
      <c r="Y454">
        <f t="shared" ca="1" si="61"/>
        <v>0</v>
      </c>
      <c r="Z454">
        <f t="shared" ca="1" si="62"/>
        <v>0</v>
      </c>
      <c r="AA454">
        <f t="shared" ca="1" si="63"/>
        <v>0</v>
      </c>
    </row>
    <row r="455" spans="1:27" x14ac:dyDescent="0.25">
      <c r="A455">
        <f t="shared" ca="1" si="56"/>
        <v>0</v>
      </c>
      <c r="B455" t="str">
        <f t="shared" ca="1" si="57"/>
        <v/>
      </c>
      <c r="C455" t="str">
        <f t="shared" si="58"/>
        <v>LCD0</v>
      </c>
      <c r="D455" t="s">
        <v>253</v>
      </c>
      <c r="E455" t="s">
        <v>253</v>
      </c>
      <c r="F455" s="3" t="s">
        <v>2853</v>
      </c>
      <c r="G455" s="11" t="s">
        <v>487</v>
      </c>
      <c r="H455" s="11" t="s">
        <v>105</v>
      </c>
      <c r="I455" s="3" t="s">
        <v>253</v>
      </c>
      <c r="J455" s="3" t="s">
        <v>253</v>
      </c>
      <c r="K455" s="3" t="s">
        <v>253</v>
      </c>
      <c r="L455" s="3" t="s">
        <v>253</v>
      </c>
      <c r="M455">
        <f>IF(LEN(H455),MATCH(H455,'MPIO_SFIO Table'!$A$11:$A$65525,0)-1,"")</f>
        <v>101</v>
      </c>
      <c r="N455" t="str">
        <f>IF(LEN(I455),MATCH(I455,'MPIO_SFIO Table'!$A$11:$A$65525,0)-1,"")</f>
        <v/>
      </c>
      <c r="O455" t="str">
        <f>IF(LEN(J455),MATCH(J455,'MPIO_SFIO Table'!$A$11:$A$65525,0)-1,"")</f>
        <v/>
      </c>
      <c r="P455" t="str">
        <f>IF(LEN(K455),MATCH(K455,'MPIO_SFIO Table'!$A$11:$A$65525,0)-1,"")</f>
        <v/>
      </c>
      <c r="Q455" t="str">
        <f>IF(LEN(L455),MATCH(L455,'MPIO_SFIO Table'!$A$11:$A$65525,0)-1,"")</f>
        <v/>
      </c>
      <c r="R455" t="str">
        <f ca="1">IF(ISNUMBER(M455),OFFSET('MPIO_SFIO Table'!$AJ$11,M455,0),"")</f>
        <v>unused_LCD_D1</v>
      </c>
      <c r="S455" t="str">
        <f ca="1">IF(ISNUMBER(N455),OFFSET('MPIO_SFIO Table'!$AJ$11,N455,0),"")</f>
        <v/>
      </c>
      <c r="T455" t="str">
        <f ca="1">IF(ISNUMBER(O455),OFFSET('MPIO_SFIO Table'!$AJ$11,O455,0),"")</f>
        <v/>
      </c>
      <c r="U455" t="str">
        <f ca="1">IF(ISNUMBER(P455),OFFSET('MPIO_SFIO Table'!$AJ$11,P455,0),"")</f>
        <v/>
      </c>
      <c r="V455" t="str">
        <f ca="1">IF(ISNUMBER(Q455),OFFSET('MPIO_SFIO Table'!$AJ$11,Q455,0),"")</f>
        <v/>
      </c>
      <c r="W455">
        <f t="shared" ca="1" si="59"/>
        <v>0</v>
      </c>
      <c r="X455">
        <f t="shared" ca="1" si="60"/>
        <v>0</v>
      </c>
      <c r="Y455">
        <f t="shared" ca="1" si="61"/>
        <v>0</v>
      </c>
      <c r="Z455">
        <f t="shared" ca="1" si="62"/>
        <v>0</v>
      </c>
      <c r="AA455">
        <f t="shared" ca="1" si="63"/>
        <v>0</v>
      </c>
    </row>
    <row r="456" spans="1:27" x14ac:dyDescent="0.25">
      <c r="A456">
        <f t="shared" ref="A456:A519" ca="1" si="64">SUM($W456:$AA456)</f>
        <v>0</v>
      </c>
      <c r="B456" t="str">
        <f t="shared" ref="B456:B519" ca="1" si="65">IF(A456&lt;&gt;0,REPLACE(G456,FIND("-",G456),LEN(G456),""),"")</f>
        <v/>
      </c>
      <c r="C456" t="str">
        <f t="shared" si="58"/>
        <v>LCD0</v>
      </c>
      <c r="D456" t="s">
        <v>253</v>
      </c>
      <c r="E456" t="s">
        <v>253</v>
      </c>
      <c r="F456" s="3" t="s">
        <v>1394</v>
      </c>
      <c r="G456" s="11" t="s">
        <v>489</v>
      </c>
      <c r="H456" s="11" t="s">
        <v>106</v>
      </c>
      <c r="I456" s="3" t="s">
        <v>253</v>
      </c>
      <c r="J456" s="3" t="s">
        <v>253</v>
      </c>
      <c r="K456" s="3" t="s">
        <v>253</v>
      </c>
      <c r="L456" s="3" t="s">
        <v>253</v>
      </c>
      <c r="M456">
        <f>IF(LEN(H456),MATCH(H456,'MPIO_SFIO Table'!$A$11:$A$65525,0)-1,"")</f>
        <v>102</v>
      </c>
      <c r="N456" t="str">
        <f>IF(LEN(I456),MATCH(I456,'MPIO_SFIO Table'!$A$11:$A$65525,0)-1,"")</f>
        <v/>
      </c>
      <c r="O456" t="str">
        <f>IF(LEN(J456),MATCH(J456,'MPIO_SFIO Table'!$A$11:$A$65525,0)-1,"")</f>
        <v/>
      </c>
      <c r="P456" t="str">
        <f>IF(LEN(K456),MATCH(K456,'MPIO_SFIO Table'!$A$11:$A$65525,0)-1,"")</f>
        <v/>
      </c>
      <c r="Q456" t="str">
        <f>IF(LEN(L456),MATCH(L456,'MPIO_SFIO Table'!$A$11:$A$65525,0)-1,"")</f>
        <v/>
      </c>
      <c r="R456" t="str">
        <f ca="1">IF(ISNUMBER(M456),OFFSET('MPIO_SFIO Table'!$AJ$11,M456,0),"")</f>
        <v>unused_LCD_D10</v>
      </c>
      <c r="S456" t="str">
        <f ca="1">IF(ISNUMBER(N456),OFFSET('MPIO_SFIO Table'!$AJ$11,N456,0),"")</f>
        <v/>
      </c>
      <c r="T456" t="str">
        <f ca="1">IF(ISNUMBER(O456),OFFSET('MPIO_SFIO Table'!$AJ$11,O456,0),"")</f>
        <v/>
      </c>
      <c r="U456" t="str">
        <f ca="1">IF(ISNUMBER(P456),OFFSET('MPIO_SFIO Table'!$AJ$11,P456,0),"")</f>
        <v/>
      </c>
      <c r="V456" t="str">
        <f ca="1">IF(ISNUMBER(Q456),OFFSET('MPIO_SFIO Table'!$AJ$11,Q456,0),"")</f>
        <v/>
      </c>
      <c r="W456">
        <f t="shared" ca="1" si="59"/>
        <v>0</v>
      </c>
      <c r="X456">
        <f t="shared" ca="1" si="60"/>
        <v>0</v>
      </c>
      <c r="Y456">
        <f t="shared" ca="1" si="61"/>
        <v>0</v>
      </c>
      <c r="Z456">
        <f t="shared" ca="1" si="62"/>
        <v>0</v>
      </c>
      <c r="AA456">
        <f t="shared" ca="1" si="63"/>
        <v>0</v>
      </c>
    </row>
    <row r="457" spans="1:27" x14ac:dyDescent="0.25">
      <c r="A457">
        <f t="shared" ca="1" si="64"/>
        <v>0</v>
      </c>
      <c r="B457" t="str">
        <f t="shared" ca="1" si="65"/>
        <v/>
      </c>
      <c r="C457" t="str">
        <f t="shared" ref="C457:C520" si="66">REPLACE(G457,FIND(".",CONCATENATE(REPLACE(G457,FIND("-",CONCATENATE(G457,"-")),LEN(G457),""),".")),LEN(G457),"")</f>
        <v>LCD0</v>
      </c>
      <c r="D457" t="s">
        <v>253</v>
      </c>
      <c r="E457" t="s">
        <v>253</v>
      </c>
      <c r="F457" s="3" t="s">
        <v>1409</v>
      </c>
      <c r="G457" s="11" t="s">
        <v>491</v>
      </c>
      <c r="H457" s="11" t="s">
        <v>107</v>
      </c>
      <c r="I457" s="3" t="s">
        <v>253</v>
      </c>
      <c r="J457" s="3" t="s">
        <v>253</v>
      </c>
      <c r="K457" s="3" t="s">
        <v>253</v>
      </c>
      <c r="L457" s="3" t="s">
        <v>253</v>
      </c>
      <c r="M457">
        <f>IF(LEN(H457),MATCH(H457,'MPIO_SFIO Table'!$A$11:$A$65525,0)-1,"")</f>
        <v>103</v>
      </c>
      <c r="N457" t="str">
        <f>IF(LEN(I457),MATCH(I457,'MPIO_SFIO Table'!$A$11:$A$65525,0)-1,"")</f>
        <v/>
      </c>
      <c r="O457" t="str">
        <f>IF(LEN(J457),MATCH(J457,'MPIO_SFIO Table'!$A$11:$A$65525,0)-1,"")</f>
        <v/>
      </c>
      <c r="P457" t="str">
        <f>IF(LEN(K457),MATCH(K457,'MPIO_SFIO Table'!$A$11:$A$65525,0)-1,"")</f>
        <v/>
      </c>
      <c r="Q457" t="str">
        <f>IF(LEN(L457),MATCH(L457,'MPIO_SFIO Table'!$A$11:$A$65525,0)-1,"")</f>
        <v/>
      </c>
      <c r="R457" t="str">
        <f ca="1">IF(ISNUMBER(M457),OFFSET('MPIO_SFIO Table'!$AJ$11,M457,0),"")</f>
        <v>unused_LCD_D11</v>
      </c>
      <c r="S457" t="str">
        <f ca="1">IF(ISNUMBER(N457),OFFSET('MPIO_SFIO Table'!$AJ$11,N457,0),"")</f>
        <v/>
      </c>
      <c r="T457" t="str">
        <f ca="1">IF(ISNUMBER(O457),OFFSET('MPIO_SFIO Table'!$AJ$11,O457,0),"")</f>
        <v/>
      </c>
      <c r="U457" t="str">
        <f ca="1">IF(ISNUMBER(P457),OFFSET('MPIO_SFIO Table'!$AJ$11,P457,0),"")</f>
        <v/>
      </c>
      <c r="V457" t="str">
        <f ca="1">IF(ISNUMBER(Q457),OFFSET('MPIO_SFIO Table'!$AJ$11,Q457,0),"")</f>
        <v/>
      </c>
      <c r="W457">
        <f t="shared" ref="W457:W520" ca="1" si="67">1*AND(ISTEXT(R457),LEN(R457),R457=$G457)</f>
        <v>0</v>
      </c>
      <c r="X457">
        <f t="shared" ref="X457:X520" ca="1" si="68">1*AND(ISTEXT(S457),LEN(S457),S457=$G457)</f>
        <v>0</v>
      </c>
      <c r="Y457">
        <f t="shared" ref="Y457:Y520" ca="1" si="69">1*AND(ISTEXT(T457),LEN(T457),T457=$G457)</f>
        <v>0</v>
      </c>
      <c r="Z457">
        <f t="shared" ref="Z457:Z520" ca="1" si="70">1*AND(ISTEXT(U457),LEN(U457),U457=$G457)</f>
        <v>0</v>
      </c>
      <c r="AA457">
        <f t="shared" ref="AA457:AA520" ca="1" si="71">1*AND(ISTEXT(V457),LEN(V457),V457=$G457)</f>
        <v>0</v>
      </c>
    </row>
    <row r="458" spans="1:27" x14ac:dyDescent="0.25">
      <c r="A458">
        <f t="shared" ca="1" si="64"/>
        <v>0</v>
      </c>
      <c r="B458" t="str">
        <f t="shared" ca="1" si="65"/>
        <v/>
      </c>
      <c r="C458" t="str">
        <f t="shared" si="66"/>
        <v>LCD0</v>
      </c>
      <c r="D458" t="s">
        <v>253</v>
      </c>
      <c r="E458" t="s">
        <v>253</v>
      </c>
      <c r="F458" s="3" t="s">
        <v>1367</v>
      </c>
      <c r="G458" s="11" t="s">
        <v>493</v>
      </c>
      <c r="H458" s="11" t="s">
        <v>108</v>
      </c>
      <c r="I458" s="3" t="s">
        <v>253</v>
      </c>
      <c r="J458" s="3" t="s">
        <v>253</v>
      </c>
      <c r="K458" s="3" t="s">
        <v>253</v>
      </c>
      <c r="L458" s="3" t="s">
        <v>253</v>
      </c>
      <c r="M458">
        <f>IF(LEN(H458),MATCH(H458,'MPIO_SFIO Table'!$A$11:$A$65525,0)-1,"")</f>
        <v>104</v>
      </c>
      <c r="N458" t="str">
        <f>IF(LEN(I458),MATCH(I458,'MPIO_SFIO Table'!$A$11:$A$65525,0)-1,"")</f>
        <v/>
      </c>
      <c r="O458" t="str">
        <f>IF(LEN(J458),MATCH(J458,'MPIO_SFIO Table'!$A$11:$A$65525,0)-1,"")</f>
        <v/>
      </c>
      <c r="P458" t="str">
        <f>IF(LEN(K458),MATCH(K458,'MPIO_SFIO Table'!$A$11:$A$65525,0)-1,"")</f>
        <v/>
      </c>
      <c r="Q458" t="str">
        <f>IF(LEN(L458),MATCH(L458,'MPIO_SFIO Table'!$A$11:$A$65525,0)-1,"")</f>
        <v/>
      </c>
      <c r="R458" t="str">
        <f ca="1">IF(ISNUMBER(M458),OFFSET('MPIO_SFIO Table'!$AJ$11,M458,0),"")</f>
        <v>unused_LCD_D12</v>
      </c>
      <c r="S458" t="str">
        <f ca="1">IF(ISNUMBER(N458),OFFSET('MPIO_SFIO Table'!$AJ$11,N458,0),"")</f>
        <v/>
      </c>
      <c r="T458" t="str">
        <f ca="1">IF(ISNUMBER(O458),OFFSET('MPIO_SFIO Table'!$AJ$11,O458,0),"")</f>
        <v/>
      </c>
      <c r="U458" t="str">
        <f ca="1">IF(ISNUMBER(P458),OFFSET('MPIO_SFIO Table'!$AJ$11,P458,0),"")</f>
        <v/>
      </c>
      <c r="V458" t="str">
        <f ca="1">IF(ISNUMBER(Q458),OFFSET('MPIO_SFIO Table'!$AJ$11,Q458,0),"")</f>
        <v/>
      </c>
      <c r="W458">
        <f t="shared" ca="1" si="67"/>
        <v>0</v>
      </c>
      <c r="X458">
        <f t="shared" ca="1" si="68"/>
        <v>0</v>
      </c>
      <c r="Y458">
        <f t="shared" ca="1" si="69"/>
        <v>0</v>
      </c>
      <c r="Z458">
        <f t="shared" ca="1" si="70"/>
        <v>0</v>
      </c>
      <c r="AA458">
        <f t="shared" ca="1" si="71"/>
        <v>0</v>
      </c>
    </row>
    <row r="459" spans="1:27" x14ac:dyDescent="0.25">
      <c r="A459">
        <f t="shared" ca="1" si="64"/>
        <v>0</v>
      </c>
      <c r="B459" t="str">
        <f t="shared" ca="1" si="65"/>
        <v/>
      </c>
      <c r="C459" t="str">
        <f t="shared" si="66"/>
        <v>LCD0</v>
      </c>
      <c r="D459" t="s">
        <v>253</v>
      </c>
      <c r="E459" t="s">
        <v>253</v>
      </c>
      <c r="F459" s="3" t="s">
        <v>1390</v>
      </c>
      <c r="G459" s="11" t="s">
        <v>495</v>
      </c>
      <c r="H459" s="11" t="s">
        <v>109</v>
      </c>
      <c r="I459" s="3" t="s">
        <v>253</v>
      </c>
      <c r="J459" s="3" t="s">
        <v>253</v>
      </c>
      <c r="K459" s="3" t="s">
        <v>253</v>
      </c>
      <c r="L459" s="3" t="s">
        <v>253</v>
      </c>
      <c r="M459">
        <f>IF(LEN(H459),MATCH(H459,'MPIO_SFIO Table'!$A$11:$A$65525,0)-1,"")</f>
        <v>105</v>
      </c>
      <c r="N459" t="str">
        <f>IF(LEN(I459),MATCH(I459,'MPIO_SFIO Table'!$A$11:$A$65525,0)-1,"")</f>
        <v/>
      </c>
      <c r="O459" t="str">
        <f>IF(LEN(J459),MATCH(J459,'MPIO_SFIO Table'!$A$11:$A$65525,0)-1,"")</f>
        <v/>
      </c>
      <c r="P459" t="str">
        <f>IF(LEN(K459),MATCH(K459,'MPIO_SFIO Table'!$A$11:$A$65525,0)-1,"")</f>
        <v/>
      </c>
      <c r="Q459" t="str">
        <f>IF(LEN(L459),MATCH(L459,'MPIO_SFIO Table'!$A$11:$A$65525,0)-1,"")</f>
        <v/>
      </c>
      <c r="R459" t="str">
        <f ca="1">IF(ISNUMBER(M459),OFFSET('MPIO_SFIO Table'!$AJ$11,M459,0),"")</f>
        <v>unused_LCD_D13</v>
      </c>
      <c r="S459" t="str">
        <f ca="1">IF(ISNUMBER(N459),OFFSET('MPIO_SFIO Table'!$AJ$11,N459,0),"")</f>
        <v/>
      </c>
      <c r="T459" t="str">
        <f ca="1">IF(ISNUMBER(O459),OFFSET('MPIO_SFIO Table'!$AJ$11,O459,0),"")</f>
        <v/>
      </c>
      <c r="U459" t="str">
        <f ca="1">IF(ISNUMBER(P459),OFFSET('MPIO_SFIO Table'!$AJ$11,P459,0),"")</f>
        <v/>
      </c>
      <c r="V459" t="str">
        <f ca="1">IF(ISNUMBER(Q459),OFFSET('MPIO_SFIO Table'!$AJ$11,Q459,0),"")</f>
        <v/>
      </c>
      <c r="W459">
        <f t="shared" ca="1" si="67"/>
        <v>0</v>
      </c>
      <c r="X459">
        <f t="shared" ca="1" si="68"/>
        <v>0</v>
      </c>
      <c r="Y459">
        <f t="shared" ca="1" si="69"/>
        <v>0</v>
      </c>
      <c r="Z459">
        <f t="shared" ca="1" si="70"/>
        <v>0</v>
      </c>
      <c r="AA459">
        <f t="shared" ca="1" si="71"/>
        <v>0</v>
      </c>
    </row>
    <row r="460" spans="1:27" x14ac:dyDescent="0.25">
      <c r="A460">
        <f t="shared" ca="1" si="64"/>
        <v>0</v>
      </c>
      <c r="B460" t="str">
        <f t="shared" ca="1" si="65"/>
        <v/>
      </c>
      <c r="C460" t="str">
        <f t="shared" si="66"/>
        <v>LCD0</v>
      </c>
      <c r="D460" t="s">
        <v>253</v>
      </c>
      <c r="E460" t="s">
        <v>253</v>
      </c>
      <c r="F460" s="3" t="s">
        <v>1349</v>
      </c>
      <c r="G460" s="11" t="s">
        <v>497</v>
      </c>
      <c r="H460" s="11" t="s">
        <v>110</v>
      </c>
      <c r="I460" s="3" t="s">
        <v>253</v>
      </c>
      <c r="J460" s="3" t="s">
        <v>253</v>
      </c>
      <c r="K460" s="3" t="s">
        <v>253</v>
      </c>
      <c r="L460" s="3" t="s">
        <v>253</v>
      </c>
      <c r="M460">
        <f>IF(LEN(H460),MATCH(H460,'MPIO_SFIO Table'!$A$11:$A$65525,0)-1,"")</f>
        <v>106</v>
      </c>
      <c r="N460" t="str">
        <f>IF(LEN(I460),MATCH(I460,'MPIO_SFIO Table'!$A$11:$A$65525,0)-1,"")</f>
        <v/>
      </c>
      <c r="O460" t="str">
        <f>IF(LEN(J460),MATCH(J460,'MPIO_SFIO Table'!$A$11:$A$65525,0)-1,"")</f>
        <v/>
      </c>
      <c r="P460" t="str">
        <f>IF(LEN(K460),MATCH(K460,'MPIO_SFIO Table'!$A$11:$A$65525,0)-1,"")</f>
        <v/>
      </c>
      <c r="Q460" t="str">
        <f>IF(LEN(L460),MATCH(L460,'MPIO_SFIO Table'!$A$11:$A$65525,0)-1,"")</f>
        <v/>
      </c>
      <c r="R460" t="str">
        <f ca="1">IF(ISNUMBER(M460),OFFSET('MPIO_SFIO Table'!$AJ$11,M460,0),"")</f>
        <v>unused_LCD_D14</v>
      </c>
      <c r="S460" t="str">
        <f ca="1">IF(ISNUMBER(N460),OFFSET('MPIO_SFIO Table'!$AJ$11,N460,0),"")</f>
        <v/>
      </c>
      <c r="T460" t="str">
        <f ca="1">IF(ISNUMBER(O460),OFFSET('MPIO_SFIO Table'!$AJ$11,O460,0),"")</f>
        <v/>
      </c>
      <c r="U460" t="str">
        <f ca="1">IF(ISNUMBER(P460),OFFSET('MPIO_SFIO Table'!$AJ$11,P460,0),"")</f>
        <v/>
      </c>
      <c r="V460" t="str">
        <f ca="1">IF(ISNUMBER(Q460),OFFSET('MPIO_SFIO Table'!$AJ$11,Q460,0),"")</f>
        <v/>
      </c>
      <c r="W460">
        <f t="shared" ca="1" si="67"/>
        <v>0</v>
      </c>
      <c r="X460">
        <f t="shared" ca="1" si="68"/>
        <v>0</v>
      </c>
      <c r="Y460">
        <f t="shared" ca="1" si="69"/>
        <v>0</v>
      </c>
      <c r="Z460">
        <f t="shared" ca="1" si="70"/>
        <v>0</v>
      </c>
      <c r="AA460">
        <f t="shared" ca="1" si="71"/>
        <v>0</v>
      </c>
    </row>
    <row r="461" spans="1:27" x14ac:dyDescent="0.25">
      <c r="A461">
        <f t="shared" ca="1" si="64"/>
        <v>0</v>
      </c>
      <c r="B461" t="str">
        <f t="shared" ca="1" si="65"/>
        <v/>
      </c>
      <c r="C461" t="str">
        <f t="shared" si="66"/>
        <v>LCD0</v>
      </c>
      <c r="D461" t="s">
        <v>253</v>
      </c>
      <c r="E461" t="s">
        <v>253</v>
      </c>
      <c r="F461" s="3" t="s">
        <v>1354</v>
      </c>
      <c r="G461" s="11" t="s">
        <v>499</v>
      </c>
      <c r="H461" s="11" t="s">
        <v>111</v>
      </c>
      <c r="I461" s="3" t="s">
        <v>253</v>
      </c>
      <c r="J461" s="3" t="s">
        <v>253</v>
      </c>
      <c r="K461" s="3" t="s">
        <v>253</v>
      </c>
      <c r="L461" s="3" t="s">
        <v>253</v>
      </c>
      <c r="M461">
        <f>IF(LEN(H461),MATCH(H461,'MPIO_SFIO Table'!$A$11:$A$65525,0)-1,"")</f>
        <v>107</v>
      </c>
      <c r="N461" t="str">
        <f>IF(LEN(I461),MATCH(I461,'MPIO_SFIO Table'!$A$11:$A$65525,0)-1,"")</f>
        <v/>
      </c>
      <c r="O461" t="str">
        <f>IF(LEN(J461),MATCH(J461,'MPIO_SFIO Table'!$A$11:$A$65525,0)-1,"")</f>
        <v/>
      </c>
      <c r="P461" t="str">
        <f>IF(LEN(K461),MATCH(K461,'MPIO_SFIO Table'!$A$11:$A$65525,0)-1,"")</f>
        <v/>
      </c>
      <c r="Q461" t="str">
        <f>IF(LEN(L461),MATCH(L461,'MPIO_SFIO Table'!$A$11:$A$65525,0)-1,"")</f>
        <v/>
      </c>
      <c r="R461" t="str">
        <f ca="1">IF(ISNUMBER(M461),OFFSET('MPIO_SFIO Table'!$AJ$11,M461,0),"")</f>
        <v>unused_LCD_D15</v>
      </c>
      <c r="S461" t="str">
        <f ca="1">IF(ISNUMBER(N461),OFFSET('MPIO_SFIO Table'!$AJ$11,N461,0),"")</f>
        <v/>
      </c>
      <c r="T461" t="str">
        <f ca="1">IF(ISNUMBER(O461),OFFSET('MPIO_SFIO Table'!$AJ$11,O461,0),"")</f>
        <v/>
      </c>
      <c r="U461" t="str">
        <f ca="1">IF(ISNUMBER(P461),OFFSET('MPIO_SFIO Table'!$AJ$11,P461,0),"")</f>
        <v/>
      </c>
      <c r="V461" t="str">
        <f ca="1">IF(ISNUMBER(Q461),OFFSET('MPIO_SFIO Table'!$AJ$11,Q461,0),"")</f>
        <v/>
      </c>
      <c r="W461">
        <f t="shared" ca="1" si="67"/>
        <v>0</v>
      </c>
      <c r="X461">
        <f t="shared" ca="1" si="68"/>
        <v>0</v>
      </c>
      <c r="Y461">
        <f t="shared" ca="1" si="69"/>
        <v>0</v>
      </c>
      <c r="Z461">
        <f t="shared" ca="1" si="70"/>
        <v>0</v>
      </c>
      <c r="AA461">
        <f t="shared" ca="1" si="71"/>
        <v>0</v>
      </c>
    </row>
    <row r="462" spans="1:27" x14ac:dyDescent="0.25">
      <c r="A462">
        <f t="shared" ca="1" si="64"/>
        <v>0</v>
      </c>
      <c r="B462" t="str">
        <f t="shared" ca="1" si="65"/>
        <v/>
      </c>
      <c r="C462" t="str">
        <f t="shared" si="66"/>
        <v>LCD0</v>
      </c>
      <c r="D462" t="s">
        <v>253</v>
      </c>
      <c r="E462" t="s">
        <v>253</v>
      </c>
      <c r="F462" s="3" t="s">
        <v>1410</v>
      </c>
      <c r="G462" s="11" t="s">
        <v>501</v>
      </c>
      <c r="H462" s="11" t="s">
        <v>112</v>
      </c>
      <c r="I462" s="3" t="s">
        <v>253</v>
      </c>
      <c r="J462" s="3" t="s">
        <v>253</v>
      </c>
      <c r="K462" s="3" t="s">
        <v>253</v>
      </c>
      <c r="L462" s="3" t="s">
        <v>253</v>
      </c>
      <c r="M462">
        <f>IF(LEN(H462),MATCH(H462,'MPIO_SFIO Table'!$A$11:$A$65525,0)-1,"")</f>
        <v>108</v>
      </c>
      <c r="N462" t="str">
        <f>IF(LEN(I462),MATCH(I462,'MPIO_SFIO Table'!$A$11:$A$65525,0)-1,"")</f>
        <v/>
      </c>
      <c r="O462" t="str">
        <f>IF(LEN(J462),MATCH(J462,'MPIO_SFIO Table'!$A$11:$A$65525,0)-1,"")</f>
        <v/>
      </c>
      <c r="P462" t="str">
        <f>IF(LEN(K462),MATCH(K462,'MPIO_SFIO Table'!$A$11:$A$65525,0)-1,"")</f>
        <v/>
      </c>
      <c r="Q462" t="str">
        <f>IF(LEN(L462),MATCH(L462,'MPIO_SFIO Table'!$A$11:$A$65525,0)-1,"")</f>
        <v/>
      </c>
      <c r="R462" t="str">
        <f ca="1">IF(ISNUMBER(M462),OFFSET('MPIO_SFIO Table'!$AJ$11,M462,0),"")</f>
        <v>unused_LCD_D16</v>
      </c>
      <c r="S462" t="str">
        <f ca="1">IF(ISNUMBER(N462),OFFSET('MPIO_SFIO Table'!$AJ$11,N462,0),"")</f>
        <v/>
      </c>
      <c r="T462" t="str">
        <f ca="1">IF(ISNUMBER(O462),OFFSET('MPIO_SFIO Table'!$AJ$11,O462,0),"")</f>
        <v/>
      </c>
      <c r="U462" t="str">
        <f ca="1">IF(ISNUMBER(P462),OFFSET('MPIO_SFIO Table'!$AJ$11,P462,0),"")</f>
        <v/>
      </c>
      <c r="V462" t="str">
        <f ca="1">IF(ISNUMBER(Q462),OFFSET('MPIO_SFIO Table'!$AJ$11,Q462,0),"")</f>
        <v/>
      </c>
      <c r="W462">
        <f t="shared" ca="1" si="67"/>
        <v>0</v>
      </c>
      <c r="X462">
        <f t="shared" ca="1" si="68"/>
        <v>0</v>
      </c>
      <c r="Y462">
        <f t="shared" ca="1" si="69"/>
        <v>0</v>
      </c>
      <c r="Z462">
        <f t="shared" ca="1" si="70"/>
        <v>0</v>
      </c>
      <c r="AA462">
        <f t="shared" ca="1" si="71"/>
        <v>0</v>
      </c>
    </row>
    <row r="463" spans="1:27" x14ac:dyDescent="0.25">
      <c r="A463">
        <f t="shared" ca="1" si="64"/>
        <v>0</v>
      </c>
      <c r="B463" t="str">
        <f t="shared" ca="1" si="65"/>
        <v/>
      </c>
      <c r="C463" t="str">
        <f t="shared" si="66"/>
        <v>LCD0</v>
      </c>
      <c r="D463" t="s">
        <v>253</v>
      </c>
      <c r="E463" t="s">
        <v>253</v>
      </c>
      <c r="F463" s="3" t="s">
        <v>1359</v>
      </c>
      <c r="G463" s="11" t="s">
        <v>503</v>
      </c>
      <c r="H463" s="11" t="s">
        <v>113</v>
      </c>
      <c r="I463" s="3" t="s">
        <v>253</v>
      </c>
      <c r="J463" s="3" t="s">
        <v>253</v>
      </c>
      <c r="K463" s="3" t="s">
        <v>253</v>
      </c>
      <c r="L463" s="3" t="s">
        <v>253</v>
      </c>
      <c r="M463">
        <f>IF(LEN(H463),MATCH(H463,'MPIO_SFIO Table'!$A$11:$A$65525,0)-1,"")</f>
        <v>109</v>
      </c>
      <c r="N463" t="str">
        <f>IF(LEN(I463),MATCH(I463,'MPIO_SFIO Table'!$A$11:$A$65525,0)-1,"")</f>
        <v/>
      </c>
      <c r="O463" t="str">
        <f>IF(LEN(J463),MATCH(J463,'MPIO_SFIO Table'!$A$11:$A$65525,0)-1,"")</f>
        <v/>
      </c>
      <c r="P463" t="str">
        <f>IF(LEN(K463),MATCH(K463,'MPIO_SFIO Table'!$A$11:$A$65525,0)-1,"")</f>
        <v/>
      </c>
      <c r="Q463" t="str">
        <f>IF(LEN(L463),MATCH(L463,'MPIO_SFIO Table'!$A$11:$A$65525,0)-1,"")</f>
        <v/>
      </c>
      <c r="R463" t="str">
        <f ca="1">IF(ISNUMBER(M463),OFFSET('MPIO_SFIO Table'!$AJ$11,M463,0),"")</f>
        <v>unused_LCD_D17</v>
      </c>
      <c r="S463" t="str">
        <f ca="1">IF(ISNUMBER(N463),OFFSET('MPIO_SFIO Table'!$AJ$11,N463,0),"")</f>
        <v/>
      </c>
      <c r="T463" t="str">
        <f ca="1">IF(ISNUMBER(O463),OFFSET('MPIO_SFIO Table'!$AJ$11,O463,0),"")</f>
        <v/>
      </c>
      <c r="U463" t="str">
        <f ca="1">IF(ISNUMBER(P463),OFFSET('MPIO_SFIO Table'!$AJ$11,P463,0),"")</f>
        <v/>
      </c>
      <c r="V463" t="str">
        <f ca="1">IF(ISNUMBER(Q463),OFFSET('MPIO_SFIO Table'!$AJ$11,Q463,0),"")</f>
        <v/>
      </c>
      <c r="W463">
        <f t="shared" ca="1" si="67"/>
        <v>0</v>
      </c>
      <c r="X463">
        <f t="shared" ca="1" si="68"/>
        <v>0</v>
      </c>
      <c r="Y463">
        <f t="shared" ca="1" si="69"/>
        <v>0</v>
      </c>
      <c r="Z463">
        <f t="shared" ca="1" si="70"/>
        <v>0</v>
      </c>
      <c r="AA463">
        <f t="shared" ca="1" si="71"/>
        <v>0</v>
      </c>
    </row>
    <row r="464" spans="1:27" x14ac:dyDescent="0.25">
      <c r="A464">
        <f t="shared" ca="1" si="64"/>
        <v>0</v>
      </c>
      <c r="B464" t="str">
        <f t="shared" ca="1" si="65"/>
        <v/>
      </c>
      <c r="C464" t="str">
        <f t="shared" si="66"/>
        <v>LCD0</v>
      </c>
      <c r="D464" t="s">
        <v>253</v>
      </c>
      <c r="E464" t="s">
        <v>253</v>
      </c>
      <c r="F464" s="3" t="s">
        <v>1685</v>
      </c>
      <c r="G464" s="11" t="s">
        <v>509</v>
      </c>
      <c r="H464" s="11" t="s">
        <v>116</v>
      </c>
      <c r="I464" s="3" t="s">
        <v>253</v>
      </c>
      <c r="J464" s="3" t="s">
        <v>253</v>
      </c>
      <c r="K464" s="3" t="s">
        <v>253</v>
      </c>
      <c r="L464" s="3" t="s">
        <v>253</v>
      </c>
      <c r="M464">
        <f>IF(LEN(H464),MATCH(H464,'MPIO_SFIO Table'!$A$11:$A$65525,0)-1,"")</f>
        <v>112</v>
      </c>
      <c r="N464" t="str">
        <f>IF(LEN(I464),MATCH(I464,'MPIO_SFIO Table'!$A$11:$A$65525,0)-1,"")</f>
        <v/>
      </c>
      <c r="O464" t="str">
        <f>IF(LEN(J464),MATCH(J464,'MPIO_SFIO Table'!$A$11:$A$65525,0)-1,"")</f>
        <v/>
      </c>
      <c r="P464" t="str">
        <f>IF(LEN(K464),MATCH(K464,'MPIO_SFIO Table'!$A$11:$A$65525,0)-1,"")</f>
        <v/>
      </c>
      <c r="Q464" t="str">
        <f>IF(LEN(L464),MATCH(L464,'MPIO_SFIO Table'!$A$11:$A$65525,0)-1,"")</f>
        <v/>
      </c>
      <c r="R464" t="str">
        <f ca="1">IF(ISNUMBER(M464),OFFSET('MPIO_SFIO Table'!$AJ$11,M464,0),"")</f>
        <v>unused_LCD_D2</v>
      </c>
      <c r="S464" t="str">
        <f ca="1">IF(ISNUMBER(N464),OFFSET('MPIO_SFIO Table'!$AJ$11,N464,0),"")</f>
        <v/>
      </c>
      <c r="T464" t="str">
        <f ca="1">IF(ISNUMBER(O464),OFFSET('MPIO_SFIO Table'!$AJ$11,O464,0),"")</f>
        <v/>
      </c>
      <c r="U464" t="str">
        <f ca="1">IF(ISNUMBER(P464),OFFSET('MPIO_SFIO Table'!$AJ$11,P464,0),"")</f>
        <v/>
      </c>
      <c r="V464" t="str">
        <f ca="1">IF(ISNUMBER(Q464),OFFSET('MPIO_SFIO Table'!$AJ$11,Q464,0),"")</f>
        <v/>
      </c>
      <c r="W464">
        <f t="shared" ca="1" si="67"/>
        <v>0</v>
      </c>
      <c r="X464">
        <f t="shared" ca="1" si="68"/>
        <v>0</v>
      </c>
      <c r="Y464">
        <f t="shared" ca="1" si="69"/>
        <v>0</v>
      </c>
      <c r="Z464">
        <f t="shared" ca="1" si="70"/>
        <v>0</v>
      </c>
      <c r="AA464">
        <f t="shared" ca="1" si="71"/>
        <v>0</v>
      </c>
    </row>
    <row r="465" spans="1:27" x14ac:dyDescent="0.25">
      <c r="A465">
        <f t="shared" ca="1" si="64"/>
        <v>0</v>
      </c>
      <c r="B465" t="str">
        <f t="shared" ca="1" si="65"/>
        <v/>
      </c>
      <c r="C465" t="str">
        <f t="shared" si="66"/>
        <v>LCD0</v>
      </c>
      <c r="D465" t="s">
        <v>253</v>
      </c>
      <c r="E465" t="s">
        <v>253</v>
      </c>
      <c r="F465" s="3" t="s">
        <v>1711</v>
      </c>
      <c r="G465" s="11" t="s">
        <v>519</v>
      </c>
      <c r="H465" s="11" t="s">
        <v>121</v>
      </c>
      <c r="I465" s="3" t="s">
        <v>253</v>
      </c>
      <c r="J465" s="3" t="s">
        <v>253</v>
      </c>
      <c r="K465" s="3" t="s">
        <v>253</v>
      </c>
      <c r="L465" s="3" t="s">
        <v>253</v>
      </c>
      <c r="M465">
        <f>IF(LEN(H465),MATCH(H465,'MPIO_SFIO Table'!$A$11:$A$65525,0)-1,"")</f>
        <v>117</v>
      </c>
      <c r="N465" t="str">
        <f>IF(LEN(I465),MATCH(I465,'MPIO_SFIO Table'!$A$11:$A$65525,0)-1,"")</f>
        <v/>
      </c>
      <c r="O465" t="str">
        <f>IF(LEN(J465),MATCH(J465,'MPIO_SFIO Table'!$A$11:$A$65525,0)-1,"")</f>
        <v/>
      </c>
      <c r="P465" t="str">
        <f>IF(LEN(K465),MATCH(K465,'MPIO_SFIO Table'!$A$11:$A$65525,0)-1,"")</f>
        <v/>
      </c>
      <c r="Q465" t="str">
        <f>IF(LEN(L465),MATCH(L465,'MPIO_SFIO Table'!$A$11:$A$65525,0)-1,"")</f>
        <v/>
      </c>
      <c r="R465" t="str">
        <f ca="1">IF(ISNUMBER(M465),OFFSET('MPIO_SFIO Table'!$AJ$11,M465,0),"")</f>
        <v>unused_LCD_D3</v>
      </c>
      <c r="S465" t="str">
        <f ca="1">IF(ISNUMBER(N465),OFFSET('MPIO_SFIO Table'!$AJ$11,N465,0),"")</f>
        <v/>
      </c>
      <c r="T465" t="str">
        <f ca="1">IF(ISNUMBER(O465),OFFSET('MPIO_SFIO Table'!$AJ$11,O465,0),"")</f>
        <v/>
      </c>
      <c r="U465" t="str">
        <f ca="1">IF(ISNUMBER(P465),OFFSET('MPIO_SFIO Table'!$AJ$11,P465,0),"")</f>
        <v/>
      </c>
      <c r="V465" t="str">
        <f ca="1">IF(ISNUMBER(Q465),OFFSET('MPIO_SFIO Table'!$AJ$11,Q465,0),"")</f>
        <v/>
      </c>
      <c r="W465">
        <f t="shared" ca="1" si="67"/>
        <v>0</v>
      </c>
      <c r="X465">
        <f t="shared" ca="1" si="68"/>
        <v>0</v>
      </c>
      <c r="Y465">
        <f t="shared" ca="1" si="69"/>
        <v>0</v>
      </c>
      <c r="Z465">
        <f t="shared" ca="1" si="70"/>
        <v>0</v>
      </c>
      <c r="AA465">
        <f t="shared" ca="1" si="71"/>
        <v>0</v>
      </c>
    </row>
    <row r="466" spans="1:27" x14ac:dyDescent="0.25">
      <c r="A466">
        <f t="shared" ca="1" si="64"/>
        <v>0</v>
      </c>
      <c r="B466" t="str">
        <f t="shared" ca="1" si="65"/>
        <v/>
      </c>
      <c r="C466" t="str">
        <f t="shared" si="66"/>
        <v>LCD0</v>
      </c>
      <c r="D466" t="s">
        <v>253</v>
      </c>
      <c r="E466" t="s">
        <v>253</v>
      </c>
      <c r="F466" s="3" t="s">
        <v>1737</v>
      </c>
      <c r="G466" s="11" t="s">
        <v>521</v>
      </c>
      <c r="H466" s="11" t="s">
        <v>122</v>
      </c>
      <c r="I466" s="3" t="s">
        <v>253</v>
      </c>
      <c r="J466" s="3" t="s">
        <v>253</v>
      </c>
      <c r="K466" s="3" t="s">
        <v>253</v>
      </c>
      <c r="L466" s="3" t="s">
        <v>253</v>
      </c>
      <c r="M466">
        <f>IF(LEN(H466),MATCH(H466,'MPIO_SFIO Table'!$A$11:$A$65525,0)-1,"")</f>
        <v>118</v>
      </c>
      <c r="N466" t="str">
        <f>IF(LEN(I466),MATCH(I466,'MPIO_SFIO Table'!$A$11:$A$65525,0)-1,"")</f>
        <v/>
      </c>
      <c r="O466" t="str">
        <f>IF(LEN(J466),MATCH(J466,'MPIO_SFIO Table'!$A$11:$A$65525,0)-1,"")</f>
        <v/>
      </c>
      <c r="P466" t="str">
        <f>IF(LEN(K466),MATCH(K466,'MPIO_SFIO Table'!$A$11:$A$65525,0)-1,"")</f>
        <v/>
      </c>
      <c r="Q466" t="str">
        <f>IF(LEN(L466),MATCH(L466,'MPIO_SFIO Table'!$A$11:$A$65525,0)-1,"")</f>
        <v/>
      </c>
      <c r="R466" t="str">
        <f ca="1">IF(ISNUMBER(M466),OFFSET('MPIO_SFIO Table'!$AJ$11,M466,0),"")</f>
        <v>unused_LCD_D4</v>
      </c>
      <c r="S466" t="str">
        <f ca="1">IF(ISNUMBER(N466),OFFSET('MPIO_SFIO Table'!$AJ$11,N466,0),"")</f>
        <v/>
      </c>
      <c r="T466" t="str">
        <f ca="1">IF(ISNUMBER(O466),OFFSET('MPIO_SFIO Table'!$AJ$11,O466,0),"")</f>
        <v/>
      </c>
      <c r="U466" t="str">
        <f ca="1">IF(ISNUMBER(P466),OFFSET('MPIO_SFIO Table'!$AJ$11,P466,0),"")</f>
        <v/>
      </c>
      <c r="V466" t="str">
        <f ca="1">IF(ISNUMBER(Q466),OFFSET('MPIO_SFIO Table'!$AJ$11,Q466,0),"")</f>
        <v/>
      </c>
      <c r="W466">
        <f t="shared" ca="1" si="67"/>
        <v>0</v>
      </c>
      <c r="X466">
        <f t="shared" ca="1" si="68"/>
        <v>0</v>
      </c>
      <c r="Y466">
        <f t="shared" ca="1" si="69"/>
        <v>0</v>
      </c>
      <c r="Z466">
        <f t="shared" ca="1" si="70"/>
        <v>0</v>
      </c>
      <c r="AA466">
        <f t="shared" ca="1" si="71"/>
        <v>0</v>
      </c>
    </row>
    <row r="467" spans="1:27" x14ac:dyDescent="0.25">
      <c r="A467">
        <f t="shared" ca="1" si="64"/>
        <v>0</v>
      </c>
      <c r="B467" t="str">
        <f t="shared" ca="1" si="65"/>
        <v/>
      </c>
      <c r="C467" t="str">
        <f t="shared" si="66"/>
        <v>LCD0</v>
      </c>
      <c r="D467" t="s">
        <v>253</v>
      </c>
      <c r="E467" t="s">
        <v>253</v>
      </c>
      <c r="F467" s="3" t="s">
        <v>1741</v>
      </c>
      <c r="G467" s="11" t="s">
        <v>523</v>
      </c>
      <c r="H467" s="11" t="s">
        <v>123</v>
      </c>
      <c r="I467" s="3" t="s">
        <v>253</v>
      </c>
      <c r="J467" s="3" t="s">
        <v>253</v>
      </c>
      <c r="K467" s="3" t="s">
        <v>253</v>
      </c>
      <c r="L467" s="3" t="s">
        <v>253</v>
      </c>
      <c r="M467">
        <f>IF(LEN(H467),MATCH(H467,'MPIO_SFIO Table'!$A$11:$A$65525,0)-1,"")</f>
        <v>119</v>
      </c>
      <c r="N467" t="str">
        <f>IF(LEN(I467),MATCH(I467,'MPIO_SFIO Table'!$A$11:$A$65525,0)-1,"")</f>
        <v/>
      </c>
      <c r="O467" t="str">
        <f>IF(LEN(J467),MATCH(J467,'MPIO_SFIO Table'!$A$11:$A$65525,0)-1,"")</f>
        <v/>
      </c>
      <c r="P467" t="str">
        <f>IF(LEN(K467),MATCH(K467,'MPIO_SFIO Table'!$A$11:$A$65525,0)-1,"")</f>
        <v/>
      </c>
      <c r="Q467" t="str">
        <f>IF(LEN(L467),MATCH(L467,'MPIO_SFIO Table'!$A$11:$A$65525,0)-1,"")</f>
        <v/>
      </c>
      <c r="R467" t="str">
        <f ca="1">IF(ISNUMBER(M467),OFFSET('MPIO_SFIO Table'!$AJ$11,M467,0),"")</f>
        <v>unused_LCD_D5</v>
      </c>
      <c r="S467" t="str">
        <f ca="1">IF(ISNUMBER(N467),OFFSET('MPIO_SFIO Table'!$AJ$11,N467,0),"")</f>
        <v/>
      </c>
      <c r="T467" t="str">
        <f ca="1">IF(ISNUMBER(O467),OFFSET('MPIO_SFIO Table'!$AJ$11,O467,0),"")</f>
        <v/>
      </c>
      <c r="U467" t="str">
        <f ca="1">IF(ISNUMBER(P467),OFFSET('MPIO_SFIO Table'!$AJ$11,P467,0),"")</f>
        <v/>
      </c>
      <c r="V467" t="str">
        <f ca="1">IF(ISNUMBER(Q467),OFFSET('MPIO_SFIO Table'!$AJ$11,Q467,0),"")</f>
        <v/>
      </c>
      <c r="W467">
        <f t="shared" ca="1" si="67"/>
        <v>0</v>
      </c>
      <c r="X467">
        <f t="shared" ca="1" si="68"/>
        <v>0</v>
      </c>
      <c r="Y467">
        <f t="shared" ca="1" si="69"/>
        <v>0</v>
      </c>
      <c r="Z467">
        <f t="shared" ca="1" si="70"/>
        <v>0</v>
      </c>
      <c r="AA467">
        <f t="shared" ca="1" si="71"/>
        <v>0</v>
      </c>
    </row>
    <row r="468" spans="1:27" x14ac:dyDescent="0.25">
      <c r="A468">
        <f t="shared" ca="1" si="64"/>
        <v>0</v>
      </c>
      <c r="B468" t="str">
        <f t="shared" ca="1" si="65"/>
        <v/>
      </c>
      <c r="C468" t="str">
        <f t="shared" si="66"/>
        <v>LCD0</v>
      </c>
      <c r="D468" t="s">
        <v>253</v>
      </c>
      <c r="E468" t="s">
        <v>253</v>
      </c>
      <c r="F468" s="3" t="s">
        <v>1731</v>
      </c>
      <c r="G468" s="11" t="s">
        <v>525</v>
      </c>
      <c r="H468" s="11" t="s">
        <v>124</v>
      </c>
      <c r="I468" s="3" t="s">
        <v>253</v>
      </c>
      <c r="J468" s="3" t="s">
        <v>253</v>
      </c>
      <c r="K468" s="3" t="s">
        <v>253</v>
      </c>
      <c r="L468" s="3" t="s">
        <v>253</v>
      </c>
      <c r="M468">
        <f>IF(LEN(H468),MATCH(H468,'MPIO_SFIO Table'!$A$11:$A$65525,0)-1,"")</f>
        <v>120</v>
      </c>
      <c r="N468" t="str">
        <f>IF(LEN(I468),MATCH(I468,'MPIO_SFIO Table'!$A$11:$A$65525,0)-1,"")</f>
        <v/>
      </c>
      <c r="O468" t="str">
        <f>IF(LEN(J468),MATCH(J468,'MPIO_SFIO Table'!$A$11:$A$65525,0)-1,"")</f>
        <v/>
      </c>
      <c r="P468" t="str">
        <f>IF(LEN(K468),MATCH(K468,'MPIO_SFIO Table'!$A$11:$A$65525,0)-1,"")</f>
        <v/>
      </c>
      <c r="Q468" t="str">
        <f>IF(LEN(L468),MATCH(L468,'MPIO_SFIO Table'!$A$11:$A$65525,0)-1,"")</f>
        <v/>
      </c>
      <c r="R468" t="str">
        <f ca="1">IF(ISNUMBER(M468),OFFSET('MPIO_SFIO Table'!$AJ$11,M468,0),"")</f>
        <v>unused_LCD_D6</v>
      </c>
      <c r="S468" t="str">
        <f ca="1">IF(ISNUMBER(N468),OFFSET('MPIO_SFIO Table'!$AJ$11,N468,0),"")</f>
        <v/>
      </c>
      <c r="T468" t="str">
        <f ca="1">IF(ISNUMBER(O468),OFFSET('MPIO_SFIO Table'!$AJ$11,O468,0),"")</f>
        <v/>
      </c>
      <c r="U468" t="str">
        <f ca="1">IF(ISNUMBER(P468),OFFSET('MPIO_SFIO Table'!$AJ$11,P468,0),"")</f>
        <v/>
      </c>
      <c r="V468" t="str">
        <f ca="1">IF(ISNUMBER(Q468),OFFSET('MPIO_SFIO Table'!$AJ$11,Q468,0),"")</f>
        <v/>
      </c>
      <c r="W468">
        <f t="shared" ca="1" si="67"/>
        <v>0</v>
      </c>
      <c r="X468">
        <f t="shared" ca="1" si="68"/>
        <v>0</v>
      </c>
      <c r="Y468">
        <f t="shared" ca="1" si="69"/>
        <v>0</v>
      </c>
      <c r="Z468">
        <f t="shared" ca="1" si="70"/>
        <v>0</v>
      </c>
      <c r="AA468">
        <f t="shared" ca="1" si="71"/>
        <v>0</v>
      </c>
    </row>
    <row r="469" spans="1:27" x14ac:dyDescent="0.25">
      <c r="A469">
        <f t="shared" ca="1" si="64"/>
        <v>0</v>
      </c>
      <c r="B469" t="str">
        <f t="shared" ca="1" si="65"/>
        <v/>
      </c>
      <c r="C469" t="str">
        <f t="shared" si="66"/>
        <v>LCD0</v>
      </c>
      <c r="D469" t="s">
        <v>253</v>
      </c>
      <c r="E469" t="s">
        <v>253</v>
      </c>
      <c r="F469" s="3" t="s">
        <v>1874</v>
      </c>
      <c r="G469" s="11" t="s">
        <v>527</v>
      </c>
      <c r="H469" s="11" t="s">
        <v>125</v>
      </c>
      <c r="I469" s="3" t="s">
        <v>253</v>
      </c>
      <c r="J469" s="3" t="s">
        <v>253</v>
      </c>
      <c r="K469" s="3" t="s">
        <v>253</v>
      </c>
      <c r="L469" s="3" t="s">
        <v>253</v>
      </c>
      <c r="M469">
        <f>IF(LEN(H469),MATCH(H469,'MPIO_SFIO Table'!$A$11:$A$65525,0)-1,"")</f>
        <v>121</v>
      </c>
      <c r="N469" t="str">
        <f>IF(LEN(I469),MATCH(I469,'MPIO_SFIO Table'!$A$11:$A$65525,0)-1,"")</f>
        <v/>
      </c>
      <c r="O469" t="str">
        <f>IF(LEN(J469),MATCH(J469,'MPIO_SFIO Table'!$A$11:$A$65525,0)-1,"")</f>
        <v/>
      </c>
      <c r="P469" t="str">
        <f>IF(LEN(K469),MATCH(K469,'MPIO_SFIO Table'!$A$11:$A$65525,0)-1,"")</f>
        <v/>
      </c>
      <c r="Q469" t="str">
        <f>IF(LEN(L469),MATCH(L469,'MPIO_SFIO Table'!$A$11:$A$65525,0)-1,"")</f>
        <v/>
      </c>
      <c r="R469" t="str">
        <f ca="1">IF(ISNUMBER(M469),OFFSET('MPIO_SFIO Table'!$AJ$11,M469,0),"")</f>
        <v>unused_LCD_D7</v>
      </c>
      <c r="S469" t="str">
        <f ca="1">IF(ISNUMBER(N469),OFFSET('MPIO_SFIO Table'!$AJ$11,N469,0),"")</f>
        <v/>
      </c>
      <c r="T469" t="str">
        <f ca="1">IF(ISNUMBER(O469),OFFSET('MPIO_SFIO Table'!$AJ$11,O469,0),"")</f>
        <v/>
      </c>
      <c r="U469" t="str">
        <f ca="1">IF(ISNUMBER(P469),OFFSET('MPIO_SFIO Table'!$AJ$11,P469,0),"")</f>
        <v/>
      </c>
      <c r="V469" t="str">
        <f ca="1">IF(ISNUMBER(Q469),OFFSET('MPIO_SFIO Table'!$AJ$11,Q469,0),"")</f>
        <v/>
      </c>
      <c r="W469">
        <f t="shared" ca="1" si="67"/>
        <v>0</v>
      </c>
      <c r="X469">
        <f t="shared" ca="1" si="68"/>
        <v>0</v>
      </c>
      <c r="Y469">
        <f t="shared" ca="1" si="69"/>
        <v>0</v>
      </c>
      <c r="Z469">
        <f t="shared" ca="1" si="70"/>
        <v>0</v>
      </c>
      <c r="AA469">
        <f t="shared" ca="1" si="71"/>
        <v>0</v>
      </c>
    </row>
    <row r="470" spans="1:27" x14ac:dyDescent="0.25">
      <c r="A470">
        <f t="shared" ca="1" si="64"/>
        <v>0</v>
      </c>
      <c r="B470" t="str">
        <f t="shared" ca="1" si="65"/>
        <v/>
      </c>
      <c r="C470" t="str">
        <f t="shared" si="66"/>
        <v>LCD0</v>
      </c>
      <c r="D470" t="s">
        <v>253</v>
      </c>
      <c r="E470" t="s">
        <v>253</v>
      </c>
      <c r="F470" s="3" t="s">
        <v>1876</v>
      </c>
      <c r="G470" s="11" t="s">
        <v>529</v>
      </c>
      <c r="H470" s="11" t="s">
        <v>126</v>
      </c>
      <c r="I470" s="3" t="s">
        <v>253</v>
      </c>
      <c r="J470" s="3" t="s">
        <v>253</v>
      </c>
      <c r="K470" s="3" t="s">
        <v>253</v>
      </c>
      <c r="L470" s="3" t="s">
        <v>253</v>
      </c>
      <c r="M470">
        <f>IF(LEN(H470),MATCH(H470,'MPIO_SFIO Table'!$A$11:$A$65525,0)-1,"")</f>
        <v>122</v>
      </c>
      <c r="N470" t="str">
        <f>IF(LEN(I470),MATCH(I470,'MPIO_SFIO Table'!$A$11:$A$65525,0)-1,"")</f>
        <v/>
      </c>
      <c r="O470" t="str">
        <f>IF(LEN(J470),MATCH(J470,'MPIO_SFIO Table'!$A$11:$A$65525,0)-1,"")</f>
        <v/>
      </c>
      <c r="P470" t="str">
        <f>IF(LEN(K470),MATCH(K470,'MPIO_SFIO Table'!$A$11:$A$65525,0)-1,"")</f>
        <v/>
      </c>
      <c r="Q470" t="str">
        <f>IF(LEN(L470),MATCH(L470,'MPIO_SFIO Table'!$A$11:$A$65525,0)-1,"")</f>
        <v/>
      </c>
      <c r="R470" t="str">
        <f ca="1">IF(ISNUMBER(M470),OFFSET('MPIO_SFIO Table'!$AJ$11,M470,0),"")</f>
        <v>unused_LCD_D8</v>
      </c>
      <c r="S470" t="str">
        <f ca="1">IF(ISNUMBER(N470),OFFSET('MPIO_SFIO Table'!$AJ$11,N470,0),"")</f>
        <v/>
      </c>
      <c r="T470" t="str">
        <f ca="1">IF(ISNUMBER(O470),OFFSET('MPIO_SFIO Table'!$AJ$11,O470,0),"")</f>
        <v/>
      </c>
      <c r="U470" t="str">
        <f ca="1">IF(ISNUMBER(P470),OFFSET('MPIO_SFIO Table'!$AJ$11,P470,0),"")</f>
        <v/>
      </c>
      <c r="V470" t="str">
        <f ca="1">IF(ISNUMBER(Q470),OFFSET('MPIO_SFIO Table'!$AJ$11,Q470,0),"")</f>
        <v/>
      </c>
      <c r="W470">
        <f t="shared" ca="1" si="67"/>
        <v>0</v>
      </c>
      <c r="X470">
        <f t="shared" ca="1" si="68"/>
        <v>0</v>
      </c>
      <c r="Y470">
        <f t="shared" ca="1" si="69"/>
        <v>0</v>
      </c>
      <c r="Z470">
        <f t="shared" ca="1" si="70"/>
        <v>0</v>
      </c>
      <c r="AA470">
        <f t="shared" ca="1" si="71"/>
        <v>0</v>
      </c>
    </row>
    <row r="471" spans="1:27" x14ac:dyDescent="0.25">
      <c r="A471">
        <f t="shared" ca="1" si="64"/>
        <v>0</v>
      </c>
      <c r="B471" t="str">
        <f t="shared" ca="1" si="65"/>
        <v/>
      </c>
      <c r="C471" t="str">
        <f t="shared" si="66"/>
        <v>LCD0</v>
      </c>
      <c r="D471" t="s">
        <v>253</v>
      </c>
      <c r="E471" t="s">
        <v>253</v>
      </c>
      <c r="F471" s="3" t="s">
        <v>1875</v>
      </c>
      <c r="G471" s="11" t="s">
        <v>531</v>
      </c>
      <c r="H471" s="11" t="s">
        <v>127</v>
      </c>
      <c r="I471" s="3" t="s">
        <v>253</v>
      </c>
      <c r="J471" s="3" t="s">
        <v>253</v>
      </c>
      <c r="K471" s="3" t="s">
        <v>253</v>
      </c>
      <c r="L471" s="3" t="s">
        <v>253</v>
      </c>
      <c r="M471">
        <f>IF(LEN(H471),MATCH(H471,'MPIO_SFIO Table'!$A$11:$A$65525,0)-1,"")</f>
        <v>123</v>
      </c>
      <c r="N471" t="str">
        <f>IF(LEN(I471),MATCH(I471,'MPIO_SFIO Table'!$A$11:$A$65525,0)-1,"")</f>
        <v/>
      </c>
      <c r="O471" t="str">
        <f>IF(LEN(J471),MATCH(J471,'MPIO_SFIO Table'!$A$11:$A$65525,0)-1,"")</f>
        <v/>
      </c>
      <c r="P471" t="str">
        <f>IF(LEN(K471),MATCH(K471,'MPIO_SFIO Table'!$A$11:$A$65525,0)-1,"")</f>
        <v/>
      </c>
      <c r="Q471" t="str">
        <f>IF(LEN(L471),MATCH(L471,'MPIO_SFIO Table'!$A$11:$A$65525,0)-1,"")</f>
        <v/>
      </c>
      <c r="R471" t="str">
        <f ca="1">IF(ISNUMBER(M471),OFFSET('MPIO_SFIO Table'!$AJ$11,M471,0),"")</f>
        <v>unused_LCD_D9</v>
      </c>
      <c r="S471" t="str">
        <f ca="1">IF(ISNUMBER(N471),OFFSET('MPIO_SFIO Table'!$AJ$11,N471,0),"")</f>
        <v/>
      </c>
      <c r="T471" t="str">
        <f ca="1">IF(ISNUMBER(O471),OFFSET('MPIO_SFIO Table'!$AJ$11,O471,0),"")</f>
        <v/>
      </c>
      <c r="U471" t="str">
        <f ca="1">IF(ISNUMBER(P471),OFFSET('MPIO_SFIO Table'!$AJ$11,P471,0),"")</f>
        <v/>
      </c>
      <c r="V471" t="str">
        <f ca="1">IF(ISNUMBER(Q471),OFFSET('MPIO_SFIO Table'!$AJ$11,Q471,0),"")</f>
        <v/>
      </c>
      <c r="W471">
        <f t="shared" ca="1" si="67"/>
        <v>0</v>
      </c>
      <c r="X471">
        <f t="shared" ca="1" si="68"/>
        <v>0</v>
      </c>
      <c r="Y471">
        <f t="shared" ca="1" si="69"/>
        <v>0</v>
      </c>
      <c r="Z471">
        <f t="shared" ca="1" si="70"/>
        <v>0</v>
      </c>
      <c r="AA471">
        <f t="shared" ca="1" si="71"/>
        <v>0</v>
      </c>
    </row>
    <row r="472" spans="1:27" x14ac:dyDescent="0.25">
      <c r="A472">
        <f t="shared" ca="1" si="64"/>
        <v>0</v>
      </c>
      <c r="B472" t="str">
        <f t="shared" ca="1" si="65"/>
        <v/>
      </c>
      <c r="C472" t="str">
        <f t="shared" si="66"/>
        <v>LCD0</v>
      </c>
      <c r="D472" t="s">
        <v>253</v>
      </c>
      <c r="E472" t="s">
        <v>253</v>
      </c>
      <c r="F472" s="3" t="s">
        <v>2854</v>
      </c>
      <c r="G472" s="11" t="s">
        <v>533</v>
      </c>
      <c r="H472" s="11" t="s">
        <v>128</v>
      </c>
      <c r="I472" s="3" t="s">
        <v>253</v>
      </c>
      <c r="J472" s="3" t="s">
        <v>253</v>
      </c>
      <c r="K472" s="3" t="s">
        <v>253</v>
      </c>
      <c r="L472" s="3" t="s">
        <v>253</v>
      </c>
      <c r="M472">
        <f>IF(LEN(H472),MATCH(H472,'MPIO_SFIO Table'!$A$11:$A$65525,0)-1,"")</f>
        <v>124</v>
      </c>
      <c r="N472" t="str">
        <f>IF(LEN(I472),MATCH(I472,'MPIO_SFIO Table'!$A$11:$A$65525,0)-1,"")</f>
        <v/>
      </c>
      <c r="O472" t="str">
        <f>IF(LEN(J472),MATCH(J472,'MPIO_SFIO Table'!$A$11:$A$65525,0)-1,"")</f>
        <v/>
      </c>
      <c r="P472" t="str">
        <f>IF(LEN(K472),MATCH(K472,'MPIO_SFIO Table'!$A$11:$A$65525,0)-1,"")</f>
        <v/>
      </c>
      <c r="Q472" t="str">
        <f>IF(LEN(L472),MATCH(L472,'MPIO_SFIO Table'!$A$11:$A$65525,0)-1,"")</f>
        <v/>
      </c>
      <c r="R472" t="str">
        <f ca="1">IF(ISNUMBER(M472),OFFSET('MPIO_SFIO Table'!$AJ$11,M472,0),"")</f>
        <v>unused_LCD_DC0</v>
      </c>
      <c r="S472" t="str">
        <f ca="1">IF(ISNUMBER(N472),OFFSET('MPIO_SFIO Table'!$AJ$11,N472,0),"")</f>
        <v/>
      </c>
      <c r="T472" t="str">
        <f ca="1">IF(ISNUMBER(O472),OFFSET('MPIO_SFIO Table'!$AJ$11,O472,0),"")</f>
        <v/>
      </c>
      <c r="U472" t="str">
        <f ca="1">IF(ISNUMBER(P472),OFFSET('MPIO_SFIO Table'!$AJ$11,P472,0),"")</f>
        <v/>
      </c>
      <c r="V472" t="str">
        <f ca="1">IF(ISNUMBER(Q472),OFFSET('MPIO_SFIO Table'!$AJ$11,Q472,0),"")</f>
        <v/>
      </c>
      <c r="W472">
        <f t="shared" ca="1" si="67"/>
        <v>0</v>
      </c>
      <c r="X472">
        <f t="shared" ca="1" si="68"/>
        <v>0</v>
      </c>
      <c r="Y472">
        <f t="shared" ca="1" si="69"/>
        <v>0</v>
      </c>
      <c r="Z472">
        <f t="shared" ca="1" si="70"/>
        <v>0</v>
      </c>
      <c r="AA472">
        <f t="shared" ca="1" si="71"/>
        <v>0</v>
      </c>
    </row>
    <row r="473" spans="1:27" x14ac:dyDescent="0.25">
      <c r="A473">
        <f t="shared" ca="1" si="64"/>
        <v>0</v>
      </c>
      <c r="B473" t="str">
        <f t="shared" ca="1" si="65"/>
        <v/>
      </c>
      <c r="C473" t="str">
        <f t="shared" si="66"/>
        <v>LCD0</v>
      </c>
      <c r="D473" t="s">
        <v>253</v>
      </c>
      <c r="E473" t="s">
        <v>253</v>
      </c>
      <c r="F473" s="3" t="s">
        <v>2855</v>
      </c>
      <c r="G473" s="11" t="s">
        <v>515</v>
      </c>
      <c r="H473" s="11" t="s">
        <v>119</v>
      </c>
      <c r="I473" s="3" t="s">
        <v>253</v>
      </c>
      <c r="J473" s="3" t="s">
        <v>253</v>
      </c>
      <c r="K473" s="3" t="s">
        <v>253</v>
      </c>
      <c r="L473" s="3" t="s">
        <v>253</v>
      </c>
      <c r="M473">
        <f>IF(LEN(H473),MATCH(H473,'MPIO_SFIO Table'!$A$11:$A$65525,0)-1,"")</f>
        <v>115</v>
      </c>
      <c r="N473" t="str">
        <f>IF(LEN(I473),MATCH(I473,'MPIO_SFIO Table'!$A$11:$A$65525,0)-1,"")</f>
        <v/>
      </c>
      <c r="O473" t="str">
        <f>IF(LEN(J473),MATCH(J473,'MPIO_SFIO Table'!$A$11:$A$65525,0)-1,"")</f>
        <v/>
      </c>
      <c r="P473" t="str">
        <f>IF(LEN(K473),MATCH(K473,'MPIO_SFIO Table'!$A$11:$A$65525,0)-1,"")</f>
        <v/>
      </c>
      <c r="Q473" t="str">
        <f>IF(LEN(L473),MATCH(L473,'MPIO_SFIO Table'!$A$11:$A$65525,0)-1,"")</f>
        <v/>
      </c>
      <c r="R473" t="str">
        <f ca="1">IF(ISNUMBER(M473),OFFSET('MPIO_SFIO Table'!$AJ$11,M473,0),"")</f>
        <v>unused_LCD_D22</v>
      </c>
      <c r="S473" t="str">
        <f ca="1">IF(ISNUMBER(N473),OFFSET('MPIO_SFIO Table'!$AJ$11,N473,0),"")</f>
        <v/>
      </c>
      <c r="T473" t="str">
        <f ca="1">IF(ISNUMBER(O473),OFFSET('MPIO_SFIO Table'!$AJ$11,O473,0),"")</f>
        <v/>
      </c>
      <c r="U473" t="str">
        <f ca="1">IF(ISNUMBER(P473),OFFSET('MPIO_SFIO Table'!$AJ$11,P473,0),"")</f>
        <v/>
      </c>
      <c r="V473" t="str">
        <f ca="1">IF(ISNUMBER(Q473),OFFSET('MPIO_SFIO Table'!$AJ$11,Q473,0),"")</f>
        <v/>
      </c>
      <c r="W473">
        <f t="shared" ca="1" si="67"/>
        <v>0</v>
      </c>
      <c r="X473">
        <f t="shared" ca="1" si="68"/>
        <v>0</v>
      </c>
      <c r="Y473">
        <f t="shared" ca="1" si="69"/>
        <v>0</v>
      </c>
      <c r="Z473">
        <f t="shared" ca="1" si="70"/>
        <v>0</v>
      </c>
      <c r="AA473">
        <f t="shared" ca="1" si="71"/>
        <v>0</v>
      </c>
    </row>
    <row r="474" spans="1:27" x14ac:dyDescent="0.25">
      <c r="A474">
        <f t="shared" ca="1" si="64"/>
        <v>0</v>
      </c>
      <c r="B474" t="str">
        <f t="shared" ca="1" si="65"/>
        <v/>
      </c>
      <c r="C474" t="str">
        <f t="shared" si="66"/>
        <v>LCD0</v>
      </c>
      <c r="D474" t="s">
        <v>253</v>
      </c>
      <c r="E474" t="s">
        <v>253</v>
      </c>
      <c r="F474" s="3" t="s">
        <v>2856</v>
      </c>
      <c r="G474" s="11" t="s">
        <v>513</v>
      </c>
      <c r="H474" s="11" t="s">
        <v>118</v>
      </c>
      <c r="I474" s="3" t="s">
        <v>253</v>
      </c>
      <c r="J474" s="3" t="s">
        <v>253</v>
      </c>
      <c r="K474" s="3" t="s">
        <v>253</v>
      </c>
      <c r="L474" s="3" t="s">
        <v>253</v>
      </c>
      <c r="M474">
        <f>IF(LEN(H474),MATCH(H474,'MPIO_SFIO Table'!$A$11:$A$65525,0)-1,"")</f>
        <v>114</v>
      </c>
      <c r="N474" t="str">
        <f>IF(LEN(I474),MATCH(I474,'MPIO_SFIO Table'!$A$11:$A$65525,0)-1,"")</f>
        <v/>
      </c>
      <c r="O474" t="str">
        <f>IF(LEN(J474),MATCH(J474,'MPIO_SFIO Table'!$A$11:$A$65525,0)-1,"")</f>
        <v/>
      </c>
      <c r="P474" t="str">
        <f>IF(LEN(K474),MATCH(K474,'MPIO_SFIO Table'!$A$11:$A$65525,0)-1,"")</f>
        <v/>
      </c>
      <c r="Q474" t="str">
        <f>IF(LEN(L474),MATCH(L474,'MPIO_SFIO Table'!$A$11:$A$65525,0)-1,"")</f>
        <v/>
      </c>
      <c r="R474" t="str">
        <f ca="1">IF(ISNUMBER(M474),OFFSET('MPIO_SFIO Table'!$AJ$11,M474,0),"")</f>
        <v>unused_LCD_D21</v>
      </c>
      <c r="S474" t="str">
        <f ca="1">IF(ISNUMBER(N474),OFFSET('MPIO_SFIO Table'!$AJ$11,N474,0),"")</f>
        <v/>
      </c>
      <c r="T474" t="str">
        <f ca="1">IF(ISNUMBER(O474),OFFSET('MPIO_SFIO Table'!$AJ$11,O474,0),"")</f>
        <v/>
      </c>
      <c r="U474" t="str">
        <f ca="1">IF(ISNUMBER(P474),OFFSET('MPIO_SFIO Table'!$AJ$11,P474,0),"")</f>
        <v/>
      </c>
      <c r="V474" t="str">
        <f ca="1">IF(ISNUMBER(Q474),OFFSET('MPIO_SFIO Table'!$AJ$11,Q474,0),"")</f>
        <v/>
      </c>
      <c r="W474">
        <f t="shared" ca="1" si="67"/>
        <v>0</v>
      </c>
      <c r="X474">
        <f t="shared" ca="1" si="68"/>
        <v>0</v>
      </c>
      <c r="Y474">
        <f t="shared" ca="1" si="69"/>
        <v>0</v>
      </c>
      <c r="Z474">
        <f t="shared" ca="1" si="70"/>
        <v>0</v>
      </c>
      <c r="AA474">
        <f t="shared" ca="1" si="71"/>
        <v>0</v>
      </c>
    </row>
    <row r="475" spans="1:27" x14ac:dyDescent="0.25">
      <c r="A475">
        <f t="shared" ca="1" si="64"/>
        <v>0</v>
      </c>
      <c r="B475" t="str">
        <f t="shared" ca="1" si="65"/>
        <v/>
      </c>
      <c r="C475" t="str">
        <f t="shared" si="66"/>
        <v>LCD0</v>
      </c>
      <c r="D475" t="s">
        <v>253</v>
      </c>
      <c r="E475" t="s">
        <v>253</v>
      </c>
      <c r="F475" s="3" t="s">
        <v>2857</v>
      </c>
      <c r="G475" s="11" t="s">
        <v>505</v>
      </c>
      <c r="H475" s="11" t="s">
        <v>114</v>
      </c>
      <c r="I475" s="3" t="s">
        <v>253</v>
      </c>
      <c r="J475" s="3" t="s">
        <v>253</v>
      </c>
      <c r="K475" s="3" t="s">
        <v>253</v>
      </c>
      <c r="L475" s="3" t="s">
        <v>253</v>
      </c>
      <c r="M475">
        <f>IF(LEN(H475),MATCH(H475,'MPIO_SFIO Table'!$A$11:$A$65525,0)-1,"")</f>
        <v>110</v>
      </c>
      <c r="N475" t="str">
        <f>IF(LEN(I475),MATCH(I475,'MPIO_SFIO Table'!$A$11:$A$65525,0)-1,"")</f>
        <v/>
      </c>
      <c r="O475" t="str">
        <f>IF(LEN(J475),MATCH(J475,'MPIO_SFIO Table'!$A$11:$A$65525,0)-1,"")</f>
        <v/>
      </c>
      <c r="P475" t="str">
        <f>IF(LEN(K475),MATCH(K475,'MPIO_SFIO Table'!$A$11:$A$65525,0)-1,"")</f>
        <v/>
      </c>
      <c r="Q475" t="str">
        <f>IF(LEN(L475),MATCH(L475,'MPIO_SFIO Table'!$A$11:$A$65525,0)-1,"")</f>
        <v/>
      </c>
      <c r="R475" t="str">
        <f ca="1">IF(ISNUMBER(M475),OFFSET('MPIO_SFIO Table'!$AJ$11,M475,0),"")</f>
        <v>unused_LCD_D18</v>
      </c>
      <c r="S475" t="str">
        <f ca="1">IF(ISNUMBER(N475),OFFSET('MPIO_SFIO Table'!$AJ$11,N475,0),"")</f>
        <v/>
      </c>
      <c r="T475" t="str">
        <f ca="1">IF(ISNUMBER(O475),OFFSET('MPIO_SFIO Table'!$AJ$11,O475,0),"")</f>
        <v/>
      </c>
      <c r="U475" t="str">
        <f ca="1">IF(ISNUMBER(P475),OFFSET('MPIO_SFIO Table'!$AJ$11,P475,0),"")</f>
        <v/>
      </c>
      <c r="V475" t="str">
        <f ca="1">IF(ISNUMBER(Q475),OFFSET('MPIO_SFIO Table'!$AJ$11,Q475,0),"")</f>
        <v/>
      </c>
      <c r="W475">
        <f t="shared" ca="1" si="67"/>
        <v>0</v>
      </c>
      <c r="X475">
        <f t="shared" ca="1" si="68"/>
        <v>0</v>
      </c>
      <c r="Y475">
        <f t="shared" ca="1" si="69"/>
        <v>0</v>
      </c>
      <c r="Z475">
        <f t="shared" ca="1" si="70"/>
        <v>0</v>
      </c>
      <c r="AA475">
        <f t="shared" ca="1" si="71"/>
        <v>0</v>
      </c>
    </row>
    <row r="476" spans="1:27" x14ac:dyDescent="0.25">
      <c r="A476">
        <f t="shared" ca="1" si="64"/>
        <v>0</v>
      </c>
      <c r="B476" t="str">
        <f t="shared" ca="1" si="65"/>
        <v/>
      </c>
      <c r="C476" t="str">
        <f t="shared" si="66"/>
        <v>LCD0</v>
      </c>
      <c r="D476" t="s">
        <v>253</v>
      </c>
      <c r="E476" t="s">
        <v>253</v>
      </c>
      <c r="F476" s="3" t="s">
        <v>2858</v>
      </c>
      <c r="G476" s="11" t="s">
        <v>507</v>
      </c>
      <c r="H476" s="11" t="s">
        <v>115</v>
      </c>
      <c r="I476" s="3" t="s">
        <v>253</v>
      </c>
      <c r="J476" s="3" t="s">
        <v>253</v>
      </c>
      <c r="K476" s="3" t="s">
        <v>253</v>
      </c>
      <c r="L476" s="3" t="s">
        <v>253</v>
      </c>
      <c r="M476">
        <f>IF(LEN(H476),MATCH(H476,'MPIO_SFIO Table'!$A$11:$A$65525,0)-1,"")</f>
        <v>111</v>
      </c>
      <c r="N476" t="str">
        <f>IF(LEN(I476),MATCH(I476,'MPIO_SFIO Table'!$A$11:$A$65525,0)-1,"")</f>
        <v/>
      </c>
      <c r="O476" t="str">
        <f>IF(LEN(J476),MATCH(J476,'MPIO_SFIO Table'!$A$11:$A$65525,0)-1,"")</f>
        <v/>
      </c>
      <c r="P476" t="str">
        <f>IF(LEN(K476),MATCH(K476,'MPIO_SFIO Table'!$A$11:$A$65525,0)-1,"")</f>
        <v/>
      </c>
      <c r="Q476" t="str">
        <f>IF(LEN(L476),MATCH(L476,'MPIO_SFIO Table'!$A$11:$A$65525,0)-1,"")</f>
        <v/>
      </c>
      <c r="R476" t="str">
        <f ca="1">IF(ISNUMBER(M476),OFFSET('MPIO_SFIO Table'!$AJ$11,M476,0),"")</f>
        <v>unused_LCD_D19</v>
      </c>
      <c r="S476" t="str">
        <f ca="1">IF(ISNUMBER(N476),OFFSET('MPIO_SFIO Table'!$AJ$11,N476,0),"")</f>
        <v/>
      </c>
      <c r="T476" t="str">
        <f ca="1">IF(ISNUMBER(O476),OFFSET('MPIO_SFIO Table'!$AJ$11,O476,0),"")</f>
        <v/>
      </c>
      <c r="U476" t="str">
        <f ca="1">IF(ISNUMBER(P476),OFFSET('MPIO_SFIO Table'!$AJ$11,P476,0),"")</f>
        <v/>
      </c>
      <c r="V476" t="str">
        <f ca="1">IF(ISNUMBER(Q476),OFFSET('MPIO_SFIO Table'!$AJ$11,Q476,0),"")</f>
        <v/>
      </c>
      <c r="W476">
        <f t="shared" ca="1" si="67"/>
        <v>0</v>
      </c>
      <c r="X476">
        <f t="shared" ca="1" si="68"/>
        <v>0</v>
      </c>
      <c r="Y476">
        <f t="shared" ca="1" si="69"/>
        <v>0</v>
      </c>
      <c r="Z476">
        <f t="shared" ca="1" si="70"/>
        <v>0</v>
      </c>
      <c r="AA476">
        <f t="shared" ca="1" si="71"/>
        <v>0</v>
      </c>
    </row>
    <row r="477" spans="1:27" x14ac:dyDescent="0.25">
      <c r="A477">
        <f t="shared" ca="1" si="64"/>
        <v>0</v>
      </c>
      <c r="B477" t="str">
        <f t="shared" ca="1" si="65"/>
        <v/>
      </c>
      <c r="C477" t="str">
        <f t="shared" si="66"/>
        <v>LCD0</v>
      </c>
      <c r="D477" t="s">
        <v>253</v>
      </c>
      <c r="E477" t="s">
        <v>253</v>
      </c>
      <c r="F477" s="3" t="s">
        <v>2859</v>
      </c>
      <c r="G477" s="11" t="s">
        <v>483</v>
      </c>
      <c r="H477" s="11" t="s">
        <v>103</v>
      </c>
      <c r="I477" s="3" t="s">
        <v>253</v>
      </c>
      <c r="J477" s="3" t="s">
        <v>253</v>
      </c>
      <c r="K477" s="3" t="s">
        <v>253</v>
      </c>
      <c r="L477" s="3" t="s">
        <v>253</v>
      </c>
      <c r="M477">
        <f>IF(LEN(H477),MATCH(H477,'MPIO_SFIO Table'!$A$11:$A$65525,0)-1,"")</f>
        <v>99</v>
      </c>
      <c r="N477" t="str">
        <f>IF(LEN(I477),MATCH(I477,'MPIO_SFIO Table'!$A$11:$A$65525,0)-1,"")</f>
        <v/>
      </c>
      <c r="O477" t="str">
        <f>IF(LEN(J477),MATCH(J477,'MPIO_SFIO Table'!$A$11:$A$65525,0)-1,"")</f>
        <v/>
      </c>
      <c r="P477" t="str">
        <f>IF(LEN(K477),MATCH(K477,'MPIO_SFIO Table'!$A$11:$A$65525,0)-1,"")</f>
        <v/>
      </c>
      <c r="Q477" t="str">
        <f>IF(LEN(L477),MATCH(L477,'MPIO_SFIO Table'!$A$11:$A$65525,0)-1,"")</f>
        <v/>
      </c>
      <c r="R477" t="str">
        <f ca="1">IF(ISNUMBER(M477),OFFSET('MPIO_SFIO Table'!$AJ$11,M477,0),"")</f>
        <v>unused_LCD_CS1_N</v>
      </c>
      <c r="S477" t="str">
        <f ca="1">IF(ISNUMBER(N477),OFFSET('MPIO_SFIO Table'!$AJ$11,N477,0),"")</f>
        <v/>
      </c>
      <c r="T477" t="str">
        <f ca="1">IF(ISNUMBER(O477),OFFSET('MPIO_SFIO Table'!$AJ$11,O477,0),"")</f>
        <v/>
      </c>
      <c r="U477" t="str">
        <f ca="1">IF(ISNUMBER(P477),OFFSET('MPIO_SFIO Table'!$AJ$11,P477,0),"")</f>
        <v/>
      </c>
      <c r="V477" t="str">
        <f ca="1">IF(ISNUMBER(Q477),OFFSET('MPIO_SFIO Table'!$AJ$11,Q477,0),"")</f>
        <v/>
      </c>
      <c r="W477">
        <f t="shared" ca="1" si="67"/>
        <v>0</v>
      </c>
      <c r="X477">
        <f t="shared" ca="1" si="68"/>
        <v>0</v>
      </c>
      <c r="Y477">
        <f t="shared" ca="1" si="69"/>
        <v>0</v>
      </c>
      <c r="Z477">
        <f t="shared" ca="1" si="70"/>
        <v>0</v>
      </c>
      <c r="AA477">
        <f t="shared" ca="1" si="71"/>
        <v>0</v>
      </c>
    </row>
    <row r="478" spans="1:27" x14ac:dyDescent="0.25">
      <c r="A478">
        <f t="shared" ca="1" si="64"/>
        <v>0</v>
      </c>
      <c r="B478" t="str">
        <f t="shared" ca="1" si="65"/>
        <v/>
      </c>
      <c r="C478" t="str">
        <f t="shared" si="66"/>
        <v>LCD0</v>
      </c>
      <c r="D478" t="s">
        <v>253</v>
      </c>
      <c r="E478" t="s">
        <v>253</v>
      </c>
      <c r="F478" s="3" t="s">
        <v>1832</v>
      </c>
      <c r="G478" s="11" t="s">
        <v>541</v>
      </c>
      <c r="H478" s="11" t="s">
        <v>132</v>
      </c>
      <c r="I478" s="3" t="s">
        <v>253</v>
      </c>
      <c r="J478" s="3" t="s">
        <v>253</v>
      </c>
      <c r="K478" s="3" t="s">
        <v>253</v>
      </c>
      <c r="L478" s="3" t="s">
        <v>253</v>
      </c>
      <c r="M478">
        <f>IF(LEN(H478),MATCH(H478,'MPIO_SFIO Table'!$A$11:$A$65525,0)-1,"")</f>
        <v>128</v>
      </c>
      <c r="N478" t="str">
        <f>IF(LEN(I478),MATCH(I478,'MPIO_SFIO Table'!$A$11:$A$65525,0)-1,"")</f>
        <v/>
      </c>
      <c r="O478" t="str">
        <f>IF(LEN(J478),MATCH(J478,'MPIO_SFIO Table'!$A$11:$A$65525,0)-1,"")</f>
        <v/>
      </c>
      <c r="P478" t="str">
        <f>IF(LEN(K478),MATCH(K478,'MPIO_SFIO Table'!$A$11:$A$65525,0)-1,"")</f>
        <v/>
      </c>
      <c r="Q478" t="str">
        <f>IF(LEN(L478),MATCH(L478,'MPIO_SFIO Table'!$A$11:$A$65525,0)-1,"")</f>
        <v/>
      </c>
      <c r="R478" t="str">
        <f ca="1">IF(ISNUMBER(M478),OFFSET('MPIO_SFIO Table'!$AJ$11,M478,0),"")</f>
        <v>unused_LCD_M1</v>
      </c>
      <c r="S478" t="str">
        <f ca="1">IF(ISNUMBER(N478),OFFSET('MPIO_SFIO Table'!$AJ$11,N478,0),"")</f>
        <v/>
      </c>
      <c r="T478" t="str">
        <f ca="1">IF(ISNUMBER(O478),OFFSET('MPIO_SFIO Table'!$AJ$11,O478,0),"")</f>
        <v/>
      </c>
      <c r="U478" t="str">
        <f ca="1">IF(ISNUMBER(P478),OFFSET('MPIO_SFIO Table'!$AJ$11,P478,0),"")</f>
        <v/>
      </c>
      <c r="V478" t="str">
        <f ca="1">IF(ISNUMBER(Q478),OFFSET('MPIO_SFIO Table'!$AJ$11,Q478,0),"")</f>
        <v/>
      </c>
      <c r="W478">
        <f t="shared" ca="1" si="67"/>
        <v>0</v>
      </c>
      <c r="X478">
        <f t="shared" ca="1" si="68"/>
        <v>0</v>
      </c>
      <c r="Y478">
        <f t="shared" ca="1" si="69"/>
        <v>0</v>
      </c>
      <c r="Z478">
        <f t="shared" ca="1" si="70"/>
        <v>0</v>
      </c>
      <c r="AA478">
        <f t="shared" ca="1" si="71"/>
        <v>0</v>
      </c>
    </row>
    <row r="479" spans="1:27" x14ac:dyDescent="0.25">
      <c r="A479">
        <f t="shared" ca="1" si="64"/>
        <v>0</v>
      </c>
      <c r="B479" t="str">
        <f t="shared" ca="1" si="65"/>
        <v/>
      </c>
      <c r="C479" t="str">
        <f t="shared" si="66"/>
        <v>LCD0</v>
      </c>
      <c r="D479" t="s">
        <v>253</v>
      </c>
      <c r="E479" t="s">
        <v>253</v>
      </c>
      <c r="F479" s="3" t="s">
        <v>2860</v>
      </c>
      <c r="G479" s="11" t="s">
        <v>517</v>
      </c>
      <c r="H479" s="11" t="s">
        <v>120</v>
      </c>
      <c r="I479" s="3" t="s">
        <v>253</v>
      </c>
      <c r="J479" s="3" t="s">
        <v>253</v>
      </c>
      <c r="K479" s="3" t="s">
        <v>253</v>
      </c>
      <c r="L479" s="3" t="s">
        <v>253</v>
      </c>
      <c r="M479">
        <f>IF(LEN(H479),MATCH(H479,'MPIO_SFIO Table'!$A$11:$A$65525,0)-1,"")</f>
        <v>116</v>
      </c>
      <c r="N479" t="str">
        <f>IF(LEN(I479),MATCH(I479,'MPIO_SFIO Table'!$A$11:$A$65525,0)-1,"")</f>
        <v/>
      </c>
      <c r="O479" t="str">
        <f>IF(LEN(J479),MATCH(J479,'MPIO_SFIO Table'!$A$11:$A$65525,0)-1,"")</f>
        <v/>
      </c>
      <c r="P479" t="str">
        <f>IF(LEN(K479),MATCH(K479,'MPIO_SFIO Table'!$A$11:$A$65525,0)-1,"")</f>
        <v/>
      </c>
      <c r="Q479" t="str">
        <f>IF(LEN(L479),MATCH(L479,'MPIO_SFIO Table'!$A$11:$A$65525,0)-1,"")</f>
        <v/>
      </c>
      <c r="R479" t="str">
        <f ca="1">IF(ISNUMBER(M479),OFFSET('MPIO_SFIO Table'!$AJ$11,M479,0),"")</f>
        <v>unused_LCD_D23</v>
      </c>
      <c r="S479" t="str">
        <f ca="1">IF(ISNUMBER(N479),OFFSET('MPIO_SFIO Table'!$AJ$11,N479,0),"")</f>
        <v/>
      </c>
      <c r="T479" t="str">
        <f ca="1">IF(ISNUMBER(O479),OFFSET('MPIO_SFIO Table'!$AJ$11,O479,0),"")</f>
        <v/>
      </c>
      <c r="U479" t="str">
        <f ca="1">IF(ISNUMBER(P479),OFFSET('MPIO_SFIO Table'!$AJ$11,P479,0),"")</f>
        <v/>
      </c>
      <c r="V479" t="str">
        <f ca="1">IF(ISNUMBER(Q479),OFFSET('MPIO_SFIO Table'!$AJ$11,Q479,0),"")</f>
        <v/>
      </c>
      <c r="W479">
        <f t="shared" ca="1" si="67"/>
        <v>0</v>
      </c>
      <c r="X479">
        <f t="shared" ca="1" si="68"/>
        <v>0</v>
      </c>
      <c r="Y479">
        <f t="shared" ca="1" si="69"/>
        <v>0</v>
      </c>
      <c r="Z479">
        <f t="shared" ca="1" si="70"/>
        <v>0</v>
      </c>
      <c r="AA479">
        <f t="shared" ca="1" si="71"/>
        <v>0</v>
      </c>
    </row>
    <row r="480" spans="1:27" x14ac:dyDescent="0.25">
      <c r="A480">
        <f t="shared" ca="1" si="64"/>
        <v>0</v>
      </c>
      <c r="B480" t="str">
        <f t="shared" ca="1" si="65"/>
        <v/>
      </c>
      <c r="C480" t="str">
        <f t="shared" si="66"/>
        <v>LCD0</v>
      </c>
      <c r="D480" t="s">
        <v>253</v>
      </c>
      <c r="E480" t="s">
        <v>253</v>
      </c>
      <c r="F480" s="3" t="s">
        <v>2861</v>
      </c>
      <c r="G480" s="11" t="s">
        <v>545</v>
      </c>
      <c r="H480" s="11" t="s">
        <v>134</v>
      </c>
      <c r="I480" s="3" t="s">
        <v>253</v>
      </c>
      <c r="J480" s="3" t="s">
        <v>253</v>
      </c>
      <c r="K480" s="3" t="s">
        <v>253</v>
      </c>
      <c r="L480" s="3" t="s">
        <v>253</v>
      </c>
      <c r="M480">
        <f>IF(LEN(H480),MATCH(H480,'MPIO_SFIO Table'!$A$11:$A$65525,0)-1,"")</f>
        <v>130</v>
      </c>
      <c r="N480" t="str">
        <f>IF(LEN(I480),MATCH(I480,'MPIO_SFIO Table'!$A$11:$A$65525,0)-1,"")</f>
        <v/>
      </c>
      <c r="O480" t="str">
        <f>IF(LEN(J480),MATCH(J480,'MPIO_SFIO Table'!$A$11:$A$65525,0)-1,"")</f>
        <v/>
      </c>
      <c r="P480" t="str">
        <f>IF(LEN(K480),MATCH(K480,'MPIO_SFIO Table'!$A$11:$A$65525,0)-1,"")</f>
        <v/>
      </c>
      <c r="Q480" t="str">
        <f>IF(LEN(L480),MATCH(L480,'MPIO_SFIO Table'!$A$11:$A$65525,0)-1,"")</f>
        <v/>
      </c>
      <c r="R480" t="str">
        <f ca="1">IF(ISNUMBER(M480),OFFSET('MPIO_SFIO Table'!$AJ$11,M480,0),"")</f>
        <v>unused_LCD_PWR0</v>
      </c>
      <c r="S480" t="str">
        <f ca="1">IF(ISNUMBER(N480),OFFSET('MPIO_SFIO Table'!$AJ$11,N480,0),"")</f>
        <v/>
      </c>
      <c r="T480" t="str">
        <f ca="1">IF(ISNUMBER(O480),OFFSET('MPIO_SFIO Table'!$AJ$11,O480,0),"")</f>
        <v/>
      </c>
      <c r="U480" t="str">
        <f ca="1">IF(ISNUMBER(P480),OFFSET('MPIO_SFIO Table'!$AJ$11,P480,0),"")</f>
        <v/>
      </c>
      <c r="V480" t="str">
        <f ca="1">IF(ISNUMBER(Q480),OFFSET('MPIO_SFIO Table'!$AJ$11,Q480,0),"")</f>
        <v/>
      </c>
      <c r="W480">
        <f t="shared" ca="1" si="67"/>
        <v>0</v>
      </c>
      <c r="X480">
        <f t="shared" ca="1" si="68"/>
        <v>0</v>
      </c>
      <c r="Y480">
        <f t="shared" ca="1" si="69"/>
        <v>0</v>
      </c>
      <c r="Z480">
        <f t="shared" ca="1" si="70"/>
        <v>0</v>
      </c>
      <c r="AA480">
        <f t="shared" ca="1" si="71"/>
        <v>0</v>
      </c>
    </row>
    <row r="481" spans="1:27" x14ac:dyDescent="0.25">
      <c r="A481">
        <f t="shared" ca="1" si="64"/>
        <v>0</v>
      </c>
      <c r="B481" t="str">
        <f t="shared" ca="1" si="65"/>
        <v/>
      </c>
      <c r="C481" t="str">
        <f t="shared" si="66"/>
        <v>LCD0</v>
      </c>
      <c r="D481" t="s">
        <v>253</v>
      </c>
      <c r="E481" t="s">
        <v>253</v>
      </c>
      <c r="F481" s="3" t="s">
        <v>2862</v>
      </c>
      <c r="G481" s="11" t="s">
        <v>548</v>
      </c>
      <c r="H481" s="11" t="s">
        <v>135</v>
      </c>
      <c r="I481" s="3" t="s">
        <v>253</v>
      </c>
      <c r="J481" s="3" t="s">
        <v>253</v>
      </c>
      <c r="K481" s="3" t="s">
        <v>253</v>
      </c>
      <c r="L481" s="3" t="s">
        <v>253</v>
      </c>
      <c r="M481">
        <f>IF(LEN(H481),MATCH(H481,'MPIO_SFIO Table'!$A$11:$A$65525,0)-1,"")</f>
        <v>131</v>
      </c>
      <c r="N481" t="str">
        <f>IF(LEN(I481),MATCH(I481,'MPIO_SFIO Table'!$A$11:$A$65525,0)-1,"")</f>
        <v/>
      </c>
      <c r="O481" t="str">
        <f>IF(LEN(J481),MATCH(J481,'MPIO_SFIO Table'!$A$11:$A$65525,0)-1,"")</f>
        <v/>
      </c>
      <c r="P481" t="str">
        <f>IF(LEN(K481),MATCH(K481,'MPIO_SFIO Table'!$A$11:$A$65525,0)-1,"")</f>
        <v/>
      </c>
      <c r="Q481" t="str">
        <f>IF(LEN(L481),MATCH(L481,'MPIO_SFIO Table'!$A$11:$A$65525,0)-1,"")</f>
        <v/>
      </c>
      <c r="R481" t="str">
        <f ca="1">IF(ISNUMBER(M481),OFFSET('MPIO_SFIO Table'!$AJ$11,M481,0),"")</f>
        <v>unused_LCD_PWR1</v>
      </c>
      <c r="S481" t="str">
        <f ca="1">IF(ISNUMBER(N481),OFFSET('MPIO_SFIO Table'!$AJ$11,N481,0),"")</f>
        <v/>
      </c>
      <c r="T481" t="str">
        <f ca="1">IF(ISNUMBER(O481),OFFSET('MPIO_SFIO Table'!$AJ$11,O481,0),"")</f>
        <v/>
      </c>
      <c r="U481" t="str">
        <f ca="1">IF(ISNUMBER(P481),OFFSET('MPIO_SFIO Table'!$AJ$11,P481,0),"")</f>
        <v/>
      </c>
      <c r="V481" t="str">
        <f ca="1">IF(ISNUMBER(Q481),OFFSET('MPIO_SFIO Table'!$AJ$11,Q481,0),"")</f>
        <v/>
      </c>
      <c r="W481">
        <f t="shared" ca="1" si="67"/>
        <v>0</v>
      </c>
      <c r="X481">
        <f t="shared" ca="1" si="68"/>
        <v>0</v>
      </c>
      <c r="Y481">
        <f t="shared" ca="1" si="69"/>
        <v>0</v>
      </c>
      <c r="Z481">
        <f t="shared" ca="1" si="70"/>
        <v>0</v>
      </c>
      <c r="AA481">
        <f t="shared" ca="1" si="71"/>
        <v>0</v>
      </c>
    </row>
    <row r="482" spans="1:27" x14ac:dyDescent="0.25">
      <c r="A482">
        <f t="shared" ca="1" si="64"/>
        <v>0</v>
      </c>
      <c r="B482" t="str">
        <f t="shared" ca="1" si="65"/>
        <v/>
      </c>
      <c r="C482" t="str">
        <f t="shared" si="66"/>
        <v>LCD0</v>
      </c>
      <c r="D482" t="s">
        <v>253</v>
      </c>
      <c r="E482" t="s">
        <v>253</v>
      </c>
      <c r="F482" s="3" t="s">
        <v>2863</v>
      </c>
      <c r="G482" s="11" t="s">
        <v>550</v>
      </c>
      <c r="H482" s="11" t="s">
        <v>136</v>
      </c>
      <c r="I482" s="3" t="s">
        <v>253</v>
      </c>
      <c r="J482" s="3" t="s">
        <v>253</v>
      </c>
      <c r="K482" s="3" t="s">
        <v>253</v>
      </c>
      <c r="L482" s="3" t="s">
        <v>253</v>
      </c>
      <c r="M482">
        <f>IF(LEN(H482),MATCH(H482,'MPIO_SFIO Table'!$A$11:$A$65525,0)-1,"")</f>
        <v>132</v>
      </c>
      <c r="N482" t="str">
        <f>IF(LEN(I482),MATCH(I482,'MPIO_SFIO Table'!$A$11:$A$65525,0)-1,"")</f>
        <v/>
      </c>
      <c r="O482" t="str">
        <f>IF(LEN(J482),MATCH(J482,'MPIO_SFIO Table'!$A$11:$A$65525,0)-1,"")</f>
        <v/>
      </c>
      <c r="P482" t="str">
        <f>IF(LEN(K482),MATCH(K482,'MPIO_SFIO Table'!$A$11:$A$65525,0)-1,"")</f>
        <v/>
      </c>
      <c r="Q482" t="str">
        <f>IF(LEN(L482),MATCH(L482,'MPIO_SFIO Table'!$A$11:$A$65525,0)-1,"")</f>
        <v/>
      </c>
      <c r="R482" t="str">
        <f ca="1">IF(ISNUMBER(M482),OFFSET('MPIO_SFIO Table'!$AJ$11,M482,0),"")</f>
        <v>unused_LCD_PWR2</v>
      </c>
      <c r="S482" t="str">
        <f ca="1">IF(ISNUMBER(N482),OFFSET('MPIO_SFIO Table'!$AJ$11,N482,0),"")</f>
        <v/>
      </c>
      <c r="T482" t="str">
        <f ca="1">IF(ISNUMBER(O482),OFFSET('MPIO_SFIO Table'!$AJ$11,O482,0),"")</f>
        <v/>
      </c>
      <c r="U482" t="str">
        <f ca="1">IF(ISNUMBER(P482),OFFSET('MPIO_SFIO Table'!$AJ$11,P482,0),"")</f>
        <v/>
      </c>
      <c r="V482" t="str">
        <f ca="1">IF(ISNUMBER(Q482),OFFSET('MPIO_SFIO Table'!$AJ$11,Q482,0),"")</f>
        <v/>
      </c>
      <c r="W482">
        <f t="shared" ca="1" si="67"/>
        <v>0</v>
      </c>
      <c r="X482">
        <f t="shared" ca="1" si="68"/>
        <v>0</v>
      </c>
      <c r="Y482">
        <f t="shared" ca="1" si="69"/>
        <v>0</v>
      </c>
      <c r="Z482">
        <f t="shared" ca="1" si="70"/>
        <v>0</v>
      </c>
      <c r="AA482">
        <f t="shared" ca="1" si="71"/>
        <v>0</v>
      </c>
    </row>
    <row r="483" spans="1:27" x14ac:dyDescent="0.25">
      <c r="A483">
        <f t="shared" ca="1" si="64"/>
        <v>0</v>
      </c>
      <c r="B483" t="str">
        <f t="shared" ca="1" si="65"/>
        <v/>
      </c>
      <c r="C483" t="str">
        <f t="shared" si="66"/>
        <v>LCD0</v>
      </c>
      <c r="D483" t="s">
        <v>253</v>
      </c>
      <c r="E483" t="s">
        <v>253</v>
      </c>
      <c r="F483" s="3" t="s">
        <v>2864</v>
      </c>
      <c r="G483" s="11" t="s">
        <v>564</v>
      </c>
      <c r="H483" s="11" t="s">
        <v>141</v>
      </c>
      <c r="I483" s="3" t="s">
        <v>253</v>
      </c>
      <c r="J483" s="3" t="s">
        <v>253</v>
      </c>
      <c r="K483" s="3" t="s">
        <v>253</v>
      </c>
      <c r="L483" s="3" t="s">
        <v>253</v>
      </c>
      <c r="M483">
        <f>IF(LEN(H483),MATCH(H483,'MPIO_SFIO Table'!$A$11:$A$65525,0)-1,"")</f>
        <v>137</v>
      </c>
      <c r="N483" t="str">
        <f>IF(LEN(I483),MATCH(I483,'MPIO_SFIO Table'!$A$11:$A$65525,0)-1,"")</f>
        <v/>
      </c>
      <c r="O483" t="str">
        <f>IF(LEN(J483),MATCH(J483,'MPIO_SFIO Table'!$A$11:$A$65525,0)-1,"")</f>
        <v/>
      </c>
      <c r="P483" t="str">
        <f>IF(LEN(K483),MATCH(K483,'MPIO_SFIO Table'!$A$11:$A$65525,0)-1,"")</f>
        <v/>
      </c>
      <c r="Q483" t="str">
        <f>IF(LEN(L483),MATCH(L483,'MPIO_SFIO Table'!$A$11:$A$65525,0)-1,"")</f>
        <v/>
      </c>
      <c r="R483" t="str">
        <f ca="1">IF(ISNUMBER(M483),OFFSET('MPIO_SFIO Table'!$AJ$11,M483,0),"")</f>
        <v>unused_LCD_WR_N</v>
      </c>
      <c r="S483" t="str">
        <f ca="1">IF(ISNUMBER(N483),OFFSET('MPIO_SFIO Table'!$AJ$11,N483,0),"")</f>
        <v/>
      </c>
      <c r="T483" t="str">
        <f ca="1">IF(ISNUMBER(O483),OFFSET('MPIO_SFIO Table'!$AJ$11,O483,0),"")</f>
        <v/>
      </c>
      <c r="U483" t="str">
        <f ca="1">IF(ISNUMBER(P483),OFFSET('MPIO_SFIO Table'!$AJ$11,P483,0),"")</f>
        <v/>
      </c>
      <c r="V483" t="str">
        <f ca="1">IF(ISNUMBER(Q483),OFFSET('MPIO_SFIO Table'!$AJ$11,Q483,0),"")</f>
        <v/>
      </c>
      <c r="W483">
        <f t="shared" ca="1" si="67"/>
        <v>0</v>
      </c>
      <c r="X483">
        <f t="shared" ca="1" si="68"/>
        <v>0</v>
      </c>
      <c r="Y483">
        <f t="shared" ca="1" si="69"/>
        <v>0</v>
      </c>
      <c r="Z483">
        <f t="shared" ca="1" si="70"/>
        <v>0</v>
      </c>
      <c r="AA483">
        <f t="shared" ca="1" si="71"/>
        <v>0</v>
      </c>
    </row>
    <row r="484" spans="1:27" x14ac:dyDescent="0.25">
      <c r="A484">
        <f t="shared" ca="1" si="64"/>
        <v>0</v>
      </c>
      <c r="B484" t="str">
        <f t="shared" ca="1" si="65"/>
        <v/>
      </c>
      <c r="C484" t="str">
        <f t="shared" si="66"/>
        <v>LCD0</v>
      </c>
      <c r="D484" t="s">
        <v>253</v>
      </c>
      <c r="E484" t="s">
        <v>253</v>
      </c>
      <c r="F484" s="3" t="s">
        <v>2865</v>
      </c>
      <c r="G484" s="11" t="s">
        <v>553</v>
      </c>
      <c r="H484" s="11" t="s">
        <v>137</v>
      </c>
      <c r="I484" s="3" t="s">
        <v>253</v>
      </c>
      <c r="J484" s="3" t="s">
        <v>253</v>
      </c>
      <c r="K484" s="3" t="s">
        <v>253</v>
      </c>
      <c r="L484" s="3" t="s">
        <v>253</v>
      </c>
      <c r="M484">
        <f>IF(LEN(H484),MATCH(H484,'MPIO_SFIO Table'!$A$11:$A$65525,0)-1,"")</f>
        <v>133</v>
      </c>
      <c r="N484" t="str">
        <f>IF(LEN(I484),MATCH(I484,'MPIO_SFIO Table'!$A$11:$A$65525,0)-1,"")</f>
        <v/>
      </c>
      <c r="O484" t="str">
        <f>IF(LEN(J484),MATCH(J484,'MPIO_SFIO Table'!$A$11:$A$65525,0)-1,"")</f>
        <v/>
      </c>
      <c r="P484" t="str">
        <f>IF(LEN(K484),MATCH(K484,'MPIO_SFIO Table'!$A$11:$A$65525,0)-1,"")</f>
        <v/>
      </c>
      <c r="Q484" t="str">
        <f>IF(LEN(L484),MATCH(L484,'MPIO_SFIO Table'!$A$11:$A$65525,0)-1,"")</f>
        <v/>
      </c>
      <c r="R484" t="str">
        <f ca="1">IF(ISNUMBER(M484),OFFSET('MPIO_SFIO Table'!$AJ$11,M484,0),"")</f>
        <v>unused_LCD_SCK</v>
      </c>
      <c r="S484" t="str">
        <f ca="1">IF(ISNUMBER(N484),OFFSET('MPIO_SFIO Table'!$AJ$11,N484,0),"")</f>
        <v/>
      </c>
      <c r="T484" t="str">
        <f ca="1">IF(ISNUMBER(O484),OFFSET('MPIO_SFIO Table'!$AJ$11,O484,0),"")</f>
        <v/>
      </c>
      <c r="U484" t="str">
        <f ca="1">IF(ISNUMBER(P484),OFFSET('MPIO_SFIO Table'!$AJ$11,P484,0),"")</f>
        <v/>
      </c>
      <c r="V484" t="str">
        <f ca="1">IF(ISNUMBER(Q484),OFFSET('MPIO_SFIO Table'!$AJ$11,Q484,0),"")</f>
        <v/>
      </c>
      <c r="W484">
        <f t="shared" ca="1" si="67"/>
        <v>0</v>
      </c>
      <c r="X484">
        <f t="shared" ca="1" si="68"/>
        <v>0</v>
      </c>
      <c r="Y484">
        <f t="shared" ca="1" si="69"/>
        <v>0</v>
      </c>
      <c r="Z484">
        <f t="shared" ca="1" si="70"/>
        <v>0</v>
      </c>
      <c r="AA484">
        <f t="shared" ca="1" si="71"/>
        <v>0</v>
      </c>
    </row>
    <row r="485" spans="1:27" x14ac:dyDescent="0.25">
      <c r="A485">
        <f t="shared" ca="1" si="64"/>
        <v>0</v>
      </c>
      <c r="B485" t="str">
        <f t="shared" ca="1" si="65"/>
        <v/>
      </c>
      <c r="C485" t="str">
        <f t="shared" si="66"/>
        <v>LCD0</v>
      </c>
      <c r="D485" t="s">
        <v>253</v>
      </c>
      <c r="E485" t="s">
        <v>253</v>
      </c>
      <c r="F485" s="3" t="s">
        <v>2866</v>
      </c>
      <c r="G485" s="11" t="s">
        <v>559</v>
      </c>
      <c r="H485" s="11" t="s">
        <v>139</v>
      </c>
      <c r="I485" s="3" t="s">
        <v>253</v>
      </c>
      <c r="J485" s="3" t="s">
        <v>253</v>
      </c>
      <c r="K485" s="3" t="s">
        <v>253</v>
      </c>
      <c r="L485" s="3" t="s">
        <v>253</v>
      </c>
      <c r="M485">
        <f>IF(LEN(H485),MATCH(H485,'MPIO_SFIO Table'!$A$11:$A$65525,0)-1,"")</f>
        <v>135</v>
      </c>
      <c r="N485" t="str">
        <f>IF(LEN(I485),MATCH(I485,'MPIO_SFIO Table'!$A$11:$A$65525,0)-1,"")</f>
        <v/>
      </c>
      <c r="O485" t="str">
        <f>IF(LEN(J485),MATCH(J485,'MPIO_SFIO Table'!$A$11:$A$65525,0)-1,"")</f>
        <v/>
      </c>
      <c r="P485" t="str">
        <f>IF(LEN(K485),MATCH(K485,'MPIO_SFIO Table'!$A$11:$A$65525,0)-1,"")</f>
        <v/>
      </c>
      <c r="Q485" t="str">
        <f>IF(LEN(L485),MATCH(L485,'MPIO_SFIO Table'!$A$11:$A$65525,0)-1,"")</f>
        <v/>
      </c>
      <c r="R485" t="str">
        <f ca="1">IF(ISNUMBER(M485),OFFSET('MPIO_SFIO Table'!$AJ$11,M485,0),"")</f>
        <v>unused_LCD_SDOUT</v>
      </c>
      <c r="S485" t="str">
        <f ca="1">IF(ISNUMBER(N485),OFFSET('MPIO_SFIO Table'!$AJ$11,N485,0),"")</f>
        <v/>
      </c>
      <c r="T485" t="str">
        <f ca="1">IF(ISNUMBER(O485),OFFSET('MPIO_SFIO Table'!$AJ$11,O485,0),"")</f>
        <v/>
      </c>
      <c r="U485" t="str">
        <f ca="1">IF(ISNUMBER(P485),OFFSET('MPIO_SFIO Table'!$AJ$11,P485,0),"")</f>
        <v/>
      </c>
      <c r="V485" t="str">
        <f ca="1">IF(ISNUMBER(Q485),OFFSET('MPIO_SFIO Table'!$AJ$11,Q485,0),"")</f>
        <v/>
      </c>
      <c r="W485">
        <f t="shared" ca="1" si="67"/>
        <v>0</v>
      </c>
      <c r="X485">
        <f t="shared" ca="1" si="68"/>
        <v>0</v>
      </c>
      <c r="Y485">
        <f t="shared" ca="1" si="69"/>
        <v>0</v>
      </c>
      <c r="Z485">
        <f t="shared" ca="1" si="70"/>
        <v>0</v>
      </c>
      <c r="AA485">
        <f t="shared" ca="1" si="71"/>
        <v>0</v>
      </c>
    </row>
    <row r="486" spans="1:27" x14ac:dyDescent="0.25">
      <c r="A486">
        <f t="shared" ca="1" si="64"/>
        <v>0</v>
      </c>
      <c r="B486" t="str">
        <f t="shared" ca="1" si="65"/>
        <v/>
      </c>
      <c r="C486" t="str">
        <f t="shared" si="66"/>
        <v>LCD0</v>
      </c>
      <c r="D486" t="s">
        <v>253</v>
      </c>
      <c r="E486" t="s">
        <v>253</v>
      </c>
      <c r="F486" s="3" t="s">
        <v>2815</v>
      </c>
      <c r="G486" s="11" t="s">
        <v>556</v>
      </c>
      <c r="H486" s="11" t="s">
        <v>138</v>
      </c>
      <c r="I486" s="3" t="s">
        <v>253</v>
      </c>
      <c r="J486" s="3" t="s">
        <v>253</v>
      </c>
      <c r="K486" s="3" t="s">
        <v>253</v>
      </c>
      <c r="L486" s="3" t="s">
        <v>253</v>
      </c>
      <c r="M486">
        <f>IF(LEN(H486),MATCH(H486,'MPIO_SFIO Table'!$A$11:$A$65525,0)-1,"")</f>
        <v>134</v>
      </c>
      <c r="N486" t="str">
        <f>IF(LEN(I486),MATCH(I486,'MPIO_SFIO Table'!$A$11:$A$65525,0)-1,"")</f>
        <v/>
      </c>
      <c r="O486" t="str">
        <f>IF(LEN(J486),MATCH(J486,'MPIO_SFIO Table'!$A$11:$A$65525,0)-1,"")</f>
        <v/>
      </c>
      <c r="P486" t="str">
        <f>IF(LEN(K486),MATCH(K486,'MPIO_SFIO Table'!$A$11:$A$65525,0)-1,"")</f>
        <v/>
      </c>
      <c r="Q486" t="str">
        <f>IF(LEN(L486),MATCH(L486,'MPIO_SFIO Table'!$A$11:$A$65525,0)-1,"")</f>
        <v/>
      </c>
      <c r="R486" t="str">
        <f ca="1">IF(ISNUMBER(M486),OFFSET('MPIO_SFIO Table'!$AJ$11,M486,0),"")</f>
        <v>unused_LCD_SDIN</v>
      </c>
      <c r="S486" t="str">
        <f ca="1">IF(ISNUMBER(N486),OFFSET('MPIO_SFIO Table'!$AJ$11,N486,0),"")</f>
        <v/>
      </c>
      <c r="T486" t="str">
        <f ca="1">IF(ISNUMBER(O486),OFFSET('MPIO_SFIO Table'!$AJ$11,O486,0),"")</f>
        <v/>
      </c>
      <c r="U486" t="str">
        <f ca="1">IF(ISNUMBER(P486),OFFSET('MPIO_SFIO Table'!$AJ$11,P486,0),"")</f>
        <v/>
      </c>
      <c r="V486" t="str">
        <f ca="1">IF(ISNUMBER(Q486),OFFSET('MPIO_SFIO Table'!$AJ$11,Q486,0),"")</f>
        <v/>
      </c>
      <c r="W486">
        <f t="shared" ca="1" si="67"/>
        <v>0</v>
      </c>
      <c r="X486">
        <f t="shared" ca="1" si="68"/>
        <v>0</v>
      </c>
      <c r="Y486">
        <f t="shared" ca="1" si="69"/>
        <v>0</v>
      </c>
      <c r="Z486">
        <f t="shared" ca="1" si="70"/>
        <v>0</v>
      </c>
      <c r="AA486">
        <f t="shared" ca="1" si="71"/>
        <v>0</v>
      </c>
    </row>
    <row r="487" spans="1:27" x14ac:dyDescent="0.25">
      <c r="A487">
        <f t="shared" ca="1" si="64"/>
        <v>0</v>
      </c>
      <c r="B487" t="str">
        <f t="shared" ca="1" si="65"/>
        <v/>
      </c>
      <c r="C487" t="str">
        <f t="shared" si="66"/>
        <v>LCD0</v>
      </c>
      <c r="D487" t="s">
        <v>253</v>
      </c>
      <c r="E487" t="s">
        <v>253</v>
      </c>
      <c r="F487" s="3" t="s">
        <v>2867</v>
      </c>
      <c r="G487" s="11" t="s">
        <v>535</v>
      </c>
      <c r="H487" s="11" t="s">
        <v>129</v>
      </c>
      <c r="I487" s="3" t="s">
        <v>253</v>
      </c>
      <c r="J487" s="3" t="s">
        <v>253</v>
      </c>
      <c r="K487" s="3" t="s">
        <v>253</v>
      </c>
      <c r="L487" s="3" t="s">
        <v>253</v>
      </c>
      <c r="M487">
        <f>IF(LEN(H487),MATCH(H487,'MPIO_SFIO Table'!$A$11:$A$65525,0)-1,"")</f>
        <v>125</v>
      </c>
      <c r="N487" t="str">
        <f>IF(LEN(I487),MATCH(I487,'MPIO_SFIO Table'!$A$11:$A$65525,0)-1,"")</f>
        <v/>
      </c>
      <c r="O487" t="str">
        <f>IF(LEN(J487),MATCH(J487,'MPIO_SFIO Table'!$A$11:$A$65525,0)-1,"")</f>
        <v/>
      </c>
      <c r="P487" t="str">
        <f>IF(LEN(K487),MATCH(K487,'MPIO_SFIO Table'!$A$11:$A$65525,0)-1,"")</f>
        <v/>
      </c>
      <c r="Q487" t="str">
        <f>IF(LEN(L487),MATCH(L487,'MPIO_SFIO Table'!$A$11:$A$65525,0)-1,"")</f>
        <v/>
      </c>
      <c r="R487" t="str">
        <f ca="1">IF(ISNUMBER(M487),OFFSET('MPIO_SFIO Table'!$AJ$11,M487,0),"")</f>
        <v>unused_LCD_DC1</v>
      </c>
      <c r="S487" t="str">
        <f ca="1">IF(ISNUMBER(N487),OFFSET('MPIO_SFIO Table'!$AJ$11,N487,0),"")</f>
        <v/>
      </c>
      <c r="T487" t="str">
        <f ca="1">IF(ISNUMBER(O487),OFFSET('MPIO_SFIO Table'!$AJ$11,O487,0),"")</f>
        <v/>
      </c>
      <c r="U487" t="str">
        <f ca="1">IF(ISNUMBER(P487),OFFSET('MPIO_SFIO Table'!$AJ$11,P487,0),"")</f>
        <v/>
      </c>
      <c r="V487" t="str">
        <f ca="1">IF(ISNUMBER(Q487),OFFSET('MPIO_SFIO Table'!$AJ$11,Q487,0),"")</f>
        <v/>
      </c>
      <c r="W487">
        <f t="shared" ca="1" si="67"/>
        <v>0</v>
      </c>
      <c r="X487">
        <f t="shared" ca="1" si="68"/>
        <v>0</v>
      </c>
      <c r="Y487">
        <f t="shared" ca="1" si="69"/>
        <v>0</v>
      </c>
      <c r="Z487">
        <f t="shared" ca="1" si="70"/>
        <v>0</v>
      </c>
      <c r="AA487">
        <f t="shared" ca="1" si="71"/>
        <v>0</v>
      </c>
    </row>
    <row r="488" spans="1:27" x14ac:dyDescent="0.25">
      <c r="A488">
        <f t="shared" ca="1" si="64"/>
        <v>0</v>
      </c>
      <c r="B488" t="str">
        <f t="shared" ca="1" si="65"/>
        <v/>
      </c>
      <c r="C488" t="str">
        <f t="shared" si="66"/>
        <v>LCD0</v>
      </c>
      <c r="D488" t="s">
        <v>253</v>
      </c>
      <c r="E488" t="s">
        <v>253</v>
      </c>
      <c r="F488" s="3" t="s">
        <v>2868</v>
      </c>
      <c r="G488" s="11" t="s">
        <v>511</v>
      </c>
      <c r="H488" s="11" t="s">
        <v>117</v>
      </c>
      <c r="I488" s="3" t="s">
        <v>253</v>
      </c>
      <c r="J488" s="3" t="s">
        <v>253</v>
      </c>
      <c r="K488" s="3" t="s">
        <v>253</v>
      </c>
      <c r="L488" s="3" t="s">
        <v>253</v>
      </c>
      <c r="M488">
        <f>IF(LEN(H488),MATCH(H488,'MPIO_SFIO Table'!$A$11:$A$65525,0)-1,"")</f>
        <v>113</v>
      </c>
      <c r="N488" t="str">
        <f>IF(LEN(I488),MATCH(I488,'MPIO_SFIO Table'!$A$11:$A$65525,0)-1,"")</f>
        <v/>
      </c>
      <c r="O488" t="str">
        <f>IF(LEN(J488),MATCH(J488,'MPIO_SFIO Table'!$A$11:$A$65525,0)-1,"")</f>
        <v/>
      </c>
      <c r="P488" t="str">
        <f>IF(LEN(K488),MATCH(K488,'MPIO_SFIO Table'!$A$11:$A$65525,0)-1,"")</f>
        <v/>
      </c>
      <c r="Q488" t="str">
        <f>IF(LEN(L488),MATCH(L488,'MPIO_SFIO Table'!$A$11:$A$65525,0)-1,"")</f>
        <v/>
      </c>
      <c r="R488" t="str">
        <f ca="1">IF(ISNUMBER(M488),OFFSET('MPIO_SFIO Table'!$AJ$11,M488,0),"")</f>
        <v>unused_LCD_D20</v>
      </c>
      <c r="S488" t="str">
        <f ca="1">IF(ISNUMBER(N488),OFFSET('MPIO_SFIO Table'!$AJ$11,N488,0),"")</f>
        <v/>
      </c>
      <c r="T488" t="str">
        <f ca="1">IF(ISNUMBER(O488),OFFSET('MPIO_SFIO Table'!$AJ$11,O488,0),"")</f>
        <v/>
      </c>
      <c r="U488" t="str">
        <f ca="1">IF(ISNUMBER(P488),OFFSET('MPIO_SFIO Table'!$AJ$11,P488,0),"")</f>
        <v/>
      </c>
      <c r="V488" t="str">
        <f ca="1">IF(ISNUMBER(Q488),OFFSET('MPIO_SFIO Table'!$AJ$11,Q488,0),"")</f>
        <v/>
      </c>
      <c r="W488">
        <f t="shared" ca="1" si="67"/>
        <v>0</v>
      </c>
      <c r="X488">
        <f t="shared" ca="1" si="68"/>
        <v>0</v>
      </c>
      <c r="Y488">
        <f t="shared" ca="1" si="69"/>
        <v>0</v>
      </c>
      <c r="Z488">
        <f t="shared" ca="1" si="70"/>
        <v>0</v>
      </c>
      <c r="AA488">
        <f t="shared" ca="1" si="71"/>
        <v>0</v>
      </c>
    </row>
    <row r="489" spans="1:27" x14ac:dyDescent="0.25">
      <c r="A489">
        <f t="shared" ca="1" si="64"/>
        <v>0</v>
      </c>
      <c r="B489" t="str">
        <f t="shared" ca="1" si="65"/>
        <v/>
      </c>
      <c r="C489" t="str">
        <f t="shared" si="66"/>
        <v/>
      </c>
      <c r="D489" t="s">
        <v>2493</v>
      </c>
      <c r="E489" t="s">
        <v>1026</v>
      </c>
      <c r="F489" s="3" t="s">
        <v>253</v>
      </c>
      <c r="G489" s="11" t="s">
        <v>253</v>
      </c>
      <c r="H489" s="11" t="s">
        <v>253</v>
      </c>
      <c r="I489" s="3" t="s">
        <v>253</v>
      </c>
      <c r="J489" s="3" t="s">
        <v>253</v>
      </c>
      <c r="K489" s="3" t="s">
        <v>253</v>
      </c>
      <c r="L489" s="3" t="s">
        <v>253</v>
      </c>
      <c r="M489" t="str">
        <f>IF(LEN(H489),MATCH(H489,'MPIO_SFIO Table'!$A$11:$A$65525,0)-1,"")</f>
        <v/>
      </c>
      <c r="N489" t="str">
        <f>IF(LEN(I489),MATCH(I489,'MPIO_SFIO Table'!$A$11:$A$65525,0)-1,"")</f>
        <v/>
      </c>
      <c r="O489" t="str">
        <f>IF(LEN(J489),MATCH(J489,'MPIO_SFIO Table'!$A$11:$A$65525,0)-1,"")</f>
        <v/>
      </c>
      <c r="P489" t="str">
        <f>IF(LEN(K489),MATCH(K489,'MPIO_SFIO Table'!$A$11:$A$65525,0)-1,"")</f>
        <v/>
      </c>
      <c r="Q489" t="str">
        <f>IF(LEN(L489),MATCH(L489,'MPIO_SFIO Table'!$A$11:$A$65525,0)-1,"")</f>
        <v/>
      </c>
      <c r="R489" t="str">
        <f ca="1">IF(ISNUMBER(M489),OFFSET('MPIO_SFIO Table'!$AJ$11,M489,0),"")</f>
        <v/>
      </c>
      <c r="S489" t="str">
        <f ca="1">IF(ISNUMBER(N489),OFFSET('MPIO_SFIO Table'!$AJ$11,N489,0),"")</f>
        <v/>
      </c>
      <c r="T489" t="str">
        <f ca="1">IF(ISNUMBER(O489),OFFSET('MPIO_SFIO Table'!$AJ$11,O489,0),"")</f>
        <v/>
      </c>
      <c r="U489" t="str">
        <f ca="1">IF(ISNUMBER(P489),OFFSET('MPIO_SFIO Table'!$AJ$11,P489,0),"")</f>
        <v/>
      </c>
      <c r="V489" t="str">
        <f ca="1">IF(ISNUMBER(Q489),OFFSET('MPIO_SFIO Table'!$AJ$11,Q489,0),"")</f>
        <v/>
      </c>
      <c r="W489">
        <f t="shared" ca="1" si="67"/>
        <v>0</v>
      </c>
      <c r="X489">
        <f t="shared" ca="1" si="68"/>
        <v>0</v>
      </c>
      <c r="Y489">
        <f t="shared" ca="1" si="69"/>
        <v>0</v>
      </c>
      <c r="Z489">
        <f t="shared" ca="1" si="70"/>
        <v>0</v>
      </c>
      <c r="AA489">
        <f t="shared" ca="1" si="71"/>
        <v>0</v>
      </c>
    </row>
    <row r="490" spans="1:27" x14ac:dyDescent="0.25">
      <c r="A490">
        <f t="shared" ca="1" si="64"/>
        <v>0</v>
      </c>
      <c r="B490" t="str">
        <f t="shared" ca="1" si="65"/>
        <v/>
      </c>
      <c r="C490" t="str">
        <f t="shared" si="66"/>
        <v>LCD1</v>
      </c>
      <c r="D490" t="s">
        <v>253</v>
      </c>
      <c r="E490" t="s">
        <v>253</v>
      </c>
      <c r="F490" s="3" t="s">
        <v>2847</v>
      </c>
      <c r="G490" s="11" t="s">
        <v>538</v>
      </c>
      <c r="H490" s="11" t="s">
        <v>130</v>
      </c>
      <c r="I490" s="3" t="s">
        <v>253</v>
      </c>
      <c r="J490" s="3" t="s">
        <v>253</v>
      </c>
      <c r="K490" s="3" t="s">
        <v>253</v>
      </c>
      <c r="L490" s="3" t="s">
        <v>253</v>
      </c>
      <c r="M490">
        <f>IF(LEN(H490),MATCH(H490,'MPIO_SFIO Table'!$A$11:$A$65525,0)-1,"")</f>
        <v>126</v>
      </c>
      <c r="N490" t="str">
        <f>IF(LEN(I490),MATCH(I490,'MPIO_SFIO Table'!$A$11:$A$65525,0)-1,"")</f>
        <v/>
      </c>
      <c r="O490" t="str">
        <f>IF(LEN(J490),MATCH(J490,'MPIO_SFIO Table'!$A$11:$A$65525,0)-1,"")</f>
        <v/>
      </c>
      <c r="P490" t="str">
        <f>IF(LEN(K490),MATCH(K490,'MPIO_SFIO Table'!$A$11:$A$65525,0)-1,"")</f>
        <v/>
      </c>
      <c r="Q490" t="str">
        <f>IF(LEN(L490),MATCH(L490,'MPIO_SFIO Table'!$A$11:$A$65525,0)-1,"")</f>
        <v/>
      </c>
      <c r="R490" t="str">
        <f ca="1">IF(ISNUMBER(M490),OFFSET('MPIO_SFIO Table'!$AJ$11,M490,0),"")</f>
        <v>unused_LCD_DE</v>
      </c>
      <c r="S490" t="str">
        <f ca="1">IF(ISNUMBER(N490),OFFSET('MPIO_SFIO Table'!$AJ$11,N490,0),"")</f>
        <v/>
      </c>
      <c r="T490" t="str">
        <f ca="1">IF(ISNUMBER(O490),OFFSET('MPIO_SFIO Table'!$AJ$11,O490,0),"")</f>
        <v/>
      </c>
      <c r="U490" t="str">
        <f ca="1">IF(ISNUMBER(P490),OFFSET('MPIO_SFIO Table'!$AJ$11,P490,0),"")</f>
        <v/>
      </c>
      <c r="V490" t="str">
        <f ca="1">IF(ISNUMBER(Q490),OFFSET('MPIO_SFIO Table'!$AJ$11,Q490,0),"")</f>
        <v/>
      </c>
      <c r="W490">
        <f t="shared" ca="1" si="67"/>
        <v>0</v>
      </c>
      <c r="X490">
        <f t="shared" ca="1" si="68"/>
        <v>0</v>
      </c>
      <c r="Y490">
        <f t="shared" ca="1" si="69"/>
        <v>0</v>
      </c>
      <c r="Z490">
        <f t="shared" ca="1" si="70"/>
        <v>0</v>
      </c>
      <c r="AA490">
        <f t="shared" ca="1" si="71"/>
        <v>0</v>
      </c>
    </row>
    <row r="491" spans="1:27" x14ac:dyDescent="0.25">
      <c r="A491">
        <f t="shared" ca="1" si="64"/>
        <v>0</v>
      </c>
      <c r="B491" t="str">
        <f t="shared" ca="1" si="65"/>
        <v/>
      </c>
      <c r="C491" t="str">
        <f t="shared" si="66"/>
        <v>LCD1</v>
      </c>
      <c r="D491" t="s">
        <v>253</v>
      </c>
      <c r="E491" t="s">
        <v>253</v>
      </c>
      <c r="F491" s="3" t="s">
        <v>2848</v>
      </c>
      <c r="G491" s="11" t="s">
        <v>540</v>
      </c>
      <c r="H491" s="11" t="s">
        <v>131</v>
      </c>
      <c r="I491" s="3" t="s">
        <v>253</v>
      </c>
      <c r="J491" s="3" t="s">
        <v>253</v>
      </c>
      <c r="K491" s="3" t="s">
        <v>253</v>
      </c>
      <c r="L491" s="3" t="s">
        <v>253</v>
      </c>
      <c r="M491">
        <f>IF(LEN(H491),MATCH(H491,'MPIO_SFIO Table'!$A$11:$A$65525,0)-1,"")</f>
        <v>127</v>
      </c>
      <c r="N491" t="str">
        <f>IF(LEN(I491),MATCH(I491,'MPIO_SFIO Table'!$A$11:$A$65525,0)-1,"")</f>
        <v/>
      </c>
      <c r="O491" t="str">
        <f>IF(LEN(J491),MATCH(J491,'MPIO_SFIO Table'!$A$11:$A$65525,0)-1,"")</f>
        <v/>
      </c>
      <c r="P491" t="str">
        <f>IF(LEN(K491),MATCH(K491,'MPIO_SFIO Table'!$A$11:$A$65525,0)-1,"")</f>
        <v/>
      </c>
      <c r="Q491" t="str">
        <f>IF(LEN(L491),MATCH(L491,'MPIO_SFIO Table'!$A$11:$A$65525,0)-1,"")</f>
        <v/>
      </c>
      <c r="R491" t="str">
        <f ca="1">IF(ISNUMBER(M491),OFFSET('MPIO_SFIO Table'!$AJ$11,M491,0),"")</f>
        <v>unused_LCD_HSYNC</v>
      </c>
      <c r="S491" t="str">
        <f ca="1">IF(ISNUMBER(N491),OFFSET('MPIO_SFIO Table'!$AJ$11,N491,0),"")</f>
        <v/>
      </c>
      <c r="T491" t="str">
        <f ca="1">IF(ISNUMBER(O491),OFFSET('MPIO_SFIO Table'!$AJ$11,O491,0),"")</f>
        <v/>
      </c>
      <c r="U491" t="str">
        <f ca="1">IF(ISNUMBER(P491),OFFSET('MPIO_SFIO Table'!$AJ$11,P491,0),"")</f>
        <v/>
      </c>
      <c r="V491" t="str">
        <f ca="1">IF(ISNUMBER(Q491),OFFSET('MPIO_SFIO Table'!$AJ$11,Q491,0),"")</f>
        <v/>
      </c>
      <c r="W491">
        <f t="shared" ca="1" si="67"/>
        <v>0</v>
      </c>
      <c r="X491">
        <f t="shared" ca="1" si="68"/>
        <v>0</v>
      </c>
      <c r="Y491">
        <f t="shared" ca="1" si="69"/>
        <v>0</v>
      </c>
      <c r="Z491">
        <f t="shared" ca="1" si="70"/>
        <v>0</v>
      </c>
      <c r="AA491">
        <f t="shared" ca="1" si="71"/>
        <v>0</v>
      </c>
    </row>
    <row r="492" spans="1:27" x14ac:dyDescent="0.25">
      <c r="A492">
        <f t="shared" ca="1" si="64"/>
        <v>0</v>
      </c>
      <c r="B492" t="str">
        <f t="shared" ca="1" si="65"/>
        <v/>
      </c>
      <c r="C492" t="str">
        <f t="shared" si="66"/>
        <v>LCD1</v>
      </c>
      <c r="D492" t="s">
        <v>253</v>
      </c>
      <c r="E492" t="s">
        <v>253</v>
      </c>
      <c r="F492" s="3" t="s">
        <v>2849</v>
      </c>
      <c r="G492" s="11" t="s">
        <v>544</v>
      </c>
      <c r="H492" s="11" t="s">
        <v>133</v>
      </c>
      <c r="I492" s="3" t="s">
        <v>253</v>
      </c>
      <c r="J492" s="3" t="s">
        <v>253</v>
      </c>
      <c r="K492" s="3" t="s">
        <v>253</v>
      </c>
      <c r="L492" s="3" t="s">
        <v>253</v>
      </c>
      <c r="M492">
        <f>IF(LEN(H492),MATCH(H492,'MPIO_SFIO Table'!$A$11:$A$65525,0)-1,"")</f>
        <v>129</v>
      </c>
      <c r="N492" t="str">
        <f>IF(LEN(I492),MATCH(I492,'MPIO_SFIO Table'!$A$11:$A$65525,0)-1,"")</f>
        <v/>
      </c>
      <c r="O492" t="str">
        <f>IF(LEN(J492),MATCH(J492,'MPIO_SFIO Table'!$A$11:$A$65525,0)-1,"")</f>
        <v/>
      </c>
      <c r="P492" t="str">
        <f>IF(LEN(K492),MATCH(K492,'MPIO_SFIO Table'!$A$11:$A$65525,0)-1,"")</f>
        <v/>
      </c>
      <c r="Q492" t="str">
        <f>IF(LEN(L492),MATCH(L492,'MPIO_SFIO Table'!$A$11:$A$65525,0)-1,"")</f>
        <v/>
      </c>
      <c r="R492" t="str">
        <f ca="1">IF(ISNUMBER(M492),OFFSET('MPIO_SFIO Table'!$AJ$11,M492,0),"")</f>
        <v>unused_LCD_PCLK</v>
      </c>
      <c r="S492" t="str">
        <f ca="1">IF(ISNUMBER(N492),OFFSET('MPIO_SFIO Table'!$AJ$11,N492,0),"")</f>
        <v/>
      </c>
      <c r="T492" t="str">
        <f ca="1">IF(ISNUMBER(O492),OFFSET('MPIO_SFIO Table'!$AJ$11,O492,0),"")</f>
        <v/>
      </c>
      <c r="U492" t="str">
        <f ca="1">IF(ISNUMBER(P492),OFFSET('MPIO_SFIO Table'!$AJ$11,P492,0),"")</f>
        <v/>
      </c>
      <c r="V492" t="str">
        <f ca="1">IF(ISNUMBER(Q492),OFFSET('MPIO_SFIO Table'!$AJ$11,Q492,0),"")</f>
        <v/>
      </c>
      <c r="W492">
        <f t="shared" ca="1" si="67"/>
        <v>0</v>
      </c>
      <c r="X492">
        <f t="shared" ca="1" si="68"/>
        <v>0</v>
      </c>
      <c r="Y492">
        <f t="shared" ca="1" si="69"/>
        <v>0</v>
      </c>
      <c r="Z492">
        <f t="shared" ca="1" si="70"/>
        <v>0</v>
      </c>
      <c r="AA492">
        <f t="shared" ca="1" si="71"/>
        <v>0</v>
      </c>
    </row>
    <row r="493" spans="1:27" x14ac:dyDescent="0.25">
      <c r="A493">
        <f t="shared" ca="1" si="64"/>
        <v>0</v>
      </c>
      <c r="B493" t="str">
        <f t="shared" ca="1" si="65"/>
        <v/>
      </c>
      <c r="C493" t="str">
        <f t="shared" si="66"/>
        <v>LCD1</v>
      </c>
      <c r="D493" t="s">
        <v>253</v>
      </c>
      <c r="E493" t="s">
        <v>253</v>
      </c>
      <c r="F493" s="3" t="s">
        <v>2850</v>
      </c>
      <c r="G493" s="11" t="s">
        <v>563</v>
      </c>
      <c r="H493" s="11" t="s">
        <v>140</v>
      </c>
      <c r="I493" s="3" t="s">
        <v>253</v>
      </c>
      <c r="J493" s="3" t="s">
        <v>253</v>
      </c>
      <c r="K493" s="3" t="s">
        <v>253</v>
      </c>
      <c r="L493" s="3" t="s">
        <v>253</v>
      </c>
      <c r="M493">
        <f>IF(LEN(H493),MATCH(H493,'MPIO_SFIO Table'!$A$11:$A$65525,0)-1,"")</f>
        <v>136</v>
      </c>
      <c r="N493" t="str">
        <f>IF(LEN(I493),MATCH(I493,'MPIO_SFIO Table'!$A$11:$A$65525,0)-1,"")</f>
        <v/>
      </c>
      <c r="O493" t="str">
        <f>IF(LEN(J493),MATCH(J493,'MPIO_SFIO Table'!$A$11:$A$65525,0)-1,"")</f>
        <v/>
      </c>
      <c r="P493" t="str">
        <f>IF(LEN(K493),MATCH(K493,'MPIO_SFIO Table'!$A$11:$A$65525,0)-1,"")</f>
        <v/>
      </c>
      <c r="Q493" t="str">
        <f>IF(LEN(L493),MATCH(L493,'MPIO_SFIO Table'!$A$11:$A$65525,0)-1,"")</f>
        <v/>
      </c>
      <c r="R493" t="str">
        <f ca="1">IF(ISNUMBER(M493),OFFSET('MPIO_SFIO Table'!$AJ$11,M493,0),"")</f>
        <v>unused_LCD_VSYNC</v>
      </c>
      <c r="S493" t="str">
        <f ca="1">IF(ISNUMBER(N493),OFFSET('MPIO_SFIO Table'!$AJ$11,N493,0),"")</f>
        <v/>
      </c>
      <c r="T493" t="str">
        <f ca="1">IF(ISNUMBER(O493),OFFSET('MPIO_SFIO Table'!$AJ$11,O493,0),"")</f>
        <v/>
      </c>
      <c r="U493" t="str">
        <f ca="1">IF(ISNUMBER(P493),OFFSET('MPIO_SFIO Table'!$AJ$11,P493,0),"")</f>
        <v/>
      </c>
      <c r="V493" t="str">
        <f ca="1">IF(ISNUMBER(Q493),OFFSET('MPIO_SFIO Table'!$AJ$11,Q493,0),"")</f>
        <v/>
      </c>
      <c r="W493">
        <f t="shared" ca="1" si="67"/>
        <v>0</v>
      </c>
      <c r="X493">
        <f t="shared" ca="1" si="68"/>
        <v>0</v>
      </c>
      <c r="Y493">
        <f t="shared" ca="1" si="69"/>
        <v>0</v>
      </c>
      <c r="Z493">
        <f t="shared" ca="1" si="70"/>
        <v>0</v>
      </c>
      <c r="AA493">
        <f t="shared" ca="1" si="71"/>
        <v>0</v>
      </c>
    </row>
    <row r="494" spans="1:27" x14ac:dyDescent="0.25">
      <c r="A494">
        <f t="shared" ca="1" si="64"/>
        <v>0</v>
      </c>
      <c r="B494" t="str">
        <f t="shared" ca="1" si="65"/>
        <v/>
      </c>
      <c r="C494" t="str">
        <f t="shared" si="66"/>
        <v/>
      </c>
      <c r="D494" t="s">
        <v>253</v>
      </c>
      <c r="E494" t="s">
        <v>1027</v>
      </c>
      <c r="F494" s="3" t="s">
        <v>253</v>
      </c>
      <c r="G494" s="11" t="s">
        <v>253</v>
      </c>
      <c r="H494" s="11" t="s">
        <v>253</v>
      </c>
      <c r="I494" s="3" t="s">
        <v>253</v>
      </c>
      <c r="J494" s="3" t="s">
        <v>253</v>
      </c>
      <c r="K494" s="3" t="s">
        <v>253</v>
      </c>
      <c r="L494" s="3" t="s">
        <v>253</v>
      </c>
      <c r="M494" t="str">
        <f>IF(LEN(H494),MATCH(H494,'MPIO_SFIO Table'!$A$11:$A$65525,0)-1,"")</f>
        <v/>
      </c>
      <c r="N494" t="str">
        <f>IF(LEN(I494),MATCH(I494,'MPIO_SFIO Table'!$A$11:$A$65525,0)-1,"")</f>
        <v/>
      </c>
      <c r="O494" t="str">
        <f>IF(LEN(J494),MATCH(J494,'MPIO_SFIO Table'!$A$11:$A$65525,0)-1,"")</f>
        <v/>
      </c>
      <c r="P494" t="str">
        <f>IF(LEN(K494),MATCH(K494,'MPIO_SFIO Table'!$A$11:$A$65525,0)-1,"")</f>
        <v/>
      </c>
      <c r="Q494" t="str">
        <f>IF(LEN(L494),MATCH(L494,'MPIO_SFIO Table'!$A$11:$A$65525,0)-1,"")</f>
        <v/>
      </c>
      <c r="R494" t="str">
        <f ca="1">IF(ISNUMBER(M494),OFFSET('MPIO_SFIO Table'!$AJ$11,M494,0),"")</f>
        <v/>
      </c>
      <c r="S494" t="str">
        <f ca="1">IF(ISNUMBER(N494),OFFSET('MPIO_SFIO Table'!$AJ$11,N494,0),"")</f>
        <v/>
      </c>
      <c r="T494" t="str">
        <f ca="1">IF(ISNUMBER(O494),OFFSET('MPIO_SFIO Table'!$AJ$11,O494,0),"")</f>
        <v/>
      </c>
      <c r="U494" t="str">
        <f ca="1">IF(ISNUMBER(P494),OFFSET('MPIO_SFIO Table'!$AJ$11,P494,0),"")</f>
        <v/>
      </c>
      <c r="V494" t="str">
        <f ca="1">IF(ISNUMBER(Q494),OFFSET('MPIO_SFIO Table'!$AJ$11,Q494,0),"")</f>
        <v/>
      </c>
      <c r="W494">
        <f t="shared" ca="1" si="67"/>
        <v>0</v>
      </c>
      <c r="X494">
        <f t="shared" ca="1" si="68"/>
        <v>0</v>
      </c>
      <c r="Y494">
        <f t="shared" ca="1" si="69"/>
        <v>0</v>
      </c>
      <c r="Z494">
        <f t="shared" ca="1" si="70"/>
        <v>0</v>
      </c>
      <c r="AA494">
        <f t="shared" ca="1" si="71"/>
        <v>0</v>
      </c>
    </row>
    <row r="495" spans="1:27" x14ac:dyDescent="0.25">
      <c r="A495">
        <f t="shared" ca="1" si="64"/>
        <v>0</v>
      </c>
      <c r="B495" t="str">
        <f t="shared" ca="1" si="65"/>
        <v/>
      </c>
      <c r="C495" t="str">
        <f t="shared" si="66"/>
        <v>LCD1</v>
      </c>
      <c r="D495" t="s">
        <v>253</v>
      </c>
      <c r="E495" t="s">
        <v>253</v>
      </c>
      <c r="F495" s="3" t="s">
        <v>2847</v>
      </c>
      <c r="G495" s="11" t="s">
        <v>334</v>
      </c>
      <c r="H495" s="11" t="s">
        <v>32</v>
      </c>
      <c r="I495" s="3" t="s">
        <v>253</v>
      </c>
      <c r="J495" s="3" t="s">
        <v>253</v>
      </c>
      <c r="K495" s="3" t="s">
        <v>253</v>
      </c>
      <c r="L495" s="3" t="s">
        <v>253</v>
      </c>
      <c r="M495">
        <f>IF(LEN(H495),MATCH(H495,'MPIO_SFIO Table'!$A$11:$A$65525,0)-1,"")</f>
        <v>25</v>
      </c>
      <c r="N495" t="str">
        <f>IF(LEN(I495),MATCH(I495,'MPIO_SFIO Table'!$A$11:$A$65525,0)-1,"")</f>
        <v/>
      </c>
      <c r="O495" t="str">
        <f>IF(LEN(J495),MATCH(J495,'MPIO_SFIO Table'!$A$11:$A$65525,0)-1,"")</f>
        <v/>
      </c>
      <c r="P495" t="str">
        <f>IF(LEN(K495),MATCH(K495,'MPIO_SFIO Table'!$A$11:$A$65525,0)-1,"")</f>
        <v/>
      </c>
      <c r="Q495" t="str">
        <f>IF(LEN(L495),MATCH(L495,'MPIO_SFIO Table'!$A$11:$A$65525,0)-1,"")</f>
        <v/>
      </c>
      <c r="R495" t="str">
        <f ca="1">IF(ISNUMBER(M495),OFFSET('MPIO_SFIO Table'!$AJ$11,M495,0),"")</f>
        <v>unused_DAP3_FS</v>
      </c>
      <c r="S495" t="str">
        <f ca="1">IF(ISNUMBER(N495),OFFSET('MPIO_SFIO Table'!$AJ$11,N495,0),"")</f>
        <v/>
      </c>
      <c r="T495" t="str">
        <f ca="1">IF(ISNUMBER(O495),OFFSET('MPIO_SFIO Table'!$AJ$11,O495,0),"")</f>
        <v/>
      </c>
      <c r="U495" t="str">
        <f ca="1">IF(ISNUMBER(P495),OFFSET('MPIO_SFIO Table'!$AJ$11,P495,0),"")</f>
        <v/>
      </c>
      <c r="V495" t="str">
        <f ca="1">IF(ISNUMBER(Q495),OFFSET('MPIO_SFIO Table'!$AJ$11,Q495,0),"")</f>
        <v/>
      </c>
      <c r="W495">
        <f t="shared" ca="1" si="67"/>
        <v>0</v>
      </c>
      <c r="X495">
        <f t="shared" ca="1" si="68"/>
        <v>0</v>
      </c>
      <c r="Y495">
        <f t="shared" ca="1" si="69"/>
        <v>0</v>
      </c>
      <c r="Z495">
        <f t="shared" ca="1" si="70"/>
        <v>0</v>
      </c>
      <c r="AA495">
        <f t="shared" ca="1" si="71"/>
        <v>0</v>
      </c>
    </row>
    <row r="496" spans="1:27" x14ac:dyDescent="0.25">
      <c r="A496">
        <f t="shared" ca="1" si="64"/>
        <v>0</v>
      </c>
      <c r="B496" t="str">
        <f t="shared" ca="1" si="65"/>
        <v/>
      </c>
      <c r="C496" t="str">
        <f t="shared" si="66"/>
        <v>LCD1</v>
      </c>
      <c r="D496" t="s">
        <v>253</v>
      </c>
      <c r="E496" t="s">
        <v>253</v>
      </c>
      <c r="F496" s="3" t="s">
        <v>2848</v>
      </c>
      <c r="G496" s="11" t="s">
        <v>326</v>
      </c>
      <c r="H496" s="11" t="s">
        <v>30</v>
      </c>
      <c r="I496" s="3" t="s">
        <v>253</v>
      </c>
      <c r="J496" s="3" t="s">
        <v>253</v>
      </c>
      <c r="K496" s="3" t="s">
        <v>253</v>
      </c>
      <c r="L496" s="3" t="s">
        <v>253</v>
      </c>
      <c r="M496">
        <f>IF(LEN(H496),MATCH(H496,'MPIO_SFIO Table'!$A$11:$A$65525,0)-1,"")</f>
        <v>23</v>
      </c>
      <c r="N496" t="str">
        <f>IF(LEN(I496),MATCH(I496,'MPIO_SFIO Table'!$A$11:$A$65525,0)-1,"")</f>
        <v/>
      </c>
      <c r="O496" t="str">
        <f>IF(LEN(J496),MATCH(J496,'MPIO_SFIO Table'!$A$11:$A$65525,0)-1,"")</f>
        <v/>
      </c>
      <c r="P496" t="str">
        <f>IF(LEN(K496),MATCH(K496,'MPIO_SFIO Table'!$A$11:$A$65525,0)-1,"")</f>
        <v/>
      </c>
      <c r="Q496" t="str">
        <f>IF(LEN(L496),MATCH(L496,'MPIO_SFIO Table'!$A$11:$A$65525,0)-1,"")</f>
        <v/>
      </c>
      <c r="R496" t="str">
        <f ca="1">IF(ISNUMBER(M496),OFFSET('MPIO_SFIO Table'!$AJ$11,M496,0),"")</f>
        <v>unused_DAP3_DIN</v>
      </c>
      <c r="S496" t="str">
        <f ca="1">IF(ISNUMBER(N496),OFFSET('MPIO_SFIO Table'!$AJ$11,N496,0),"")</f>
        <v/>
      </c>
      <c r="T496" t="str">
        <f ca="1">IF(ISNUMBER(O496),OFFSET('MPIO_SFIO Table'!$AJ$11,O496,0),"")</f>
        <v/>
      </c>
      <c r="U496" t="str">
        <f ca="1">IF(ISNUMBER(P496),OFFSET('MPIO_SFIO Table'!$AJ$11,P496,0),"")</f>
        <v/>
      </c>
      <c r="V496" t="str">
        <f ca="1">IF(ISNUMBER(Q496),OFFSET('MPIO_SFIO Table'!$AJ$11,Q496,0),"")</f>
        <v/>
      </c>
      <c r="W496">
        <f t="shared" ca="1" si="67"/>
        <v>0</v>
      </c>
      <c r="X496">
        <f t="shared" ca="1" si="68"/>
        <v>0</v>
      </c>
      <c r="Y496">
        <f t="shared" ca="1" si="69"/>
        <v>0</v>
      </c>
      <c r="Z496">
        <f t="shared" ca="1" si="70"/>
        <v>0</v>
      </c>
      <c r="AA496">
        <f t="shared" ca="1" si="71"/>
        <v>0</v>
      </c>
    </row>
    <row r="497" spans="1:27" x14ac:dyDescent="0.25">
      <c r="A497">
        <f t="shared" ca="1" si="64"/>
        <v>0</v>
      </c>
      <c r="B497" t="str">
        <f t="shared" ca="1" si="65"/>
        <v/>
      </c>
      <c r="C497" t="str">
        <f t="shared" si="66"/>
        <v>LCD1</v>
      </c>
      <c r="D497" t="s">
        <v>253</v>
      </c>
      <c r="E497" t="s">
        <v>253</v>
      </c>
      <c r="F497" s="3" t="s">
        <v>2849</v>
      </c>
      <c r="G497" s="11" t="s">
        <v>337</v>
      </c>
      <c r="H497" s="11" t="s">
        <v>33</v>
      </c>
      <c r="I497" s="3" t="s">
        <v>253</v>
      </c>
      <c r="J497" s="3" t="s">
        <v>253</v>
      </c>
      <c r="K497" s="3" t="s">
        <v>253</v>
      </c>
      <c r="L497" s="3" t="s">
        <v>253</v>
      </c>
      <c r="M497">
        <f>IF(LEN(H497),MATCH(H497,'MPIO_SFIO Table'!$A$11:$A$65525,0)-1,"")</f>
        <v>26</v>
      </c>
      <c r="N497" t="str">
        <f>IF(LEN(I497),MATCH(I497,'MPIO_SFIO Table'!$A$11:$A$65525,0)-1,"")</f>
        <v/>
      </c>
      <c r="O497" t="str">
        <f>IF(LEN(J497),MATCH(J497,'MPIO_SFIO Table'!$A$11:$A$65525,0)-1,"")</f>
        <v/>
      </c>
      <c r="P497" t="str">
        <f>IF(LEN(K497),MATCH(K497,'MPIO_SFIO Table'!$A$11:$A$65525,0)-1,"")</f>
        <v/>
      </c>
      <c r="Q497" t="str">
        <f>IF(LEN(L497),MATCH(L497,'MPIO_SFIO Table'!$A$11:$A$65525,0)-1,"")</f>
        <v/>
      </c>
      <c r="R497" t="str">
        <f ca="1">IF(ISNUMBER(M497),OFFSET('MPIO_SFIO Table'!$AJ$11,M497,0),"")</f>
        <v>unused_DAP3_SCLK</v>
      </c>
      <c r="S497" t="str">
        <f ca="1">IF(ISNUMBER(N497),OFFSET('MPIO_SFIO Table'!$AJ$11,N497,0),"")</f>
        <v/>
      </c>
      <c r="T497" t="str">
        <f ca="1">IF(ISNUMBER(O497),OFFSET('MPIO_SFIO Table'!$AJ$11,O497,0),"")</f>
        <v/>
      </c>
      <c r="U497" t="str">
        <f ca="1">IF(ISNUMBER(P497),OFFSET('MPIO_SFIO Table'!$AJ$11,P497,0),"")</f>
        <v/>
      </c>
      <c r="V497" t="str">
        <f ca="1">IF(ISNUMBER(Q497),OFFSET('MPIO_SFIO Table'!$AJ$11,Q497,0),"")</f>
        <v/>
      </c>
      <c r="W497">
        <f t="shared" ca="1" si="67"/>
        <v>0</v>
      </c>
      <c r="X497">
        <f t="shared" ca="1" si="68"/>
        <v>0</v>
      </c>
      <c r="Y497">
        <f t="shared" ca="1" si="69"/>
        <v>0</v>
      </c>
      <c r="Z497">
        <f t="shared" ca="1" si="70"/>
        <v>0</v>
      </c>
      <c r="AA497">
        <f t="shared" ca="1" si="71"/>
        <v>0</v>
      </c>
    </row>
    <row r="498" spans="1:27" x14ac:dyDescent="0.25">
      <c r="A498">
        <f t="shared" ca="1" si="64"/>
        <v>0</v>
      </c>
      <c r="B498" t="str">
        <f t="shared" ca="1" si="65"/>
        <v/>
      </c>
      <c r="C498" t="str">
        <f t="shared" si="66"/>
        <v>LCD1</v>
      </c>
      <c r="D498" t="s">
        <v>253</v>
      </c>
      <c r="E498" t="s">
        <v>253</v>
      </c>
      <c r="F498" s="3" t="s">
        <v>2850</v>
      </c>
      <c r="G498" s="11" t="s">
        <v>331</v>
      </c>
      <c r="H498" s="11" t="s">
        <v>31</v>
      </c>
      <c r="I498" s="3" t="s">
        <v>253</v>
      </c>
      <c r="J498" s="3" t="s">
        <v>253</v>
      </c>
      <c r="K498" s="3" t="s">
        <v>253</v>
      </c>
      <c r="L498" s="3" t="s">
        <v>253</v>
      </c>
      <c r="M498">
        <f>IF(LEN(H498),MATCH(H498,'MPIO_SFIO Table'!$A$11:$A$65525,0)-1,"")</f>
        <v>24</v>
      </c>
      <c r="N498" t="str">
        <f>IF(LEN(I498),MATCH(I498,'MPIO_SFIO Table'!$A$11:$A$65525,0)-1,"")</f>
        <v/>
      </c>
      <c r="O498" t="str">
        <f>IF(LEN(J498),MATCH(J498,'MPIO_SFIO Table'!$A$11:$A$65525,0)-1,"")</f>
        <v/>
      </c>
      <c r="P498" t="str">
        <f>IF(LEN(K498),MATCH(K498,'MPIO_SFIO Table'!$A$11:$A$65525,0)-1,"")</f>
        <v/>
      </c>
      <c r="Q498" t="str">
        <f>IF(LEN(L498),MATCH(L498,'MPIO_SFIO Table'!$A$11:$A$65525,0)-1,"")</f>
        <v/>
      </c>
      <c r="R498" t="str">
        <f ca="1">IF(ISNUMBER(M498),OFFSET('MPIO_SFIO Table'!$AJ$11,M498,0),"")</f>
        <v>unused_DAP3_DOUT</v>
      </c>
      <c r="S498" t="str">
        <f ca="1">IF(ISNUMBER(N498),OFFSET('MPIO_SFIO Table'!$AJ$11,N498,0),"")</f>
        <v/>
      </c>
      <c r="T498" t="str">
        <f ca="1">IF(ISNUMBER(O498),OFFSET('MPIO_SFIO Table'!$AJ$11,O498,0),"")</f>
        <v/>
      </c>
      <c r="U498" t="str">
        <f ca="1">IF(ISNUMBER(P498),OFFSET('MPIO_SFIO Table'!$AJ$11,P498,0),"")</f>
        <v/>
      </c>
      <c r="V498" t="str">
        <f ca="1">IF(ISNUMBER(Q498),OFFSET('MPIO_SFIO Table'!$AJ$11,Q498,0),"")</f>
        <v/>
      </c>
      <c r="W498">
        <f t="shared" ca="1" si="67"/>
        <v>0</v>
      </c>
      <c r="X498">
        <f t="shared" ca="1" si="68"/>
        <v>0</v>
      </c>
      <c r="Y498">
        <f t="shared" ca="1" si="69"/>
        <v>0</v>
      </c>
      <c r="Z498">
        <f t="shared" ca="1" si="70"/>
        <v>0</v>
      </c>
      <c r="AA498">
        <f t="shared" ca="1" si="71"/>
        <v>0</v>
      </c>
    </row>
    <row r="499" spans="1:27" x14ac:dyDescent="0.25">
      <c r="A499">
        <f t="shared" ca="1" si="64"/>
        <v>0</v>
      </c>
      <c r="B499" t="str">
        <f t="shared" ca="1" si="65"/>
        <v/>
      </c>
      <c r="C499" t="str">
        <f t="shared" si="66"/>
        <v/>
      </c>
      <c r="D499" t="s">
        <v>253</v>
      </c>
      <c r="E499" t="s">
        <v>1028</v>
      </c>
      <c r="F499" s="3" t="s">
        <v>253</v>
      </c>
      <c r="G499" s="11" t="s">
        <v>253</v>
      </c>
      <c r="H499" s="11" t="s">
        <v>253</v>
      </c>
      <c r="I499" s="3" t="s">
        <v>253</v>
      </c>
      <c r="J499" s="3" t="s">
        <v>253</v>
      </c>
      <c r="K499" s="3" t="s">
        <v>253</v>
      </c>
      <c r="L499" s="3" t="s">
        <v>253</v>
      </c>
      <c r="M499" t="str">
        <f>IF(LEN(H499),MATCH(H499,'MPIO_SFIO Table'!$A$11:$A$65525,0)-1,"")</f>
        <v/>
      </c>
      <c r="N499" t="str">
        <f>IF(LEN(I499),MATCH(I499,'MPIO_SFIO Table'!$A$11:$A$65525,0)-1,"")</f>
        <v/>
      </c>
      <c r="O499" t="str">
        <f>IF(LEN(J499),MATCH(J499,'MPIO_SFIO Table'!$A$11:$A$65525,0)-1,"")</f>
        <v/>
      </c>
      <c r="P499" t="str">
        <f>IF(LEN(K499),MATCH(K499,'MPIO_SFIO Table'!$A$11:$A$65525,0)-1,"")</f>
        <v/>
      </c>
      <c r="Q499" t="str">
        <f>IF(LEN(L499),MATCH(L499,'MPIO_SFIO Table'!$A$11:$A$65525,0)-1,"")</f>
        <v/>
      </c>
      <c r="R499" t="str">
        <f ca="1">IF(ISNUMBER(M499),OFFSET('MPIO_SFIO Table'!$AJ$11,M499,0),"")</f>
        <v/>
      </c>
      <c r="S499" t="str">
        <f ca="1">IF(ISNUMBER(N499),OFFSET('MPIO_SFIO Table'!$AJ$11,N499,0),"")</f>
        <v/>
      </c>
      <c r="T499" t="str">
        <f ca="1">IF(ISNUMBER(O499),OFFSET('MPIO_SFIO Table'!$AJ$11,O499,0),"")</f>
        <v/>
      </c>
      <c r="U499" t="str">
        <f ca="1">IF(ISNUMBER(P499),OFFSET('MPIO_SFIO Table'!$AJ$11,P499,0),"")</f>
        <v/>
      </c>
      <c r="V499" t="str">
        <f ca="1">IF(ISNUMBER(Q499),OFFSET('MPIO_SFIO Table'!$AJ$11,Q499,0),"")</f>
        <v/>
      </c>
      <c r="W499">
        <f t="shared" ca="1" si="67"/>
        <v>0</v>
      </c>
      <c r="X499">
        <f t="shared" ca="1" si="68"/>
        <v>0</v>
      </c>
      <c r="Y499">
        <f t="shared" ca="1" si="69"/>
        <v>0</v>
      </c>
      <c r="Z499">
        <f t="shared" ca="1" si="70"/>
        <v>0</v>
      </c>
      <c r="AA499">
        <f t="shared" ca="1" si="71"/>
        <v>0</v>
      </c>
    </row>
    <row r="500" spans="1:27" x14ac:dyDescent="0.25">
      <c r="A500">
        <f t="shared" ca="1" si="64"/>
        <v>0</v>
      </c>
      <c r="B500" t="str">
        <f t="shared" ca="1" si="65"/>
        <v/>
      </c>
      <c r="C500" t="str">
        <f t="shared" si="66"/>
        <v>LCD1</v>
      </c>
      <c r="D500" t="s">
        <v>253</v>
      </c>
      <c r="E500" t="s">
        <v>253</v>
      </c>
      <c r="F500" s="3" t="s">
        <v>2847</v>
      </c>
      <c r="G500" s="11" t="s">
        <v>378</v>
      </c>
      <c r="H500" s="11" t="s">
        <v>52</v>
      </c>
      <c r="I500" s="3" t="s">
        <v>253</v>
      </c>
      <c r="J500" s="3" t="s">
        <v>253</v>
      </c>
      <c r="K500" s="3" t="s">
        <v>253</v>
      </c>
      <c r="L500" s="3" t="s">
        <v>253</v>
      </c>
      <c r="M500">
        <f>IF(LEN(H500),MATCH(H500,'MPIO_SFIO Table'!$A$11:$A$65525,0)-1,"")</f>
        <v>46</v>
      </c>
      <c r="N500" t="str">
        <f>IF(LEN(I500),MATCH(I500,'MPIO_SFIO Table'!$A$11:$A$65525,0)-1,"")</f>
        <v/>
      </c>
      <c r="O500" t="str">
        <f>IF(LEN(J500),MATCH(J500,'MPIO_SFIO Table'!$A$11:$A$65525,0)-1,"")</f>
        <v/>
      </c>
      <c r="P500" t="str">
        <f>IF(LEN(K500),MATCH(K500,'MPIO_SFIO Table'!$A$11:$A$65525,0)-1,"")</f>
        <v/>
      </c>
      <c r="Q500" t="str">
        <f>IF(LEN(L500),MATCH(L500,'MPIO_SFIO Table'!$A$11:$A$65525,0)-1,"")</f>
        <v/>
      </c>
      <c r="R500" t="str">
        <f ca="1">IF(ISNUMBER(M500),OFFSET('MPIO_SFIO Table'!$AJ$11,M500,0),"")</f>
        <v>unused_GPIO_PBB3</v>
      </c>
      <c r="S500" t="str">
        <f ca="1">IF(ISNUMBER(N500),OFFSET('MPIO_SFIO Table'!$AJ$11,N500,0),"")</f>
        <v/>
      </c>
      <c r="T500" t="str">
        <f ca="1">IF(ISNUMBER(O500),OFFSET('MPIO_SFIO Table'!$AJ$11,O500,0),"")</f>
        <v/>
      </c>
      <c r="U500" t="str">
        <f ca="1">IF(ISNUMBER(P500),OFFSET('MPIO_SFIO Table'!$AJ$11,P500,0),"")</f>
        <v/>
      </c>
      <c r="V500" t="str">
        <f ca="1">IF(ISNUMBER(Q500),OFFSET('MPIO_SFIO Table'!$AJ$11,Q500,0),"")</f>
        <v/>
      </c>
      <c r="W500">
        <f t="shared" ca="1" si="67"/>
        <v>0</v>
      </c>
      <c r="X500">
        <f t="shared" ca="1" si="68"/>
        <v>0</v>
      </c>
      <c r="Y500">
        <f t="shared" ca="1" si="69"/>
        <v>0</v>
      </c>
      <c r="Z500">
        <f t="shared" ca="1" si="70"/>
        <v>0</v>
      </c>
      <c r="AA500">
        <f t="shared" ca="1" si="71"/>
        <v>0</v>
      </c>
    </row>
    <row r="501" spans="1:27" x14ac:dyDescent="0.25">
      <c r="A501">
        <f t="shared" ca="1" si="64"/>
        <v>0</v>
      </c>
      <c r="B501" t="str">
        <f t="shared" ca="1" si="65"/>
        <v/>
      </c>
      <c r="C501" t="str">
        <f t="shared" si="66"/>
        <v>LCD1</v>
      </c>
      <c r="D501" t="s">
        <v>253</v>
      </c>
      <c r="E501" t="s">
        <v>253</v>
      </c>
      <c r="F501" s="3" t="s">
        <v>2848</v>
      </c>
      <c r="G501" s="11" t="s">
        <v>382</v>
      </c>
      <c r="H501" s="11" t="s">
        <v>53</v>
      </c>
      <c r="I501" s="3" t="s">
        <v>253</v>
      </c>
      <c r="J501" s="3" t="s">
        <v>253</v>
      </c>
      <c r="K501" s="3" t="s">
        <v>253</v>
      </c>
      <c r="L501" s="3" t="s">
        <v>253</v>
      </c>
      <c r="M501">
        <f>IF(LEN(H501),MATCH(H501,'MPIO_SFIO Table'!$A$11:$A$65525,0)-1,"")</f>
        <v>47</v>
      </c>
      <c r="N501" t="str">
        <f>IF(LEN(I501),MATCH(I501,'MPIO_SFIO Table'!$A$11:$A$65525,0)-1,"")</f>
        <v/>
      </c>
      <c r="O501" t="str">
        <f>IF(LEN(J501),MATCH(J501,'MPIO_SFIO Table'!$A$11:$A$65525,0)-1,"")</f>
        <v/>
      </c>
      <c r="P501" t="str">
        <f>IF(LEN(K501),MATCH(K501,'MPIO_SFIO Table'!$A$11:$A$65525,0)-1,"")</f>
        <v/>
      </c>
      <c r="Q501" t="str">
        <f>IF(LEN(L501),MATCH(L501,'MPIO_SFIO Table'!$A$11:$A$65525,0)-1,"")</f>
        <v/>
      </c>
      <c r="R501" t="str">
        <f ca="1">IF(ISNUMBER(M501),OFFSET('MPIO_SFIO Table'!$AJ$11,M501,0),"")</f>
        <v>unused_GPIO_PBB4</v>
      </c>
      <c r="S501" t="str">
        <f ca="1">IF(ISNUMBER(N501),OFFSET('MPIO_SFIO Table'!$AJ$11,N501,0),"")</f>
        <v/>
      </c>
      <c r="T501" t="str">
        <f ca="1">IF(ISNUMBER(O501),OFFSET('MPIO_SFIO Table'!$AJ$11,O501,0),"")</f>
        <v/>
      </c>
      <c r="U501" t="str">
        <f ca="1">IF(ISNUMBER(P501),OFFSET('MPIO_SFIO Table'!$AJ$11,P501,0),"")</f>
        <v/>
      </c>
      <c r="V501" t="str">
        <f ca="1">IF(ISNUMBER(Q501),OFFSET('MPIO_SFIO Table'!$AJ$11,Q501,0),"")</f>
        <v/>
      </c>
      <c r="W501">
        <f t="shared" ca="1" si="67"/>
        <v>0</v>
      </c>
      <c r="X501">
        <f t="shared" ca="1" si="68"/>
        <v>0</v>
      </c>
      <c r="Y501">
        <f t="shared" ca="1" si="69"/>
        <v>0</v>
      </c>
      <c r="Z501">
        <f t="shared" ca="1" si="70"/>
        <v>0</v>
      </c>
      <c r="AA501">
        <f t="shared" ca="1" si="71"/>
        <v>0</v>
      </c>
    </row>
    <row r="502" spans="1:27" x14ac:dyDescent="0.25">
      <c r="A502">
        <f t="shared" ca="1" si="64"/>
        <v>0</v>
      </c>
      <c r="B502" t="str">
        <f t="shared" ca="1" si="65"/>
        <v/>
      </c>
      <c r="C502" t="str">
        <f t="shared" si="66"/>
        <v>LCD1</v>
      </c>
      <c r="D502" t="s">
        <v>253</v>
      </c>
      <c r="E502" t="s">
        <v>253</v>
      </c>
      <c r="F502" s="3" t="s">
        <v>2849</v>
      </c>
      <c r="G502" s="11" t="s">
        <v>391</v>
      </c>
      <c r="H502" s="11" t="s">
        <v>55</v>
      </c>
      <c r="I502" s="3" t="s">
        <v>253</v>
      </c>
      <c r="J502" s="3" t="s">
        <v>253</v>
      </c>
      <c r="K502" s="3" t="s">
        <v>253</v>
      </c>
      <c r="L502" s="3" t="s">
        <v>253</v>
      </c>
      <c r="M502">
        <f>IF(LEN(H502),MATCH(H502,'MPIO_SFIO Table'!$A$11:$A$65525,0)-1,"")</f>
        <v>49</v>
      </c>
      <c r="N502" t="str">
        <f>IF(LEN(I502),MATCH(I502,'MPIO_SFIO Table'!$A$11:$A$65525,0)-1,"")</f>
        <v/>
      </c>
      <c r="O502" t="str">
        <f>IF(LEN(J502),MATCH(J502,'MPIO_SFIO Table'!$A$11:$A$65525,0)-1,"")</f>
        <v/>
      </c>
      <c r="P502" t="str">
        <f>IF(LEN(K502),MATCH(K502,'MPIO_SFIO Table'!$A$11:$A$65525,0)-1,"")</f>
        <v/>
      </c>
      <c r="Q502" t="str">
        <f>IF(LEN(L502),MATCH(L502,'MPIO_SFIO Table'!$A$11:$A$65525,0)-1,"")</f>
        <v/>
      </c>
      <c r="R502" t="str">
        <f ca="1">IF(ISNUMBER(M502),OFFSET('MPIO_SFIO Table'!$AJ$11,M502,0),"")</f>
        <v>unused_GPIO_PBB6</v>
      </c>
      <c r="S502" t="str">
        <f ca="1">IF(ISNUMBER(N502),OFFSET('MPIO_SFIO Table'!$AJ$11,N502,0),"")</f>
        <v/>
      </c>
      <c r="T502" t="str">
        <f ca="1">IF(ISNUMBER(O502),OFFSET('MPIO_SFIO Table'!$AJ$11,O502,0),"")</f>
        <v/>
      </c>
      <c r="U502" t="str">
        <f ca="1">IF(ISNUMBER(P502),OFFSET('MPIO_SFIO Table'!$AJ$11,P502,0),"")</f>
        <v/>
      </c>
      <c r="V502" t="str">
        <f ca="1">IF(ISNUMBER(Q502),OFFSET('MPIO_SFIO Table'!$AJ$11,Q502,0),"")</f>
        <v/>
      </c>
      <c r="W502">
        <f t="shared" ca="1" si="67"/>
        <v>0</v>
      </c>
      <c r="X502">
        <f t="shared" ca="1" si="68"/>
        <v>0</v>
      </c>
      <c r="Y502">
        <f t="shared" ca="1" si="69"/>
        <v>0</v>
      </c>
      <c r="Z502">
        <f t="shared" ca="1" si="70"/>
        <v>0</v>
      </c>
      <c r="AA502">
        <f t="shared" ca="1" si="71"/>
        <v>0</v>
      </c>
    </row>
    <row r="503" spans="1:27" x14ac:dyDescent="0.25">
      <c r="A503">
        <f t="shared" ca="1" si="64"/>
        <v>0</v>
      </c>
      <c r="B503" t="str">
        <f t="shared" ca="1" si="65"/>
        <v/>
      </c>
      <c r="C503" t="str">
        <f t="shared" si="66"/>
        <v>LCD1</v>
      </c>
      <c r="D503" t="s">
        <v>253</v>
      </c>
      <c r="E503" t="s">
        <v>253</v>
      </c>
      <c r="F503" s="3" t="s">
        <v>2850</v>
      </c>
      <c r="G503" s="11" t="s">
        <v>387</v>
      </c>
      <c r="H503" s="11" t="s">
        <v>54</v>
      </c>
      <c r="I503" s="3" t="s">
        <v>253</v>
      </c>
      <c r="J503" s="3" t="s">
        <v>253</v>
      </c>
      <c r="K503" s="3" t="s">
        <v>253</v>
      </c>
      <c r="L503" s="3" t="s">
        <v>253</v>
      </c>
      <c r="M503">
        <f>IF(LEN(H503),MATCH(H503,'MPIO_SFIO Table'!$A$11:$A$65525,0)-1,"")</f>
        <v>48</v>
      </c>
      <c r="N503" t="str">
        <f>IF(LEN(I503),MATCH(I503,'MPIO_SFIO Table'!$A$11:$A$65525,0)-1,"")</f>
        <v/>
      </c>
      <c r="O503" t="str">
        <f>IF(LEN(J503),MATCH(J503,'MPIO_SFIO Table'!$A$11:$A$65525,0)-1,"")</f>
        <v/>
      </c>
      <c r="P503" t="str">
        <f>IF(LEN(K503),MATCH(K503,'MPIO_SFIO Table'!$A$11:$A$65525,0)-1,"")</f>
        <v/>
      </c>
      <c r="Q503" t="str">
        <f>IF(LEN(L503),MATCH(L503,'MPIO_SFIO Table'!$A$11:$A$65525,0)-1,"")</f>
        <v/>
      </c>
      <c r="R503" t="str">
        <f ca="1">IF(ISNUMBER(M503),OFFSET('MPIO_SFIO Table'!$AJ$11,M503,0),"")</f>
        <v>unused_GPIO_PBB5</v>
      </c>
      <c r="S503" t="str">
        <f ca="1">IF(ISNUMBER(N503),OFFSET('MPIO_SFIO Table'!$AJ$11,N503,0),"")</f>
        <v/>
      </c>
      <c r="T503" t="str">
        <f ca="1">IF(ISNUMBER(O503),OFFSET('MPIO_SFIO Table'!$AJ$11,O503,0),"")</f>
        <v/>
      </c>
      <c r="U503" t="str">
        <f ca="1">IF(ISNUMBER(P503),OFFSET('MPIO_SFIO Table'!$AJ$11,P503,0),"")</f>
        <v/>
      </c>
      <c r="V503" t="str">
        <f ca="1">IF(ISNUMBER(Q503),OFFSET('MPIO_SFIO Table'!$AJ$11,Q503,0),"")</f>
        <v/>
      </c>
      <c r="W503">
        <f t="shared" ca="1" si="67"/>
        <v>0</v>
      </c>
      <c r="X503">
        <f t="shared" ca="1" si="68"/>
        <v>0</v>
      </c>
      <c r="Y503">
        <f t="shared" ca="1" si="69"/>
        <v>0</v>
      </c>
      <c r="Z503">
        <f t="shared" ca="1" si="70"/>
        <v>0</v>
      </c>
      <c r="AA503">
        <f t="shared" ca="1" si="71"/>
        <v>0</v>
      </c>
    </row>
    <row r="504" spans="1:27" x14ac:dyDescent="0.25">
      <c r="A504">
        <f t="shared" ca="1" si="64"/>
        <v>0</v>
      </c>
      <c r="B504" t="str">
        <f t="shared" ca="1" si="65"/>
        <v/>
      </c>
      <c r="C504" t="str">
        <f t="shared" si="66"/>
        <v/>
      </c>
      <c r="D504" t="s">
        <v>253</v>
      </c>
      <c r="E504" t="s">
        <v>1046</v>
      </c>
      <c r="F504" s="3" t="s">
        <v>253</v>
      </c>
      <c r="G504" s="11" t="s">
        <v>253</v>
      </c>
      <c r="H504" s="11" t="s">
        <v>253</v>
      </c>
      <c r="I504" s="3" t="s">
        <v>253</v>
      </c>
      <c r="J504" s="3" t="s">
        <v>253</v>
      </c>
      <c r="K504" s="3" t="s">
        <v>253</v>
      </c>
      <c r="L504" s="3" t="s">
        <v>253</v>
      </c>
      <c r="M504" t="str">
        <f>IF(LEN(H504),MATCH(H504,'MPIO_SFIO Table'!$A$11:$A$65525,0)-1,"")</f>
        <v/>
      </c>
      <c r="N504" t="str">
        <f>IF(LEN(I504),MATCH(I504,'MPIO_SFIO Table'!$A$11:$A$65525,0)-1,"")</f>
        <v/>
      </c>
      <c r="O504" t="str">
        <f>IF(LEN(J504),MATCH(J504,'MPIO_SFIO Table'!$A$11:$A$65525,0)-1,"")</f>
        <v/>
      </c>
      <c r="P504" t="str">
        <f>IF(LEN(K504),MATCH(K504,'MPIO_SFIO Table'!$A$11:$A$65525,0)-1,"")</f>
        <v/>
      </c>
      <c r="Q504" t="str">
        <f>IF(LEN(L504),MATCH(L504,'MPIO_SFIO Table'!$A$11:$A$65525,0)-1,"")</f>
        <v/>
      </c>
      <c r="R504" t="str">
        <f ca="1">IF(ISNUMBER(M504),OFFSET('MPIO_SFIO Table'!$AJ$11,M504,0),"")</f>
        <v/>
      </c>
      <c r="S504" t="str">
        <f ca="1">IF(ISNUMBER(N504),OFFSET('MPIO_SFIO Table'!$AJ$11,N504,0),"")</f>
        <v/>
      </c>
      <c r="T504" t="str">
        <f ca="1">IF(ISNUMBER(O504),OFFSET('MPIO_SFIO Table'!$AJ$11,O504,0),"")</f>
        <v/>
      </c>
      <c r="U504" t="str">
        <f ca="1">IF(ISNUMBER(P504),OFFSET('MPIO_SFIO Table'!$AJ$11,P504,0),"")</f>
        <v/>
      </c>
      <c r="V504" t="str">
        <f ca="1">IF(ISNUMBER(Q504),OFFSET('MPIO_SFIO Table'!$AJ$11,Q504,0),"")</f>
        <v/>
      </c>
      <c r="W504">
        <f t="shared" ca="1" si="67"/>
        <v>0</v>
      </c>
      <c r="X504">
        <f t="shared" ca="1" si="68"/>
        <v>0</v>
      </c>
      <c r="Y504">
        <f t="shared" ca="1" si="69"/>
        <v>0</v>
      </c>
      <c r="Z504">
        <f t="shared" ca="1" si="70"/>
        <v>0</v>
      </c>
      <c r="AA504">
        <f t="shared" ca="1" si="71"/>
        <v>0</v>
      </c>
    </row>
    <row r="505" spans="1:27" x14ac:dyDescent="0.25">
      <c r="A505">
        <f t="shared" ca="1" si="64"/>
        <v>0</v>
      </c>
      <c r="B505" t="str">
        <f t="shared" ca="1" si="65"/>
        <v/>
      </c>
      <c r="C505" t="str">
        <f t="shared" si="66"/>
        <v>LCD1</v>
      </c>
      <c r="D505" t="s">
        <v>253</v>
      </c>
      <c r="E505" t="s">
        <v>253</v>
      </c>
      <c r="F505" s="3" t="s">
        <v>2851</v>
      </c>
      <c r="G505" s="11" t="s">
        <v>2187</v>
      </c>
      <c r="H505" s="11" t="s">
        <v>102</v>
      </c>
      <c r="I505" s="3" t="s">
        <v>253</v>
      </c>
      <c r="J505" s="3" t="s">
        <v>253</v>
      </c>
      <c r="K505" s="3" t="s">
        <v>253</v>
      </c>
      <c r="L505" s="3" t="s">
        <v>253</v>
      </c>
      <c r="M505">
        <f>IF(LEN(H505),MATCH(H505,'MPIO_SFIO Table'!$A$11:$A$65525,0)-1,"")</f>
        <v>98</v>
      </c>
      <c r="N505" t="str">
        <f>IF(LEN(I505),MATCH(I505,'MPIO_SFIO Table'!$A$11:$A$65525,0)-1,"")</f>
        <v/>
      </c>
      <c r="O505" t="str">
        <f>IF(LEN(J505),MATCH(J505,'MPIO_SFIO Table'!$A$11:$A$65525,0)-1,"")</f>
        <v/>
      </c>
      <c r="P505" t="str">
        <f>IF(LEN(K505),MATCH(K505,'MPIO_SFIO Table'!$A$11:$A$65525,0)-1,"")</f>
        <v/>
      </c>
      <c r="Q505" t="str">
        <f>IF(LEN(L505),MATCH(L505,'MPIO_SFIO Table'!$A$11:$A$65525,0)-1,"")</f>
        <v/>
      </c>
      <c r="R505" t="str">
        <f ca="1">IF(ISNUMBER(M505),OFFSET('MPIO_SFIO Table'!$AJ$11,M505,0),"")</f>
        <v>unused_LCD_CS0_N</v>
      </c>
      <c r="S505" t="str">
        <f ca="1">IF(ISNUMBER(N505),OFFSET('MPIO_SFIO Table'!$AJ$11,N505,0),"")</f>
        <v/>
      </c>
      <c r="T505" t="str">
        <f ca="1">IF(ISNUMBER(O505),OFFSET('MPIO_SFIO Table'!$AJ$11,O505,0),"")</f>
        <v/>
      </c>
      <c r="U505" t="str">
        <f ca="1">IF(ISNUMBER(P505),OFFSET('MPIO_SFIO Table'!$AJ$11,P505,0),"")</f>
        <v/>
      </c>
      <c r="V505" t="str">
        <f ca="1">IF(ISNUMBER(Q505),OFFSET('MPIO_SFIO Table'!$AJ$11,Q505,0),"")</f>
        <v/>
      </c>
      <c r="W505">
        <f t="shared" ca="1" si="67"/>
        <v>0</v>
      </c>
      <c r="X505">
        <f t="shared" ca="1" si="68"/>
        <v>0</v>
      </c>
      <c r="Y505">
        <f t="shared" ca="1" si="69"/>
        <v>0</v>
      </c>
      <c r="Z505">
        <f t="shared" ca="1" si="70"/>
        <v>0</v>
      </c>
      <c r="AA505">
        <f t="shared" ca="1" si="71"/>
        <v>0</v>
      </c>
    </row>
    <row r="506" spans="1:27" x14ac:dyDescent="0.25">
      <c r="A506">
        <f t="shared" ca="1" si="64"/>
        <v>0</v>
      </c>
      <c r="B506" t="str">
        <f t="shared" ca="1" si="65"/>
        <v/>
      </c>
      <c r="C506" t="str">
        <f t="shared" si="66"/>
        <v>LCD1</v>
      </c>
      <c r="D506" t="s">
        <v>253</v>
      </c>
      <c r="E506" t="s">
        <v>253</v>
      </c>
      <c r="F506" s="3" t="s">
        <v>2852</v>
      </c>
      <c r="G506" s="11" t="s">
        <v>486</v>
      </c>
      <c r="H506" s="11" t="s">
        <v>104</v>
      </c>
      <c r="I506" s="3" t="s">
        <v>253</v>
      </c>
      <c r="J506" s="3" t="s">
        <v>253</v>
      </c>
      <c r="K506" s="3" t="s">
        <v>253</v>
      </c>
      <c r="L506" s="3" t="s">
        <v>253</v>
      </c>
      <c r="M506">
        <f>IF(LEN(H506),MATCH(H506,'MPIO_SFIO Table'!$A$11:$A$65525,0)-1,"")</f>
        <v>100</v>
      </c>
      <c r="N506" t="str">
        <f>IF(LEN(I506),MATCH(I506,'MPIO_SFIO Table'!$A$11:$A$65525,0)-1,"")</f>
        <v/>
      </c>
      <c r="O506" t="str">
        <f>IF(LEN(J506),MATCH(J506,'MPIO_SFIO Table'!$A$11:$A$65525,0)-1,"")</f>
        <v/>
      </c>
      <c r="P506" t="str">
        <f>IF(LEN(K506),MATCH(K506,'MPIO_SFIO Table'!$A$11:$A$65525,0)-1,"")</f>
        <v/>
      </c>
      <c r="Q506" t="str">
        <f>IF(LEN(L506),MATCH(L506,'MPIO_SFIO Table'!$A$11:$A$65525,0)-1,"")</f>
        <v/>
      </c>
      <c r="R506" t="str">
        <f ca="1">IF(ISNUMBER(M506),OFFSET('MPIO_SFIO Table'!$AJ$11,M506,0),"")</f>
        <v>unused_LCD_D0</v>
      </c>
      <c r="S506" t="str">
        <f ca="1">IF(ISNUMBER(N506),OFFSET('MPIO_SFIO Table'!$AJ$11,N506,0),"")</f>
        <v/>
      </c>
      <c r="T506" t="str">
        <f ca="1">IF(ISNUMBER(O506),OFFSET('MPIO_SFIO Table'!$AJ$11,O506,0),"")</f>
        <v/>
      </c>
      <c r="U506" t="str">
        <f ca="1">IF(ISNUMBER(P506),OFFSET('MPIO_SFIO Table'!$AJ$11,P506,0),"")</f>
        <v/>
      </c>
      <c r="V506" t="str">
        <f ca="1">IF(ISNUMBER(Q506),OFFSET('MPIO_SFIO Table'!$AJ$11,Q506,0),"")</f>
        <v/>
      </c>
      <c r="W506">
        <f t="shared" ca="1" si="67"/>
        <v>0</v>
      </c>
      <c r="X506">
        <f t="shared" ca="1" si="68"/>
        <v>0</v>
      </c>
      <c r="Y506">
        <f t="shared" ca="1" si="69"/>
        <v>0</v>
      </c>
      <c r="Z506">
        <f t="shared" ca="1" si="70"/>
        <v>0</v>
      </c>
      <c r="AA506">
        <f t="shared" ca="1" si="71"/>
        <v>0</v>
      </c>
    </row>
    <row r="507" spans="1:27" x14ac:dyDescent="0.25">
      <c r="A507">
        <f t="shared" ca="1" si="64"/>
        <v>0</v>
      </c>
      <c r="B507" t="str">
        <f t="shared" ca="1" si="65"/>
        <v/>
      </c>
      <c r="C507" t="str">
        <f t="shared" si="66"/>
        <v>LCD1</v>
      </c>
      <c r="D507" t="s">
        <v>253</v>
      </c>
      <c r="E507" t="s">
        <v>253</v>
      </c>
      <c r="F507" s="3" t="s">
        <v>2853</v>
      </c>
      <c r="G507" s="11" t="s">
        <v>488</v>
      </c>
      <c r="H507" s="11" t="s">
        <v>105</v>
      </c>
      <c r="I507" s="3" t="s">
        <v>253</v>
      </c>
      <c r="J507" s="3" t="s">
        <v>253</v>
      </c>
      <c r="K507" s="3" t="s">
        <v>253</v>
      </c>
      <c r="L507" s="3" t="s">
        <v>253</v>
      </c>
      <c r="M507">
        <f>IF(LEN(H507),MATCH(H507,'MPIO_SFIO Table'!$A$11:$A$65525,0)-1,"")</f>
        <v>101</v>
      </c>
      <c r="N507" t="str">
        <f>IF(LEN(I507),MATCH(I507,'MPIO_SFIO Table'!$A$11:$A$65525,0)-1,"")</f>
        <v/>
      </c>
      <c r="O507" t="str">
        <f>IF(LEN(J507),MATCH(J507,'MPIO_SFIO Table'!$A$11:$A$65525,0)-1,"")</f>
        <v/>
      </c>
      <c r="P507" t="str">
        <f>IF(LEN(K507),MATCH(K507,'MPIO_SFIO Table'!$A$11:$A$65525,0)-1,"")</f>
        <v/>
      </c>
      <c r="Q507" t="str">
        <f>IF(LEN(L507),MATCH(L507,'MPIO_SFIO Table'!$A$11:$A$65525,0)-1,"")</f>
        <v/>
      </c>
      <c r="R507" t="str">
        <f ca="1">IF(ISNUMBER(M507),OFFSET('MPIO_SFIO Table'!$AJ$11,M507,0),"")</f>
        <v>unused_LCD_D1</v>
      </c>
      <c r="S507" t="str">
        <f ca="1">IF(ISNUMBER(N507),OFFSET('MPIO_SFIO Table'!$AJ$11,N507,0),"")</f>
        <v/>
      </c>
      <c r="T507" t="str">
        <f ca="1">IF(ISNUMBER(O507),OFFSET('MPIO_SFIO Table'!$AJ$11,O507,0),"")</f>
        <v/>
      </c>
      <c r="U507" t="str">
        <f ca="1">IF(ISNUMBER(P507),OFFSET('MPIO_SFIO Table'!$AJ$11,P507,0),"")</f>
        <v/>
      </c>
      <c r="V507" t="str">
        <f ca="1">IF(ISNUMBER(Q507),OFFSET('MPIO_SFIO Table'!$AJ$11,Q507,0),"")</f>
        <v/>
      </c>
      <c r="W507">
        <f t="shared" ca="1" si="67"/>
        <v>0</v>
      </c>
      <c r="X507">
        <f t="shared" ca="1" si="68"/>
        <v>0</v>
      </c>
      <c r="Y507">
        <f t="shared" ca="1" si="69"/>
        <v>0</v>
      </c>
      <c r="Z507">
        <f t="shared" ca="1" si="70"/>
        <v>0</v>
      </c>
      <c r="AA507">
        <f t="shared" ca="1" si="71"/>
        <v>0</v>
      </c>
    </row>
    <row r="508" spans="1:27" x14ac:dyDescent="0.25">
      <c r="A508">
        <f t="shared" ca="1" si="64"/>
        <v>0</v>
      </c>
      <c r="B508" t="str">
        <f t="shared" ca="1" si="65"/>
        <v/>
      </c>
      <c r="C508" t="str">
        <f t="shared" si="66"/>
        <v>LCD1</v>
      </c>
      <c r="D508" t="s">
        <v>253</v>
      </c>
      <c r="E508" t="s">
        <v>253</v>
      </c>
      <c r="F508" s="3" t="s">
        <v>1394</v>
      </c>
      <c r="G508" s="11" t="s">
        <v>490</v>
      </c>
      <c r="H508" s="11" t="s">
        <v>106</v>
      </c>
      <c r="I508" s="3" t="s">
        <v>253</v>
      </c>
      <c r="J508" s="3" t="s">
        <v>253</v>
      </c>
      <c r="K508" s="3" t="s">
        <v>253</v>
      </c>
      <c r="L508" s="3" t="s">
        <v>253</v>
      </c>
      <c r="M508">
        <f>IF(LEN(H508),MATCH(H508,'MPIO_SFIO Table'!$A$11:$A$65525,0)-1,"")</f>
        <v>102</v>
      </c>
      <c r="N508" t="str">
        <f>IF(LEN(I508),MATCH(I508,'MPIO_SFIO Table'!$A$11:$A$65525,0)-1,"")</f>
        <v/>
      </c>
      <c r="O508" t="str">
        <f>IF(LEN(J508),MATCH(J508,'MPIO_SFIO Table'!$A$11:$A$65525,0)-1,"")</f>
        <v/>
      </c>
      <c r="P508" t="str">
        <f>IF(LEN(K508),MATCH(K508,'MPIO_SFIO Table'!$A$11:$A$65525,0)-1,"")</f>
        <v/>
      </c>
      <c r="Q508" t="str">
        <f>IF(LEN(L508),MATCH(L508,'MPIO_SFIO Table'!$A$11:$A$65525,0)-1,"")</f>
        <v/>
      </c>
      <c r="R508" t="str">
        <f ca="1">IF(ISNUMBER(M508),OFFSET('MPIO_SFIO Table'!$AJ$11,M508,0),"")</f>
        <v>unused_LCD_D10</v>
      </c>
      <c r="S508" t="str">
        <f ca="1">IF(ISNUMBER(N508),OFFSET('MPIO_SFIO Table'!$AJ$11,N508,0),"")</f>
        <v/>
      </c>
      <c r="T508" t="str">
        <f ca="1">IF(ISNUMBER(O508),OFFSET('MPIO_SFIO Table'!$AJ$11,O508,0),"")</f>
        <v/>
      </c>
      <c r="U508" t="str">
        <f ca="1">IF(ISNUMBER(P508),OFFSET('MPIO_SFIO Table'!$AJ$11,P508,0),"")</f>
        <v/>
      </c>
      <c r="V508" t="str">
        <f ca="1">IF(ISNUMBER(Q508),OFFSET('MPIO_SFIO Table'!$AJ$11,Q508,0),"")</f>
        <v/>
      </c>
      <c r="W508">
        <f t="shared" ca="1" si="67"/>
        <v>0</v>
      </c>
      <c r="X508">
        <f t="shared" ca="1" si="68"/>
        <v>0</v>
      </c>
      <c r="Y508">
        <f t="shared" ca="1" si="69"/>
        <v>0</v>
      </c>
      <c r="Z508">
        <f t="shared" ca="1" si="70"/>
        <v>0</v>
      </c>
      <c r="AA508">
        <f t="shared" ca="1" si="71"/>
        <v>0</v>
      </c>
    </row>
    <row r="509" spans="1:27" x14ac:dyDescent="0.25">
      <c r="A509">
        <f t="shared" ca="1" si="64"/>
        <v>0</v>
      </c>
      <c r="B509" t="str">
        <f t="shared" ca="1" si="65"/>
        <v/>
      </c>
      <c r="C509" t="str">
        <f t="shared" si="66"/>
        <v>LCD1</v>
      </c>
      <c r="D509" t="s">
        <v>253</v>
      </c>
      <c r="E509" t="s">
        <v>253</v>
      </c>
      <c r="F509" s="3" t="s">
        <v>1409</v>
      </c>
      <c r="G509" s="11" t="s">
        <v>492</v>
      </c>
      <c r="H509" s="11" t="s">
        <v>107</v>
      </c>
      <c r="I509" s="3" t="s">
        <v>253</v>
      </c>
      <c r="J509" s="3" t="s">
        <v>253</v>
      </c>
      <c r="K509" s="3" t="s">
        <v>253</v>
      </c>
      <c r="L509" s="3" t="s">
        <v>253</v>
      </c>
      <c r="M509">
        <f>IF(LEN(H509),MATCH(H509,'MPIO_SFIO Table'!$A$11:$A$65525,0)-1,"")</f>
        <v>103</v>
      </c>
      <c r="N509" t="str">
        <f>IF(LEN(I509),MATCH(I509,'MPIO_SFIO Table'!$A$11:$A$65525,0)-1,"")</f>
        <v/>
      </c>
      <c r="O509" t="str">
        <f>IF(LEN(J509),MATCH(J509,'MPIO_SFIO Table'!$A$11:$A$65525,0)-1,"")</f>
        <v/>
      </c>
      <c r="P509" t="str">
        <f>IF(LEN(K509),MATCH(K509,'MPIO_SFIO Table'!$A$11:$A$65525,0)-1,"")</f>
        <v/>
      </c>
      <c r="Q509" t="str">
        <f>IF(LEN(L509),MATCH(L509,'MPIO_SFIO Table'!$A$11:$A$65525,0)-1,"")</f>
        <v/>
      </c>
      <c r="R509" t="str">
        <f ca="1">IF(ISNUMBER(M509),OFFSET('MPIO_SFIO Table'!$AJ$11,M509,0),"")</f>
        <v>unused_LCD_D11</v>
      </c>
      <c r="S509" t="str">
        <f ca="1">IF(ISNUMBER(N509),OFFSET('MPIO_SFIO Table'!$AJ$11,N509,0),"")</f>
        <v/>
      </c>
      <c r="T509" t="str">
        <f ca="1">IF(ISNUMBER(O509),OFFSET('MPIO_SFIO Table'!$AJ$11,O509,0),"")</f>
        <v/>
      </c>
      <c r="U509" t="str">
        <f ca="1">IF(ISNUMBER(P509),OFFSET('MPIO_SFIO Table'!$AJ$11,P509,0),"")</f>
        <v/>
      </c>
      <c r="V509" t="str">
        <f ca="1">IF(ISNUMBER(Q509),OFFSET('MPIO_SFIO Table'!$AJ$11,Q509,0),"")</f>
        <v/>
      </c>
      <c r="W509">
        <f t="shared" ca="1" si="67"/>
        <v>0</v>
      </c>
      <c r="X509">
        <f t="shared" ca="1" si="68"/>
        <v>0</v>
      </c>
      <c r="Y509">
        <f t="shared" ca="1" si="69"/>
        <v>0</v>
      </c>
      <c r="Z509">
        <f t="shared" ca="1" si="70"/>
        <v>0</v>
      </c>
      <c r="AA509">
        <f t="shared" ca="1" si="71"/>
        <v>0</v>
      </c>
    </row>
    <row r="510" spans="1:27" x14ac:dyDescent="0.25">
      <c r="A510">
        <f t="shared" ca="1" si="64"/>
        <v>0</v>
      </c>
      <c r="B510" t="str">
        <f t="shared" ca="1" si="65"/>
        <v/>
      </c>
      <c r="C510" t="str">
        <f t="shared" si="66"/>
        <v>LCD1</v>
      </c>
      <c r="D510" t="s">
        <v>253</v>
      </c>
      <c r="E510" t="s">
        <v>253</v>
      </c>
      <c r="F510" s="3" t="s">
        <v>1367</v>
      </c>
      <c r="G510" s="11" t="s">
        <v>494</v>
      </c>
      <c r="H510" s="11" t="s">
        <v>108</v>
      </c>
      <c r="I510" s="3" t="s">
        <v>253</v>
      </c>
      <c r="J510" s="3" t="s">
        <v>253</v>
      </c>
      <c r="K510" s="3" t="s">
        <v>253</v>
      </c>
      <c r="L510" s="3" t="s">
        <v>253</v>
      </c>
      <c r="M510">
        <f>IF(LEN(H510),MATCH(H510,'MPIO_SFIO Table'!$A$11:$A$65525,0)-1,"")</f>
        <v>104</v>
      </c>
      <c r="N510" t="str">
        <f>IF(LEN(I510),MATCH(I510,'MPIO_SFIO Table'!$A$11:$A$65525,0)-1,"")</f>
        <v/>
      </c>
      <c r="O510" t="str">
        <f>IF(LEN(J510),MATCH(J510,'MPIO_SFIO Table'!$A$11:$A$65525,0)-1,"")</f>
        <v/>
      </c>
      <c r="P510" t="str">
        <f>IF(LEN(K510),MATCH(K510,'MPIO_SFIO Table'!$A$11:$A$65525,0)-1,"")</f>
        <v/>
      </c>
      <c r="Q510" t="str">
        <f>IF(LEN(L510),MATCH(L510,'MPIO_SFIO Table'!$A$11:$A$65525,0)-1,"")</f>
        <v/>
      </c>
      <c r="R510" t="str">
        <f ca="1">IF(ISNUMBER(M510),OFFSET('MPIO_SFIO Table'!$AJ$11,M510,0),"")</f>
        <v>unused_LCD_D12</v>
      </c>
      <c r="S510" t="str">
        <f ca="1">IF(ISNUMBER(N510),OFFSET('MPIO_SFIO Table'!$AJ$11,N510,0),"")</f>
        <v/>
      </c>
      <c r="T510" t="str">
        <f ca="1">IF(ISNUMBER(O510),OFFSET('MPIO_SFIO Table'!$AJ$11,O510,0),"")</f>
        <v/>
      </c>
      <c r="U510" t="str">
        <f ca="1">IF(ISNUMBER(P510),OFFSET('MPIO_SFIO Table'!$AJ$11,P510,0),"")</f>
        <v/>
      </c>
      <c r="V510" t="str">
        <f ca="1">IF(ISNUMBER(Q510),OFFSET('MPIO_SFIO Table'!$AJ$11,Q510,0),"")</f>
        <v/>
      </c>
      <c r="W510">
        <f t="shared" ca="1" si="67"/>
        <v>0</v>
      </c>
      <c r="X510">
        <f t="shared" ca="1" si="68"/>
        <v>0</v>
      </c>
      <c r="Y510">
        <f t="shared" ca="1" si="69"/>
        <v>0</v>
      </c>
      <c r="Z510">
        <f t="shared" ca="1" si="70"/>
        <v>0</v>
      </c>
      <c r="AA510">
        <f t="shared" ca="1" si="71"/>
        <v>0</v>
      </c>
    </row>
    <row r="511" spans="1:27" x14ac:dyDescent="0.25">
      <c r="A511">
        <f t="shared" ca="1" si="64"/>
        <v>0</v>
      </c>
      <c r="B511" t="str">
        <f t="shared" ca="1" si="65"/>
        <v/>
      </c>
      <c r="C511" t="str">
        <f t="shared" si="66"/>
        <v>LCD1</v>
      </c>
      <c r="D511" t="s">
        <v>253</v>
      </c>
      <c r="E511" t="s">
        <v>253</v>
      </c>
      <c r="F511" s="3" t="s">
        <v>1390</v>
      </c>
      <c r="G511" s="11" t="s">
        <v>496</v>
      </c>
      <c r="H511" s="11" t="s">
        <v>109</v>
      </c>
      <c r="I511" s="3" t="s">
        <v>253</v>
      </c>
      <c r="J511" s="3" t="s">
        <v>253</v>
      </c>
      <c r="K511" s="3" t="s">
        <v>253</v>
      </c>
      <c r="L511" s="3" t="s">
        <v>253</v>
      </c>
      <c r="M511">
        <f>IF(LEN(H511),MATCH(H511,'MPIO_SFIO Table'!$A$11:$A$65525,0)-1,"")</f>
        <v>105</v>
      </c>
      <c r="N511" t="str">
        <f>IF(LEN(I511),MATCH(I511,'MPIO_SFIO Table'!$A$11:$A$65525,0)-1,"")</f>
        <v/>
      </c>
      <c r="O511" t="str">
        <f>IF(LEN(J511),MATCH(J511,'MPIO_SFIO Table'!$A$11:$A$65525,0)-1,"")</f>
        <v/>
      </c>
      <c r="P511" t="str">
        <f>IF(LEN(K511),MATCH(K511,'MPIO_SFIO Table'!$A$11:$A$65525,0)-1,"")</f>
        <v/>
      </c>
      <c r="Q511" t="str">
        <f>IF(LEN(L511),MATCH(L511,'MPIO_SFIO Table'!$A$11:$A$65525,0)-1,"")</f>
        <v/>
      </c>
      <c r="R511" t="str">
        <f ca="1">IF(ISNUMBER(M511),OFFSET('MPIO_SFIO Table'!$AJ$11,M511,0),"")</f>
        <v>unused_LCD_D13</v>
      </c>
      <c r="S511" t="str">
        <f ca="1">IF(ISNUMBER(N511),OFFSET('MPIO_SFIO Table'!$AJ$11,N511,0),"")</f>
        <v/>
      </c>
      <c r="T511" t="str">
        <f ca="1">IF(ISNUMBER(O511),OFFSET('MPIO_SFIO Table'!$AJ$11,O511,0),"")</f>
        <v/>
      </c>
      <c r="U511" t="str">
        <f ca="1">IF(ISNUMBER(P511),OFFSET('MPIO_SFIO Table'!$AJ$11,P511,0),"")</f>
        <v/>
      </c>
      <c r="V511" t="str">
        <f ca="1">IF(ISNUMBER(Q511),OFFSET('MPIO_SFIO Table'!$AJ$11,Q511,0),"")</f>
        <v/>
      </c>
      <c r="W511">
        <f t="shared" ca="1" si="67"/>
        <v>0</v>
      </c>
      <c r="X511">
        <f t="shared" ca="1" si="68"/>
        <v>0</v>
      </c>
      <c r="Y511">
        <f t="shared" ca="1" si="69"/>
        <v>0</v>
      </c>
      <c r="Z511">
        <f t="shared" ca="1" si="70"/>
        <v>0</v>
      </c>
      <c r="AA511">
        <f t="shared" ca="1" si="71"/>
        <v>0</v>
      </c>
    </row>
    <row r="512" spans="1:27" x14ac:dyDescent="0.25">
      <c r="A512">
        <f t="shared" ca="1" si="64"/>
        <v>0</v>
      </c>
      <c r="B512" t="str">
        <f t="shared" ca="1" si="65"/>
        <v/>
      </c>
      <c r="C512" t="str">
        <f t="shared" si="66"/>
        <v>LCD1</v>
      </c>
      <c r="D512" t="s">
        <v>253</v>
      </c>
      <c r="E512" t="s">
        <v>253</v>
      </c>
      <c r="F512" s="3" t="s">
        <v>1349</v>
      </c>
      <c r="G512" s="11" t="s">
        <v>498</v>
      </c>
      <c r="H512" s="11" t="s">
        <v>110</v>
      </c>
      <c r="I512" s="3" t="s">
        <v>253</v>
      </c>
      <c r="J512" s="3" t="s">
        <v>253</v>
      </c>
      <c r="K512" s="3" t="s">
        <v>253</v>
      </c>
      <c r="L512" s="3" t="s">
        <v>253</v>
      </c>
      <c r="M512">
        <f>IF(LEN(H512),MATCH(H512,'MPIO_SFIO Table'!$A$11:$A$65525,0)-1,"")</f>
        <v>106</v>
      </c>
      <c r="N512" t="str">
        <f>IF(LEN(I512),MATCH(I512,'MPIO_SFIO Table'!$A$11:$A$65525,0)-1,"")</f>
        <v/>
      </c>
      <c r="O512" t="str">
        <f>IF(LEN(J512),MATCH(J512,'MPIO_SFIO Table'!$A$11:$A$65525,0)-1,"")</f>
        <v/>
      </c>
      <c r="P512" t="str">
        <f>IF(LEN(K512),MATCH(K512,'MPIO_SFIO Table'!$A$11:$A$65525,0)-1,"")</f>
        <v/>
      </c>
      <c r="Q512" t="str">
        <f>IF(LEN(L512),MATCH(L512,'MPIO_SFIO Table'!$A$11:$A$65525,0)-1,"")</f>
        <v/>
      </c>
      <c r="R512" t="str">
        <f ca="1">IF(ISNUMBER(M512),OFFSET('MPIO_SFIO Table'!$AJ$11,M512,0),"")</f>
        <v>unused_LCD_D14</v>
      </c>
      <c r="S512" t="str">
        <f ca="1">IF(ISNUMBER(N512),OFFSET('MPIO_SFIO Table'!$AJ$11,N512,0),"")</f>
        <v/>
      </c>
      <c r="T512" t="str">
        <f ca="1">IF(ISNUMBER(O512),OFFSET('MPIO_SFIO Table'!$AJ$11,O512,0),"")</f>
        <v/>
      </c>
      <c r="U512" t="str">
        <f ca="1">IF(ISNUMBER(P512),OFFSET('MPIO_SFIO Table'!$AJ$11,P512,0),"")</f>
        <v/>
      </c>
      <c r="V512" t="str">
        <f ca="1">IF(ISNUMBER(Q512),OFFSET('MPIO_SFIO Table'!$AJ$11,Q512,0),"")</f>
        <v/>
      </c>
      <c r="W512">
        <f t="shared" ca="1" si="67"/>
        <v>0</v>
      </c>
      <c r="X512">
        <f t="shared" ca="1" si="68"/>
        <v>0</v>
      </c>
      <c r="Y512">
        <f t="shared" ca="1" si="69"/>
        <v>0</v>
      </c>
      <c r="Z512">
        <f t="shared" ca="1" si="70"/>
        <v>0</v>
      </c>
      <c r="AA512">
        <f t="shared" ca="1" si="71"/>
        <v>0</v>
      </c>
    </row>
    <row r="513" spans="1:27" x14ac:dyDescent="0.25">
      <c r="A513">
        <f t="shared" ca="1" si="64"/>
        <v>0</v>
      </c>
      <c r="B513" t="str">
        <f t="shared" ca="1" si="65"/>
        <v/>
      </c>
      <c r="C513" t="str">
        <f t="shared" si="66"/>
        <v>LCD1</v>
      </c>
      <c r="D513" t="s">
        <v>253</v>
      </c>
      <c r="E513" t="s">
        <v>253</v>
      </c>
      <c r="F513" s="3" t="s">
        <v>1354</v>
      </c>
      <c r="G513" s="11" t="s">
        <v>500</v>
      </c>
      <c r="H513" s="11" t="s">
        <v>111</v>
      </c>
      <c r="I513" s="3" t="s">
        <v>253</v>
      </c>
      <c r="J513" s="3" t="s">
        <v>253</v>
      </c>
      <c r="K513" s="3" t="s">
        <v>253</v>
      </c>
      <c r="L513" s="3" t="s">
        <v>253</v>
      </c>
      <c r="M513">
        <f>IF(LEN(H513),MATCH(H513,'MPIO_SFIO Table'!$A$11:$A$65525,0)-1,"")</f>
        <v>107</v>
      </c>
      <c r="N513" t="str">
        <f>IF(LEN(I513),MATCH(I513,'MPIO_SFIO Table'!$A$11:$A$65525,0)-1,"")</f>
        <v/>
      </c>
      <c r="O513" t="str">
        <f>IF(LEN(J513),MATCH(J513,'MPIO_SFIO Table'!$A$11:$A$65525,0)-1,"")</f>
        <v/>
      </c>
      <c r="P513" t="str">
        <f>IF(LEN(K513),MATCH(K513,'MPIO_SFIO Table'!$A$11:$A$65525,0)-1,"")</f>
        <v/>
      </c>
      <c r="Q513" t="str">
        <f>IF(LEN(L513),MATCH(L513,'MPIO_SFIO Table'!$A$11:$A$65525,0)-1,"")</f>
        <v/>
      </c>
      <c r="R513" t="str">
        <f ca="1">IF(ISNUMBER(M513),OFFSET('MPIO_SFIO Table'!$AJ$11,M513,0),"")</f>
        <v>unused_LCD_D15</v>
      </c>
      <c r="S513" t="str">
        <f ca="1">IF(ISNUMBER(N513),OFFSET('MPIO_SFIO Table'!$AJ$11,N513,0),"")</f>
        <v/>
      </c>
      <c r="T513" t="str">
        <f ca="1">IF(ISNUMBER(O513),OFFSET('MPIO_SFIO Table'!$AJ$11,O513,0),"")</f>
        <v/>
      </c>
      <c r="U513" t="str">
        <f ca="1">IF(ISNUMBER(P513),OFFSET('MPIO_SFIO Table'!$AJ$11,P513,0),"")</f>
        <v/>
      </c>
      <c r="V513" t="str">
        <f ca="1">IF(ISNUMBER(Q513),OFFSET('MPIO_SFIO Table'!$AJ$11,Q513,0),"")</f>
        <v/>
      </c>
      <c r="W513">
        <f t="shared" ca="1" si="67"/>
        <v>0</v>
      </c>
      <c r="X513">
        <f t="shared" ca="1" si="68"/>
        <v>0</v>
      </c>
      <c r="Y513">
        <f t="shared" ca="1" si="69"/>
        <v>0</v>
      </c>
      <c r="Z513">
        <f t="shared" ca="1" si="70"/>
        <v>0</v>
      </c>
      <c r="AA513">
        <f t="shared" ca="1" si="71"/>
        <v>0</v>
      </c>
    </row>
    <row r="514" spans="1:27" x14ac:dyDescent="0.25">
      <c r="A514">
        <f t="shared" ca="1" si="64"/>
        <v>0</v>
      </c>
      <c r="B514" t="str">
        <f t="shared" ca="1" si="65"/>
        <v/>
      </c>
      <c r="C514" t="str">
        <f t="shared" si="66"/>
        <v>LCD1</v>
      </c>
      <c r="D514" t="s">
        <v>253</v>
      </c>
      <c r="E514" t="s">
        <v>253</v>
      </c>
      <c r="F514" s="3" t="s">
        <v>1410</v>
      </c>
      <c r="G514" s="11" t="s">
        <v>502</v>
      </c>
      <c r="H514" s="11" t="s">
        <v>112</v>
      </c>
      <c r="I514" s="3" t="s">
        <v>253</v>
      </c>
      <c r="J514" s="3" t="s">
        <v>253</v>
      </c>
      <c r="K514" s="3" t="s">
        <v>253</v>
      </c>
      <c r="L514" s="3" t="s">
        <v>253</v>
      </c>
      <c r="M514">
        <f>IF(LEN(H514),MATCH(H514,'MPIO_SFIO Table'!$A$11:$A$65525,0)-1,"")</f>
        <v>108</v>
      </c>
      <c r="N514" t="str">
        <f>IF(LEN(I514),MATCH(I514,'MPIO_SFIO Table'!$A$11:$A$65525,0)-1,"")</f>
        <v/>
      </c>
      <c r="O514" t="str">
        <f>IF(LEN(J514),MATCH(J514,'MPIO_SFIO Table'!$A$11:$A$65525,0)-1,"")</f>
        <v/>
      </c>
      <c r="P514" t="str">
        <f>IF(LEN(K514),MATCH(K514,'MPIO_SFIO Table'!$A$11:$A$65525,0)-1,"")</f>
        <v/>
      </c>
      <c r="Q514" t="str">
        <f>IF(LEN(L514),MATCH(L514,'MPIO_SFIO Table'!$A$11:$A$65525,0)-1,"")</f>
        <v/>
      </c>
      <c r="R514" t="str">
        <f ca="1">IF(ISNUMBER(M514),OFFSET('MPIO_SFIO Table'!$AJ$11,M514,0),"")</f>
        <v>unused_LCD_D16</v>
      </c>
      <c r="S514" t="str">
        <f ca="1">IF(ISNUMBER(N514),OFFSET('MPIO_SFIO Table'!$AJ$11,N514,0),"")</f>
        <v/>
      </c>
      <c r="T514" t="str">
        <f ca="1">IF(ISNUMBER(O514),OFFSET('MPIO_SFIO Table'!$AJ$11,O514,0),"")</f>
        <v/>
      </c>
      <c r="U514" t="str">
        <f ca="1">IF(ISNUMBER(P514),OFFSET('MPIO_SFIO Table'!$AJ$11,P514,0),"")</f>
        <v/>
      </c>
      <c r="V514" t="str">
        <f ca="1">IF(ISNUMBER(Q514),OFFSET('MPIO_SFIO Table'!$AJ$11,Q514,0),"")</f>
        <v/>
      </c>
      <c r="W514">
        <f t="shared" ca="1" si="67"/>
        <v>0</v>
      </c>
      <c r="X514">
        <f t="shared" ca="1" si="68"/>
        <v>0</v>
      </c>
      <c r="Y514">
        <f t="shared" ca="1" si="69"/>
        <v>0</v>
      </c>
      <c r="Z514">
        <f t="shared" ca="1" si="70"/>
        <v>0</v>
      </c>
      <c r="AA514">
        <f t="shared" ca="1" si="71"/>
        <v>0</v>
      </c>
    </row>
    <row r="515" spans="1:27" x14ac:dyDescent="0.25">
      <c r="A515">
        <f t="shared" ca="1" si="64"/>
        <v>0</v>
      </c>
      <c r="B515" t="str">
        <f t="shared" ca="1" si="65"/>
        <v/>
      </c>
      <c r="C515" t="str">
        <f t="shared" si="66"/>
        <v>LCD1</v>
      </c>
      <c r="D515" t="s">
        <v>253</v>
      </c>
      <c r="E515" t="s">
        <v>253</v>
      </c>
      <c r="F515" s="3" t="s">
        <v>1359</v>
      </c>
      <c r="G515" s="11" t="s">
        <v>504</v>
      </c>
      <c r="H515" s="11" t="s">
        <v>113</v>
      </c>
      <c r="I515" s="3" t="s">
        <v>253</v>
      </c>
      <c r="J515" s="3" t="s">
        <v>253</v>
      </c>
      <c r="K515" s="3" t="s">
        <v>253</v>
      </c>
      <c r="L515" s="3" t="s">
        <v>253</v>
      </c>
      <c r="M515">
        <f>IF(LEN(H515),MATCH(H515,'MPIO_SFIO Table'!$A$11:$A$65525,0)-1,"")</f>
        <v>109</v>
      </c>
      <c r="N515" t="str">
        <f>IF(LEN(I515),MATCH(I515,'MPIO_SFIO Table'!$A$11:$A$65525,0)-1,"")</f>
        <v/>
      </c>
      <c r="O515" t="str">
        <f>IF(LEN(J515),MATCH(J515,'MPIO_SFIO Table'!$A$11:$A$65525,0)-1,"")</f>
        <v/>
      </c>
      <c r="P515" t="str">
        <f>IF(LEN(K515),MATCH(K515,'MPIO_SFIO Table'!$A$11:$A$65525,0)-1,"")</f>
        <v/>
      </c>
      <c r="Q515" t="str">
        <f>IF(LEN(L515),MATCH(L515,'MPIO_SFIO Table'!$A$11:$A$65525,0)-1,"")</f>
        <v/>
      </c>
      <c r="R515" t="str">
        <f ca="1">IF(ISNUMBER(M515),OFFSET('MPIO_SFIO Table'!$AJ$11,M515,0),"")</f>
        <v>unused_LCD_D17</v>
      </c>
      <c r="S515" t="str">
        <f ca="1">IF(ISNUMBER(N515),OFFSET('MPIO_SFIO Table'!$AJ$11,N515,0),"")</f>
        <v/>
      </c>
      <c r="T515" t="str">
        <f ca="1">IF(ISNUMBER(O515),OFFSET('MPIO_SFIO Table'!$AJ$11,O515,0),"")</f>
        <v/>
      </c>
      <c r="U515" t="str">
        <f ca="1">IF(ISNUMBER(P515),OFFSET('MPIO_SFIO Table'!$AJ$11,P515,0),"")</f>
        <v/>
      </c>
      <c r="V515" t="str">
        <f ca="1">IF(ISNUMBER(Q515),OFFSET('MPIO_SFIO Table'!$AJ$11,Q515,0),"")</f>
        <v/>
      </c>
      <c r="W515">
        <f t="shared" ca="1" si="67"/>
        <v>0</v>
      </c>
      <c r="X515">
        <f t="shared" ca="1" si="68"/>
        <v>0</v>
      </c>
      <c r="Y515">
        <f t="shared" ca="1" si="69"/>
        <v>0</v>
      </c>
      <c r="Z515">
        <f t="shared" ca="1" si="70"/>
        <v>0</v>
      </c>
      <c r="AA515">
        <f t="shared" ca="1" si="71"/>
        <v>0</v>
      </c>
    </row>
    <row r="516" spans="1:27" x14ac:dyDescent="0.25">
      <c r="A516">
        <f t="shared" ca="1" si="64"/>
        <v>0</v>
      </c>
      <c r="B516" t="str">
        <f t="shared" ca="1" si="65"/>
        <v/>
      </c>
      <c r="C516" t="str">
        <f t="shared" si="66"/>
        <v>LCD1</v>
      </c>
      <c r="D516" t="s">
        <v>253</v>
      </c>
      <c r="E516" t="s">
        <v>253</v>
      </c>
      <c r="F516" s="3" t="s">
        <v>1685</v>
      </c>
      <c r="G516" s="11" t="s">
        <v>510</v>
      </c>
      <c r="H516" s="11" t="s">
        <v>116</v>
      </c>
      <c r="I516" s="3" t="s">
        <v>253</v>
      </c>
      <c r="J516" s="3" t="s">
        <v>253</v>
      </c>
      <c r="K516" s="3" t="s">
        <v>253</v>
      </c>
      <c r="L516" s="3" t="s">
        <v>253</v>
      </c>
      <c r="M516">
        <f>IF(LEN(H516),MATCH(H516,'MPIO_SFIO Table'!$A$11:$A$65525,0)-1,"")</f>
        <v>112</v>
      </c>
      <c r="N516" t="str">
        <f>IF(LEN(I516),MATCH(I516,'MPIO_SFIO Table'!$A$11:$A$65525,0)-1,"")</f>
        <v/>
      </c>
      <c r="O516" t="str">
        <f>IF(LEN(J516),MATCH(J516,'MPIO_SFIO Table'!$A$11:$A$65525,0)-1,"")</f>
        <v/>
      </c>
      <c r="P516" t="str">
        <f>IF(LEN(K516),MATCH(K516,'MPIO_SFIO Table'!$A$11:$A$65525,0)-1,"")</f>
        <v/>
      </c>
      <c r="Q516" t="str">
        <f>IF(LEN(L516),MATCH(L516,'MPIO_SFIO Table'!$A$11:$A$65525,0)-1,"")</f>
        <v/>
      </c>
      <c r="R516" t="str">
        <f ca="1">IF(ISNUMBER(M516),OFFSET('MPIO_SFIO Table'!$AJ$11,M516,0),"")</f>
        <v>unused_LCD_D2</v>
      </c>
      <c r="S516" t="str">
        <f ca="1">IF(ISNUMBER(N516),OFFSET('MPIO_SFIO Table'!$AJ$11,N516,0),"")</f>
        <v/>
      </c>
      <c r="T516" t="str">
        <f ca="1">IF(ISNUMBER(O516),OFFSET('MPIO_SFIO Table'!$AJ$11,O516,0),"")</f>
        <v/>
      </c>
      <c r="U516" t="str">
        <f ca="1">IF(ISNUMBER(P516),OFFSET('MPIO_SFIO Table'!$AJ$11,P516,0),"")</f>
        <v/>
      </c>
      <c r="V516" t="str">
        <f ca="1">IF(ISNUMBER(Q516),OFFSET('MPIO_SFIO Table'!$AJ$11,Q516,0),"")</f>
        <v/>
      </c>
      <c r="W516">
        <f t="shared" ca="1" si="67"/>
        <v>0</v>
      </c>
      <c r="X516">
        <f t="shared" ca="1" si="68"/>
        <v>0</v>
      </c>
      <c r="Y516">
        <f t="shared" ca="1" si="69"/>
        <v>0</v>
      </c>
      <c r="Z516">
        <f t="shared" ca="1" si="70"/>
        <v>0</v>
      </c>
      <c r="AA516">
        <f t="shared" ca="1" si="71"/>
        <v>0</v>
      </c>
    </row>
    <row r="517" spans="1:27" x14ac:dyDescent="0.25">
      <c r="A517">
        <f t="shared" ca="1" si="64"/>
        <v>0</v>
      </c>
      <c r="B517" t="str">
        <f t="shared" ca="1" si="65"/>
        <v/>
      </c>
      <c r="C517" t="str">
        <f t="shared" si="66"/>
        <v>LCD1</v>
      </c>
      <c r="D517" t="s">
        <v>253</v>
      </c>
      <c r="E517" t="s">
        <v>253</v>
      </c>
      <c r="F517" s="3" t="s">
        <v>1711</v>
      </c>
      <c r="G517" s="11" t="s">
        <v>520</v>
      </c>
      <c r="H517" s="11" t="s">
        <v>121</v>
      </c>
      <c r="I517" s="3" t="s">
        <v>253</v>
      </c>
      <c r="J517" s="3" t="s">
        <v>253</v>
      </c>
      <c r="K517" s="3" t="s">
        <v>253</v>
      </c>
      <c r="L517" s="3" t="s">
        <v>253</v>
      </c>
      <c r="M517">
        <f>IF(LEN(H517),MATCH(H517,'MPIO_SFIO Table'!$A$11:$A$65525,0)-1,"")</f>
        <v>117</v>
      </c>
      <c r="N517" t="str">
        <f>IF(LEN(I517),MATCH(I517,'MPIO_SFIO Table'!$A$11:$A$65525,0)-1,"")</f>
        <v/>
      </c>
      <c r="O517" t="str">
        <f>IF(LEN(J517),MATCH(J517,'MPIO_SFIO Table'!$A$11:$A$65525,0)-1,"")</f>
        <v/>
      </c>
      <c r="P517" t="str">
        <f>IF(LEN(K517),MATCH(K517,'MPIO_SFIO Table'!$A$11:$A$65525,0)-1,"")</f>
        <v/>
      </c>
      <c r="Q517" t="str">
        <f>IF(LEN(L517),MATCH(L517,'MPIO_SFIO Table'!$A$11:$A$65525,0)-1,"")</f>
        <v/>
      </c>
      <c r="R517" t="str">
        <f ca="1">IF(ISNUMBER(M517),OFFSET('MPIO_SFIO Table'!$AJ$11,M517,0),"")</f>
        <v>unused_LCD_D3</v>
      </c>
      <c r="S517" t="str">
        <f ca="1">IF(ISNUMBER(N517),OFFSET('MPIO_SFIO Table'!$AJ$11,N517,0),"")</f>
        <v/>
      </c>
      <c r="T517" t="str">
        <f ca="1">IF(ISNUMBER(O517),OFFSET('MPIO_SFIO Table'!$AJ$11,O517,0),"")</f>
        <v/>
      </c>
      <c r="U517" t="str">
        <f ca="1">IF(ISNUMBER(P517),OFFSET('MPIO_SFIO Table'!$AJ$11,P517,0),"")</f>
        <v/>
      </c>
      <c r="V517" t="str">
        <f ca="1">IF(ISNUMBER(Q517),OFFSET('MPIO_SFIO Table'!$AJ$11,Q517,0),"")</f>
        <v/>
      </c>
      <c r="W517">
        <f t="shared" ca="1" si="67"/>
        <v>0</v>
      </c>
      <c r="X517">
        <f t="shared" ca="1" si="68"/>
        <v>0</v>
      </c>
      <c r="Y517">
        <f t="shared" ca="1" si="69"/>
        <v>0</v>
      </c>
      <c r="Z517">
        <f t="shared" ca="1" si="70"/>
        <v>0</v>
      </c>
      <c r="AA517">
        <f t="shared" ca="1" si="71"/>
        <v>0</v>
      </c>
    </row>
    <row r="518" spans="1:27" x14ac:dyDescent="0.25">
      <c r="A518">
        <f t="shared" ca="1" si="64"/>
        <v>0</v>
      </c>
      <c r="B518" t="str">
        <f t="shared" ca="1" si="65"/>
        <v/>
      </c>
      <c r="C518" t="str">
        <f t="shared" si="66"/>
        <v>LCD1</v>
      </c>
      <c r="D518" t="s">
        <v>253</v>
      </c>
      <c r="E518" t="s">
        <v>253</v>
      </c>
      <c r="F518" s="3" t="s">
        <v>1737</v>
      </c>
      <c r="G518" s="11" t="s">
        <v>522</v>
      </c>
      <c r="H518" s="11" t="s">
        <v>122</v>
      </c>
      <c r="I518" s="3" t="s">
        <v>253</v>
      </c>
      <c r="J518" s="3" t="s">
        <v>253</v>
      </c>
      <c r="K518" s="3" t="s">
        <v>253</v>
      </c>
      <c r="L518" s="3" t="s">
        <v>253</v>
      </c>
      <c r="M518">
        <f>IF(LEN(H518),MATCH(H518,'MPIO_SFIO Table'!$A$11:$A$65525,0)-1,"")</f>
        <v>118</v>
      </c>
      <c r="N518" t="str">
        <f>IF(LEN(I518),MATCH(I518,'MPIO_SFIO Table'!$A$11:$A$65525,0)-1,"")</f>
        <v/>
      </c>
      <c r="O518" t="str">
        <f>IF(LEN(J518),MATCH(J518,'MPIO_SFIO Table'!$A$11:$A$65525,0)-1,"")</f>
        <v/>
      </c>
      <c r="P518" t="str">
        <f>IF(LEN(K518),MATCH(K518,'MPIO_SFIO Table'!$A$11:$A$65525,0)-1,"")</f>
        <v/>
      </c>
      <c r="Q518" t="str">
        <f>IF(LEN(L518),MATCH(L518,'MPIO_SFIO Table'!$A$11:$A$65525,0)-1,"")</f>
        <v/>
      </c>
      <c r="R518" t="str">
        <f ca="1">IF(ISNUMBER(M518),OFFSET('MPIO_SFIO Table'!$AJ$11,M518,0),"")</f>
        <v>unused_LCD_D4</v>
      </c>
      <c r="S518" t="str">
        <f ca="1">IF(ISNUMBER(N518),OFFSET('MPIO_SFIO Table'!$AJ$11,N518,0),"")</f>
        <v/>
      </c>
      <c r="T518" t="str">
        <f ca="1">IF(ISNUMBER(O518),OFFSET('MPIO_SFIO Table'!$AJ$11,O518,0),"")</f>
        <v/>
      </c>
      <c r="U518" t="str">
        <f ca="1">IF(ISNUMBER(P518),OFFSET('MPIO_SFIO Table'!$AJ$11,P518,0),"")</f>
        <v/>
      </c>
      <c r="V518" t="str">
        <f ca="1">IF(ISNUMBER(Q518),OFFSET('MPIO_SFIO Table'!$AJ$11,Q518,0),"")</f>
        <v/>
      </c>
      <c r="W518">
        <f t="shared" ca="1" si="67"/>
        <v>0</v>
      </c>
      <c r="X518">
        <f t="shared" ca="1" si="68"/>
        <v>0</v>
      </c>
      <c r="Y518">
        <f t="shared" ca="1" si="69"/>
        <v>0</v>
      </c>
      <c r="Z518">
        <f t="shared" ca="1" si="70"/>
        <v>0</v>
      </c>
      <c r="AA518">
        <f t="shared" ca="1" si="71"/>
        <v>0</v>
      </c>
    </row>
    <row r="519" spans="1:27" x14ac:dyDescent="0.25">
      <c r="A519">
        <f t="shared" ca="1" si="64"/>
        <v>0</v>
      </c>
      <c r="B519" t="str">
        <f t="shared" ca="1" si="65"/>
        <v/>
      </c>
      <c r="C519" t="str">
        <f t="shared" si="66"/>
        <v>LCD1</v>
      </c>
      <c r="D519" t="s">
        <v>253</v>
      </c>
      <c r="E519" t="s">
        <v>253</v>
      </c>
      <c r="F519" s="3" t="s">
        <v>1741</v>
      </c>
      <c r="G519" s="11" t="s">
        <v>524</v>
      </c>
      <c r="H519" s="11" t="s">
        <v>123</v>
      </c>
      <c r="I519" s="3" t="s">
        <v>253</v>
      </c>
      <c r="J519" s="3" t="s">
        <v>253</v>
      </c>
      <c r="K519" s="3" t="s">
        <v>253</v>
      </c>
      <c r="L519" s="3" t="s">
        <v>253</v>
      </c>
      <c r="M519">
        <f>IF(LEN(H519),MATCH(H519,'MPIO_SFIO Table'!$A$11:$A$65525,0)-1,"")</f>
        <v>119</v>
      </c>
      <c r="N519" t="str">
        <f>IF(LEN(I519),MATCH(I519,'MPIO_SFIO Table'!$A$11:$A$65525,0)-1,"")</f>
        <v/>
      </c>
      <c r="O519" t="str">
        <f>IF(LEN(J519),MATCH(J519,'MPIO_SFIO Table'!$A$11:$A$65525,0)-1,"")</f>
        <v/>
      </c>
      <c r="P519" t="str">
        <f>IF(LEN(K519),MATCH(K519,'MPIO_SFIO Table'!$A$11:$A$65525,0)-1,"")</f>
        <v/>
      </c>
      <c r="Q519" t="str">
        <f>IF(LEN(L519),MATCH(L519,'MPIO_SFIO Table'!$A$11:$A$65525,0)-1,"")</f>
        <v/>
      </c>
      <c r="R519" t="str">
        <f ca="1">IF(ISNUMBER(M519),OFFSET('MPIO_SFIO Table'!$AJ$11,M519,0),"")</f>
        <v>unused_LCD_D5</v>
      </c>
      <c r="S519" t="str">
        <f ca="1">IF(ISNUMBER(N519),OFFSET('MPIO_SFIO Table'!$AJ$11,N519,0),"")</f>
        <v/>
      </c>
      <c r="T519" t="str">
        <f ca="1">IF(ISNUMBER(O519),OFFSET('MPIO_SFIO Table'!$AJ$11,O519,0),"")</f>
        <v/>
      </c>
      <c r="U519" t="str">
        <f ca="1">IF(ISNUMBER(P519),OFFSET('MPIO_SFIO Table'!$AJ$11,P519,0),"")</f>
        <v/>
      </c>
      <c r="V519" t="str">
        <f ca="1">IF(ISNUMBER(Q519),OFFSET('MPIO_SFIO Table'!$AJ$11,Q519,0),"")</f>
        <v/>
      </c>
      <c r="W519">
        <f t="shared" ca="1" si="67"/>
        <v>0</v>
      </c>
      <c r="X519">
        <f t="shared" ca="1" si="68"/>
        <v>0</v>
      </c>
      <c r="Y519">
        <f t="shared" ca="1" si="69"/>
        <v>0</v>
      </c>
      <c r="Z519">
        <f t="shared" ca="1" si="70"/>
        <v>0</v>
      </c>
      <c r="AA519">
        <f t="shared" ca="1" si="71"/>
        <v>0</v>
      </c>
    </row>
    <row r="520" spans="1:27" x14ac:dyDescent="0.25">
      <c r="A520">
        <f t="shared" ref="A520:A583" ca="1" si="72">SUM($W520:$AA520)</f>
        <v>0</v>
      </c>
      <c r="B520" t="str">
        <f t="shared" ref="B520:B583" ca="1" si="73">IF(A520&lt;&gt;0,REPLACE(G520,FIND("-",G520),LEN(G520),""),"")</f>
        <v/>
      </c>
      <c r="C520" t="str">
        <f t="shared" si="66"/>
        <v>LCD1</v>
      </c>
      <c r="D520" t="s">
        <v>253</v>
      </c>
      <c r="E520" t="s">
        <v>253</v>
      </c>
      <c r="F520" s="3" t="s">
        <v>1731</v>
      </c>
      <c r="G520" s="11" t="s">
        <v>526</v>
      </c>
      <c r="H520" s="11" t="s">
        <v>124</v>
      </c>
      <c r="I520" s="3" t="s">
        <v>253</v>
      </c>
      <c r="J520" s="3" t="s">
        <v>253</v>
      </c>
      <c r="K520" s="3" t="s">
        <v>253</v>
      </c>
      <c r="L520" s="3" t="s">
        <v>253</v>
      </c>
      <c r="M520">
        <f>IF(LEN(H520),MATCH(H520,'MPIO_SFIO Table'!$A$11:$A$65525,0)-1,"")</f>
        <v>120</v>
      </c>
      <c r="N520" t="str">
        <f>IF(LEN(I520),MATCH(I520,'MPIO_SFIO Table'!$A$11:$A$65525,0)-1,"")</f>
        <v/>
      </c>
      <c r="O520" t="str">
        <f>IF(LEN(J520),MATCH(J520,'MPIO_SFIO Table'!$A$11:$A$65525,0)-1,"")</f>
        <v/>
      </c>
      <c r="P520" t="str">
        <f>IF(LEN(K520),MATCH(K520,'MPIO_SFIO Table'!$A$11:$A$65525,0)-1,"")</f>
        <v/>
      </c>
      <c r="Q520" t="str">
        <f>IF(LEN(L520),MATCH(L520,'MPIO_SFIO Table'!$A$11:$A$65525,0)-1,"")</f>
        <v/>
      </c>
      <c r="R520" t="str">
        <f ca="1">IF(ISNUMBER(M520),OFFSET('MPIO_SFIO Table'!$AJ$11,M520,0),"")</f>
        <v>unused_LCD_D6</v>
      </c>
      <c r="S520" t="str">
        <f ca="1">IF(ISNUMBER(N520),OFFSET('MPIO_SFIO Table'!$AJ$11,N520,0),"")</f>
        <v/>
      </c>
      <c r="T520" t="str">
        <f ca="1">IF(ISNUMBER(O520),OFFSET('MPIO_SFIO Table'!$AJ$11,O520,0),"")</f>
        <v/>
      </c>
      <c r="U520" t="str">
        <f ca="1">IF(ISNUMBER(P520),OFFSET('MPIO_SFIO Table'!$AJ$11,P520,0),"")</f>
        <v/>
      </c>
      <c r="V520" t="str">
        <f ca="1">IF(ISNUMBER(Q520),OFFSET('MPIO_SFIO Table'!$AJ$11,Q520,0),"")</f>
        <v/>
      </c>
      <c r="W520">
        <f t="shared" ca="1" si="67"/>
        <v>0</v>
      </c>
      <c r="X520">
        <f t="shared" ca="1" si="68"/>
        <v>0</v>
      </c>
      <c r="Y520">
        <f t="shared" ca="1" si="69"/>
        <v>0</v>
      </c>
      <c r="Z520">
        <f t="shared" ca="1" si="70"/>
        <v>0</v>
      </c>
      <c r="AA520">
        <f t="shared" ca="1" si="71"/>
        <v>0</v>
      </c>
    </row>
    <row r="521" spans="1:27" x14ac:dyDescent="0.25">
      <c r="A521">
        <f t="shared" ca="1" si="72"/>
        <v>0</v>
      </c>
      <c r="B521" t="str">
        <f t="shared" ca="1" si="73"/>
        <v/>
      </c>
      <c r="C521" t="str">
        <f t="shared" ref="C521:C584" si="74">REPLACE(G521,FIND(".",CONCATENATE(REPLACE(G521,FIND("-",CONCATENATE(G521,"-")),LEN(G521),""),".")),LEN(G521),"")</f>
        <v>LCD1</v>
      </c>
      <c r="D521" t="s">
        <v>253</v>
      </c>
      <c r="E521" t="s">
        <v>253</v>
      </c>
      <c r="F521" s="3" t="s">
        <v>1874</v>
      </c>
      <c r="G521" s="11" t="s">
        <v>528</v>
      </c>
      <c r="H521" s="11" t="s">
        <v>125</v>
      </c>
      <c r="I521" s="3" t="s">
        <v>253</v>
      </c>
      <c r="J521" s="3" t="s">
        <v>253</v>
      </c>
      <c r="K521" s="3" t="s">
        <v>253</v>
      </c>
      <c r="L521" s="3" t="s">
        <v>253</v>
      </c>
      <c r="M521">
        <f>IF(LEN(H521),MATCH(H521,'MPIO_SFIO Table'!$A$11:$A$65525,0)-1,"")</f>
        <v>121</v>
      </c>
      <c r="N521" t="str">
        <f>IF(LEN(I521),MATCH(I521,'MPIO_SFIO Table'!$A$11:$A$65525,0)-1,"")</f>
        <v/>
      </c>
      <c r="O521" t="str">
        <f>IF(LEN(J521),MATCH(J521,'MPIO_SFIO Table'!$A$11:$A$65525,0)-1,"")</f>
        <v/>
      </c>
      <c r="P521" t="str">
        <f>IF(LEN(K521),MATCH(K521,'MPIO_SFIO Table'!$A$11:$A$65525,0)-1,"")</f>
        <v/>
      </c>
      <c r="Q521" t="str">
        <f>IF(LEN(L521),MATCH(L521,'MPIO_SFIO Table'!$A$11:$A$65525,0)-1,"")</f>
        <v/>
      </c>
      <c r="R521" t="str">
        <f ca="1">IF(ISNUMBER(M521),OFFSET('MPIO_SFIO Table'!$AJ$11,M521,0),"")</f>
        <v>unused_LCD_D7</v>
      </c>
      <c r="S521" t="str">
        <f ca="1">IF(ISNUMBER(N521),OFFSET('MPIO_SFIO Table'!$AJ$11,N521,0),"")</f>
        <v/>
      </c>
      <c r="T521" t="str">
        <f ca="1">IF(ISNUMBER(O521),OFFSET('MPIO_SFIO Table'!$AJ$11,O521,0),"")</f>
        <v/>
      </c>
      <c r="U521" t="str">
        <f ca="1">IF(ISNUMBER(P521),OFFSET('MPIO_SFIO Table'!$AJ$11,P521,0),"")</f>
        <v/>
      </c>
      <c r="V521" t="str">
        <f ca="1">IF(ISNUMBER(Q521),OFFSET('MPIO_SFIO Table'!$AJ$11,Q521,0),"")</f>
        <v/>
      </c>
      <c r="W521">
        <f t="shared" ref="W521:W584" ca="1" si="75">1*AND(ISTEXT(R521),LEN(R521),R521=$G521)</f>
        <v>0</v>
      </c>
      <c r="X521">
        <f t="shared" ref="X521:X584" ca="1" si="76">1*AND(ISTEXT(S521),LEN(S521),S521=$G521)</f>
        <v>0</v>
      </c>
      <c r="Y521">
        <f t="shared" ref="Y521:Y584" ca="1" si="77">1*AND(ISTEXT(T521),LEN(T521),T521=$G521)</f>
        <v>0</v>
      </c>
      <c r="Z521">
        <f t="shared" ref="Z521:Z584" ca="1" si="78">1*AND(ISTEXT(U521),LEN(U521),U521=$G521)</f>
        <v>0</v>
      </c>
      <c r="AA521">
        <f t="shared" ref="AA521:AA584" ca="1" si="79">1*AND(ISTEXT(V521),LEN(V521),V521=$G521)</f>
        <v>0</v>
      </c>
    </row>
    <row r="522" spans="1:27" x14ac:dyDescent="0.25">
      <c r="A522">
        <f t="shared" ca="1" si="72"/>
        <v>0</v>
      </c>
      <c r="B522" t="str">
        <f t="shared" ca="1" si="73"/>
        <v/>
      </c>
      <c r="C522" t="str">
        <f t="shared" si="74"/>
        <v>LCD1</v>
      </c>
      <c r="D522" t="s">
        <v>253</v>
      </c>
      <c r="E522" t="s">
        <v>253</v>
      </c>
      <c r="F522" s="3" t="s">
        <v>1876</v>
      </c>
      <c r="G522" s="11" t="s">
        <v>530</v>
      </c>
      <c r="H522" s="11" t="s">
        <v>126</v>
      </c>
      <c r="I522" s="3" t="s">
        <v>253</v>
      </c>
      <c r="J522" s="3" t="s">
        <v>253</v>
      </c>
      <c r="K522" s="3" t="s">
        <v>253</v>
      </c>
      <c r="L522" s="3" t="s">
        <v>253</v>
      </c>
      <c r="M522">
        <f>IF(LEN(H522),MATCH(H522,'MPIO_SFIO Table'!$A$11:$A$65525,0)-1,"")</f>
        <v>122</v>
      </c>
      <c r="N522" t="str">
        <f>IF(LEN(I522),MATCH(I522,'MPIO_SFIO Table'!$A$11:$A$65525,0)-1,"")</f>
        <v/>
      </c>
      <c r="O522" t="str">
        <f>IF(LEN(J522),MATCH(J522,'MPIO_SFIO Table'!$A$11:$A$65525,0)-1,"")</f>
        <v/>
      </c>
      <c r="P522" t="str">
        <f>IF(LEN(K522),MATCH(K522,'MPIO_SFIO Table'!$A$11:$A$65525,0)-1,"")</f>
        <v/>
      </c>
      <c r="Q522" t="str">
        <f>IF(LEN(L522),MATCH(L522,'MPIO_SFIO Table'!$A$11:$A$65525,0)-1,"")</f>
        <v/>
      </c>
      <c r="R522" t="str">
        <f ca="1">IF(ISNUMBER(M522),OFFSET('MPIO_SFIO Table'!$AJ$11,M522,0),"")</f>
        <v>unused_LCD_D8</v>
      </c>
      <c r="S522" t="str">
        <f ca="1">IF(ISNUMBER(N522),OFFSET('MPIO_SFIO Table'!$AJ$11,N522,0),"")</f>
        <v/>
      </c>
      <c r="T522" t="str">
        <f ca="1">IF(ISNUMBER(O522),OFFSET('MPIO_SFIO Table'!$AJ$11,O522,0),"")</f>
        <v/>
      </c>
      <c r="U522" t="str">
        <f ca="1">IF(ISNUMBER(P522),OFFSET('MPIO_SFIO Table'!$AJ$11,P522,0),"")</f>
        <v/>
      </c>
      <c r="V522" t="str">
        <f ca="1">IF(ISNUMBER(Q522),OFFSET('MPIO_SFIO Table'!$AJ$11,Q522,0),"")</f>
        <v/>
      </c>
      <c r="W522">
        <f t="shared" ca="1" si="75"/>
        <v>0</v>
      </c>
      <c r="X522">
        <f t="shared" ca="1" si="76"/>
        <v>0</v>
      </c>
      <c r="Y522">
        <f t="shared" ca="1" si="77"/>
        <v>0</v>
      </c>
      <c r="Z522">
        <f t="shared" ca="1" si="78"/>
        <v>0</v>
      </c>
      <c r="AA522">
        <f t="shared" ca="1" si="79"/>
        <v>0</v>
      </c>
    </row>
    <row r="523" spans="1:27" x14ac:dyDescent="0.25">
      <c r="A523">
        <f t="shared" ca="1" si="72"/>
        <v>0</v>
      </c>
      <c r="B523" t="str">
        <f t="shared" ca="1" si="73"/>
        <v/>
      </c>
      <c r="C523" t="str">
        <f t="shared" si="74"/>
        <v>LCD1</v>
      </c>
      <c r="D523" t="s">
        <v>253</v>
      </c>
      <c r="E523" t="s">
        <v>253</v>
      </c>
      <c r="F523" s="3" t="s">
        <v>1875</v>
      </c>
      <c r="G523" s="11" t="s">
        <v>532</v>
      </c>
      <c r="H523" s="11" t="s">
        <v>127</v>
      </c>
      <c r="I523" s="3" t="s">
        <v>253</v>
      </c>
      <c r="J523" s="3" t="s">
        <v>253</v>
      </c>
      <c r="K523" s="3" t="s">
        <v>253</v>
      </c>
      <c r="L523" s="3" t="s">
        <v>253</v>
      </c>
      <c r="M523">
        <f>IF(LEN(H523),MATCH(H523,'MPIO_SFIO Table'!$A$11:$A$65525,0)-1,"")</f>
        <v>123</v>
      </c>
      <c r="N523" t="str">
        <f>IF(LEN(I523),MATCH(I523,'MPIO_SFIO Table'!$A$11:$A$65525,0)-1,"")</f>
        <v/>
      </c>
      <c r="O523" t="str">
        <f>IF(LEN(J523),MATCH(J523,'MPIO_SFIO Table'!$A$11:$A$65525,0)-1,"")</f>
        <v/>
      </c>
      <c r="P523" t="str">
        <f>IF(LEN(K523),MATCH(K523,'MPIO_SFIO Table'!$A$11:$A$65525,0)-1,"")</f>
        <v/>
      </c>
      <c r="Q523" t="str">
        <f>IF(LEN(L523),MATCH(L523,'MPIO_SFIO Table'!$A$11:$A$65525,0)-1,"")</f>
        <v/>
      </c>
      <c r="R523" t="str">
        <f ca="1">IF(ISNUMBER(M523),OFFSET('MPIO_SFIO Table'!$AJ$11,M523,0),"")</f>
        <v>unused_LCD_D9</v>
      </c>
      <c r="S523" t="str">
        <f ca="1">IF(ISNUMBER(N523),OFFSET('MPIO_SFIO Table'!$AJ$11,N523,0),"")</f>
        <v/>
      </c>
      <c r="T523" t="str">
        <f ca="1">IF(ISNUMBER(O523),OFFSET('MPIO_SFIO Table'!$AJ$11,O523,0),"")</f>
        <v/>
      </c>
      <c r="U523" t="str">
        <f ca="1">IF(ISNUMBER(P523),OFFSET('MPIO_SFIO Table'!$AJ$11,P523,0),"")</f>
        <v/>
      </c>
      <c r="V523" t="str">
        <f ca="1">IF(ISNUMBER(Q523),OFFSET('MPIO_SFIO Table'!$AJ$11,Q523,0),"")</f>
        <v/>
      </c>
      <c r="W523">
        <f t="shared" ca="1" si="75"/>
        <v>0</v>
      </c>
      <c r="X523">
        <f t="shared" ca="1" si="76"/>
        <v>0</v>
      </c>
      <c r="Y523">
        <f t="shared" ca="1" si="77"/>
        <v>0</v>
      </c>
      <c r="Z523">
        <f t="shared" ca="1" si="78"/>
        <v>0</v>
      </c>
      <c r="AA523">
        <f t="shared" ca="1" si="79"/>
        <v>0</v>
      </c>
    </row>
    <row r="524" spans="1:27" x14ac:dyDescent="0.25">
      <c r="A524">
        <f t="shared" ca="1" si="72"/>
        <v>0</v>
      </c>
      <c r="B524" t="str">
        <f t="shared" ca="1" si="73"/>
        <v/>
      </c>
      <c r="C524" t="str">
        <f t="shared" si="74"/>
        <v>LCD1</v>
      </c>
      <c r="D524" t="s">
        <v>253</v>
      </c>
      <c r="E524" t="s">
        <v>253</v>
      </c>
      <c r="F524" s="3" t="s">
        <v>2854</v>
      </c>
      <c r="G524" s="11" t="s">
        <v>534</v>
      </c>
      <c r="H524" s="11" t="s">
        <v>128</v>
      </c>
      <c r="I524" s="3" t="s">
        <v>253</v>
      </c>
      <c r="J524" s="3" t="s">
        <v>253</v>
      </c>
      <c r="K524" s="3" t="s">
        <v>253</v>
      </c>
      <c r="L524" s="3" t="s">
        <v>253</v>
      </c>
      <c r="M524">
        <f>IF(LEN(H524),MATCH(H524,'MPIO_SFIO Table'!$A$11:$A$65525,0)-1,"")</f>
        <v>124</v>
      </c>
      <c r="N524" t="str">
        <f>IF(LEN(I524),MATCH(I524,'MPIO_SFIO Table'!$A$11:$A$65525,0)-1,"")</f>
        <v/>
      </c>
      <c r="O524" t="str">
        <f>IF(LEN(J524),MATCH(J524,'MPIO_SFIO Table'!$A$11:$A$65525,0)-1,"")</f>
        <v/>
      </c>
      <c r="P524" t="str">
        <f>IF(LEN(K524),MATCH(K524,'MPIO_SFIO Table'!$A$11:$A$65525,0)-1,"")</f>
        <v/>
      </c>
      <c r="Q524" t="str">
        <f>IF(LEN(L524),MATCH(L524,'MPIO_SFIO Table'!$A$11:$A$65525,0)-1,"")</f>
        <v/>
      </c>
      <c r="R524" t="str">
        <f ca="1">IF(ISNUMBER(M524),OFFSET('MPIO_SFIO Table'!$AJ$11,M524,0),"")</f>
        <v>unused_LCD_DC0</v>
      </c>
      <c r="S524" t="str">
        <f ca="1">IF(ISNUMBER(N524),OFFSET('MPIO_SFIO Table'!$AJ$11,N524,0),"")</f>
        <v/>
      </c>
      <c r="T524" t="str">
        <f ca="1">IF(ISNUMBER(O524),OFFSET('MPIO_SFIO Table'!$AJ$11,O524,0),"")</f>
        <v/>
      </c>
      <c r="U524" t="str">
        <f ca="1">IF(ISNUMBER(P524),OFFSET('MPIO_SFIO Table'!$AJ$11,P524,0),"")</f>
        <v/>
      </c>
      <c r="V524" t="str">
        <f ca="1">IF(ISNUMBER(Q524),OFFSET('MPIO_SFIO Table'!$AJ$11,Q524,0),"")</f>
        <v/>
      </c>
      <c r="W524">
        <f t="shared" ca="1" si="75"/>
        <v>0</v>
      </c>
      <c r="X524">
        <f t="shared" ca="1" si="76"/>
        <v>0</v>
      </c>
      <c r="Y524">
        <f t="shared" ca="1" si="77"/>
        <v>0</v>
      </c>
      <c r="Z524">
        <f t="shared" ca="1" si="78"/>
        <v>0</v>
      </c>
      <c r="AA524">
        <f t="shared" ca="1" si="79"/>
        <v>0</v>
      </c>
    </row>
    <row r="525" spans="1:27" x14ac:dyDescent="0.25">
      <c r="A525">
        <f t="shared" ca="1" si="72"/>
        <v>0</v>
      </c>
      <c r="B525" t="str">
        <f t="shared" ca="1" si="73"/>
        <v/>
      </c>
      <c r="C525" t="str">
        <f t="shared" si="74"/>
        <v>LCD1</v>
      </c>
      <c r="D525" t="s">
        <v>253</v>
      </c>
      <c r="E525" t="s">
        <v>253</v>
      </c>
      <c r="F525" s="3" t="s">
        <v>2855</v>
      </c>
      <c r="G525" s="11" t="s">
        <v>516</v>
      </c>
      <c r="H525" s="11" t="s">
        <v>119</v>
      </c>
      <c r="I525" s="3" t="s">
        <v>253</v>
      </c>
      <c r="J525" s="3" t="s">
        <v>253</v>
      </c>
      <c r="K525" s="3" t="s">
        <v>253</v>
      </c>
      <c r="L525" s="3" t="s">
        <v>253</v>
      </c>
      <c r="M525">
        <f>IF(LEN(H525),MATCH(H525,'MPIO_SFIO Table'!$A$11:$A$65525,0)-1,"")</f>
        <v>115</v>
      </c>
      <c r="N525" t="str">
        <f>IF(LEN(I525),MATCH(I525,'MPIO_SFIO Table'!$A$11:$A$65525,0)-1,"")</f>
        <v/>
      </c>
      <c r="O525" t="str">
        <f>IF(LEN(J525),MATCH(J525,'MPIO_SFIO Table'!$A$11:$A$65525,0)-1,"")</f>
        <v/>
      </c>
      <c r="P525" t="str">
        <f>IF(LEN(K525),MATCH(K525,'MPIO_SFIO Table'!$A$11:$A$65525,0)-1,"")</f>
        <v/>
      </c>
      <c r="Q525" t="str">
        <f>IF(LEN(L525),MATCH(L525,'MPIO_SFIO Table'!$A$11:$A$65525,0)-1,"")</f>
        <v/>
      </c>
      <c r="R525" t="str">
        <f ca="1">IF(ISNUMBER(M525),OFFSET('MPIO_SFIO Table'!$AJ$11,M525,0),"")</f>
        <v>unused_LCD_D22</v>
      </c>
      <c r="S525" t="str">
        <f ca="1">IF(ISNUMBER(N525),OFFSET('MPIO_SFIO Table'!$AJ$11,N525,0),"")</f>
        <v/>
      </c>
      <c r="T525" t="str">
        <f ca="1">IF(ISNUMBER(O525),OFFSET('MPIO_SFIO Table'!$AJ$11,O525,0),"")</f>
        <v/>
      </c>
      <c r="U525" t="str">
        <f ca="1">IF(ISNUMBER(P525),OFFSET('MPIO_SFIO Table'!$AJ$11,P525,0),"")</f>
        <v/>
      </c>
      <c r="V525" t="str">
        <f ca="1">IF(ISNUMBER(Q525),OFFSET('MPIO_SFIO Table'!$AJ$11,Q525,0),"")</f>
        <v/>
      </c>
      <c r="W525">
        <f t="shared" ca="1" si="75"/>
        <v>0</v>
      </c>
      <c r="X525">
        <f t="shared" ca="1" si="76"/>
        <v>0</v>
      </c>
      <c r="Y525">
        <f t="shared" ca="1" si="77"/>
        <v>0</v>
      </c>
      <c r="Z525">
        <f t="shared" ca="1" si="78"/>
        <v>0</v>
      </c>
      <c r="AA525">
        <f t="shared" ca="1" si="79"/>
        <v>0</v>
      </c>
    </row>
    <row r="526" spans="1:27" x14ac:dyDescent="0.25">
      <c r="A526">
        <f t="shared" ca="1" si="72"/>
        <v>0</v>
      </c>
      <c r="B526" t="str">
        <f t="shared" ca="1" si="73"/>
        <v/>
      </c>
      <c r="C526" t="str">
        <f t="shared" si="74"/>
        <v>LCD1</v>
      </c>
      <c r="D526" t="s">
        <v>253</v>
      </c>
      <c r="E526" t="s">
        <v>253</v>
      </c>
      <c r="F526" s="3" t="s">
        <v>2856</v>
      </c>
      <c r="G526" s="11" t="s">
        <v>514</v>
      </c>
      <c r="H526" s="11" t="s">
        <v>118</v>
      </c>
      <c r="I526" s="3" t="s">
        <v>253</v>
      </c>
      <c r="J526" s="3" t="s">
        <v>253</v>
      </c>
      <c r="K526" s="3" t="s">
        <v>253</v>
      </c>
      <c r="L526" s="3" t="s">
        <v>253</v>
      </c>
      <c r="M526">
        <f>IF(LEN(H526),MATCH(H526,'MPIO_SFIO Table'!$A$11:$A$65525,0)-1,"")</f>
        <v>114</v>
      </c>
      <c r="N526" t="str">
        <f>IF(LEN(I526),MATCH(I526,'MPIO_SFIO Table'!$A$11:$A$65525,0)-1,"")</f>
        <v/>
      </c>
      <c r="O526" t="str">
        <f>IF(LEN(J526),MATCH(J526,'MPIO_SFIO Table'!$A$11:$A$65525,0)-1,"")</f>
        <v/>
      </c>
      <c r="P526" t="str">
        <f>IF(LEN(K526),MATCH(K526,'MPIO_SFIO Table'!$A$11:$A$65525,0)-1,"")</f>
        <v/>
      </c>
      <c r="Q526" t="str">
        <f>IF(LEN(L526),MATCH(L526,'MPIO_SFIO Table'!$A$11:$A$65525,0)-1,"")</f>
        <v/>
      </c>
      <c r="R526" t="str">
        <f ca="1">IF(ISNUMBER(M526),OFFSET('MPIO_SFIO Table'!$AJ$11,M526,0),"")</f>
        <v>unused_LCD_D21</v>
      </c>
      <c r="S526" t="str">
        <f ca="1">IF(ISNUMBER(N526),OFFSET('MPIO_SFIO Table'!$AJ$11,N526,0),"")</f>
        <v/>
      </c>
      <c r="T526" t="str">
        <f ca="1">IF(ISNUMBER(O526),OFFSET('MPIO_SFIO Table'!$AJ$11,O526,0),"")</f>
        <v/>
      </c>
      <c r="U526" t="str">
        <f ca="1">IF(ISNUMBER(P526),OFFSET('MPIO_SFIO Table'!$AJ$11,P526,0),"")</f>
        <v/>
      </c>
      <c r="V526" t="str">
        <f ca="1">IF(ISNUMBER(Q526),OFFSET('MPIO_SFIO Table'!$AJ$11,Q526,0),"")</f>
        <v/>
      </c>
      <c r="W526">
        <f t="shared" ca="1" si="75"/>
        <v>0</v>
      </c>
      <c r="X526">
        <f t="shared" ca="1" si="76"/>
        <v>0</v>
      </c>
      <c r="Y526">
        <f t="shared" ca="1" si="77"/>
        <v>0</v>
      </c>
      <c r="Z526">
        <f t="shared" ca="1" si="78"/>
        <v>0</v>
      </c>
      <c r="AA526">
        <f t="shared" ca="1" si="79"/>
        <v>0</v>
      </c>
    </row>
    <row r="527" spans="1:27" x14ac:dyDescent="0.25">
      <c r="A527">
        <f t="shared" ca="1" si="72"/>
        <v>0</v>
      </c>
      <c r="B527" t="str">
        <f t="shared" ca="1" si="73"/>
        <v/>
      </c>
      <c r="C527" t="str">
        <f t="shared" si="74"/>
        <v>LCD1</v>
      </c>
      <c r="D527" t="s">
        <v>253</v>
      </c>
      <c r="E527" t="s">
        <v>253</v>
      </c>
      <c r="F527" s="3" t="s">
        <v>2857</v>
      </c>
      <c r="G527" s="11" t="s">
        <v>506</v>
      </c>
      <c r="H527" s="11" t="s">
        <v>114</v>
      </c>
      <c r="I527" s="3" t="s">
        <v>253</v>
      </c>
      <c r="J527" s="3" t="s">
        <v>253</v>
      </c>
      <c r="K527" s="3" t="s">
        <v>253</v>
      </c>
      <c r="L527" s="3" t="s">
        <v>253</v>
      </c>
      <c r="M527">
        <f>IF(LEN(H527),MATCH(H527,'MPIO_SFIO Table'!$A$11:$A$65525,0)-1,"")</f>
        <v>110</v>
      </c>
      <c r="N527" t="str">
        <f>IF(LEN(I527),MATCH(I527,'MPIO_SFIO Table'!$A$11:$A$65525,0)-1,"")</f>
        <v/>
      </c>
      <c r="O527" t="str">
        <f>IF(LEN(J527),MATCH(J527,'MPIO_SFIO Table'!$A$11:$A$65525,0)-1,"")</f>
        <v/>
      </c>
      <c r="P527" t="str">
        <f>IF(LEN(K527),MATCH(K527,'MPIO_SFIO Table'!$A$11:$A$65525,0)-1,"")</f>
        <v/>
      </c>
      <c r="Q527" t="str">
        <f>IF(LEN(L527),MATCH(L527,'MPIO_SFIO Table'!$A$11:$A$65525,0)-1,"")</f>
        <v/>
      </c>
      <c r="R527" t="str">
        <f ca="1">IF(ISNUMBER(M527),OFFSET('MPIO_SFIO Table'!$AJ$11,M527,0),"")</f>
        <v>unused_LCD_D18</v>
      </c>
      <c r="S527" t="str">
        <f ca="1">IF(ISNUMBER(N527),OFFSET('MPIO_SFIO Table'!$AJ$11,N527,0),"")</f>
        <v/>
      </c>
      <c r="T527" t="str">
        <f ca="1">IF(ISNUMBER(O527),OFFSET('MPIO_SFIO Table'!$AJ$11,O527,0),"")</f>
        <v/>
      </c>
      <c r="U527" t="str">
        <f ca="1">IF(ISNUMBER(P527),OFFSET('MPIO_SFIO Table'!$AJ$11,P527,0),"")</f>
        <v/>
      </c>
      <c r="V527" t="str">
        <f ca="1">IF(ISNUMBER(Q527),OFFSET('MPIO_SFIO Table'!$AJ$11,Q527,0),"")</f>
        <v/>
      </c>
      <c r="W527">
        <f t="shared" ca="1" si="75"/>
        <v>0</v>
      </c>
      <c r="X527">
        <f t="shared" ca="1" si="76"/>
        <v>0</v>
      </c>
      <c r="Y527">
        <f t="shared" ca="1" si="77"/>
        <v>0</v>
      </c>
      <c r="Z527">
        <f t="shared" ca="1" si="78"/>
        <v>0</v>
      </c>
      <c r="AA527">
        <f t="shared" ca="1" si="79"/>
        <v>0</v>
      </c>
    </row>
    <row r="528" spans="1:27" x14ac:dyDescent="0.25">
      <c r="A528">
        <f t="shared" ca="1" si="72"/>
        <v>0</v>
      </c>
      <c r="B528" t="str">
        <f t="shared" ca="1" si="73"/>
        <v/>
      </c>
      <c r="C528" t="str">
        <f t="shared" si="74"/>
        <v>LCD1</v>
      </c>
      <c r="D528" t="s">
        <v>253</v>
      </c>
      <c r="E528" t="s">
        <v>253</v>
      </c>
      <c r="F528" s="3" t="s">
        <v>2858</v>
      </c>
      <c r="G528" s="11" t="s">
        <v>508</v>
      </c>
      <c r="H528" s="11" t="s">
        <v>115</v>
      </c>
      <c r="I528" s="3" t="s">
        <v>253</v>
      </c>
      <c r="J528" s="3" t="s">
        <v>253</v>
      </c>
      <c r="K528" s="3" t="s">
        <v>253</v>
      </c>
      <c r="L528" s="3" t="s">
        <v>253</v>
      </c>
      <c r="M528">
        <f>IF(LEN(H528),MATCH(H528,'MPIO_SFIO Table'!$A$11:$A$65525,0)-1,"")</f>
        <v>111</v>
      </c>
      <c r="N528" t="str">
        <f>IF(LEN(I528),MATCH(I528,'MPIO_SFIO Table'!$A$11:$A$65525,0)-1,"")</f>
        <v/>
      </c>
      <c r="O528" t="str">
        <f>IF(LEN(J528),MATCH(J528,'MPIO_SFIO Table'!$A$11:$A$65525,0)-1,"")</f>
        <v/>
      </c>
      <c r="P528" t="str">
        <f>IF(LEN(K528),MATCH(K528,'MPIO_SFIO Table'!$A$11:$A$65525,0)-1,"")</f>
        <v/>
      </c>
      <c r="Q528" t="str">
        <f>IF(LEN(L528),MATCH(L528,'MPIO_SFIO Table'!$A$11:$A$65525,0)-1,"")</f>
        <v/>
      </c>
      <c r="R528" t="str">
        <f ca="1">IF(ISNUMBER(M528),OFFSET('MPIO_SFIO Table'!$AJ$11,M528,0),"")</f>
        <v>unused_LCD_D19</v>
      </c>
      <c r="S528" t="str">
        <f ca="1">IF(ISNUMBER(N528),OFFSET('MPIO_SFIO Table'!$AJ$11,N528,0),"")</f>
        <v/>
      </c>
      <c r="T528" t="str">
        <f ca="1">IF(ISNUMBER(O528),OFFSET('MPIO_SFIO Table'!$AJ$11,O528,0),"")</f>
        <v/>
      </c>
      <c r="U528" t="str">
        <f ca="1">IF(ISNUMBER(P528),OFFSET('MPIO_SFIO Table'!$AJ$11,P528,0),"")</f>
        <v/>
      </c>
      <c r="V528" t="str">
        <f ca="1">IF(ISNUMBER(Q528),OFFSET('MPIO_SFIO Table'!$AJ$11,Q528,0),"")</f>
        <v/>
      </c>
      <c r="W528">
        <f t="shared" ca="1" si="75"/>
        <v>0</v>
      </c>
      <c r="X528">
        <f t="shared" ca="1" si="76"/>
        <v>0</v>
      </c>
      <c r="Y528">
        <f t="shared" ca="1" si="77"/>
        <v>0</v>
      </c>
      <c r="Z528">
        <f t="shared" ca="1" si="78"/>
        <v>0</v>
      </c>
      <c r="AA528">
        <f t="shared" ca="1" si="79"/>
        <v>0</v>
      </c>
    </row>
    <row r="529" spans="1:27" x14ac:dyDescent="0.25">
      <c r="A529">
        <f t="shared" ca="1" si="72"/>
        <v>0</v>
      </c>
      <c r="B529" t="str">
        <f t="shared" ca="1" si="73"/>
        <v/>
      </c>
      <c r="C529" t="str">
        <f t="shared" si="74"/>
        <v>LCD1</v>
      </c>
      <c r="D529" t="s">
        <v>253</v>
      </c>
      <c r="E529" t="s">
        <v>253</v>
      </c>
      <c r="F529" s="3" t="s">
        <v>2859</v>
      </c>
      <c r="G529" s="11" t="s">
        <v>484</v>
      </c>
      <c r="H529" s="11" t="s">
        <v>103</v>
      </c>
      <c r="I529" s="3" t="s">
        <v>253</v>
      </c>
      <c r="J529" s="3" t="s">
        <v>253</v>
      </c>
      <c r="K529" s="3" t="s">
        <v>253</v>
      </c>
      <c r="L529" s="3" t="s">
        <v>253</v>
      </c>
      <c r="M529">
        <f>IF(LEN(H529),MATCH(H529,'MPIO_SFIO Table'!$A$11:$A$65525,0)-1,"")</f>
        <v>99</v>
      </c>
      <c r="N529" t="str">
        <f>IF(LEN(I529),MATCH(I529,'MPIO_SFIO Table'!$A$11:$A$65525,0)-1,"")</f>
        <v/>
      </c>
      <c r="O529" t="str">
        <f>IF(LEN(J529),MATCH(J529,'MPIO_SFIO Table'!$A$11:$A$65525,0)-1,"")</f>
        <v/>
      </c>
      <c r="P529" t="str">
        <f>IF(LEN(K529),MATCH(K529,'MPIO_SFIO Table'!$A$11:$A$65525,0)-1,"")</f>
        <v/>
      </c>
      <c r="Q529" t="str">
        <f>IF(LEN(L529),MATCH(L529,'MPIO_SFIO Table'!$A$11:$A$65525,0)-1,"")</f>
        <v/>
      </c>
      <c r="R529" t="str">
        <f ca="1">IF(ISNUMBER(M529),OFFSET('MPIO_SFIO Table'!$AJ$11,M529,0),"")</f>
        <v>unused_LCD_CS1_N</v>
      </c>
      <c r="S529" t="str">
        <f ca="1">IF(ISNUMBER(N529),OFFSET('MPIO_SFIO Table'!$AJ$11,N529,0),"")</f>
        <v/>
      </c>
      <c r="T529" t="str">
        <f ca="1">IF(ISNUMBER(O529),OFFSET('MPIO_SFIO Table'!$AJ$11,O529,0),"")</f>
        <v/>
      </c>
      <c r="U529" t="str">
        <f ca="1">IF(ISNUMBER(P529),OFFSET('MPIO_SFIO Table'!$AJ$11,P529,0),"")</f>
        <v/>
      </c>
      <c r="V529" t="str">
        <f ca="1">IF(ISNUMBER(Q529),OFFSET('MPIO_SFIO Table'!$AJ$11,Q529,0),"")</f>
        <v/>
      </c>
      <c r="W529">
        <f t="shared" ca="1" si="75"/>
        <v>0</v>
      </c>
      <c r="X529">
        <f t="shared" ca="1" si="76"/>
        <v>0</v>
      </c>
      <c r="Y529">
        <f t="shared" ca="1" si="77"/>
        <v>0</v>
      </c>
      <c r="Z529">
        <f t="shared" ca="1" si="78"/>
        <v>0</v>
      </c>
      <c r="AA529">
        <f t="shared" ca="1" si="79"/>
        <v>0</v>
      </c>
    </row>
    <row r="530" spans="1:27" x14ac:dyDescent="0.25">
      <c r="A530">
        <f t="shared" ca="1" si="72"/>
        <v>0</v>
      </c>
      <c r="B530" t="str">
        <f t="shared" ca="1" si="73"/>
        <v/>
      </c>
      <c r="C530" t="str">
        <f t="shared" si="74"/>
        <v>LCD1</v>
      </c>
      <c r="D530" t="s">
        <v>253</v>
      </c>
      <c r="E530" t="s">
        <v>253</v>
      </c>
      <c r="F530" s="3" t="s">
        <v>1832</v>
      </c>
      <c r="G530" s="11" t="s">
        <v>542</v>
      </c>
      <c r="H530" s="11" t="s">
        <v>132</v>
      </c>
      <c r="I530" s="3" t="s">
        <v>253</v>
      </c>
      <c r="J530" s="3" t="s">
        <v>253</v>
      </c>
      <c r="K530" s="3" t="s">
        <v>253</v>
      </c>
      <c r="L530" s="3" t="s">
        <v>253</v>
      </c>
      <c r="M530">
        <f>IF(LEN(H530),MATCH(H530,'MPIO_SFIO Table'!$A$11:$A$65525,0)-1,"")</f>
        <v>128</v>
      </c>
      <c r="N530" t="str">
        <f>IF(LEN(I530),MATCH(I530,'MPIO_SFIO Table'!$A$11:$A$65525,0)-1,"")</f>
        <v/>
      </c>
      <c r="O530" t="str">
        <f>IF(LEN(J530),MATCH(J530,'MPIO_SFIO Table'!$A$11:$A$65525,0)-1,"")</f>
        <v/>
      </c>
      <c r="P530" t="str">
        <f>IF(LEN(K530),MATCH(K530,'MPIO_SFIO Table'!$A$11:$A$65525,0)-1,"")</f>
        <v/>
      </c>
      <c r="Q530" t="str">
        <f>IF(LEN(L530),MATCH(L530,'MPIO_SFIO Table'!$A$11:$A$65525,0)-1,"")</f>
        <v/>
      </c>
      <c r="R530" t="str">
        <f ca="1">IF(ISNUMBER(M530),OFFSET('MPIO_SFIO Table'!$AJ$11,M530,0),"")</f>
        <v>unused_LCD_M1</v>
      </c>
      <c r="S530" t="str">
        <f ca="1">IF(ISNUMBER(N530),OFFSET('MPIO_SFIO Table'!$AJ$11,N530,0),"")</f>
        <v/>
      </c>
      <c r="T530" t="str">
        <f ca="1">IF(ISNUMBER(O530),OFFSET('MPIO_SFIO Table'!$AJ$11,O530,0),"")</f>
        <v/>
      </c>
      <c r="U530" t="str">
        <f ca="1">IF(ISNUMBER(P530),OFFSET('MPIO_SFIO Table'!$AJ$11,P530,0),"")</f>
        <v/>
      </c>
      <c r="V530" t="str">
        <f ca="1">IF(ISNUMBER(Q530),OFFSET('MPIO_SFIO Table'!$AJ$11,Q530,0),"")</f>
        <v/>
      </c>
      <c r="W530">
        <f t="shared" ca="1" si="75"/>
        <v>0</v>
      </c>
      <c r="X530">
        <f t="shared" ca="1" si="76"/>
        <v>0</v>
      </c>
      <c r="Y530">
        <f t="shared" ca="1" si="77"/>
        <v>0</v>
      </c>
      <c r="Z530">
        <f t="shared" ca="1" si="78"/>
        <v>0</v>
      </c>
      <c r="AA530">
        <f t="shared" ca="1" si="79"/>
        <v>0</v>
      </c>
    </row>
    <row r="531" spans="1:27" x14ac:dyDescent="0.25">
      <c r="A531">
        <f t="shared" ca="1" si="72"/>
        <v>0</v>
      </c>
      <c r="B531" t="str">
        <f t="shared" ca="1" si="73"/>
        <v/>
      </c>
      <c r="C531" t="str">
        <f t="shared" si="74"/>
        <v>LCD1</v>
      </c>
      <c r="D531" t="s">
        <v>253</v>
      </c>
      <c r="E531" t="s">
        <v>253</v>
      </c>
      <c r="F531" s="3" t="s">
        <v>2860</v>
      </c>
      <c r="G531" s="11" t="s">
        <v>518</v>
      </c>
      <c r="H531" s="11" t="s">
        <v>120</v>
      </c>
      <c r="I531" s="3" t="s">
        <v>253</v>
      </c>
      <c r="J531" s="3" t="s">
        <v>253</v>
      </c>
      <c r="K531" s="3" t="s">
        <v>253</v>
      </c>
      <c r="L531" s="3" t="s">
        <v>253</v>
      </c>
      <c r="M531">
        <f>IF(LEN(H531),MATCH(H531,'MPIO_SFIO Table'!$A$11:$A$65525,0)-1,"")</f>
        <v>116</v>
      </c>
      <c r="N531" t="str">
        <f>IF(LEN(I531),MATCH(I531,'MPIO_SFIO Table'!$A$11:$A$65525,0)-1,"")</f>
        <v/>
      </c>
      <c r="O531" t="str">
        <f>IF(LEN(J531),MATCH(J531,'MPIO_SFIO Table'!$A$11:$A$65525,0)-1,"")</f>
        <v/>
      </c>
      <c r="P531" t="str">
        <f>IF(LEN(K531),MATCH(K531,'MPIO_SFIO Table'!$A$11:$A$65525,0)-1,"")</f>
        <v/>
      </c>
      <c r="Q531" t="str">
        <f>IF(LEN(L531),MATCH(L531,'MPIO_SFIO Table'!$A$11:$A$65525,0)-1,"")</f>
        <v/>
      </c>
      <c r="R531" t="str">
        <f ca="1">IF(ISNUMBER(M531),OFFSET('MPIO_SFIO Table'!$AJ$11,M531,0),"")</f>
        <v>unused_LCD_D23</v>
      </c>
      <c r="S531" t="str">
        <f ca="1">IF(ISNUMBER(N531),OFFSET('MPIO_SFIO Table'!$AJ$11,N531,0),"")</f>
        <v/>
      </c>
      <c r="T531" t="str">
        <f ca="1">IF(ISNUMBER(O531),OFFSET('MPIO_SFIO Table'!$AJ$11,O531,0),"")</f>
        <v/>
      </c>
      <c r="U531" t="str">
        <f ca="1">IF(ISNUMBER(P531),OFFSET('MPIO_SFIO Table'!$AJ$11,P531,0),"")</f>
        <v/>
      </c>
      <c r="V531" t="str">
        <f ca="1">IF(ISNUMBER(Q531),OFFSET('MPIO_SFIO Table'!$AJ$11,Q531,0),"")</f>
        <v/>
      </c>
      <c r="W531">
        <f t="shared" ca="1" si="75"/>
        <v>0</v>
      </c>
      <c r="X531">
        <f t="shared" ca="1" si="76"/>
        <v>0</v>
      </c>
      <c r="Y531">
        <f t="shared" ca="1" si="77"/>
        <v>0</v>
      </c>
      <c r="Z531">
        <f t="shared" ca="1" si="78"/>
        <v>0</v>
      </c>
      <c r="AA531">
        <f t="shared" ca="1" si="79"/>
        <v>0</v>
      </c>
    </row>
    <row r="532" spans="1:27" x14ac:dyDescent="0.25">
      <c r="A532">
        <f t="shared" ca="1" si="72"/>
        <v>0</v>
      </c>
      <c r="B532" t="str">
        <f t="shared" ca="1" si="73"/>
        <v/>
      </c>
      <c r="C532" t="str">
        <f t="shared" si="74"/>
        <v>LCD1</v>
      </c>
      <c r="D532" t="s">
        <v>253</v>
      </c>
      <c r="E532" t="s">
        <v>253</v>
      </c>
      <c r="F532" s="3" t="s">
        <v>2861</v>
      </c>
      <c r="G532" s="11" t="s">
        <v>546</v>
      </c>
      <c r="H532" s="11" t="s">
        <v>134</v>
      </c>
      <c r="I532" s="3" t="s">
        <v>253</v>
      </c>
      <c r="J532" s="3" t="s">
        <v>253</v>
      </c>
      <c r="K532" s="3" t="s">
        <v>253</v>
      </c>
      <c r="L532" s="3" t="s">
        <v>253</v>
      </c>
      <c r="M532">
        <f>IF(LEN(H532),MATCH(H532,'MPIO_SFIO Table'!$A$11:$A$65525,0)-1,"")</f>
        <v>130</v>
      </c>
      <c r="N532" t="str">
        <f>IF(LEN(I532),MATCH(I532,'MPIO_SFIO Table'!$A$11:$A$65525,0)-1,"")</f>
        <v/>
      </c>
      <c r="O532" t="str">
        <f>IF(LEN(J532),MATCH(J532,'MPIO_SFIO Table'!$A$11:$A$65525,0)-1,"")</f>
        <v/>
      </c>
      <c r="P532" t="str">
        <f>IF(LEN(K532),MATCH(K532,'MPIO_SFIO Table'!$A$11:$A$65525,0)-1,"")</f>
        <v/>
      </c>
      <c r="Q532" t="str">
        <f>IF(LEN(L532),MATCH(L532,'MPIO_SFIO Table'!$A$11:$A$65525,0)-1,"")</f>
        <v/>
      </c>
      <c r="R532" t="str">
        <f ca="1">IF(ISNUMBER(M532),OFFSET('MPIO_SFIO Table'!$AJ$11,M532,0),"")</f>
        <v>unused_LCD_PWR0</v>
      </c>
      <c r="S532" t="str">
        <f ca="1">IF(ISNUMBER(N532),OFFSET('MPIO_SFIO Table'!$AJ$11,N532,0),"")</f>
        <v/>
      </c>
      <c r="T532" t="str">
        <f ca="1">IF(ISNUMBER(O532),OFFSET('MPIO_SFIO Table'!$AJ$11,O532,0),"")</f>
        <v/>
      </c>
      <c r="U532" t="str">
        <f ca="1">IF(ISNUMBER(P532),OFFSET('MPIO_SFIO Table'!$AJ$11,P532,0),"")</f>
        <v/>
      </c>
      <c r="V532" t="str">
        <f ca="1">IF(ISNUMBER(Q532),OFFSET('MPIO_SFIO Table'!$AJ$11,Q532,0),"")</f>
        <v/>
      </c>
      <c r="W532">
        <f t="shared" ca="1" si="75"/>
        <v>0</v>
      </c>
      <c r="X532">
        <f t="shared" ca="1" si="76"/>
        <v>0</v>
      </c>
      <c r="Y532">
        <f t="shared" ca="1" si="77"/>
        <v>0</v>
      </c>
      <c r="Z532">
        <f t="shared" ca="1" si="78"/>
        <v>0</v>
      </c>
      <c r="AA532">
        <f t="shared" ca="1" si="79"/>
        <v>0</v>
      </c>
    </row>
    <row r="533" spans="1:27" x14ac:dyDescent="0.25">
      <c r="A533">
        <f t="shared" ca="1" si="72"/>
        <v>0</v>
      </c>
      <c r="B533" t="str">
        <f t="shared" ca="1" si="73"/>
        <v/>
      </c>
      <c r="C533" t="str">
        <f t="shared" si="74"/>
        <v>LCD1</v>
      </c>
      <c r="D533" t="s">
        <v>253</v>
      </c>
      <c r="E533" t="s">
        <v>253</v>
      </c>
      <c r="F533" s="3" t="s">
        <v>2862</v>
      </c>
      <c r="G533" s="11" t="s">
        <v>549</v>
      </c>
      <c r="H533" s="11" t="s">
        <v>135</v>
      </c>
      <c r="I533" s="3" t="s">
        <v>253</v>
      </c>
      <c r="J533" s="3" t="s">
        <v>253</v>
      </c>
      <c r="K533" s="3" t="s">
        <v>253</v>
      </c>
      <c r="L533" s="3" t="s">
        <v>253</v>
      </c>
      <c r="M533">
        <f>IF(LEN(H533),MATCH(H533,'MPIO_SFIO Table'!$A$11:$A$65525,0)-1,"")</f>
        <v>131</v>
      </c>
      <c r="N533" t="str">
        <f>IF(LEN(I533),MATCH(I533,'MPIO_SFIO Table'!$A$11:$A$65525,0)-1,"")</f>
        <v/>
      </c>
      <c r="O533" t="str">
        <f>IF(LEN(J533),MATCH(J533,'MPIO_SFIO Table'!$A$11:$A$65525,0)-1,"")</f>
        <v/>
      </c>
      <c r="P533" t="str">
        <f>IF(LEN(K533),MATCH(K533,'MPIO_SFIO Table'!$A$11:$A$65525,0)-1,"")</f>
        <v/>
      </c>
      <c r="Q533" t="str">
        <f>IF(LEN(L533),MATCH(L533,'MPIO_SFIO Table'!$A$11:$A$65525,0)-1,"")</f>
        <v/>
      </c>
      <c r="R533" t="str">
        <f ca="1">IF(ISNUMBER(M533),OFFSET('MPIO_SFIO Table'!$AJ$11,M533,0),"")</f>
        <v>unused_LCD_PWR1</v>
      </c>
      <c r="S533" t="str">
        <f ca="1">IF(ISNUMBER(N533),OFFSET('MPIO_SFIO Table'!$AJ$11,N533,0),"")</f>
        <v/>
      </c>
      <c r="T533" t="str">
        <f ca="1">IF(ISNUMBER(O533),OFFSET('MPIO_SFIO Table'!$AJ$11,O533,0),"")</f>
        <v/>
      </c>
      <c r="U533" t="str">
        <f ca="1">IF(ISNUMBER(P533),OFFSET('MPIO_SFIO Table'!$AJ$11,P533,0),"")</f>
        <v/>
      </c>
      <c r="V533" t="str">
        <f ca="1">IF(ISNUMBER(Q533),OFFSET('MPIO_SFIO Table'!$AJ$11,Q533,0),"")</f>
        <v/>
      </c>
      <c r="W533">
        <f t="shared" ca="1" si="75"/>
        <v>0</v>
      </c>
      <c r="X533">
        <f t="shared" ca="1" si="76"/>
        <v>0</v>
      </c>
      <c r="Y533">
        <f t="shared" ca="1" si="77"/>
        <v>0</v>
      </c>
      <c r="Z533">
        <f t="shared" ca="1" si="78"/>
        <v>0</v>
      </c>
      <c r="AA533">
        <f t="shared" ca="1" si="79"/>
        <v>0</v>
      </c>
    </row>
    <row r="534" spans="1:27" x14ac:dyDescent="0.25">
      <c r="A534">
        <f t="shared" ca="1" si="72"/>
        <v>0</v>
      </c>
      <c r="B534" t="str">
        <f t="shared" ca="1" si="73"/>
        <v/>
      </c>
      <c r="C534" t="str">
        <f t="shared" si="74"/>
        <v>LCD1</v>
      </c>
      <c r="D534" t="s">
        <v>253</v>
      </c>
      <c r="E534" t="s">
        <v>253</v>
      </c>
      <c r="F534" s="3" t="s">
        <v>2863</v>
      </c>
      <c r="G534" s="11" t="s">
        <v>551</v>
      </c>
      <c r="H534" s="11" t="s">
        <v>136</v>
      </c>
      <c r="I534" s="3" t="s">
        <v>253</v>
      </c>
      <c r="J534" s="3" t="s">
        <v>253</v>
      </c>
      <c r="K534" s="3" t="s">
        <v>253</v>
      </c>
      <c r="L534" s="3" t="s">
        <v>253</v>
      </c>
      <c r="M534">
        <f>IF(LEN(H534),MATCH(H534,'MPIO_SFIO Table'!$A$11:$A$65525,0)-1,"")</f>
        <v>132</v>
      </c>
      <c r="N534" t="str">
        <f>IF(LEN(I534),MATCH(I534,'MPIO_SFIO Table'!$A$11:$A$65525,0)-1,"")</f>
        <v/>
      </c>
      <c r="O534" t="str">
        <f>IF(LEN(J534),MATCH(J534,'MPIO_SFIO Table'!$A$11:$A$65525,0)-1,"")</f>
        <v/>
      </c>
      <c r="P534" t="str">
        <f>IF(LEN(K534),MATCH(K534,'MPIO_SFIO Table'!$A$11:$A$65525,0)-1,"")</f>
        <v/>
      </c>
      <c r="Q534" t="str">
        <f>IF(LEN(L534),MATCH(L534,'MPIO_SFIO Table'!$A$11:$A$65525,0)-1,"")</f>
        <v/>
      </c>
      <c r="R534" t="str">
        <f ca="1">IF(ISNUMBER(M534),OFFSET('MPIO_SFIO Table'!$AJ$11,M534,0),"")</f>
        <v>unused_LCD_PWR2</v>
      </c>
      <c r="S534" t="str">
        <f ca="1">IF(ISNUMBER(N534),OFFSET('MPIO_SFIO Table'!$AJ$11,N534,0),"")</f>
        <v/>
      </c>
      <c r="T534" t="str">
        <f ca="1">IF(ISNUMBER(O534),OFFSET('MPIO_SFIO Table'!$AJ$11,O534,0),"")</f>
        <v/>
      </c>
      <c r="U534" t="str">
        <f ca="1">IF(ISNUMBER(P534),OFFSET('MPIO_SFIO Table'!$AJ$11,P534,0),"")</f>
        <v/>
      </c>
      <c r="V534" t="str">
        <f ca="1">IF(ISNUMBER(Q534),OFFSET('MPIO_SFIO Table'!$AJ$11,Q534,0),"")</f>
        <v/>
      </c>
      <c r="W534">
        <f t="shared" ca="1" si="75"/>
        <v>0</v>
      </c>
      <c r="X534">
        <f t="shared" ca="1" si="76"/>
        <v>0</v>
      </c>
      <c r="Y534">
        <f t="shared" ca="1" si="77"/>
        <v>0</v>
      </c>
      <c r="Z534">
        <f t="shared" ca="1" si="78"/>
        <v>0</v>
      </c>
      <c r="AA534">
        <f t="shared" ca="1" si="79"/>
        <v>0</v>
      </c>
    </row>
    <row r="535" spans="1:27" x14ac:dyDescent="0.25">
      <c r="A535">
        <f t="shared" ca="1" si="72"/>
        <v>0</v>
      </c>
      <c r="B535" t="str">
        <f t="shared" ca="1" si="73"/>
        <v/>
      </c>
      <c r="C535" t="str">
        <f t="shared" si="74"/>
        <v>LCD1</v>
      </c>
      <c r="D535" t="s">
        <v>253</v>
      </c>
      <c r="E535" t="s">
        <v>253</v>
      </c>
      <c r="F535" s="3" t="s">
        <v>2864</v>
      </c>
      <c r="G535" s="11" t="s">
        <v>565</v>
      </c>
      <c r="H535" s="11" t="s">
        <v>141</v>
      </c>
      <c r="I535" s="3" t="s">
        <v>253</v>
      </c>
      <c r="J535" s="3" t="s">
        <v>253</v>
      </c>
      <c r="K535" s="3" t="s">
        <v>253</v>
      </c>
      <c r="L535" s="3" t="s">
        <v>253</v>
      </c>
      <c r="M535">
        <f>IF(LEN(H535),MATCH(H535,'MPIO_SFIO Table'!$A$11:$A$65525,0)-1,"")</f>
        <v>137</v>
      </c>
      <c r="N535" t="str">
        <f>IF(LEN(I535),MATCH(I535,'MPIO_SFIO Table'!$A$11:$A$65525,0)-1,"")</f>
        <v/>
      </c>
      <c r="O535" t="str">
        <f>IF(LEN(J535),MATCH(J535,'MPIO_SFIO Table'!$A$11:$A$65525,0)-1,"")</f>
        <v/>
      </c>
      <c r="P535" t="str">
        <f>IF(LEN(K535),MATCH(K535,'MPIO_SFIO Table'!$A$11:$A$65525,0)-1,"")</f>
        <v/>
      </c>
      <c r="Q535" t="str">
        <f>IF(LEN(L535),MATCH(L535,'MPIO_SFIO Table'!$A$11:$A$65525,0)-1,"")</f>
        <v/>
      </c>
      <c r="R535" t="str">
        <f ca="1">IF(ISNUMBER(M535),OFFSET('MPIO_SFIO Table'!$AJ$11,M535,0),"")</f>
        <v>unused_LCD_WR_N</v>
      </c>
      <c r="S535" t="str">
        <f ca="1">IF(ISNUMBER(N535),OFFSET('MPIO_SFIO Table'!$AJ$11,N535,0),"")</f>
        <v/>
      </c>
      <c r="T535" t="str">
        <f ca="1">IF(ISNUMBER(O535),OFFSET('MPIO_SFIO Table'!$AJ$11,O535,0),"")</f>
        <v/>
      </c>
      <c r="U535" t="str">
        <f ca="1">IF(ISNUMBER(P535),OFFSET('MPIO_SFIO Table'!$AJ$11,P535,0),"")</f>
        <v/>
      </c>
      <c r="V535" t="str">
        <f ca="1">IF(ISNUMBER(Q535),OFFSET('MPIO_SFIO Table'!$AJ$11,Q535,0),"")</f>
        <v/>
      </c>
      <c r="W535">
        <f t="shared" ca="1" si="75"/>
        <v>0</v>
      </c>
      <c r="X535">
        <f t="shared" ca="1" si="76"/>
        <v>0</v>
      </c>
      <c r="Y535">
        <f t="shared" ca="1" si="77"/>
        <v>0</v>
      </c>
      <c r="Z535">
        <f t="shared" ca="1" si="78"/>
        <v>0</v>
      </c>
      <c r="AA535">
        <f t="shared" ca="1" si="79"/>
        <v>0</v>
      </c>
    </row>
    <row r="536" spans="1:27" x14ac:dyDescent="0.25">
      <c r="A536">
        <f t="shared" ca="1" si="72"/>
        <v>0</v>
      </c>
      <c r="B536" t="str">
        <f t="shared" ca="1" si="73"/>
        <v/>
      </c>
      <c r="C536" t="str">
        <f t="shared" si="74"/>
        <v>LCD1</v>
      </c>
      <c r="D536" t="s">
        <v>253</v>
      </c>
      <c r="E536" t="s">
        <v>253</v>
      </c>
      <c r="F536" s="3" t="s">
        <v>2865</v>
      </c>
      <c r="G536" s="11" t="s">
        <v>554</v>
      </c>
      <c r="H536" s="11" t="s">
        <v>137</v>
      </c>
      <c r="I536" s="3" t="s">
        <v>253</v>
      </c>
      <c r="J536" s="3" t="s">
        <v>253</v>
      </c>
      <c r="K536" s="3" t="s">
        <v>253</v>
      </c>
      <c r="L536" s="3" t="s">
        <v>253</v>
      </c>
      <c r="M536">
        <f>IF(LEN(H536),MATCH(H536,'MPIO_SFIO Table'!$A$11:$A$65525,0)-1,"")</f>
        <v>133</v>
      </c>
      <c r="N536" t="str">
        <f>IF(LEN(I536),MATCH(I536,'MPIO_SFIO Table'!$A$11:$A$65525,0)-1,"")</f>
        <v/>
      </c>
      <c r="O536" t="str">
        <f>IF(LEN(J536),MATCH(J536,'MPIO_SFIO Table'!$A$11:$A$65525,0)-1,"")</f>
        <v/>
      </c>
      <c r="P536" t="str">
        <f>IF(LEN(K536),MATCH(K536,'MPIO_SFIO Table'!$A$11:$A$65525,0)-1,"")</f>
        <v/>
      </c>
      <c r="Q536" t="str">
        <f>IF(LEN(L536),MATCH(L536,'MPIO_SFIO Table'!$A$11:$A$65525,0)-1,"")</f>
        <v/>
      </c>
      <c r="R536" t="str">
        <f ca="1">IF(ISNUMBER(M536),OFFSET('MPIO_SFIO Table'!$AJ$11,M536,0),"")</f>
        <v>unused_LCD_SCK</v>
      </c>
      <c r="S536" t="str">
        <f ca="1">IF(ISNUMBER(N536),OFFSET('MPIO_SFIO Table'!$AJ$11,N536,0),"")</f>
        <v/>
      </c>
      <c r="T536" t="str">
        <f ca="1">IF(ISNUMBER(O536),OFFSET('MPIO_SFIO Table'!$AJ$11,O536,0),"")</f>
        <v/>
      </c>
      <c r="U536" t="str">
        <f ca="1">IF(ISNUMBER(P536),OFFSET('MPIO_SFIO Table'!$AJ$11,P536,0),"")</f>
        <v/>
      </c>
      <c r="V536" t="str">
        <f ca="1">IF(ISNUMBER(Q536),OFFSET('MPIO_SFIO Table'!$AJ$11,Q536,0),"")</f>
        <v/>
      </c>
      <c r="W536">
        <f t="shared" ca="1" si="75"/>
        <v>0</v>
      </c>
      <c r="X536">
        <f t="shared" ca="1" si="76"/>
        <v>0</v>
      </c>
      <c r="Y536">
        <f t="shared" ca="1" si="77"/>
        <v>0</v>
      </c>
      <c r="Z536">
        <f t="shared" ca="1" si="78"/>
        <v>0</v>
      </c>
      <c r="AA536">
        <f t="shared" ca="1" si="79"/>
        <v>0</v>
      </c>
    </row>
    <row r="537" spans="1:27" x14ac:dyDescent="0.25">
      <c r="A537">
        <f t="shared" ca="1" si="72"/>
        <v>0</v>
      </c>
      <c r="B537" t="str">
        <f t="shared" ca="1" si="73"/>
        <v/>
      </c>
      <c r="C537" t="str">
        <f t="shared" si="74"/>
        <v>LCD1</v>
      </c>
      <c r="D537" t="s">
        <v>253</v>
      </c>
      <c r="E537" t="s">
        <v>253</v>
      </c>
      <c r="F537" s="3" t="s">
        <v>2866</v>
      </c>
      <c r="G537" s="11" t="s">
        <v>560</v>
      </c>
      <c r="H537" s="11" t="s">
        <v>139</v>
      </c>
      <c r="I537" s="3" t="s">
        <v>253</v>
      </c>
      <c r="J537" s="3" t="s">
        <v>253</v>
      </c>
      <c r="K537" s="3" t="s">
        <v>253</v>
      </c>
      <c r="L537" s="3" t="s">
        <v>253</v>
      </c>
      <c r="M537">
        <f>IF(LEN(H537),MATCH(H537,'MPIO_SFIO Table'!$A$11:$A$65525,0)-1,"")</f>
        <v>135</v>
      </c>
      <c r="N537" t="str">
        <f>IF(LEN(I537),MATCH(I537,'MPIO_SFIO Table'!$A$11:$A$65525,0)-1,"")</f>
        <v/>
      </c>
      <c r="O537" t="str">
        <f>IF(LEN(J537),MATCH(J537,'MPIO_SFIO Table'!$A$11:$A$65525,0)-1,"")</f>
        <v/>
      </c>
      <c r="P537" t="str">
        <f>IF(LEN(K537),MATCH(K537,'MPIO_SFIO Table'!$A$11:$A$65525,0)-1,"")</f>
        <v/>
      </c>
      <c r="Q537" t="str">
        <f>IF(LEN(L537),MATCH(L537,'MPIO_SFIO Table'!$A$11:$A$65525,0)-1,"")</f>
        <v/>
      </c>
      <c r="R537" t="str">
        <f ca="1">IF(ISNUMBER(M537),OFFSET('MPIO_SFIO Table'!$AJ$11,M537,0),"")</f>
        <v>unused_LCD_SDOUT</v>
      </c>
      <c r="S537" t="str">
        <f ca="1">IF(ISNUMBER(N537),OFFSET('MPIO_SFIO Table'!$AJ$11,N537,0),"")</f>
        <v/>
      </c>
      <c r="T537" t="str">
        <f ca="1">IF(ISNUMBER(O537),OFFSET('MPIO_SFIO Table'!$AJ$11,O537,0),"")</f>
        <v/>
      </c>
      <c r="U537" t="str">
        <f ca="1">IF(ISNUMBER(P537),OFFSET('MPIO_SFIO Table'!$AJ$11,P537,0),"")</f>
        <v/>
      </c>
      <c r="V537" t="str">
        <f ca="1">IF(ISNUMBER(Q537),OFFSET('MPIO_SFIO Table'!$AJ$11,Q537,0),"")</f>
        <v/>
      </c>
      <c r="W537">
        <f t="shared" ca="1" si="75"/>
        <v>0</v>
      </c>
      <c r="X537">
        <f t="shared" ca="1" si="76"/>
        <v>0</v>
      </c>
      <c r="Y537">
        <f t="shared" ca="1" si="77"/>
        <v>0</v>
      </c>
      <c r="Z537">
        <f t="shared" ca="1" si="78"/>
        <v>0</v>
      </c>
      <c r="AA537">
        <f t="shared" ca="1" si="79"/>
        <v>0</v>
      </c>
    </row>
    <row r="538" spans="1:27" x14ac:dyDescent="0.25">
      <c r="A538">
        <f t="shared" ca="1" si="72"/>
        <v>0</v>
      </c>
      <c r="B538" t="str">
        <f t="shared" ca="1" si="73"/>
        <v/>
      </c>
      <c r="C538" t="str">
        <f t="shared" si="74"/>
        <v>LCD1</v>
      </c>
      <c r="D538" t="s">
        <v>253</v>
      </c>
      <c r="E538" t="s">
        <v>253</v>
      </c>
      <c r="F538" s="3" t="s">
        <v>2815</v>
      </c>
      <c r="G538" s="11" t="s">
        <v>557</v>
      </c>
      <c r="H538" s="11" t="s">
        <v>138</v>
      </c>
      <c r="I538" s="3" t="s">
        <v>253</v>
      </c>
      <c r="J538" s="3" t="s">
        <v>253</v>
      </c>
      <c r="K538" s="3" t="s">
        <v>253</v>
      </c>
      <c r="L538" s="3" t="s">
        <v>253</v>
      </c>
      <c r="M538">
        <f>IF(LEN(H538),MATCH(H538,'MPIO_SFIO Table'!$A$11:$A$65525,0)-1,"")</f>
        <v>134</v>
      </c>
      <c r="N538" t="str">
        <f>IF(LEN(I538),MATCH(I538,'MPIO_SFIO Table'!$A$11:$A$65525,0)-1,"")</f>
        <v/>
      </c>
      <c r="O538" t="str">
        <f>IF(LEN(J538),MATCH(J538,'MPIO_SFIO Table'!$A$11:$A$65525,0)-1,"")</f>
        <v/>
      </c>
      <c r="P538" t="str">
        <f>IF(LEN(K538),MATCH(K538,'MPIO_SFIO Table'!$A$11:$A$65525,0)-1,"")</f>
        <v/>
      </c>
      <c r="Q538" t="str">
        <f>IF(LEN(L538),MATCH(L538,'MPIO_SFIO Table'!$A$11:$A$65525,0)-1,"")</f>
        <v/>
      </c>
      <c r="R538" t="str">
        <f ca="1">IF(ISNUMBER(M538),OFFSET('MPIO_SFIO Table'!$AJ$11,M538,0),"")</f>
        <v>unused_LCD_SDIN</v>
      </c>
      <c r="S538" t="str">
        <f ca="1">IF(ISNUMBER(N538),OFFSET('MPIO_SFIO Table'!$AJ$11,N538,0),"")</f>
        <v/>
      </c>
      <c r="T538" t="str">
        <f ca="1">IF(ISNUMBER(O538),OFFSET('MPIO_SFIO Table'!$AJ$11,O538,0),"")</f>
        <v/>
      </c>
      <c r="U538" t="str">
        <f ca="1">IF(ISNUMBER(P538),OFFSET('MPIO_SFIO Table'!$AJ$11,P538,0),"")</f>
        <v/>
      </c>
      <c r="V538" t="str">
        <f ca="1">IF(ISNUMBER(Q538),OFFSET('MPIO_SFIO Table'!$AJ$11,Q538,0),"")</f>
        <v/>
      </c>
      <c r="W538">
        <f t="shared" ca="1" si="75"/>
        <v>0</v>
      </c>
      <c r="X538">
        <f t="shared" ca="1" si="76"/>
        <v>0</v>
      </c>
      <c r="Y538">
        <f t="shared" ca="1" si="77"/>
        <v>0</v>
      </c>
      <c r="Z538">
        <f t="shared" ca="1" si="78"/>
        <v>0</v>
      </c>
      <c r="AA538">
        <f t="shared" ca="1" si="79"/>
        <v>0</v>
      </c>
    </row>
    <row r="539" spans="1:27" x14ac:dyDescent="0.25">
      <c r="A539">
        <f t="shared" ca="1" si="72"/>
        <v>0</v>
      </c>
      <c r="B539" t="str">
        <f t="shared" ca="1" si="73"/>
        <v/>
      </c>
      <c r="C539" t="str">
        <f t="shared" si="74"/>
        <v>LCD1</v>
      </c>
      <c r="D539" t="s">
        <v>253</v>
      </c>
      <c r="E539" t="s">
        <v>253</v>
      </c>
      <c r="F539" s="3" t="s">
        <v>2867</v>
      </c>
      <c r="G539" s="11" t="s">
        <v>536</v>
      </c>
      <c r="H539" s="11" t="s">
        <v>129</v>
      </c>
      <c r="I539" s="3" t="s">
        <v>253</v>
      </c>
      <c r="J539" s="3" t="s">
        <v>253</v>
      </c>
      <c r="K539" s="3" t="s">
        <v>253</v>
      </c>
      <c r="L539" s="3" t="s">
        <v>253</v>
      </c>
      <c r="M539">
        <f>IF(LEN(H539),MATCH(H539,'MPIO_SFIO Table'!$A$11:$A$65525,0)-1,"")</f>
        <v>125</v>
      </c>
      <c r="N539" t="str">
        <f>IF(LEN(I539),MATCH(I539,'MPIO_SFIO Table'!$A$11:$A$65525,0)-1,"")</f>
        <v/>
      </c>
      <c r="O539" t="str">
        <f>IF(LEN(J539),MATCH(J539,'MPIO_SFIO Table'!$A$11:$A$65525,0)-1,"")</f>
        <v/>
      </c>
      <c r="P539" t="str">
        <f>IF(LEN(K539),MATCH(K539,'MPIO_SFIO Table'!$A$11:$A$65525,0)-1,"")</f>
        <v/>
      </c>
      <c r="Q539" t="str">
        <f>IF(LEN(L539),MATCH(L539,'MPIO_SFIO Table'!$A$11:$A$65525,0)-1,"")</f>
        <v/>
      </c>
      <c r="R539" t="str">
        <f ca="1">IF(ISNUMBER(M539),OFFSET('MPIO_SFIO Table'!$AJ$11,M539,0),"")</f>
        <v>unused_LCD_DC1</v>
      </c>
      <c r="S539" t="str">
        <f ca="1">IF(ISNUMBER(N539),OFFSET('MPIO_SFIO Table'!$AJ$11,N539,0),"")</f>
        <v/>
      </c>
      <c r="T539" t="str">
        <f ca="1">IF(ISNUMBER(O539),OFFSET('MPIO_SFIO Table'!$AJ$11,O539,0),"")</f>
        <v/>
      </c>
      <c r="U539" t="str">
        <f ca="1">IF(ISNUMBER(P539),OFFSET('MPIO_SFIO Table'!$AJ$11,P539,0),"")</f>
        <v/>
      </c>
      <c r="V539" t="str">
        <f ca="1">IF(ISNUMBER(Q539),OFFSET('MPIO_SFIO Table'!$AJ$11,Q539,0),"")</f>
        <v/>
      </c>
      <c r="W539">
        <f t="shared" ca="1" si="75"/>
        <v>0</v>
      </c>
      <c r="X539">
        <f t="shared" ca="1" si="76"/>
        <v>0</v>
      </c>
      <c r="Y539">
        <f t="shared" ca="1" si="77"/>
        <v>0</v>
      </c>
      <c r="Z539">
        <f t="shared" ca="1" si="78"/>
        <v>0</v>
      </c>
      <c r="AA539">
        <f t="shared" ca="1" si="79"/>
        <v>0</v>
      </c>
    </row>
    <row r="540" spans="1:27" x14ac:dyDescent="0.25">
      <c r="A540">
        <f t="shared" ca="1" si="72"/>
        <v>0</v>
      </c>
      <c r="B540" t="str">
        <f t="shared" ca="1" si="73"/>
        <v/>
      </c>
      <c r="C540" t="str">
        <f t="shared" si="74"/>
        <v>LCD1</v>
      </c>
      <c r="D540" t="s">
        <v>253</v>
      </c>
      <c r="E540" t="s">
        <v>253</v>
      </c>
      <c r="F540" s="3" t="s">
        <v>2868</v>
      </c>
      <c r="G540" s="11" t="s">
        <v>512</v>
      </c>
      <c r="H540" s="11" t="s">
        <v>117</v>
      </c>
      <c r="I540" s="3" t="s">
        <v>253</v>
      </c>
      <c r="J540" s="3" t="s">
        <v>253</v>
      </c>
      <c r="K540" s="3" t="s">
        <v>253</v>
      </c>
      <c r="L540" s="3" t="s">
        <v>253</v>
      </c>
      <c r="M540">
        <f>IF(LEN(H540),MATCH(H540,'MPIO_SFIO Table'!$A$11:$A$65525,0)-1,"")</f>
        <v>113</v>
      </c>
      <c r="N540" t="str">
        <f>IF(LEN(I540),MATCH(I540,'MPIO_SFIO Table'!$A$11:$A$65525,0)-1,"")</f>
        <v/>
      </c>
      <c r="O540" t="str">
        <f>IF(LEN(J540),MATCH(J540,'MPIO_SFIO Table'!$A$11:$A$65525,0)-1,"")</f>
        <v/>
      </c>
      <c r="P540" t="str">
        <f>IF(LEN(K540),MATCH(K540,'MPIO_SFIO Table'!$A$11:$A$65525,0)-1,"")</f>
        <v/>
      </c>
      <c r="Q540" t="str">
        <f>IF(LEN(L540),MATCH(L540,'MPIO_SFIO Table'!$A$11:$A$65525,0)-1,"")</f>
        <v/>
      </c>
      <c r="R540" t="str">
        <f ca="1">IF(ISNUMBER(M540),OFFSET('MPIO_SFIO Table'!$AJ$11,M540,0),"")</f>
        <v>unused_LCD_D20</v>
      </c>
      <c r="S540" t="str">
        <f ca="1">IF(ISNUMBER(N540),OFFSET('MPIO_SFIO Table'!$AJ$11,N540,0),"")</f>
        <v/>
      </c>
      <c r="T540" t="str">
        <f ca="1">IF(ISNUMBER(O540),OFFSET('MPIO_SFIO Table'!$AJ$11,O540,0),"")</f>
        <v/>
      </c>
      <c r="U540" t="str">
        <f ca="1">IF(ISNUMBER(P540),OFFSET('MPIO_SFIO Table'!$AJ$11,P540,0),"")</f>
        <v/>
      </c>
      <c r="V540" t="str">
        <f ca="1">IF(ISNUMBER(Q540),OFFSET('MPIO_SFIO Table'!$AJ$11,Q540,0),"")</f>
        <v/>
      </c>
      <c r="W540">
        <f t="shared" ca="1" si="75"/>
        <v>0</v>
      </c>
      <c r="X540">
        <f t="shared" ca="1" si="76"/>
        <v>0</v>
      </c>
      <c r="Y540">
        <f t="shared" ca="1" si="77"/>
        <v>0</v>
      </c>
      <c r="Z540">
        <f t="shared" ca="1" si="78"/>
        <v>0</v>
      </c>
      <c r="AA540">
        <f t="shared" ca="1" si="79"/>
        <v>0</v>
      </c>
    </row>
    <row r="541" spans="1:27" x14ac:dyDescent="0.25">
      <c r="A541">
        <f t="shared" ca="1" si="72"/>
        <v>0</v>
      </c>
      <c r="B541" t="str">
        <f t="shared" ca="1" si="73"/>
        <v/>
      </c>
      <c r="C541" t="str">
        <f t="shared" si="74"/>
        <v/>
      </c>
      <c r="D541" t="s">
        <v>2494</v>
      </c>
      <c r="E541" t="s">
        <v>1046</v>
      </c>
      <c r="F541" s="3" t="s">
        <v>253</v>
      </c>
      <c r="G541" s="11" t="s">
        <v>253</v>
      </c>
      <c r="H541" s="11" t="s">
        <v>253</v>
      </c>
      <c r="I541" s="3" t="s">
        <v>253</v>
      </c>
      <c r="J541" s="3" t="s">
        <v>253</v>
      </c>
      <c r="K541" s="3" t="s">
        <v>253</v>
      </c>
      <c r="L541" s="3" t="s">
        <v>253</v>
      </c>
      <c r="M541" t="str">
        <f>IF(LEN(H541),MATCH(H541,'MPIO_SFIO Table'!$A$11:$A$65525,0)-1,"")</f>
        <v/>
      </c>
      <c r="N541" t="str">
        <f>IF(LEN(I541),MATCH(I541,'MPIO_SFIO Table'!$A$11:$A$65525,0)-1,"")</f>
        <v/>
      </c>
      <c r="O541" t="str">
        <f>IF(LEN(J541),MATCH(J541,'MPIO_SFIO Table'!$A$11:$A$65525,0)-1,"")</f>
        <v/>
      </c>
      <c r="P541" t="str">
        <f>IF(LEN(K541),MATCH(K541,'MPIO_SFIO Table'!$A$11:$A$65525,0)-1,"")</f>
        <v/>
      </c>
      <c r="Q541" t="str">
        <f>IF(LEN(L541),MATCH(L541,'MPIO_SFIO Table'!$A$11:$A$65525,0)-1,"")</f>
        <v/>
      </c>
      <c r="R541" t="str">
        <f ca="1">IF(ISNUMBER(M541),OFFSET('MPIO_SFIO Table'!$AJ$11,M541,0),"")</f>
        <v/>
      </c>
      <c r="S541" t="str">
        <f ca="1">IF(ISNUMBER(N541),OFFSET('MPIO_SFIO Table'!$AJ$11,N541,0),"")</f>
        <v/>
      </c>
      <c r="T541" t="str">
        <f ca="1">IF(ISNUMBER(O541),OFFSET('MPIO_SFIO Table'!$AJ$11,O541,0),"")</f>
        <v/>
      </c>
      <c r="U541" t="str">
        <f ca="1">IF(ISNUMBER(P541),OFFSET('MPIO_SFIO Table'!$AJ$11,P541,0),"")</f>
        <v/>
      </c>
      <c r="V541" t="str">
        <f ca="1">IF(ISNUMBER(Q541),OFFSET('MPIO_SFIO Table'!$AJ$11,Q541,0),"")</f>
        <v/>
      </c>
      <c r="W541">
        <f t="shared" ca="1" si="75"/>
        <v>0</v>
      </c>
      <c r="X541">
        <f t="shared" ca="1" si="76"/>
        <v>0</v>
      </c>
      <c r="Y541">
        <f t="shared" ca="1" si="77"/>
        <v>0</v>
      </c>
      <c r="Z541">
        <f t="shared" ca="1" si="78"/>
        <v>0</v>
      </c>
      <c r="AA541">
        <f t="shared" ca="1" si="79"/>
        <v>0</v>
      </c>
    </row>
    <row r="542" spans="1:27" x14ac:dyDescent="0.25">
      <c r="A542">
        <f t="shared" ca="1" si="72"/>
        <v>0</v>
      </c>
      <c r="B542" t="str">
        <f t="shared" ca="1" si="73"/>
        <v/>
      </c>
      <c r="C542" t="str">
        <f t="shared" si="74"/>
        <v>NAND</v>
      </c>
      <c r="D542" t="s">
        <v>253</v>
      </c>
      <c r="E542" t="s">
        <v>253</v>
      </c>
      <c r="F542" s="3" t="s">
        <v>2869</v>
      </c>
      <c r="G542" s="11" t="s">
        <v>453</v>
      </c>
      <c r="H542" s="11" t="s">
        <v>81</v>
      </c>
      <c r="I542" s="3" t="s">
        <v>253</v>
      </c>
      <c r="J542" s="3" t="s">
        <v>253</v>
      </c>
      <c r="K542" s="3" t="s">
        <v>253</v>
      </c>
      <c r="L542" s="3" t="s">
        <v>253</v>
      </c>
      <c r="M542">
        <f>IF(LEN(H542),MATCH(H542,'MPIO_SFIO Table'!$A$11:$A$65525,0)-1,"")</f>
        <v>76</v>
      </c>
      <c r="N542" t="str">
        <f>IF(LEN(I542),MATCH(I542,'MPIO_SFIO Table'!$A$11:$A$65525,0)-1,"")</f>
        <v/>
      </c>
      <c r="O542" t="str">
        <f>IF(LEN(J542),MATCH(J542,'MPIO_SFIO Table'!$A$11:$A$65525,0)-1,"")</f>
        <v/>
      </c>
      <c r="P542" t="str">
        <f>IF(LEN(K542),MATCH(K542,'MPIO_SFIO Table'!$A$11:$A$65525,0)-1,"")</f>
        <v/>
      </c>
      <c r="Q542" t="str">
        <f>IF(LEN(L542),MATCH(L542,'MPIO_SFIO Table'!$A$11:$A$65525,0)-1,"")</f>
        <v/>
      </c>
      <c r="R542" t="str">
        <f ca="1">IF(ISNUMBER(M542),OFFSET('MPIO_SFIO Table'!$AJ$11,M542,0),"")</f>
        <v>unused_GMI_ADV_N</v>
      </c>
      <c r="S542" t="str">
        <f ca="1">IF(ISNUMBER(N542),OFFSET('MPIO_SFIO Table'!$AJ$11,N542,0),"")</f>
        <v/>
      </c>
      <c r="T542" t="str">
        <f ca="1">IF(ISNUMBER(O542),OFFSET('MPIO_SFIO Table'!$AJ$11,O542,0),"")</f>
        <v/>
      </c>
      <c r="U542" t="str">
        <f ca="1">IF(ISNUMBER(P542),OFFSET('MPIO_SFIO Table'!$AJ$11,P542,0),"")</f>
        <v/>
      </c>
      <c r="V542" t="str">
        <f ca="1">IF(ISNUMBER(Q542),OFFSET('MPIO_SFIO Table'!$AJ$11,Q542,0),"")</f>
        <v/>
      </c>
      <c r="W542">
        <f t="shared" ca="1" si="75"/>
        <v>0</v>
      </c>
      <c r="X542">
        <f t="shared" ca="1" si="76"/>
        <v>0</v>
      </c>
      <c r="Y542">
        <f t="shared" ca="1" si="77"/>
        <v>0</v>
      </c>
      <c r="Z542">
        <f t="shared" ca="1" si="78"/>
        <v>0</v>
      </c>
      <c r="AA542">
        <f t="shared" ca="1" si="79"/>
        <v>0</v>
      </c>
    </row>
    <row r="543" spans="1:27" x14ac:dyDescent="0.25">
      <c r="A543">
        <f t="shared" ca="1" si="72"/>
        <v>0</v>
      </c>
      <c r="B543" t="str">
        <f t="shared" ca="1" si="73"/>
        <v/>
      </c>
      <c r="C543" t="str">
        <f t="shared" si="74"/>
        <v>NAND</v>
      </c>
      <c r="D543" t="s">
        <v>253</v>
      </c>
      <c r="E543" t="s">
        <v>253</v>
      </c>
      <c r="F543" s="3" t="s">
        <v>2870</v>
      </c>
      <c r="G543" s="11" t="s">
        <v>469</v>
      </c>
      <c r="H543" s="11" t="s">
        <v>94</v>
      </c>
      <c r="I543" s="3" t="s">
        <v>253</v>
      </c>
      <c r="J543" s="3" t="s">
        <v>253</v>
      </c>
      <c r="K543" s="3" t="s">
        <v>253</v>
      </c>
      <c r="L543" s="3" t="s">
        <v>253</v>
      </c>
      <c r="M543">
        <f>IF(LEN(H543),MATCH(H543,'MPIO_SFIO Table'!$A$11:$A$65525,0)-1,"")</f>
        <v>89</v>
      </c>
      <c r="N543" t="str">
        <f>IF(LEN(I543),MATCH(I543,'MPIO_SFIO Table'!$A$11:$A$65525,0)-1,"")</f>
        <v/>
      </c>
      <c r="O543" t="str">
        <f>IF(LEN(J543),MATCH(J543,'MPIO_SFIO Table'!$A$11:$A$65525,0)-1,"")</f>
        <v/>
      </c>
      <c r="P543" t="str">
        <f>IF(LEN(K543),MATCH(K543,'MPIO_SFIO Table'!$A$11:$A$65525,0)-1,"")</f>
        <v/>
      </c>
      <c r="Q543" t="str">
        <f>IF(LEN(L543),MATCH(L543,'MPIO_SFIO Table'!$A$11:$A$65525,0)-1,"")</f>
        <v/>
      </c>
      <c r="R543" t="str">
        <f ca="1">IF(ISNUMBER(M543),OFFSET('MPIO_SFIO Table'!$AJ$11,M543,0),"")</f>
        <v>unused_GMI_WAIT</v>
      </c>
      <c r="S543" t="str">
        <f ca="1">IF(ISNUMBER(N543),OFFSET('MPIO_SFIO Table'!$AJ$11,N543,0),"")</f>
        <v/>
      </c>
      <c r="T543" t="str">
        <f ca="1">IF(ISNUMBER(O543),OFFSET('MPIO_SFIO Table'!$AJ$11,O543,0),"")</f>
        <v/>
      </c>
      <c r="U543" t="str">
        <f ca="1">IF(ISNUMBER(P543),OFFSET('MPIO_SFIO Table'!$AJ$11,P543,0),"")</f>
        <v/>
      </c>
      <c r="V543" t="str">
        <f ca="1">IF(ISNUMBER(Q543),OFFSET('MPIO_SFIO Table'!$AJ$11,Q543,0),"")</f>
        <v/>
      </c>
      <c r="W543">
        <f t="shared" ca="1" si="75"/>
        <v>0</v>
      </c>
      <c r="X543">
        <f t="shared" ca="1" si="76"/>
        <v>0</v>
      </c>
      <c r="Y543">
        <f t="shared" ca="1" si="77"/>
        <v>0</v>
      </c>
      <c r="Z543">
        <f t="shared" ca="1" si="78"/>
        <v>0</v>
      </c>
      <c r="AA543">
        <f t="shared" ca="1" si="79"/>
        <v>0</v>
      </c>
    </row>
    <row r="544" spans="1:27" x14ac:dyDescent="0.25">
      <c r="A544">
        <f t="shared" ca="1" si="72"/>
        <v>0</v>
      </c>
      <c r="B544" t="str">
        <f t="shared" ca="1" si="73"/>
        <v/>
      </c>
      <c r="C544" t="str">
        <f t="shared" si="74"/>
        <v>NAND</v>
      </c>
      <c r="D544" t="s">
        <v>253</v>
      </c>
      <c r="E544" t="s">
        <v>253</v>
      </c>
      <c r="F544" s="3" t="s">
        <v>2871</v>
      </c>
      <c r="G544" s="11" t="s">
        <v>460</v>
      </c>
      <c r="H544" s="11" t="s">
        <v>88</v>
      </c>
      <c r="I544" s="3" t="s">
        <v>253</v>
      </c>
      <c r="J544" s="3" t="s">
        <v>253</v>
      </c>
      <c r="K544" s="3" t="s">
        <v>253</v>
      </c>
      <c r="L544" s="3" t="s">
        <v>253</v>
      </c>
      <c r="M544">
        <f>IF(LEN(H544),MATCH(H544,'MPIO_SFIO Table'!$A$11:$A$65525,0)-1,"")</f>
        <v>83</v>
      </c>
      <c r="N544" t="str">
        <f>IF(LEN(I544),MATCH(I544,'MPIO_SFIO Table'!$A$11:$A$65525,0)-1,"")</f>
        <v/>
      </c>
      <c r="O544" t="str">
        <f>IF(LEN(J544),MATCH(J544,'MPIO_SFIO Table'!$A$11:$A$65525,0)-1,"")</f>
        <v/>
      </c>
      <c r="P544" t="str">
        <f>IF(LEN(K544),MATCH(K544,'MPIO_SFIO Table'!$A$11:$A$65525,0)-1,"")</f>
        <v/>
      </c>
      <c r="Q544" t="str">
        <f>IF(LEN(L544),MATCH(L544,'MPIO_SFIO Table'!$A$11:$A$65525,0)-1,"")</f>
        <v/>
      </c>
      <c r="R544" t="str">
        <f ca="1">IF(ISNUMBER(M544),OFFSET('MPIO_SFIO Table'!$AJ$11,M544,0),"")</f>
        <v>unused_GMI_CS6_N</v>
      </c>
      <c r="S544" t="str">
        <f ca="1">IF(ISNUMBER(N544),OFFSET('MPIO_SFIO Table'!$AJ$11,N544,0),"")</f>
        <v/>
      </c>
      <c r="T544" t="str">
        <f ca="1">IF(ISNUMBER(O544),OFFSET('MPIO_SFIO Table'!$AJ$11,O544,0),"")</f>
        <v/>
      </c>
      <c r="U544" t="str">
        <f ca="1">IF(ISNUMBER(P544),OFFSET('MPIO_SFIO Table'!$AJ$11,P544,0),"")</f>
        <v/>
      </c>
      <c r="V544" t="str">
        <f ca="1">IF(ISNUMBER(Q544),OFFSET('MPIO_SFIO Table'!$AJ$11,Q544,0),"")</f>
        <v/>
      </c>
      <c r="W544">
        <f t="shared" ca="1" si="75"/>
        <v>0</v>
      </c>
      <c r="X544">
        <f t="shared" ca="1" si="76"/>
        <v>0</v>
      </c>
      <c r="Y544">
        <f t="shared" ca="1" si="77"/>
        <v>0</v>
      </c>
      <c r="Z544">
        <f t="shared" ca="1" si="78"/>
        <v>0</v>
      </c>
      <c r="AA544">
        <f t="shared" ca="1" si="79"/>
        <v>0</v>
      </c>
    </row>
    <row r="545" spans="1:27" x14ac:dyDescent="0.25">
      <c r="A545">
        <f t="shared" ca="1" si="72"/>
        <v>0</v>
      </c>
      <c r="B545" t="str">
        <f t="shared" ca="1" si="73"/>
        <v/>
      </c>
      <c r="C545" t="str">
        <f t="shared" si="74"/>
        <v>NAND</v>
      </c>
      <c r="D545" t="s">
        <v>253</v>
      </c>
      <c r="E545" t="s">
        <v>253</v>
      </c>
      <c r="F545" s="3" t="s">
        <v>2872</v>
      </c>
      <c r="G545" s="11" t="s">
        <v>462</v>
      </c>
      <c r="H545" s="11" t="s">
        <v>89</v>
      </c>
      <c r="I545" s="3" t="s">
        <v>253</v>
      </c>
      <c r="J545" s="3" t="s">
        <v>253</v>
      </c>
      <c r="K545" s="3" t="s">
        <v>253</v>
      </c>
      <c r="L545" s="3" t="s">
        <v>253</v>
      </c>
      <c r="M545">
        <f>IF(LEN(H545),MATCH(H545,'MPIO_SFIO Table'!$A$11:$A$65525,0)-1,"")</f>
        <v>84</v>
      </c>
      <c r="N545" t="str">
        <f>IF(LEN(I545),MATCH(I545,'MPIO_SFIO Table'!$A$11:$A$65525,0)-1,"")</f>
        <v/>
      </c>
      <c r="O545" t="str">
        <f>IF(LEN(J545),MATCH(J545,'MPIO_SFIO Table'!$A$11:$A$65525,0)-1,"")</f>
        <v/>
      </c>
      <c r="P545" t="str">
        <f>IF(LEN(K545),MATCH(K545,'MPIO_SFIO Table'!$A$11:$A$65525,0)-1,"")</f>
        <v/>
      </c>
      <c r="Q545" t="str">
        <f>IF(LEN(L545),MATCH(L545,'MPIO_SFIO Table'!$A$11:$A$65525,0)-1,"")</f>
        <v/>
      </c>
      <c r="R545" t="str">
        <f ca="1">IF(ISNUMBER(M545),OFFSET('MPIO_SFIO Table'!$AJ$11,M545,0),"")</f>
        <v>unused_GMI_CS7_N</v>
      </c>
      <c r="S545" t="str">
        <f ca="1">IF(ISNUMBER(N545),OFFSET('MPIO_SFIO Table'!$AJ$11,N545,0),"")</f>
        <v/>
      </c>
      <c r="T545" t="str">
        <f ca="1">IF(ISNUMBER(O545),OFFSET('MPIO_SFIO Table'!$AJ$11,O545,0),"")</f>
        <v/>
      </c>
      <c r="U545" t="str">
        <f ca="1">IF(ISNUMBER(P545),OFFSET('MPIO_SFIO Table'!$AJ$11,P545,0),"")</f>
        <v/>
      </c>
      <c r="V545" t="str">
        <f ca="1">IF(ISNUMBER(Q545),OFFSET('MPIO_SFIO Table'!$AJ$11,Q545,0),"")</f>
        <v/>
      </c>
      <c r="W545">
        <f t="shared" ca="1" si="75"/>
        <v>0</v>
      </c>
      <c r="X545">
        <f t="shared" ca="1" si="76"/>
        <v>0</v>
      </c>
      <c r="Y545">
        <f t="shared" ca="1" si="77"/>
        <v>0</v>
      </c>
      <c r="Z545">
        <f t="shared" ca="1" si="78"/>
        <v>0</v>
      </c>
      <c r="AA545">
        <f t="shared" ca="1" si="79"/>
        <v>0</v>
      </c>
    </row>
    <row r="546" spans="1:27" x14ac:dyDescent="0.25">
      <c r="A546">
        <f t="shared" ca="1" si="72"/>
        <v>0</v>
      </c>
      <c r="B546" t="str">
        <f t="shared" ca="1" si="73"/>
        <v/>
      </c>
      <c r="C546" t="str">
        <f t="shared" si="74"/>
        <v>NAND</v>
      </c>
      <c r="D546" t="s">
        <v>253</v>
      </c>
      <c r="E546" t="s">
        <v>253</v>
      </c>
      <c r="F546" s="3" t="s">
        <v>2873</v>
      </c>
      <c r="G546" s="11" t="s">
        <v>468</v>
      </c>
      <c r="H546" s="11" t="s">
        <v>93</v>
      </c>
      <c r="I546" s="3" t="s">
        <v>253</v>
      </c>
      <c r="J546" s="3" t="s">
        <v>253</v>
      </c>
      <c r="K546" s="3" t="s">
        <v>253</v>
      </c>
      <c r="L546" s="3" t="s">
        <v>253</v>
      </c>
      <c r="M546">
        <f>IF(LEN(H546),MATCH(H546,'MPIO_SFIO Table'!$A$11:$A$65525,0)-1,"")</f>
        <v>88</v>
      </c>
      <c r="N546" t="str">
        <f>IF(LEN(I546),MATCH(I546,'MPIO_SFIO Table'!$A$11:$A$65525,0)-1,"")</f>
        <v/>
      </c>
      <c r="O546" t="str">
        <f>IF(LEN(J546),MATCH(J546,'MPIO_SFIO Table'!$A$11:$A$65525,0)-1,"")</f>
        <v/>
      </c>
      <c r="P546" t="str">
        <f>IF(LEN(K546),MATCH(K546,'MPIO_SFIO Table'!$A$11:$A$65525,0)-1,"")</f>
        <v/>
      </c>
      <c r="Q546" t="str">
        <f>IF(LEN(L546),MATCH(L546,'MPIO_SFIO Table'!$A$11:$A$65525,0)-1,"")</f>
        <v/>
      </c>
      <c r="R546" t="str">
        <f ca="1">IF(ISNUMBER(M546),OFFSET('MPIO_SFIO Table'!$AJ$11,M546,0),"")</f>
        <v>unused_GMI_RST_N</v>
      </c>
      <c r="S546" t="str">
        <f ca="1">IF(ISNUMBER(N546),OFFSET('MPIO_SFIO Table'!$AJ$11,N546,0),"")</f>
        <v/>
      </c>
      <c r="T546" t="str">
        <f ca="1">IF(ISNUMBER(O546),OFFSET('MPIO_SFIO Table'!$AJ$11,O546,0),"")</f>
        <v/>
      </c>
      <c r="U546" t="str">
        <f ca="1">IF(ISNUMBER(P546),OFFSET('MPIO_SFIO Table'!$AJ$11,P546,0),"")</f>
        <v/>
      </c>
      <c r="V546" t="str">
        <f ca="1">IF(ISNUMBER(Q546),OFFSET('MPIO_SFIO Table'!$AJ$11,Q546,0),"")</f>
        <v/>
      </c>
      <c r="W546">
        <f t="shared" ca="1" si="75"/>
        <v>0</v>
      </c>
      <c r="X546">
        <f t="shared" ca="1" si="76"/>
        <v>0</v>
      </c>
      <c r="Y546">
        <f t="shared" ca="1" si="77"/>
        <v>0</v>
      </c>
      <c r="Z546">
        <f t="shared" ca="1" si="78"/>
        <v>0</v>
      </c>
      <c r="AA546">
        <f t="shared" ca="1" si="79"/>
        <v>0</v>
      </c>
    </row>
    <row r="547" spans="1:27" x14ac:dyDescent="0.25">
      <c r="A547">
        <f t="shared" ca="1" si="72"/>
        <v>0</v>
      </c>
      <c r="B547" t="str">
        <f t="shared" ca="1" si="73"/>
        <v/>
      </c>
      <c r="C547" t="str">
        <f t="shared" si="74"/>
        <v>NAND</v>
      </c>
      <c r="D547" t="s">
        <v>253</v>
      </c>
      <c r="E547" t="s">
        <v>253</v>
      </c>
      <c r="F547" s="3" t="s">
        <v>2874</v>
      </c>
      <c r="G547" s="11" t="s">
        <v>2214</v>
      </c>
      <c r="H547" s="11" t="s">
        <v>85</v>
      </c>
      <c r="I547" s="3" t="s">
        <v>253</v>
      </c>
      <c r="J547" s="3" t="s">
        <v>253</v>
      </c>
      <c r="K547" s="3" t="s">
        <v>253</v>
      </c>
      <c r="L547" s="3" t="s">
        <v>253</v>
      </c>
      <c r="M547">
        <f>IF(LEN(H547),MATCH(H547,'MPIO_SFIO Table'!$A$11:$A$65525,0)-1,"")</f>
        <v>80</v>
      </c>
      <c r="N547" t="str">
        <f>IF(LEN(I547),MATCH(I547,'MPIO_SFIO Table'!$A$11:$A$65525,0)-1,"")</f>
        <v/>
      </c>
      <c r="O547" t="str">
        <f>IF(LEN(J547),MATCH(J547,'MPIO_SFIO Table'!$A$11:$A$65525,0)-1,"")</f>
        <v/>
      </c>
      <c r="P547" t="str">
        <f>IF(LEN(K547),MATCH(K547,'MPIO_SFIO Table'!$A$11:$A$65525,0)-1,"")</f>
        <v/>
      </c>
      <c r="Q547" t="str">
        <f>IF(LEN(L547),MATCH(L547,'MPIO_SFIO Table'!$A$11:$A$65525,0)-1,"")</f>
        <v/>
      </c>
      <c r="R547" t="str">
        <f ca="1">IF(ISNUMBER(M547),OFFSET('MPIO_SFIO Table'!$AJ$11,M547,0),"")</f>
        <v>unused_GMI_CS2_N</v>
      </c>
      <c r="S547" t="str">
        <f ca="1">IF(ISNUMBER(N547),OFFSET('MPIO_SFIO Table'!$AJ$11,N547,0),"")</f>
        <v/>
      </c>
      <c r="T547" t="str">
        <f ca="1">IF(ISNUMBER(O547),OFFSET('MPIO_SFIO Table'!$AJ$11,O547,0),"")</f>
        <v/>
      </c>
      <c r="U547" t="str">
        <f ca="1">IF(ISNUMBER(P547),OFFSET('MPIO_SFIO Table'!$AJ$11,P547,0),"")</f>
        <v/>
      </c>
      <c r="V547" t="str">
        <f ca="1">IF(ISNUMBER(Q547),OFFSET('MPIO_SFIO Table'!$AJ$11,Q547,0),"")</f>
        <v/>
      </c>
      <c r="W547">
        <f t="shared" ca="1" si="75"/>
        <v>0</v>
      </c>
      <c r="X547">
        <f t="shared" ca="1" si="76"/>
        <v>0</v>
      </c>
      <c r="Y547">
        <f t="shared" ca="1" si="77"/>
        <v>0</v>
      </c>
      <c r="Z547">
        <f t="shared" ca="1" si="78"/>
        <v>0</v>
      </c>
      <c r="AA547">
        <f t="shared" ca="1" si="79"/>
        <v>0</v>
      </c>
    </row>
    <row r="548" spans="1:27" x14ac:dyDescent="0.25">
      <c r="A548">
        <f t="shared" ca="1" si="72"/>
        <v>0</v>
      </c>
      <c r="B548" t="str">
        <f t="shared" ca="1" si="73"/>
        <v/>
      </c>
      <c r="C548" t="str">
        <f t="shared" si="74"/>
        <v>NAND</v>
      </c>
      <c r="D548" t="s">
        <v>253</v>
      </c>
      <c r="E548" t="s">
        <v>253</v>
      </c>
      <c r="F548" s="3" t="s">
        <v>2875</v>
      </c>
      <c r="G548" s="11" t="s">
        <v>2213</v>
      </c>
      <c r="H548" s="11" t="s">
        <v>86</v>
      </c>
      <c r="I548" s="3" t="s">
        <v>253</v>
      </c>
      <c r="J548" s="3" t="s">
        <v>253</v>
      </c>
      <c r="K548" s="3" t="s">
        <v>253</v>
      </c>
      <c r="L548" s="3" t="s">
        <v>253</v>
      </c>
      <c r="M548">
        <f>IF(LEN(H548),MATCH(H548,'MPIO_SFIO Table'!$A$11:$A$65525,0)-1,"")</f>
        <v>81</v>
      </c>
      <c r="N548" t="str">
        <f>IF(LEN(I548),MATCH(I548,'MPIO_SFIO Table'!$A$11:$A$65525,0)-1,"")</f>
        <v/>
      </c>
      <c r="O548" t="str">
        <f>IF(LEN(J548),MATCH(J548,'MPIO_SFIO Table'!$A$11:$A$65525,0)-1,"")</f>
        <v/>
      </c>
      <c r="P548" t="str">
        <f>IF(LEN(K548),MATCH(K548,'MPIO_SFIO Table'!$A$11:$A$65525,0)-1,"")</f>
        <v/>
      </c>
      <c r="Q548" t="str">
        <f>IF(LEN(L548),MATCH(L548,'MPIO_SFIO Table'!$A$11:$A$65525,0)-1,"")</f>
        <v/>
      </c>
      <c r="R548" t="str">
        <f ca="1">IF(ISNUMBER(M548),OFFSET('MPIO_SFIO Table'!$AJ$11,M548,0),"")</f>
        <v>unused_GMI_CS3_N</v>
      </c>
      <c r="S548" t="str">
        <f ca="1">IF(ISNUMBER(N548),OFFSET('MPIO_SFIO Table'!$AJ$11,N548,0),"")</f>
        <v/>
      </c>
      <c r="T548" t="str">
        <f ca="1">IF(ISNUMBER(O548),OFFSET('MPIO_SFIO Table'!$AJ$11,O548,0),"")</f>
        <v/>
      </c>
      <c r="U548" t="str">
        <f ca="1">IF(ISNUMBER(P548),OFFSET('MPIO_SFIO Table'!$AJ$11,P548,0),"")</f>
        <v/>
      </c>
      <c r="V548" t="str">
        <f ca="1">IF(ISNUMBER(Q548),OFFSET('MPIO_SFIO Table'!$AJ$11,Q548,0),"")</f>
        <v/>
      </c>
      <c r="W548">
        <f t="shared" ca="1" si="75"/>
        <v>0</v>
      </c>
      <c r="X548">
        <f t="shared" ca="1" si="76"/>
        <v>0</v>
      </c>
      <c r="Y548">
        <f t="shared" ca="1" si="77"/>
        <v>0</v>
      </c>
      <c r="Z548">
        <f t="shared" ca="1" si="78"/>
        <v>0</v>
      </c>
      <c r="AA548">
        <f t="shared" ca="1" si="79"/>
        <v>0</v>
      </c>
    </row>
    <row r="549" spans="1:27" x14ac:dyDescent="0.25">
      <c r="A549">
        <f t="shared" ca="1" si="72"/>
        <v>0</v>
      </c>
      <c r="B549" t="str">
        <f t="shared" ca="1" si="73"/>
        <v/>
      </c>
      <c r="C549" t="str">
        <f t="shared" si="74"/>
        <v>NAND</v>
      </c>
      <c r="D549" t="s">
        <v>253</v>
      </c>
      <c r="E549" t="s">
        <v>253</v>
      </c>
      <c r="F549" s="3" t="s">
        <v>2876</v>
      </c>
      <c r="G549" s="11" t="s">
        <v>2212</v>
      </c>
      <c r="H549" s="11" t="s">
        <v>87</v>
      </c>
      <c r="I549" s="3" t="s">
        <v>253</v>
      </c>
      <c r="J549" s="3" t="s">
        <v>253</v>
      </c>
      <c r="K549" s="3" t="s">
        <v>253</v>
      </c>
      <c r="L549" s="3" t="s">
        <v>253</v>
      </c>
      <c r="M549">
        <f>IF(LEN(H549),MATCH(H549,'MPIO_SFIO Table'!$A$11:$A$65525,0)-1,"")</f>
        <v>82</v>
      </c>
      <c r="N549" t="str">
        <f>IF(LEN(I549),MATCH(I549,'MPIO_SFIO Table'!$A$11:$A$65525,0)-1,"")</f>
        <v/>
      </c>
      <c r="O549" t="str">
        <f>IF(LEN(J549),MATCH(J549,'MPIO_SFIO Table'!$A$11:$A$65525,0)-1,"")</f>
        <v/>
      </c>
      <c r="P549" t="str">
        <f>IF(LEN(K549),MATCH(K549,'MPIO_SFIO Table'!$A$11:$A$65525,0)-1,"")</f>
        <v/>
      </c>
      <c r="Q549" t="str">
        <f>IF(LEN(L549),MATCH(L549,'MPIO_SFIO Table'!$A$11:$A$65525,0)-1,"")</f>
        <v/>
      </c>
      <c r="R549" t="str">
        <f ca="1">IF(ISNUMBER(M549),OFFSET('MPIO_SFIO Table'!$AJ$11,M549,0),"")</f>
        <v>unused_GMI_CS4_N</v>
      </c>
      <c r="S549" t="str">
        <f ca="1">IF(ISNUMBER(N549),OFFSET('MPIO_SFIO Table'!$AJ$11,N549,0),"")</f>
        <v/>
      </c>
      <c r="T549" t="str">
        <f ca="1">IF(ISNUMBER(O549),OFFSET('MPIO_SFIO Table'!$AJ$11,O549,0),"")</f>
        <v/>
      </c>
      <c r="U549" t="str">
        <f ca="1">IF(ISNUMBER(P549),OFFSET('MPIO_SFIO Table'!$AJ$11,P549,0),"")</f>
        <v/>
      </c>
      <c r="V549" t="str">
        <f ca="1">IF(ISNUMBER(Q549),OFFSET('MPIO_SFIO Table'!$AJ$11,Q549,0),"")</f>
        <v/>
      </c>
      <c r="W549">
        <f t="shared" ca="1" si="75"/>
        <v>0</v>
      </c>
      <c r="X549">
        <f t="shared" ca="1" si="76"/>
        <v>0</v>
      </c>
      <c r="Y549">
        <f t="shared" ca="1" si="77"/>
        <v>0</v>
      </c>
      <c r="Z549">
        <f t="shared" ca="1" si="78"/>
        <v>0</v>
      </c>
      <c r="AA549">
        <f t="shared" ca="1" si="79"/>
        <v>0</v>
      </c>
    </row>
    <row r="550" spans="1:27" x14ac:dyDescent="0.25">
      <c r="A550">
        <f t="shared" ca="1" si="72"/>
        <v>0</v>
      </c>
      <c r="B550" t="str">
        <f t="shared" ca="1" si="73"/>
        <v/>
      </c>
      <c r="C550" t="str">
        <f t="shared" si="74"/>
        <v>NAND</v>
      </c>
      <c r="D550" t="s">
        <v>253</v>
      </c>
      <c r="E550" t="s">
        <v>253</v>
      </c>
      <c r="F550" s="3" t="s">
        <v>2877</v>
      </c>
      <c r="G550" s="11" t="s">
        <v>2209</v>
      </c>
      <c r="H550" s="11" t="s">
        <v>91</v>
      </c>
      <c r="I550" s="3" t="s">
        <v>253</v>
      </c>
      <c r="J550" s="3" t="s">
        <v>253</v>
      </c>
      <c r="K550" s="3" t="s">
        <v>253</v>
      </c>
      <c r="L550" s="3" t="s">
        <v>253</v>
      </c>
      <c r="M550">
        <f>IF(LEN(H550),MATCH(H550,'MPIO_SFIO Table'!$A$11:$A$65525,0)-1,"")</f>
        <v>86</v>
      </c>
      <c r="N550" t="str">
        <f>IF(LEN(I550),MATCH(I550,'MPIO_SFIO Table'!$A$11:$A$65525,0)-1,"")</f>
        <v/>
      </c>
      <c r="O550" t="str">
        <f>IF(LEN(J550),MATCH(J550,'MPIO_SFIO Table'!$A$11:$A$65525,0)-1,"")</f>
        <v/>
      </c>
      <c r="P550" t="str">
        <f>IF(LEN(K550),MATCH(K550,'MPIO_SFIO Table'!$A$11:$A$65525,0)-1,"")</f>
        <v/>
      </c>
      <c r="Q550" t="str">
        <f>IF(LEN(L550),MATCH(L550,'MPIO_SFIO Table'!$A$11:$A$65525,0)-1,"")</f>
        <v/>
      </c>
      <c r="R550" t="str">
        <f ca="1">IF(ISNUMBER(M550),OFFSET('MPIO_SFIO Table'!$AJ$11,M550,0),"")</f>
        <v>unused_GMI_IORDY</v>
      </c>
      <c r="S550" t="str">
        <f ca="1">IF(ISNUMBER(N550),OFFSET('MPIO_SFIO Table'!$AJ$11,N550,0),"")</f>
        <v/>
      </c>
      <c r="T550" t="str">
        <f ca="1">IF(ISNUMBER(O550),OFFSET('MPIO_SFIO Table'!$AJ$11,O550,0),"")</f>
        <v/>
      </c>
      <c r="U550" t="str">
        <f ca="1">IF(ISNUMBER(P550),OFFSET('MPIO_SFIO Table'!$AJ$11,P550,0),"")</f>
        <v/>
      </c>
      <c r="V550" t="str">
        <f ca="1">IF(ISNUMBER(Q550),OFFSET('MPIO_SFIO Table'!$AJ$11,Q550,0),"")</f>
        <v/>
      </c>
      <c r="W550">
        <f t="shared" ca="1" si="75"/>
        <v>0</v>
      </c>
      <c r="X550">
        <f t="shared" ca="1" si="76"/>
        <v>0</v>
      </c>
      <c r="Y550">
        <f t="shared" ca="1" si="77"/>
        <v>0</v>
      </c>
      <c r="Z550">
        <f t="shared" ca="1" si="78"/>
        <v>0</v>
      </c>
      <c r="AA550">
        <f t="shared" ca="1" si="79"/>
        <v>0</v>
      </c>
    </row>
    <row r="551" spans="1:27" x14ac:dyDescent="0.25">
      <c r="A551">
        <f t="shared" ca="1" si="72"/>
        <v>0</v>
      </c>
      <c r="B551" t="str">
        <f t="shared" ca="1" si="73"/>
        <v/>
      </c>
      <c r="C551" t="str">
        <f t="shared" si="74"/>
        <v>NAND</v>
      </c>
      <c r="D551" t="s">
        <v>253</v>
      </c>
      <c r="E551" t="s">
        <v>253</v>
      </c>
      <c r="F551" s="3" t="s">
        <v>2878</v>
      </c>
      <c r="G551" s="11" t="s">
        <v>2211</v>
      </c>
      <c r="H551" s="11" t="s">
        <v>88</v>
      </c>
      <c r="I551" s="3" t="s">
        <v>253</v>
      </c>
      <c r="J551" s="3" t="s">
        <v>253</v>
      </c>
      <c r="K551" s="3" t="s">
        <v>253</v>
      </c>
      <c r="L551" s="3" t="s">
        <v>253</v>
      </c>
      <c r="M551">
        <f>IF(LEN(H551),MATCH(H551,'MPIO_SFIO Table'!$A$11:$A$65525,0)-1,"")</f>
        <v>83</v>
      </c>
      <c r="N551" t="str">
        <f>IF(LEN(I551),MATCH(I551,'MPIO_SFIO Table'!$A$11:$A$65525,0)-1,"")</f>
        <v/>
      </c>
      <c r="O551" t="str">
        <f>IF(LEN(J551),MATCH(J551,'MPIO_SFIO Table'!$A$11:$A$65525,0)-1,"")</f>
        <v/>
      </c>
      <c r="P551" t="str">
        <f>IF(LEN(K551),MATCH(K551,'MPIO_SFIO Table'!$A$11:$A$65525,0)-1,"")</f>
        <v/>
      </c>
      <c r="Q551" t="str">
        <f>IF(LEN(L551),MATCH(L551,'MPIO_SFIO Table'!$A$11:$A$65525,0)-1,"")</f>
        <v/>
      </c>
      <c r="R551" t="str">
        <f ca="1">IF(ISNUMBER(M551),OFFSET('MPIO_SFIO Table'!$AJ$11,M551,0),"")</f>
        <v>unused_GMI_CS6_N</v>
      </c>
      <c r="S551" t="str">
        <f ca="1">IF(ISNUMBER(N551),OFFSET('MPIO_SFIO Table'!$AJ$11,N551,0),"")</f>
        <v/>
      </c>
      <c r="T551" t="str">
        <f ca="1">IF(ISNUMBER(O551),OFFSET('MPIO_SFIO Table'!$AJ$11,O551,0),"")</f>
        <v/>
      </c>
      <c r="U551" t="str">
        <f ca="1">IF(ISNUMBER(P551),OFFSET('MPIO_SFIO Table'!$AJ$11,P551,0),"")</f>
        <v/>
      </c>
      <c r="V551" t="str">
        <f ca="1">IF(ISNUMBER(Q551),OFFSET('MPIO_SFIO Table'!$AJ$11,Q551,0),"")</f>
        <v/>
      </c>
      <c r="W551">
        <f t="shared" ca="1" si="75"/>
        <v>0</v>
      </c>
      <c r="X551">
        <f t="shared" ca="1" si="76"/>
        <v>0</v>
      </c>
      <c r="Y551">
        <f t="shared" ca="1" si="77"/>
        <v>0</v>
      </c>
      <c r="Z551">
        <f t="shared" ca="1" si="78"/>
        <v>0</v>
      </c>
      <c r="AA551">
        <f t="shared" ca="1" si="79"/>
        <v>0</v>
      </c>
    </row>
    <row r="552" spans="1:27" x14ac:dyDescent="0.25">
      <c r="A552">
        <f t="shared" ca="1" si="72"/>
        <v>0</v>
      </c>
      <c r="B552" t="str">
        <f t="shared" ca="1" si="73"/>
        <v/>
      </c>
      <c r="C552" t="str">
        <f t="shared" si="74"/>
        <v>NAND</v>
      </c>
      <c r="D552" t="s">
        <v>253</v>
      </c>
      <c r="E552" t="s">
        <v>253</v>
      </c>
      <c r="F552" s="3" t="s">
        <v>2879</v>
      </c>
      <c r="G552" s="11" t="s">
        <v>2210</v>
      </c>
      <c r="H552" s="11" t="s">
        <v>89</v>
      </c>
      <c r="I552" s="3" t="s">
        <v>95</v>
      </c>
      <c r="J552" s="3" t="s">
        <v>253</v>
      </c>
      <c r="K552" s="3" t="s">
        <v>253</v>
      </c>
      <c r="L552" s="3" t="s">
        <v>253</v>
      </c>
      <c r="M552">
        <f>IF(LEN(H552),MATCH(H552,'MPIO_SFIO Table'!$A$11:$A$65525,0)-1,"")</f>
        <v>84</v>
      </c>
      <c r="N552">
        <f>IF(LEN(I552),MATCH(I552,'MPIO_SFIO Table'!$A$11:$A$65525,0)-1,"")</f>
        <v>90</v>
      </c>
      <c r="O552" t="str">
        <f>IF(LEN(J552),MATCH(J552,'MPIO_SFIO Table'!$A$11:$A$65525,0)-1,"")</f>
        <v/>
      </c>
      <c r="P552" t="str">
        <f>IF(LEN(K552),MATCH(K552,'MPIO_SFIO Table'!$A$11:$A$65525,0)-1,"")</f>
        <v/>
      </c>
      <c r="Q552" t="str">
        <f>IF(LEN(L552),MATCH(L552,'MPIO_SFIO Table'!$A$11:$A$65525,0)-1,"")</f>
        <v/>
      </c>
      <c r="R552" t="str">
        <f ca="1">IF(ISNUMBER(M552),OFFSET('MPIO_SFIO Table'!$AJ$11,M552,0),"")</f>
        <v>unused_GMI_CS7_N</v>
      </c>
      <c r="S552" t="str">
        <f ca="1">IF(ISNUMBER(N552),OFFSET('MPIO_SFIO Table'!$AJ$11,N552,0),"")</f>
        <v>unused_GMI_WP_N</v>
      </c>
      <c r="T552" t="str">
        <f ca="1">IF(ISNUMBER(O552),OFFSET('MPIO_SFIO Table'!$AJ$11,O552,0),"")</f>
        <v/>
      </c>
      <c r="U552" t="str">
        <f ca="1">IF(ISNUMBER(P552),OFFSET('MPIO_SFIO Table'!$AJ$11,P552,0),"")</f>
        <v/>
      </c>
      <c r="V552" t="str">
        <f ca="1">IF(ISNUMBER(Q552),OFFSET('MPIO_SFIO Table'!$AJ$11,Q552,0),"")</f>
        <v/>
      </c>
      <c r="W552">
        <f t="shared" ca="1" si="75"/>
        <v>0</v>
      </c>
      <c r="X552">
        <f t="shared" ca="1" si="76"/>
        <v>0</v>
      </c>
      <c r="Y552">
        <f t="shared" ca="1" si="77"/>
        <v>0</v>
      </c>
      <c r="Z552">
        <f t="shared" ca="1" si="78"/>
        <v>0</v>
      </c>
      <c r="AA552">
        <f t="shared" ca="1" si="79"/>
        <v>0</v>
      </c>
    </row>
    <row r="553" spans="1:27" x14ac:dyDescent="0.25">
      <c r="A553">
        <f t="shared" ca="1" si="72"/>
        <v>0</v>
      </c>
      <c r="B553" t="str">
        <f t="shared" ca="1" si="73"/>
        <v/>
      </c>
      <c r="C553" t="str">
        <f t="shared" si="74"/>
        <v>NAND</v>
      </c>
      <c r="D553" t="s">
        <v>253</v>
      </c>
      <c r="E553" t="s">
        <v>253</v>
      </c>
      <c r="F553" s="3" t="s">
        <v>2880</v>
      </c>
      <c r="G553" s="11" t="s">
        <v>2204</v>
      </c>
      <c r="H553" s="11" t="s">
        <v>83</v>
      </c>
      <c r="I553" s="3" t="s">
        <v>172</v>
      </c>
      <c r="J553" s="3" t="s">
        <v>253</v>
      </c>
      <c r="K553" s="3" t="s">
        <v>253</v>
      </c>
      <c r="L553" s="3" t="s">
        <v>253</v>
      </c>
      <c r="M553">
        <f>IF(LEN(H553),MATCH(H553,'MPIO_SFIO Table'!$A$11:$A$65525,0)-1,"")</f>
        <v>78</v>
      </c>
      <c r="N553">
        <f>IF(LEN(I553),MATCH(I553,'MPIO_SFIO Table'!$A$11:$A$65525,0)-1,"")</f>
        <v>176</v>
      </c>
      <c r="O553" t="str">
        <f>IF(LEN(J553),MATCH(J553,'MPIO_SFIO Table'!$A$11:$A$65525,0)-1,"")</f>
        <v/>
      </c>
      <c r="P553" t="str">
        <f>IF(LEN(K553),MATCH(K553,'MPIO_SFIO Table'!$A$11:$A$65525,0)-1,"")</f>
        <v/>
      </c>
      <c r="Q553" t="str">
        <f>IF(LEN(L553),MATCH(L553,'MPIO_SFIO Table'!$A$11:$A$65525,0)-1,"")</f>
        <v/>
      </c>
      <c r="R553" t="str">
        <f ca="1">IF(ISNUMBER(M553),OFFSET('MPIO_SFIO Table'!$AJ$11,M553,0),"")</f>
        <v>unused_GMI_CS0_N</v>
      </c>
      <c r="S553" t="str">
        <f ca="1">IF(ISNUMBER(N553),OFFSET('MPIO_SFIO Table'!$AJ$11,N553,0),"")</f>
        <v>unused_SDMMC4_CLK</v>
      </c>
      <c r="T553" t="str">
        <f ca="1">IF(ISNUMBER(O553),OFFSET('MPIO_SFIO Table'!$AJ$11,O553,0),"")</f>
        <v/>
      </c>
      <c r="U553" t="str">
        <f ca="1">IF(ISNUMBER(P553),OFFSET('MPIO_SFIO Table'!$AJ$11,P553,0),"")</f>
        <v/>
      </c>
      <c r="V553" t="str">
        <f ca="1">IF(ISNUMBER(Q553),OFFSET('MPIO_SFIO Table'!$AJ$11,Q553,0),"")</f>
        <v/>
      </c>
      <c r="W553">
        <f t="shared" ca="1" si="75"/>
        <v>0</v>
      </c>
      <c r="X553">
        <f t="shared" ca="1" si="76"/>
        <v>0</v>
      </c>
      <c r="Y553">
        <f t="shared" ca="1" si="77"/>
        <v>0</v>
      </c>
      <c r="Z553">
        <f t="shared" ca="1" si="78"/>
        <v>0</v>
      </c>
      <c r="AA553">
        <f t="shared" ca="1" si="79"/>
        <v>0</v>
      </c>
    </row>
    <row r="554" spans="1:27" x14ac:dyDescent="0.25">
      <c r="A554">
        <f t="shared" ca="1" si="72"/>
        <v>0</v>
      </c>
      <c r="B554" t="str">
        <f t="shared" ca="1" si="73"/>
        <v/>
      </c>
      <c r="C554" t="str">
        <f t="shared" si="74"/>
        <v>NAND</v>
      </c>
      <c r="D554" t="s">
        <v>253</v>
      </c>
      <c r="E554" t="s">
        <v>253</v>
      </c>
      <c r="F554" s="3" t="s">
        <v>2881</v>
      </c>
      <c r="G554" s="11" t="s">
        <v>2215</v>
      </c>
      <c r="H554" s="11" t="s">
        <v>84</v>
      </c>
      <c r="I554" s="3" t="s">
        <v>253</v>
      </c>
      <c r="J554" s="3" t="s">
        <v>253</v>
      </c>
      <c r="K554" s="3" t="s">
        <v>253</v>
      </c>
      <c r="L554" s="3" t="s">
        <v>253</v>
      </c>
      <c r="M554">
        <f>IF(LEN(H554),MATCH(H554,'MPIO_SFIO Table'!$A$11:$A$65525,0)-1,"")</f>
        <v>79</v>
      </c>
      <c r="N554" t="str">
        <f>IF(LEN(I554),MATCH(I554,'MPIO_SFIO Table'!$A$11:$A$65525,0)-1,"")</f>
        <v/>
      </c>
      <c r="O554" t="str">
        <f>IF(LEN(J554),MATCH(J554,'MPIO_SFIO Table'!$A$11:$A$65525,0)-1,"")</f>
        <v/>
      </c>
      <c r="P554" t="str">
        <f>IF(LEN(K554),MATCH(K554,'MPIO_SFIO Table'!$A$11:$A$65525,0)-1,"")</f>
        <v/>
      </c>
      <c r="Q554" t="str">
        <f>IF(LEN(L554),MATCH(L554,'MPIO_SFIO Table'!$A$11:$A$65525,0)-1,"")</f>
        <v/>
      </c>
      <c r="R554" t="str">
        <f ca="1">IF(ISNUMBER(M554),OFFSET('MPIO_SFIO Table'!$AJ$11,M554,0),"")</f>
        <v>unused_GMI_CS1_N</v>
      </c>
      <c r="S554" t="str">
        <f ca="1">IF(ISNUMBER(N554),OFFSET('MPIO_SFIO Table'!$AJ$11,N554,0),"")</f>
        <v/>
      </c>
      <c r="T554" t="str">
        <f ca="1">IF(ISNUMBER(O554),OFFSET('MPIO_SFIO Table'!$AJ$11,O554,0),"")</f>
        <v/>
      </c>
      <c r="U554" t="str">
        <f ca="1">IF(ISNUMBER(P554),OFFSET('MPIO_SFIO Table'!$AJ$11,P554,0),"")</f>
        <v/>
      </c>
      <c r="V554" t="str">
        <f ca="1">IF(ISNUMBER(Q554),OFFSET('MPIO_SFIO Table'!$AJ$11,Q554,0),"")</f>
        <v/>
      </c>
      <c r="W554">
        <f t="shared" ca="1" si="75"/>
        <v>0</v>
      </c>
      <c r="X554">
        <f t="shared" ca="1" si="76"/>
        <v>0</v>
      </c>
      <c r="Y554">
        <f t="shared" ca="1" si="77"/>
        <v>0</v>
      </c>
      <c r="Z554">
        <f t="shared" ca="1" si="78"/>
        <v>0</v>
      </c>
      <c r="AA554">
        <f t="shared" ca="1" si="79"/>
        <v>0</v>
      </c>
    </row>
    <row r="555" spans="1:27" x14ac:dyDescent="0.25">
      <c r="A555">
        <f t="shared" ca="1" si="72"/>
        <v>0</v>
      </c>
      <c r="B555" t="str">
        <f t="shared" ca="1" si="73"/>
        <v/>
      </c>
      <c r="C555" t="str">
        <f t="shared" si="74"/>
        <v>NAND</v>
      </c>
      <c r="D555" t="s">
        <v>253</v>
      </c>
      <c r="E555" t="s">
        <v>253</v>
      </c>
      <c r="F555" s="3" t="s">
        <v>2882</v>
      </c>
      <c r="G555" s="11" t="s">
        <v>455</v>
      </c>
      <c r="H555" s="11" t="s">
        <v>82</v>
      </c>
      <c r="I555" s="3" t="s">
        <v>93</v>
      </c>
      <c r="J555" s="3" t="s">
        <v>173</v>
      </c>
      <c r="K555" s="3" t="s">
        <v>253</v>
      </c>
      <c r="L555" s="3" t="s">
        <v>253</v>
      </c>
      <c r="M555">
        <f>IF(LEN(H555),MATCH(H555,'MPIO_SFIO Table'!$A$11:$A$65525,0)-1,"")</f>
        <v>77</v>
      </c>
      <c r="N555">
        <f>IF(LEN(I555),MATCH(I555,'MPIO_SFIO Table'!$A$11:$A$65525,0)-1,"")</f>
        <v>88</v>
      </c>
      <c r="O555">
        <f>IF(LEN(J555),MATCH(J555,'MPIO_SFIO Table'!$A$11:$A$65525,0)-1,"")</f>
        <v>177</v>
      </c>
      <c r="P555" t="str">
        <f>IF(LEN(K555),MATCH(K555,'MPIO_SFIO Table'!$A$11:$A$65525,0)-1,"")</f>
        <v/>
      </c>
      <c r="Q555" t="str">
        <f>IF(LEN(L555),MATCH(L555,'MPIO_SFIO Table'!$A$11:$A$65525,0)-1,"")</f>
        <v/>
      </c>
      <c r="R555" t="str">
        <f ca="1">IF(ISNUMBER(M555),OFFSET('MPIO_SFIO Table'!$AJ$11,M555,0),"")</f>
        <v>unused_GMI_CLK</v>
      </c>
      <c r="S555" t="str">
        <f ca="1">IF(ISNUMBER(N555),OFFSET('MPIO_SFIO Table'!$AJ$11,N555,0),"")</f>
        <v>unused_GMI_RST_N</v>
      </c>
      <c r="T555" t="str">
        <f ca="1">IF(ISNUMBER(O555),OFFSET('MPIO_SFIO Table'!$AJ$11,O555,0),"")</f>
        <v>unused_SDMMC4_CMD</v>
      </c>
      <c r="U555" t="str">
        <f ca="1">IF(ISNUMBER(P555),OFFSET('MPIO_SFIO Table'!$AJ$11,P555,0),"")</f>
        <v/>
      </c>
      <c r="V555" t="str">
        <f ca="1">IF(ISNUMBER(Q555),OFFSET('MPIO_SFIO Table'!$AJ$11,Q555,0),"")</f>
        <v/>
      </c>
      <c r="W555">
        <f t="shared" ca="1" si="75"/>
        <v>0</v>
      </c>
      <c r="X555">
        <f t="shared" ca="1" si="76"/>
        <v>0</v>
      </c>
      <c r="Y555">
        <f t="shared" ca="1" si="77"/>
        <v>0</v>
      </c>
      <c r="Z555">
        <f t="shared" ca="1" si="78"/>
        <v>0</v>
      </c>
      <c r="AA555">
        <f t="shared" ca="1" si="79"/>
        <v>0</v>
      </c>
    </row>
    <row r="556" spans="1:27" x14ac:dyDescent="0.25">
      <c r="A556">
        <f t="shared" ca="1" si="72"/>
        <v>0</v>
      </c>
      <c r="B556" t="str">
        <f t="shared" ca="1" si="73"/>
        <v/>
      </c>
      <c r="C556" t="str">
        <f t="shared" si="74"/>
        <v>NAND</v>
      </c>
      <c r="D556" t="s">
        <v>253</v>
      </c>
      <c r="E556" t="s">
        <v>253</v>
      </c>
      <c r="F556" s="3" t="s">
        <v>2852</v>
      </c>
      <c r="G556" s="11" t="s">
        <v>415</v>
      </c>
      <c r="H556" s="11" t="s">
        <v>65</v>
      </c>
      <c r="I556" s="3" t="s">
        <v>253</v>
      </c>
      <c r="J556" s="3" t="s">
        <v>253</v>
      </c>
      <c r="K556" s="3" t="s">
        <v>253</v>
      </c>
      <c r="L556" s="3" t="s">
        <v>253</v>
      </c>
      <c r="M556">
        <f>IF(LEN(H556),MATCH(H556,'MPIO_SFIO Table'!$A$11:$A$65525,0)-1,"")</f>
        <v>60</v>
      </c>
      <c r="N556" t="str">
        <f>IF(LEN(I556),MATCH(I556,'MPIO_SFIO Table'!$A$11:$A$65525,0)-1,"")</f>
        <v/>
      </c>
      <c r="O556" t="str">
        <f>IF(LEN(J556),MATCH(J556,'MPIO_SFIO Table'!$A$11:$A$65525,0)-1,"")</f>
        <v/>
      </c>
      <c r="P556" t="str">
        <f>IF(LEN(K556),MATCH(K556,'MPIO_SFIO Table'!$A$11:$A$65525,0)-1,"")</f>
        <v/>
      </c>
      <c r="Q556" t="str">
        <f>IF(LEN(L556),MATCH(L556,'MPIO_SFIO Table'!$A$11:$A$65525,0)-1,"")</f>
        <v/>
      </c>
      <c r="R556" t="str">
        <f ca="1">IF(ISNUMBER(M556),OFFSET('MPIO_SFIO Table'!$AJ$11,M556,0),"")</f>
        <v>unused_GMI_AD0</v>
      </c>
      <c r="S556" t="str">
        <f ca="1">IF(ISNUMBER(N556),OFFSET('MPIO_SFIO Table'!$AJ$11,N556,0),"")</f>
        <v/>
      </c>
      <c r="T556" t="str">
        <f ca="1">IF(ISNUMBER(O556),OFFSET('MPIO_SFIO Table'!$AJ$11,O556,0),"")</f>
        <v/>
      </c>
      <c r="U556" t="str">
        <f ca="1">IF(ISNUMBER(P556),OFFSET('MPIO_SFIO Table'!$AJ$11,P556,0),"")</f>
        <v/>
      </c>
      <c r="V556" t="str">
        <f ca="1">IF(ISNUMBER(Q556),OFFSET('MPIO_SFIO Table'!$AJ$11,Q556,0),"")</f>
        <v/>
      </c>
      <c r="W556">
        <f t="shared" ca="1" si="75"/>
        <v>0</v>
      </c>
      <c r="X556">
        <f t="shared" ca="1" si="76"/>
        <v>0</v>
      </c>
      <c r="Y556">
        <f t="shared" ca="1" si="77"/>
        <v>0</v>
      </c>
      <c r="Z556">
        <f t="shared" ca="1" si="78"/>
        <v>0</v>
      </c>
      <c r="AA556">
        <f t="shared" ca="1" si="79"/>
        <v>0</v>
      </c>
    </row>
    <row r="557" spans="1:27" x14ac:dyDescent="0.25">
      <c r="A557">
        <f t="shared" ca="1" si="72"/>
        <v>0</v>
      </c>
      <c r="B557" t="str">
        <f t="shared" ca="1" si="73"/>
        <v/>
      </c>
      <c r="C557" t="str">
        <f t="shared" si="74"/>
        <v>NAND</v>
      </c>
      <c r="D557" t="s">
        <v>253</v>
      </c>
      <c r="E557" t="s">
        <v>253</v>
      </c>
      <c r="F557" s="3" t="s">
        <v>2853</v>
      </c>
      <c r="G557" s="11" t="s">
        <v>418</v>
      </c>
      <c r="H557" s="11" t="s">
        <v>66</v>
      </c>
      <c r="I557" s="3" t="s">
        <v>253</v>
      </c>
      <c r="J557" s="3" t="s">
        <v>253</v>
      </c>
      <c r="K557" s="3" t="s">
        <v>253</v>
      </c>
      <c r="L557" s="3" t="s">
        <v>253</v>
      </c>
      <c r="M557">
        <f>IF(LEN(H557),MATCH(H557,'MPIO_SFIO Table'!$A$11:$A$65525,0)-1,"")</f>
        <v>61</v>
      </c>
      <c r="N557" t="str">
        <f>IF(LEN(I557),MATCH(I557,'MPIO_SFIO Table'!$A$11:$A$65525,0)-1,"")</f>
        <v/>
      </c>
      <c r="O557" t="str">
        <f>IF(LEN(J557),MATCH(J557,'MPIO_SFIO Table'!$A$11:$A$65525,0)-1,"")</f>
        <v/>
      </c>
      <c r="P557" t="str">
        <f>IF(LEN(K557),MATCH(K557,'MPIO_SFIO Table'!$A$11:$A$65525,0)-1,"")</f>
        <v/>
      </c>
      <c r="Q557" t="str">
        <f>IF(LEN(L557),MATCH(L557,'MPIO_SFIO Table'!$A$11:$A$65525,0)-1,"")</f>
        <v/>
      </c>
      <c r="R557" t="str">
        <f ca="1">IF(ISNUMBER(M557),OFFSET('MPIO_SFIO Table'!$AJ$11,M557,0),"")</f>
        <v>unused_GMI_AD1</v>
      </c>
      <c r="S557" t="str">
        <f ca="1">IF(ISNUMBER(N557),OFFSET('MPIO_SFIO Table'!$AJ$11,N557,0),"")</f>
        <v/>
      </c>
      <c r="T557" t="str">
        <f ca="1">IF(ISNUMBER(O557),OFFSET('MPIO_SFIO Table'!$AJ$11,O557,0),"")</f>
        <v/>
      </c>
      <c r="U557" t="str">
        <f ca="1">IF(ISNUMBER(P557),OFFSET('MPIO_SFIO Table'!$AJ$11,P557,0),"")</f>
        <v/>
      </c>
      <c r="V557" t="str">
        <f ca="1">IF(ISNUMBER(Q557),OFFSET('MPIO_SFIO Table'!$AJ$11,Q557,0),"")</f>
        <v/>
      </c>
      <c r="W557">
        <f t="shared" ca="1" si="75"/>
        <v>0</v>
      </c>
      <c r="X557">
        <f t="shared" ca="1" si="76"/>
        <v>0</v>
      </c>
      <c r="Y557">
        <f t="shared" ca="1" si="77"/>
        <v>0</v>
      </c>
      <c r="Z557">
        <f t="shared" ca="1" si="78"/>
        <v>0</v>
      </c>
      <c r="AA557">
        <f t="shared" ca="1" si="79"/>
        <v>0</v>
      </c>
    </row>
    <row r="558" spans="1:27" x14ac:dyDescent="0.25">
      <c r="A558">
        <f t="shared" ca="1" si="72"/>
        <v>0</v>
      </c>
      <c r="B558" t="str">
        <f t="shared" ca="1" si="73"/>
        <v/>
      </c>
      <c r="C558" t="str">
        <f t="shared" si="74"/>
        <v>NAND</v>
      </c>
      <c r="D558" t="s">
        <v>253</v>
      </c>
      <c r="E558" t="s">
        <v>253</v>
      </c>
      <c r="F558" s="3" t="s">
        <v>1394</v>
      </c>
      <c r="G558" s="11" t="s">
        <v>421</v>
      </c>
      <c r="H558" s="11" t="s">
        <v>67</v>
      </c>
      <c r="I558" s="3" t="s">
        <v>253</v>
      </c>
      <c r="J558" s="3" t="s">
        <v>253</v>
      </c>
      <c r="K558" s="3" t="s">
        <v>253</v>
      </c>
      <c r="L558" s="3" t="s">
        <v>253</v>
      </c>
      <c r="M558">
        <f>IF(LEN(H558),MATCH(H558,'MPIO_SFIO Table'!$A$11:$A$65525,0)-1,"")</f>
        <v>62</v>
      </c>
      <c r="N558" t="str">
        <f>IF(LEN(I558),MATCH(I558,'MPIO_SFIO Table'!$A$11:$A$65525,0)-1,"")</f>
        <v/>
      </c>
      <c r="O558" t="str">
        <f>IF(LEN(J558),MATCH(J558,'MPIO_SFIO Table'!$A$11:$A$65525,0)-1,"")</f>
        <v/>
      </c>
      <c r="P558" t="str">
        <f>IF(LEN(K558),MATCH(K558,'MPIO_SFIO Table'!$A$11:$A$65525,0)-1,"")</f>
        <v/>
      </c>
      <c r="Q558" t="str">
        <f>IF(LEN(L558),MATCH(L558,'MPIO_SFIO Table'!$A$11:$A$65525,0)-1,"")</f>
        <v/>
      </c>
      <c r="R558" t="str">
        <f ca="1">IF(ISNUMBER(M558),OFFSET('MPIO_SFIO Table'!$AJ$11,M558,0),"")</f>
        <v>unused_GMI_AD10</v>
      </c>
      <c r="S558" t="str">
        <f ca="1">IF(ISNUMBER(N558),OFFSET('MPIO_SFIO Table'!$AJ$11,N558,0),"")</f>
        <v/>
      </c>
      <c r="T558" t="str">
        <f ca="1">IF(ISNUMBER(O558),OFFSET('MPIO_SFIO Table'!$AJ$11,O558,0),"")</f>
        <v/>
      </c>
      <c r="U558" t="str">
        <f ca="1">IF(ISNUMBER(P558),OFFSET('MPIO_SFIO Table'!$AJ$11,P558,0),"")</f>
        <v/>
      </c>
      <c r="V558" t="str">
        <f ca="1">IF(ISNUMBER(Q558),OFFSET('MPIO_SFIO Table'!$AJ$11,Q558,0),"")</f>
        <v/>
      </c>
      <c r="W558">
        <f t="shared" ca="1" si="75"/>
        <v>0</v>
      </c>
      <c r="X558">
        <f t="shared" ca="1" si="76"/>
        <v>0</v>
      </c>
      <c r="Y558">
        <f t="shared" ca="1" si="77"/>
        <v>0</v>
      </c>
      <c r="Z558">
        <f t="shared" ca="1" si="78"/>
        <v>0</v>
      </c>
      <c r="AA558">
        <f t="shared" ca="1" si="79"/>
        <v>0</v>
      </c>
    </row>
    <row r="559" spans="1:27" x14ac:dyDescent="0.25">
      <c r="A559">
        <f t="shared" ca="1" si="72"/>
        <v>0</v>
      </c>
      <c r="B559" t="str">
        <f t="shared" ca="1" si="73"/>
        <v/>
      </c>
      <c r="C559" t="str">
        <f t="shared" si="74"/>
        <v>NAND</v>
      </c>
      <c r="D559" t="s">
        <v>253</v>
      </c>
      <c r="E559" t="s">
        <v>253</v>
      </c>
      <c r="F559" s="3" t="s">
        <v>1409</v>
      </c>
      <c r="G559" s="11" t="s">
        <v>425</v>
      </c>
      <c r="H559" s="11" t="s">
        <v>68</v>
      </c>
      <c r="I559" s="3" t="s">
        <v>253</v>
      </c>
      <c r="J559" s="3" t="s">
        <v>253</v>
      </c>
      <c r="K559" s="3" t="s">
        <v>253</v>
      </c>
      <c r="L559" s="3" t="s">
        <v>253</v>
      </c>
      <c r="M559">
        <f>IF(LEN(H559),MATCH(H559,'MPIO_SFIO Table'!$A$11:$A$65525,0)-1,"")</f>
        <v>63</v>
      </c>
      <c r="N559" t="str">
        <f>IF(LEN(I559),MATCH(I559,'MPIO_SFIO Table'!$A$11:$A$65525,0)-1,"")</f>
        <v/>
      </c>
      <c r="O559" t="str">
        <f>IF(LEN(J559),MATCH(J559,'MPIO_SFIO Table'!$A$11:$A$65525,0)-1,"")</f>
        <v/>
      </c>
      <c r="P559" t="str">
        <f>IF(LEN(K559),MATCH(K559,'MPIO_SFIO Table'!$A$11:$A$65525,0)-1,"")</f>
        <v/>
      </c>
      <c r="Q559" t="str">
        <f>IF(LEN(L559),MATCH(L559,'MPIO_SFIO Table'!$A$11:$A$65525,0)-1,"")</f>
        <v/>
      </c>
      <c r="R559" t="str">
        <f ca="1">IF(ISNUMBER(M559),OFFSET('MPIO_SFIO Table'!$AJ$11,M559,0),"")</f>
        <v>unused_GMI_AD11</v>
      </c>
      <c r="S559" t="str">
        <f ca="1">IF(ISNUMBER(N559),OFFSET('MPIO_SFIO Table'!$AJ$11,N559,0),"")</f>
        <v/>
      </c>
      <c r="T559" t="str">
        <f ca="1">IF(ISNUMBER(O559),OFFSET('MPIO_SFIO Table'!$AJ$11,O559,0),"")</f>
        <v/>
      </c>
      <c r="U559" t="str">
        <f ca="1">IF(ISNUMBER(P559),OFFSET('MPIO_SFIO Table'!$AJ$11,P559,0),"")</f>
        <v/>
      </c>
      <c r="V559" t="str">
        <f ca="1">IF(ISNUMBER(Q559),OFFSET('MPIO_SFIO Table'!$AJ$11,Q559,0),"")</f>
        <v/>
      </c>
      <c r="W559">
        <f t="shared" ca="1" si="75"/>
        <v>0</v>
      </c>
      <c r="X559">
        <f t="shared" ca="1" si="76"/>
        <v>0</v>
      </c>
      <c r="Y559">
        <f t="shared" ca="1" si="77"/>
        <v>0</v>
      </c>
      <c r="Z559">
        <f t="shared" ca="1" si="78"/>
        <v>0</v>
      </c>
      <c r="AA559">
        <f t="shared" ca="1" si="79"/>
        <v>0</v>
      </c>
    </row>
    <row r="560" spans="1:27" x14ac:dyDescent="0.25">
      <c r="A560">
        <f t="shared" ca="1" si="72"/>
        <v>0</v>
      </c>
      <c r="B560" t="str">
        <f t="shared" ca="1" si="73"/>
        <v/>
      </c>
      <c r="C560" t="str">
        <f t="shared" si="74"/>
        <v>NAND</v>
      </c>
      <c r="D560" t="s">
        <v>253</v>
      </c>
      <c r="E560" t="s">
        <v>253</v>
      </c>
      <c r="F560" s="3" t="s">
        <v>1367</v>
      </c>
      <c r="G560" s="11" t="s">
        <v>427</v>
      </c>
      <c r="H560" s="11" t="s">
        <v>69</v>
      </c>
      <c r="I560" s="3" t="s">
        <v>253</v>
      </c>
      <c r="J560" s="3" t="s">
        <v>253</v>
      </c>
      <c r="K560" s="3" t="s">
        <v>253</v>
      </c>
      <c r="L560" s="3" t="s">
        <v>253</v>
      </c>
      <c r="M560">
        <f>IF(LEN(H560),MATCH(H560,'MPIO_SFIO Table'!$A$11:$A$65525,0)-1,"")</f>
        <v>64</v>
      </c>
      <c r="N560" t="str">
        <f>IF(LEN(I560),MATCH(I560,'MPIO_SFIO Table'!$A$11:$A$65525,0)-1,"")</f>
        <v/>
      </c>
      <c r="O560" t="str">
        <f>IF(LEN(J560),MATCH(J560,'MPIO_SFIO Table'!$A$11:$A$65525,0)-1,"")</f>
        <v/>
      </c>
      <c r="P560" t="str">
        <f>IF(LEN(K560),MATCH(K560,'MPIO_SFIO Table'!$A$11:$A$65525,0)-1,"")</f>
        <v/>
      </c>
      <c r="Q560" t="str">
        <f>IF(LEN(L560),MATCH(L560,'MPIO_SFIO Table'!$A$11:$A$65525,0)-1,"")</f>
        <v/>
      </c>
      <c r="R560" t="str">
        <f ca="1">IF(ISNUMBER(M560),OFFSET('MPIO_SFIO Table'!$AJ$11,M560,0),"")</f>
        <v>unused_GMI_AD12</v>
      </c>
      <c r="S560" t="str">
        <f ca="1">IF(ISNUMBER(N560),OFFSET('MPIO_SFIO Table'!$AJ$11,N560,0),"")</f>
        <v/>
      </c>
      <c r="T560" t="str">
        <f ca="1">IF(ISNUMBER(O560),OFFSET('MPIO_SFIO Table'!$AJ$11,O560,0),"")</f>
        <v/>
      </c>
      <c r="U560" t="str">
        <f ca="1">IF(ISNUMBER(P560),OFFSET('MPIO_SFIO Table'!$AJ$11,P560,0),"")</f>
        <v/>
      </c>
      <c r="V560" t="str">
        <f ca="1">IF(ISNUMBER(Q560),OFFSET('MPIO_SFIO Table'!$AJ$11,Q560,0),"")</f>
        <v/>
      </c>
      <c r="W560">
        <f t="shared" ca="1" si="75"/>
        <v>0</v>
      </c>
      <c r="X560">
        <f t="shared" ca="1" si="76"/>
        <v>0</v>
      </c>
      <c r="Y560">
        <f t="shared" ca="1" si="77"/>
        <v>0</v>
      </c>
      <c r="Z560">
        <f t="shared" ca="1" si="78"/>
        <v>0</v>
      </c>
      <c r="AA560">
        <f t="shared" ca="1" si="79"/>
        <v>0</v>
      </c>
    </row>
    <row r="561" spans="1:27" x14ac:dyDescent="0.25">
      <c r="A561">
        <f t="shared" ca="1" si="72"/>
        <v>0</v>
      </c>
      <c r="B561" t="str">
        <f t="shared" ca="1" si="73"/>
        <v/>
      </c>
      <c r="C561" t="str">
        <f t="shared" si="74"/>
        <v>NAND</v>
      </c>
      <c r="D561" t="s">
        <v>253</v>
      </c>
      <c r="E561" t="s">
        <v>253</v>
      </c>
      <c r="F561" s="3" t="s">
        <v>1390</v>
      </c>
      <c r="G561" s="11" t="s">
        <v>429</v>
      </c>
      <c r="H561" s="11" t="s">
        <v>70</v>
      </c>
      <c r="I561" s="3" t="s">
        <v>253</v>
      </c>
      <c r="J561" s="3" t="s">
        <v>253</v>
      </c>
      <c r="K561" s="3" t="s">
        <v>253</v>
      </c>
      <c r="L561" s="3" t="s">
        <v>253</v>
      </c>
      <c r="M561">
        <f>IF(LEN(H561),MATCH(H561,'MPIO_SFIO Table'!$A$11:$A$65525,0)-1,"")</f>
        <v>65</v>
      </c>
      <c r="N561" t="str">
        <f>IF(LEN(I561),MATCH(I561,'MPIO_SFIO Table'!$A$11:$A$65525,0)-1,"")</f>
        <v/>
      </c>
      <c r="O561" t="str">
        <f>IF(LEN(J561),MATCH(J561,'MPIO_SFIO Table'!$A$11:$A$65525,0)-1,"")</f>
        <v/>
      </c>
      <c r="P561" t="str">
        <f>IF(LEN(K561),MATCH(K561,'MPIO_SFIO Table'!$A$11:$A$65525,0)-1,"")</f>
        <v/>
      </c>
      <c r="Q561" t="str">
        <f>IF(LEN(L561),MATCH(L561,'MPIO_SFIO Table'!$A$11:$A$65525,0)-1,"")</f>
        <v/>
      </c>
      <c r="R561" t="str">
        <f ca="1">IF(ISNUMBER(M561),OFFSET('MPIO_SFIO Table'!$AJ$11,M561,0),"")</f>
        <v>unused_GMI_AD13</v>
      </c>
      <c r="S561" t="str">
        <f ca="1">IF(ISNUMBER(N561),OFFSET('MPIO_SFIO Table'!$AJ$11,N561,0),"")</f>
        <v/>
      </c>
      <c r="T561" t="str">
        <f ca="1">IF(ISNUMBER(O561),OFFSET('MPIO_SFIO Table'!$AJ$11,O561,0),"")</f>
        <v/>
      </c>
      <c r="U561" t="str">
        <f ca="1">IF(ISNUMBER(P561),OFFSET('MPIO_SFIO Table'!$AJ$11,P561,0),"")</f>
        <v/>
      </c>
      <c r="V561" t="str">
        <f ca="1">IF(ISNUMBER(Q561),OFFSET('MPIO_SFIO Table'!$AJ$11,Q561,0),"")</f>
        <v/>
      </c>
      <c r="W561">
        <f t="shared" ca="1" si="75"/>
        <v>0</v>
      </c>
      <c r="X561">
        <f t="shared" ca="1" si="76"/>
        <v>0</v>
      </c>
      <c r="Y561">
        <f t="shared" ca="1" si="77"/>
        <v>0</v>
      </c>
      <c r="Z561">
        <f t="shared" ca="1" si="78"/>
        <v>0</v>
      </c>
      <c r="AA561">
        <f t="shared" ca="1" si="79"/>
        <v>0</v>
      </c>
    </row>
    <row r="562" spans="1:27" x14ac:dyDescent="0.25">
      <c r="A562">
        <f t="shared" ca="1" si="72"/>
        <v>0</v>
      </c>
      <c r="B562" t="str">
        <f t="shared" ca="1" si="73"/>
        <v/>
      </c>
      <c r="C562" t="str">
        <f t="shared" si="74"/>
        <v>NAND</v>
      </c>
      <c r="D562" t="s">
        <v>253</v>
      </c>
      <c r="E562" t="s">
        <v>253</v>
      </c>
      <c r="F562" s="3" t="s">
        <v>1349</v>
      </c>
      <c r="G562" s="11" t="s">
        <v>431</v>
      </c>
      <c r="H562" s="11" t="s">
        <v>71</v>
      </c>
      <c r="I562" s="3" t="s">
        <v>253</v>
      </c>
      <c r="J562" s="3" t="s">
        <v>253</v>
      </c>
      <c r="K562" s="3" t="s">
        <v>253</v>
      </c>
      <c r="L562" s="3" t="s">
        <v>253</v>
      </c>
      <c r="M562">
        <f>IF(LEN(H562),MATCH(H562,'MPIO_SFIO Table'!$A$11:$A$65525,0)-1,"")</f>
        <v>66</v>
      </c>
      <c r="N562" t="str">
        <f>IF(LEN(I562),MATCH(I562,'MPIO_SFIO Table'!$A$11:$A$65525,0)-1,"")</f>
        <v/>
      </c>
      <c r="O562" t="str">
        <f>IF(LEN(J562),MATCH(J562,'MPIO_SFIO Table'!$A$11:$A$65525,0)-1,"")</f>
        <v/>
      </c>
      <c r="P562" t="str">
        <f>IF(LEN(K562),MATCH(K562,'MPIO_SFIO Table'!$A$11:$A$65525,0)-1,"")</f>
        <v/>
      </c>
      <c r="Q562" t="str">
        <f>IF(LEN(L562),MATCH(L562,'MPIO_SFIO Table'!$A$11:$A$65525,0)-1,"")</f>
        <v/>
      </c>
      <c r="R562" t="str">
        <f ca="1">IF(ISNUMBER(M562),OFFSET('MPIO_SFIO Table'!$AJ$11,M562,0),"")</f>
        <v>unused_GMI_AD14</v>
      </c>
      <c r="S562" t="str">
        <f ca="1">IF(ISNUMBER(N562),OFFSET('MPIO_SFIO Table'!$AJ$11,N562,0),"")</f>
        <v/>
      </c>
      <c r="T562" t="str">
        <f ca="1">IF(ISNUMBER(O562),OFFSET('MPIO_SFIO Table'!$AJ$11,O562,0),"")</f>
        <v/>
      </c>
      <c r="U562" t="str">
        <f ca="1">IF(ISNUMBER(P562),OFFSET('MPIO_SFIO Table'!$AJ$11,P562,0),"")</f>
        <v/>
      </c>
      <c r="V562" t="str">
        <f ca="1">IF(ISNUMBER(Q562),OFFSET('MPIO_SFIO Table'!$AJ$11,Q562,0),"")</f>
        <v/>
      </c>
      <c r="W562">
        <f t="shared" ca="1" si="75"/>
        <v>0</v>
      </c>
      <c r="X562">
        <f t="shared" ca="1" si="76"/>
        <v>0</v>
      </c>
      <c r="Y562">
        <f t="shared" ca="1" si="77"/>
        <v>0</v>
      </c>
      <c r="Z562">
        <f t="shared" ca="1" si="78"/>
        <v>0</v>
      </c>
      <c r="AA562">
        <f t="shared" ca="1" si="79"/>
        <v>0</v>
      </c>
    </row>
    <row r="563" spans="1:27" x14ac:dyDescent="0.25">
      <c r="A563">
        <f t="shared" ca="1" si="72"/>
        <v>0</v>
      </c>
      <c r="B563" t="str">
        <f t="shared" ca="1" si="73"/>
        <v/>
      </c>
      <c r="C563" t="str">
        <f t="shared" si="74"/>
        <v>NAND</v>
      </c>
      <c r="D563" t="s">
        <v>253</v>
      </c>
      <c r="E563" t="s">
        <v>253</v>
      </c>
      <c r="F563" s="3" t="s">
        <v>1354</v>
      </c>
      <c r="G563" s="11" t="s">
        <v>433</v>
      </c>
      <c r="H563" s="11" t="s">
        <v>72</v>
      </c>
      <c r="I563" s="3" t="s">
        <v>253</v>
      </c>
      <c r="J563" s="3" t="s">
        <v>253</v>
      </c>
      <c r="K563" s="3" t="s">
        <v>253</v>
      </c>
      <c r="L563" s="3" t="s">
        <v>253</v>
      </c>
      <c r="M563">
        <f>IF(LEN(H563),MATCH(H563,'MPIO_SFIO Table'!$A$11:$A$65525,0)-1,"")</f>
        <v>67</v>
      </c>
      <c r="N563" t="str">
        <f>IF(LEN(I563),MATCH(I563,'MPIO_SFIO Table'!$A$11:$A$65525,0)-1,"")</f>
        <v/>
      </c>
      <c r="O563" t="str">
        <f>IF(LEN(J563),MATCH(J563,'MPIO_SFIO Table'!$A$11:$A$65525,0)-1,"")</f>
        <v/>
      </c>
      <c r="P563" t="str">
        <f>IF(LEN(K563),MATCH(K563,'MPIO_SFIO Table'!$A$11:$A$65525,0)-1,"")</f>
        <v/>
      </c>
      <c r="Q563" t="str">
        <f>IF(LEN(L563),MATCH(L563,'MPIO_SFIO Table'!$A$11:$A$65525,0)-1,"")</f>
        <v/>
      </c>
      <c r="R563" t="str">
        <f ca="1">IF(ISNUMBER(M563),OFFSET('MPIO_SFIO Table'!$AJ$11,M563,0),"")</f>
        <v>unused_GMI_AD15</v>
      </c>
      <c r="S563" t="str">
        <f ca="1">IF(ISNUMBER(N563),OFFSET('MPIO_SFIO Table'!$AJ$11,N563,0),"")</f>
        <v/>
      </c>
      <c r="T563" t="str">
        <f ca="1">IF(ISNUMBER(O563),OFFSET('MPIO_SFIO Table'!$AJ$11,O563,0),"")</f>
        <v/>
      </c>
      <c r="U563" t="str">
        <f ca="1">IF(ISNUMBER(P563),OFFSET('MPIO_SFIO Table'!$AJ$11,P563,0),"")</f>
        <v/>
      </c>
      <c r="V563" t="str">
        <f ca="1">IF(ISNUMBER(Q563),OFFSET('MPIO_SFIO Table'!$AJ$11,Q563,0),"")</f>
        <v/>
      </c>
      <c r="W563">
        <f t="shared" ca="1" si="75"/>
        <v>0</v>
      </c>
      <c r="X563">
        <f t="shared" ca="1" si="76"/>
        <v>0</v>
      </c>
      <c r="Y563">
        <f t="shared" ca="1" si="77"/>
        <v>0</v>
      </c>
      <c r="Z563">
        <f t="shared" ca="1" si="78"/>
        <v>0</v>
      </c>
      <c r="AA563">
        <f t="shared" ca="1" si="79"/>
        <v>0</v>
      </c>
    </row>
    <row r="564" spans="1:27" x14ac:dyDescent="0.25">
      <c r="A564">
        <f t="shared" ca="1" si="72"/>
        <v>0</v>
      </c>
      <c r="B564" t="str">
        <f t="shared" ca="1" si="73"/>
        <v/>
      </c>
      <c r="C564" t="str">
        <f t="shared" si="74"/>
        <v>NAND</v>
      </c>
      <c r="D564" t="s">
        <v>253</v>
      </c>
      <c r="E564" t="s">
        <v>253</v>
      </c>
      <c r="F564" s="3" t="s">
        <v>1685</v>
      </c>
      <c r="G564" s="11" t="s">
        <v>435</v>
      </c>
      <c r="H564" s="11" t="s">
        <v>73</v>
      </c>
      <c r="I564" s="3" t="s">
        <v>253</v>
      </c>
      <c r="J564" s="3" t="s">
        <v>253</v>
      </c>
      <c r="K564" s="3" t="s">
        <v>253</v>
      </c>
      <c r="L564" s="3" t="s">
        <v>253</v>
      </c>
      <c r="M564">
        <f>IF(LEN(H564),MATCH(H564,'MPIO_SFIO Table'!$A$11:$A$65525,0)-1,"")</f>
        <v>68</v>
      </c>
      <c r="N564" t="str">
        <f>IF(LEN(I564),MATCH(I564,'MPIO_SFIO Table'!$A$11:$A$65525,0)-1,"")</f>
        <v/>
      </c>
      <c r="O564" t="str">
        <f>IF(LEN(J564),MATCH(J564,'MPIO_SFIO Table'!$A$11:$A$65525,0)-1,"")</f>
        <v/>
      </c>
      <c r="P564" t="str">
        <f>IF(LEN(K564),MATCH(K564,'MPIO_SFIO Table'!$A$11:$A$65525,0)-1,"")</f>
        <v/>
      </c>
      <c r="Q564" t="str">
        <f>IF(LEN(L564),MATCH(L564,'MPIO_SFIO Table'!$A$11:$A$65525,0)-1,"")</f>
        <v/>
      </c>
      <c r="R564" t="str">
        <f ca="1">IF(ISNUMBER(M564),OFFSET('MPIO_SFIO Table'!$AJ$11,M564,0),"")</f>
        <v>unused_GMI_AD2</v>
      </c>
      <c r="S564" t="str">
        <f ca="1">IF(ISNUMBER(N564),OFFSET('MPIO_SFIO Table'!$AJ$11,N564,0),"")</f>
        <v/>
      </c>
      <c r="T564" t="str">
        <f ca="1">IF(ISNUMBER(O564),OFFSET('MPIO_SFIO Table'!$AJ$11,O564,0),"")</f>
        <v/>
      </c>
      <c r="U564" t="str">
        <f ca="1">IF(ISNUMBER(P564),OFFSET('MPIO_SFIO Table'!$AJ$11,P564,0),"")</f>
        <v/>
      </c>
      <c r="V564" t="str">
        <f ca="1">IF(ISNUMBER(Q564),OFFSET('MPIO_SFIO Table'!$AJ$11,Q564,0),"")</f>
        <v/>
      </c>
      <c r="W564">
        <f t="shared" ca="1" si="75"/>
        <v>0</v>
      </c>
      <c r="X564">
        <f t="shared" ca="1" si="76"/>
        <v>0</v>
      </c>
      <c r="Y564">
        <f t="shared" ca="1" si="77"/>
        <v>0</v>
      </c>
      <c r="Z564">
        <f t="shared" ca="1" si="78"/>
        <v>0</v>
      </c>
      <c r="AA564">
        <f t="shared" ca="1" si="79"/>
        <v>0</v>
      </c>
    </row>
    <row r="565" spans="1:27" x14ac:dyDescent="0.25">
      <c r="A565">
        <f t="shared" ca="1" si="72"/>
        <v>0</v>
      </c>
      <c r="B565" t="str">
        <f t="shared" ca="1" si="73"/>
        <v/>
      </c>
      <c r="C565" t="str">
        <f t="shared" si="74"/>
        <v>NAND</v>
      </c>
      <c r="D565" t="s">
        <v>253</v>
      </c>
      <c r="E565" t="s">
        <v>253</v>
      </c>
      <c r="F565" s="3" t="s">
        <v>1711</v>
      </c>
      <c r="G565" s="11" t="s">
        <v>437</v>
      </c>
      <c r="H565" s="11" t="s">
        <v>74</v>
      </c>
      <c r="I565" s="3" t="s">
        <v>253</v>
      </c>
      <c r="J565" s="3" t="s">
        <v>253</v>
      </c>
      <c r="K565" s="3" t="s">
        <v>253</v>
      </c>
      <c r="L565" s="3" t="s">
        <v>253</v>
      </c>
      <c r="M565">
        <f>IF(LEN(H565),MATCH(H565,'MPIO_SFIO Table'!$A$11:$A$65525,0)-1,"")</f>
        <v>69</v>
      </c>
      <c r="N565" t="str">
        <f>IF(LEN(I565),MATCH(I565,'MPIO_SFIO Table'!$A$11:$A$65525,0)-1,"")</f>
        <v/>
      </c>
      <c r="O565" t="str">
        <f>IF(LEN(J565),MATCH(J565,'MPIO_SFIO Table'!$A$11:$A$65525,0)-1,"")</f>
        <v/>
      </c>
      <c r="P565" t="str">
        <f>IF(LEN(K565),MATCH(K565,'MPIO_SFIO Table'!$A$11:$A$65525,0)-1,"")</f>
        <v/>
      </c>
      <c r="Q565" t="str">
        <f>IF(LEN(L565),MATCH(L565,'MPIO_SFIO Table'!$A$11:$A$65525,0)-1,"")</f>
        <v/>
      </c>
      <c r="R565" t="str">
        <f ca="1">IF(ISNUMBER(M565),OFFSET('MPIO_SFIO Table'!$AJ$11,M565,0),"")</f>
        <v>unused_GMI_AD3</v>
      </c>
      <c r="S565" t="str">
        <f ca="1">IF(ISNUMBER(N565),OFFSET('MPIO_SFIO Table'!$AJ$11,N565,0),"")</f>
        <v/>
      </c>
      <c r="T565" t="str">
        <f ca="1">IF(ISNUMBER(O565),OFFSET('MPIO_SFIO Table'!$AJ$11,O565,0),"")</f>
        <v/>
      </c>
      <c r="U565" t="str">
        <f ca="1">IF(ISNUMBER(P565),OFFSET('MPIO_SFIO Table'!$AJ$11,P565,0),"")</f>
        <v/>
      </c>
      <c r="V565" t="str">
        <f ca="1">IF(ISNUMBER(Q565),OFFSET('MPIO_SFIO Table'!$AJ$11,Q565,0),"")</f>
        <v/>
      </c>
      <c r="W565">
        <f t="shared" ca="1" si="75"/>
        <v>0</v>
      </c>
      <c r="X565">
        <f t="shared" ca="1" si="76"/>
        <v>0</v>
      </c>
      <c r="Y565">
        <f t="shared" ca="1" si="77"/>
        <v>0</v>
      </c>
      <c r="Z565">
        <f t="shared" ca="1" si="78"/>
        <v>0</v>
      </c>
      <c r="AA565">
        <f t="shared" ca="1" si="79"/>
        <v>0</v>
      </c>
    </row>
    <row r="566" spans="1:27" x14ac:dyDescent="0.25">
      <c r="A566">
        <f t="shared" ca="1" si="72"/>
        <v>0</v>
      </c>
      <c r="B566" t="str">
        <f t="shared" ca="1" si="73"/>
        <v/>
      </c>
      <c r="C566" t="str">
        <f t="shared" si="74"/>
        <v>NAND</v>
      </c>
      <c r="D566" t="s">
        <v>253</v>
      </c>
      <c r="E566" t="s">
        <v>253</v>
      </c>
      <c r="F566" s="3" t="s">
        <v>1737</v>
      </c>
      <c r="G566" s="11" t="s">
        <v>439</v>
      </c>
      <c r="H566" s="11" t="s">
        <v>75</v>
      </c>
      <c r="I566" s="3" t="s">
        <v>253</v>
      </c>
      <c r="J566" s="3" t="s">
        <v>253</v>
      </c>
      <c r="K566" s="3" t="s">
        <v>253</v>
      </c>
      <c r="L566" s="3" t="s">
        <v>253</v>
      </c>
      <c r="M566">
        <f>IF(LEN(H566),MATCH(H566,'MPIO_SFIO Table'!$A$11:$A$65525,0)-1,"")</f>
        <v>70</v>
      </c>
      <c r="N566" t="str">
        <f>IF(LEN(I566),MATCH(I566,'MPIO_SFIO Table'!$A$11:$A$65525,0)-1,"")</f>
        <v/>
      </c>
      <c r="O566" t="str">
        <f>IF(LEN(J566),MATCH(J566,'MPIO_SFIO Table'!$A$11:$A$65525,0)-1,"")</f>
        <v/>
      </c>
      <c r="P566" t="str">
        <f>IF(LEN(K566),MATCH(K566,'MPIO_SFIO Table'!$A$11:$A$65525,0)-1,"")</f>
        <v/>
      </c>
      <c r="Q566" t="str">
        <f>IF(LEN(L566),MATCH(L566,'MPIO_SFIO Table'!$A$11:$A$65525,0)-1,"")</f>
        <v/>
      </c>
      <c r="R566" t="str">
        <f ca="1">IF(ISNUMBER(M566),OFFSET('MPIO_SFIO Table'!$AJ$11,M566,0),"")</f>
        <v>unused_GMI_AD4</v>
      </c>
      <c r="S566" t="str">
        <f ca="1">IF(ISNUMBER(N566),OFFSET('MPIO_SFIO Table'!$AJ$11,N566,0),"")</f>
        <v/>
      </c>
      <c r="T566" t="str">
        <f ca="1">IF(ISNUMBER(O566),OFFSET('MPIO_SFIO Table'!$AJ$11,O566,0),"")</f>
        <v/>
      </c>
      <c r="U566" t="str">
        <f ca="1">IF(ISNUMBER(P566),OFFSET('MPIO_SFIO Table'!$AJ$11,P566,0),"")</f>
        <v/>
      </c>
      <c r="V566" t="str">
        <f ca="1">IF(ISNUMBER(Q566),OFFSET('MPIO_SFIO Table'!$AJ$11,Q566,0),"")</f>
        <v/>
      </c>
      <c r="W566">
        <f t="shared" ca="1" si="75"/>
        <v>0</v>
      </c>
      <c r="X566">
        <f t="shared" ca="1" si="76"/>
        <v>0</v>
      </c>
      <c r="Y566">
        <f t="shared" ca="1" si="77"/>
        <v>0</v>
      </c>
      <c r="Z566">
        <f t="shared" ca="1" si="78"/>
        <v>0</v>
      </c>
      <c r="AA566">
        <f t="shared" ca="1" si="79"/>
        <v>0</v>
      </c>
    </row>
    <row r="567" spans="1:27" x14ac:dyDescent="0.25">
      <c r="A567">
        <f t="shared" ca="1" si="72"/>
        <v>0</v>
      </c>
      <c r="B567" t="str">
        <f t="shared" ca="1" si="73"/>
        <v/>
      </c>
      <c r="C567" t="str">
        <f t="shared" si="74"/>
        <v>NAND</v>
      </c>
      <c r="D567" t="s">
        <v>253</v>
      </c>
      <c r="E567" t="s">
        <v>253</v>
      </c>
      <c r="F567" s="3" t="s">
        <v>1741</v>
      </c>
      <c r="G567" s="11" t="s">
        <v>441</v>
      </c>
      <c r="H567" s="11" t="s">
        <v>76</v>
      </c>
      <c r="I567" s="3" t="s">
        <v>253</v>
      </c>
      <c r="J567" s="3" t="s">
        <v>253</v>
      </c>
      <c r="K567" s="3" t="s">
        <v>253</v>
      </c>
      <c r="L567" s="3" t="s">
        <v>253</v>
      </c>
      <c r="M567">
        <f>IF(LEN(H567),MATCH(H567,'MPIO_SFIO Table'!$A$11:$A$65525,0)-1,"")</f>
        <v>71</v>
      </c>
      <c r="N567" t="str">
        <f>IF(LEN(I567),MATCH(I567,'MPIO_SFIO Table'!$A$11:$A$65525,0)-1,"")</f>
        <v/>
      </c>
      <c r="O567" t="str">
        <f>IF(LEN(J567),MATCH(J567,'MPIO_SFIO Table'!$A$11:$A$65525,0)-1,"")</f>
        <v/>
      </c>
      <c r="P567" t="str">
        <f>IF(LEN(K567),MATCH(K567,'MPIO_SFIO Table'!$A$11:$A$65525,0)-1,"")</f>
        <v/>
      </c>
      <c r="Q567" t="str">
        <f>IF(LEN(L567),MATCH(L567,'MPIO_SFIO Table'!$A$11:$A$65525,0)-1,"")</f>
        <v/>
      </c>
      <c r="R567" t="str">
        <f ca="1">IF(ISNUMBER(M567),OFFSET('MPIO_SFIO Table'!$AJ$11,M567,0),"")</f>
        <v>unused_GMI_AD5</v>
      </c>
      <c r="S567" t="str">
        <f ca="1">IF(ISNUMBER(N567),OFFSET('MPIO_SFIO Table'!$AJ$11,N567,0),"")</f>
        <v/>
      </c>
      <c r="T567" t="str">
        <f ca="1">IF(ISNUMBER(O567),OFFSET('MPIO_SFIO Table'!$AJ$11,O567,0),"")</f>
        <v/>
      </c>
      <c r="U567" t="str">
        <f ca="1">IF(ISNUMBER(P567),OFFSET('MPIO_SFIO Table'!$AJ$11,P567,0),"")</f>
        <v/>
      </c>
      <c r="V567" t="str">
        <f ca="1">IF(ISNUMBER(Q567),OFFSET('MPIO_SFIO Table'!$AJ$11,Q567,0),"")</f>
        <v/>
      </c>
      <c r="W567">
        <f t="shared" ca="1" si="75"/>
        <v>0</v>
      </c>
      <c r="X567">
        <f t="shared" ca="1" si="76"/>
        <v>0</v>
      </c>
      <c r="Y567">
        <f t="shared" ca="1" si="77"/>
        <v>0</v>
      </c>
      <c r="Z567">
        <f t="shared" ca="1" si="78"/>
        <v>0</v>
      </c>
      <c r="AA567">
        <f t="shared" ca="1" si="79"/>
        <v>0</v>
      </c>
    </row>
    <row r="568" spans="1:27" x14ac:dyDescent="0.25">
      <c r="A568">
        <f t="shared" ca="1" si="72"/>
        <v>0</v>
      </c>
      <c r="B568" t="str">
        <f t="shared" ca="1" si="73"/>
        <v/>
      </c>
      <c r="C568" t="str">
        <f t="shared" si="74"/>
        <v>NAND</v>
      </c>
      <c r="D568" t="s">
        <v>253</v>
      </c>
      <c r="E568" t="s">
        <v>253</v>
      </c>
      <c r="F568" s="3" t="s">
        <v>1731</v>
      </c>
      <c r="G568" s="11" t="s">
        <v>443</v>
      </c>
      <c r="H568" s="11" t="s">
        <v>77</v>
      </c>
      <c r="I568" s="3" t="s">
        <v>253</v>
      </c>
      <c r="J568" s="3" t="s">
        <v>253</v>
      </c>
      <c r="K568" s="3" t="s">
        <v>253</v>
      </c>
      <c r="L568" s="3" t="s">
        <v>253</v>
      </c>
      <c r="M568">
        <f>IF(LEN(H568),MATCH(H568,'MPIO_SFIO Table'!$A$11:$A$65525,0)-1,"")</f>
        <v>72</v>
      </c>
      <c r="N568" t="str">
        <f>IF(LEN(I568),MATCH(I568,'MPIO_SFIO Table'!$A$11:$A$65525,0)-1,"")</f>
        <v/>
      </c>
      <c r="O568" t="str">
        <f>IF(LEN(J568),MATCH(J568,'MPIO_SFIO Table'!$A$11:$A$65525,0)-1,"")</f>
        <v/>
      </c>
      <c r="P568" t="str">
        <f>IF(LEN(K568),MATCH(K568,'MPIO_SFIO Table'!$A$11:$A$65525,0)-1,"")</f>
        <v/>
      </c>
      <c r="Q568" t="str">
        <f>IF(LEN(L568),MATCH(L568,'MPIO_SFIO Table'!$A$11:$A$65525,0)-1,"")</f>
        <v/>
      </c>
      <c r="R568" t="str">
        <f ca="1">IF(ISNUMBER(M568),OFFSET('MPIO_SFIO Table'!$AJ$11,M568,0),"")</f>
        <v>unused_GMI_AD6</v>
      </c>
      <c r="S568" t="str">
        <f ca="1">IF(ISNUMBER(N568),OFFSET('MPIO_SFIO Table'!$AJ$11,N568,0),"")</f>
        <v/>
      </c>
      <c r="T568" t="str">
        <f ca="1">IF(ISNUMBER(O568),OFFSET('MPIO_SFIO Table'!$AJ$11,O568,0),"")</f>
        <v/>
      </c>
      <c r="U568" t="str">
        <f ca="1">IF(ISNUMBER(P568),OFFSET('MPIO_SFIO Table'!$AJ$11,P568,0),"")</f>
        <v/>
      </c>
      <c r="V568" t="str">
        <f ca="1">IF(ISNUMBER(Q568),OFFSET('MPIO_SFIO Table'!$AJ$11,Q568,0),"")</f>
        <v/>
      </c>
      <c r="W568">
        <f t="shared" ca="1" si="75"/>
        <v>0</v>
      </c>
      <c r="X568">
        <f t="shared" ca="1" si="76"/>
        <v>0</v>
      </c>
      <c r="Y568">
        <f t="shared" ca="1" si="77"/>
        <v>0</v>
      </c>
      <c r="Z568">
        <f t="shared" ca="1" si="78"/>
        <v>0</v>
      </c>
      <c r="AA568">
        <f t="shared" ca="1" si="79"/>
        <v>0</v>
      </c>
    </row>
    <row r="569" spans="1:27" x14ac:dyDescent="0.25">
      <c r="A569">
        <f t="shared" ca="1" si="72"/>
        <v>0</v>
      </c>
      <c r="B569" t="str">
        <f t="shared" ca="1" si="73"/>
        <v/>
      </c>
      <c r="C569" t="str">
        <f t="shared" si="74"/>
        <v>NAND</v>
      </c>
      <c r="D569" t="s">
        <v>253</v>
      </c>
      <c r="E569" t="s">
        <v>253</v>
      </c>
      <c r="F569" s="3" t="s">
        <v>1874</v>
      </c>
      <c r="G569" s="11" t="s">
        <v>445</v>
      </c>
      <c r="H569" s="11" t="s">
        <v>78</v>
      </c>
      <c r="I569" s="3" t="s">
        <v>253</v>
      </c>
      <c r="J569" s="3" t="s">
        <v>253</v>
      </c>
      <c r="K569" s="3" t="s">
        <v>253</v>
      </c>
      <c r="L569" s="3" t="s">
        <v>253</v>
      </c>
      <c r="M569">
        <f>IF(LEN(H569),MATCH(H569,'MPIO_SFIO Table'!$A$11:$A$65525,0)-1,"")</f>
        <v>73</v>
      </c>
      <c r="N569" t="str">
        <f>IF(LEN(I569),MATCH(I569,'MPIO_SFIO Table'!$A$11:$A$65525,0)-1,"")</f>
        <v/>
      </c>
      <c r="O569" t="str">
        <f>IF(LEN(J569),MATCH(J569,'MPIO_SFIO Table'!$A$11:$A$65525,0)-1,"")</f>
        <v/>
      </c>
      <c r="P569" t="str">
        <f>IF(LEN(K569),MATCH(K569,'MPIO_SFIO Table'!$A$11:$A$65525,0)-1,"")</f>
        <v/>
      </c>
      <c r="Q569" t="str">
        <f>IF(LEN(L569),MATCH(L569,'MPIO_SFIO Table'!$A$11:$A$65525,0)-1,"")</f>
        <v/>
      </c>
      <c r="R569" t="str">
        <f ca="1">IF(ISNUMBER(M569),OFFSET('MPIO_SFIO Table'!$AJ$11,M569,0),"")</f>
        <v>unused_GMI_AD7</v>
      </c>
      <c r="S569" t="str">
        <f ca="1">IF(ISNUMBER(N569),OFFSET('MPIO_SFIO Table'!$AJ$11,N569,0),"")</f>
        <v/>
      </c>
      <c r="T569" t="str">
        <f ca="1">IF(ISNUMBER(O569),OFFSET('MPIO_SFIO Table'!$AJ$11,O569,0),"")</f>
        <v/>
      </c>
      <c r="U569" t="str">
        <f ca="1">IF(ISNUMBER(P569),OFFSET('MPIO_SFIO Table'!$AJ$11,P569,0),"")</f>
        <v/>
      </c>
      <c r="V569" t="str">
        <f ca="1">IF(ISNUMBER(Q569),OFFSET('MPIO_SFIO Table'!$AJ$11,Q569,0),"")</f>
        <v/>
      </c>
      <c r="W569">
        <f t="shared" ca="1" si="75"/>
        <v>0</v>
      </c>
      <c r="X569">
        <f t="shared" ca="1" si="76"/>
        <v>0</v>
      </c>
      <c r="Y569">
        <f t="shared" ca="1" si="77"/>
        <v>0</v>
      </c>
      <c r="Z569">
        <f t="shared" ca="1" si="78"/>
        <v>0</v>
      </c>
      <c r="AA569">
        <f t="shared" ca="1" si="79"/>
        <v>0</v>
      </c>
    </row>
    <row r="570" spans="1:27" x14ac:dyDescent="0.25">
      <c r="A570">
        <f t="shared" ca="1" si="72"/>
        <v>0</v>
      </c>
      <c r="B570" t="str">
        <f t="shared" ca="1" si="73"/>
        <v/>
      </c>
      <c r="C570" t="str">
        <f t="shared" si="74"/>
        <v>NAND</v>
      </c>
      <c r="D570" t="s">
        <v>253</v>
      </c>
      <c r="E570" t="s">
        <v>253</v>
      </c>
      <c r="F570" s="3" t="s">
        <v>1876</v>
      </c>
      <c r="G570" s="11" t="s">
        <v>448</v>
      </c>
      <c r="H570" s="11" t="s">
        <v>79</v>
      </c>
      <c r="I570" s="3" t="s">
        <v>253</v>
      </c>
      <c r="J570" s="3" t="s">
        <v>253</v>
      </c>
      <c r="K570" s="3" t="s">
        <v>253</v>
      </c>
      <c r="L570" s="3" t="s">
        <v>253</v>
      </c>
      <c r="M570">
        <f>IF(LEN(H570),MATCH(H570,'MPIO_SFIO Table'!$A$11:$A$65525,0)-1,"")</f>
        <v>74</v>
      </c>
      <c r="N570" t="str">
        <f>IF(LEN(I570),MATCH(I570,'MPIO_SFIO Table'!$A$11:$A$65525,0)-1,"")</f>
        <v/>
      </c>
      <c r="O570" t="str">
        <f>IF(LEN(J570),MATCH(J570,'MPIO_SFIO Table'!$A$11:$A$65525,0)-1,"")</f>
        <v/>
      </c>
      <c r="P570" t="str">
        <f>IF(LEN(K570),MATCH(K570,'MPIO_SFIO Table'!$A$11:$A$65525,0)-1,"")</f>
        <v/>
      </c>
      <c r="Q570" t="str">
        <f>IF(LEN(L570),MATCH(L570,'MPIO_SFIO Table'!$A$11:$A$65525,0)-1,"")</f>
        <v/>
      </c>
      <c r="R570" t="str">
        <f ca="1">IF(ISNUMBER(M570),OFFSET('MPIO_SFIO Table'!$AJ$11,M570,0),"")</f>
        <v>unused_GMI_AD8</v>
      </c>
      <c r="S570" t="str">
        <f ca="1">IF(ISNUMBER(N570),OFFSET('MPIO_SFIO Table'!$AJ$11,N570,0),"")</f>
        <v/>
      </c>
      <c r="T570" t="str">
        <f ca="1">IF(ISNUMBER(O570),OFFSET('MPIO_SFIO Table'!$AJ$11,O570,0),"")</f>
        <v/>
      </c>
      <c r="U570" t="str">
        <f ca="1">IF(ISNUMBER(P570),OFFSET('MPIO_SFIO Table'!$AJ$11,P570,0),"")</f>
        <v/>
      </c>
      <c r="V570" t="str">
        <f ca="1">IF(ISNUMBER(Q570),OFFSET('MPIO_SFIO Table'!$AJ$11,Q570,0),"")</f>
        <v/>
      </c>
      <c r="W570">
        <f t="shared" ca="1" si="75"/>
        <v>0</v>
      </c>
      <c r="X570">
        <f t="shared" ca="1" si="76"/>
        <v>0</v>
      </c>
      <c r="Y570">
        <f t="shared" ca="1" si="77"/>
        <v>0</v>
      </c>
      <c r="Z570">
        <f t="shared" ca="1" si="78"/>
        <v>0</v>
      </c>
      <c r="AA570">
        <f t="shared" ca="1" si="79"/>
        <v>0</v>
      </c>
    </row>
    <row r="571" spans="1:27" x14ac:dyDescent="0.25">
      <c r="A571">
        <f t="shared" ca="1" si="72"/>
        <v>0</v>
      </c>
      <c r="B571" t="str">
        <f t="shared" ca="1" si="73"/>
        <v/>
      </c>
      <c r="C571" t="str">
        <f t="shared" si="74"/>
        <v>NAND</v>
      </c>
      <c r="D571" t="s">
        <v>253</v>
      </c>
      <c r="E571" t="s">
        <v>253</v>
      </c>
      <c r="F571" s="3" t="s">
        <v>1875</v>
      </c>
      <c r="G571" s="11" t="s">
        <v>451</v>
      </c>
      <c r="H571" s="11" t="s">
        <v>80</v>
      </c>
      <c r="I571" s="3" t="s">
        <v>253</v>
      </c>
      <c r="J571" s="3" t="s">
        <v>253</v>
      </c>
      <c r="K571" s="3" t="s">
        <v>253</v>
      </c>
      <c r="L571" s="3" t="s">
        <v>253</v>
      </c>
      <c r="M571">
        <f>IF(LEN(H571),MATCH(H571,'MPIO_SFIO Table'!$A$11:$A$65525,0)-1,"")</f>
        <v>75</v>
      </c>
      <c r="N571" t="str">
        <f>IF(LEN(I571),MATCH(I571,'MPIO_SFIO Table'!$A$11:$A$65525,0)-1,"")</f>
        <v/>
      </c>
      <c r="O571" t="str">
        <f>IF(LEN(J571),MATCH(J571,'MPIO_SFIO Table'!$A$11:$A$65525,0)-1,"")</f>
        <v/>
      </c>
      <c r="P571" t="str">
        <f>IF(LEN(K571),MATCH(K571,'MPIO_SFIO Table'!$A$11:$A$65525,0)-1,"")</f>
        <v/>
      </c>
      <c r="Q571" t="str">
        <f>IF(LEN(L571),MATCH(L571,'MPIO_SFIO Table'!$A$11:$A$65525,0)-1,"")</f>
        <v/>
      </c>
      <c r="R571" t="str">
        <f ca="1">IF(ISNUMBER(M571),OFFSET('MPIO_SFIO Table'!$AJ$11,M571,0),"")</f>
        <v>unused_GMI_AD9</v>
      </c>
      <c r="S571" t="str">
        <f ca="1">IF(ISNUMBER(N571),OFFSET('MPIO_SFIO Table'!$AJ$11,N571,0),"")</f>
        <v/>
      </c>
      <c r="T571" t="str">
        <f ca="1">IF(ISNUMBER(O571),OFFSET('MPIO_SFIO Table'!$AJ$11,O571,0),"")</f>
        <v/>
      </c>
      <c r="U571" t="str">
        <f ca="1">IF(ISNUMBER(P571),OFFSET('MPIO_SFIO Table'!$AJ$11,P571,0),"")</f>
        <v/>
      </c>
      <c r="V571" t="str">
        <f ca="1">IF(ISNUMBER(Q571),OFFSET('MPIO_SFIO Table'!$AJ$11,Q571,0),"")</f>
        <v/>
      </c>
      <c r="W571">
        <f t="shared" ca="1" si="75"/>
        <v>0</v>
      </c>
      <c r="X571">
        <f t="shared" ca="1" si="76"/>
        <v>0</v>
      </c>
      <c r="Y571">
        <f t="shared" ca="1" si="77"/>
        <v>0</v>
      </c>
      <c r="Z571">
        <f t="shared" ca="1" si="78"/>
        <v>0</v>
      </c>
      <c r="AA571">
        <f t="shared" ca="1" si="79"/>
        <v>0</v>
      </c>
    </row>
    <row r="572" spans="1:27" x14ac:dyDescent="0.25">
      <c r="A572">
        <f t="shared" ca="1" si="72"/>
        <v>0</v>
      </c>
      <c r="B572" t="str">
        <f t="shared" ca="1" si="73"/>
        <v/>
      </c>
      <c r="C572" t="str">
        <f t="shared" si="74"/>
        <v>NAND</v>
      </c>
      <c r="D572" t="s">
        <v>253</v>
      </c>
      <c r="E572" t="s">
        <v>253</v>
      </c>
      <c r="F572" s="3" t="s">
        <v>2883</v>
      </c>
      <c r="G572" s="11" t="s">
        <v>464</v>
      </c>
      <c r="H572" s="11" t="s">
        <v>90</v>
      </c>
      <c r="I572" s="3" t="s">
        <v>253</v>
      </c>
      <c r="J572" s="3" t="s">
        <v>253</v>
      </c>
      <c r="K572" s="3" t="s">
        <v>253</v>
      </c>
      <c r="L572" s="3" t="s">
        <v>253</v>
      </c>
      <c r="M572">
        <f>IF(LEN(H572),MATCH(H572,'MPIO_SFIO Table'!$A$11:$A$65525,0)-1,"")</f>
        <v>85</v>
      </c>
      <c r="N572" t="str">
        <f>IF(LEN(I572),MATCH(I572,'MPIO_SFIO Table'!$A$11:$A$65525,0)-1,"")</f>
        <v/>
      </c>
      <c r="O572" t="str">
        <f>IF(LEN(J572),MATCH(J572,'MPIO_SFIO Table'!$A$11:$A$65525,0)-1,"")</f>
        <v/>
      </c>
      <c r="P572" t="str">
        <f>IF(LEN(K572),MATCH(K572,'MPIO_SFIO Table'!$A$11:$A$65525,0)-1,"")</f>
        <v/>
      </c>
      <c r="Q572" t="str">
        <f>IF(LEN(L572),MATCH(L572,'MPIO_SFIO Table'!$A$11:$A$65525,0)-1,"")</f>
        <v/>
      </c>
      <c r="R572" t="str">
        <f ca="1">IF(ISNUMBER(M572),OFFSET('MPIO_SFIO Table'!$AJ$11,M572,0),"")</f>
        <v>unused_GMI_DQS</v>
      </c>
      <c r="S572" t="str">
        <f ca="1">IF(ISNUMBER(N572),OFFSET('MPIO_SFIO Table'!$AJ$11,N572,0),"")</f>
        <v/>
      </c>
      <c r="T572" t="str">
        <f ca="1">IF(ISNUMBER(O572),OFFSET('MPIO_SFIO Table'!$AJ$11,O572,0),"")</f>
        <v/>
      </c>
      <c r="U572" t="str">
        <f ca="1">IF(ISNUMBER(P572),OFFSET('MPIO_SFIO Table'!$AJ$11,P572,0),"")</f>
        <v/>
      </c>
      <c r="V572" t="str">
        <f ca="1">IF(ISNUMBER(Q572),OFFSET('MPIO_SFIO Table'!$AJ$11,Q572,0),"")</f>
        <v/>
      </c>
      <c r="W572">
        <f t="shared" ca="1" si="75"/>
        <v>0</v>
      </c>
      <c r="X572">
        <f t="shared" ca="1" si="76"/>
        <v>0</v>
      </c>
      <c r="Y572">
        <f t="shared" ca="1" si="77"/>
        <v>0</v>
      </c>
      <c r="Z572">
        <f t="shared" ca="1" si="78"/>
        <v>0</v>
      </c>
      <c r="AA572">
        <f t="shared" ca="1" si="79"/>
        <v>0</v>
      </c>
    </row>
    <row r="573" spans="1:27" x14ac:dyDescent="0.25">
      <c r="A573">
        <f t="shared" ca="1" si="72"/>
        <v>0</v>
      </c>
      <c r="B573" t="str">
        <f t="shared" ca="1" si="73"/>
        <v/>
      </c>
      <c r="C573" t="str">
        <f t="shared" si="74"/>
        <v>NAND</v>
      </c>
      <c r="D573" t="s">
        <v>253</v>
      </c>
      <c r="E573" t="s">
        <v>253</v>
      </c>
      <c r="F573" s="3" t="s">
        <v>2884</v>
      </c>
      <c r="G573" s="11" t="s">
        <v>2208</v>
      </c>
      <c r="H573" s="11" t="s">
        <v>92</v>
      </c>
      <c r="I573" s="3" t="s">
        <v>253</v>
      </c>
      <c r="J573" s="3" t="s">
        <v>253</v>
      </c>
      <c r="K573" s="3" t="s">
        <v>253</v>
      </c>
      <c r="L573" s="3" t="s">
        <v>253</v>
      </c>
      <c r="M573">
        <f>IF(LEN(H573),MATCH(H573,'MPIO_SFIO Table'!$A$11:$A$65525,0)-1,"")</f>
        <v>87</v>
      </c>
      <c r="N573" t="str">
        <f>IF(LEN(I573),MATCH(I573,'MPIO_SFIO Table'!$A$11:$A$65525,0)-1,"")</f>
        <v/>
      </c>
      <c r="O573" t="str">
        <f>IF(LEN(J573),MATCH(J573,'MPIO_SFIO Table'!$A$11:$A$65525,0)-1,"")</f>
        <v/>
      </c>
      <c r="P573" t="str">
        <f>IF(LEN(K573),MATCH(K573,'MPIO_SFIO Table'!$A$11:$A$65525,0)-1,"")</f>
        <v/>
      </c>
      <c r="Q573" t="str">
        <f>IF(LEN(L573),MATCH(L573,'MPIO_SFIO Table'!$A$11:$A$65525,0)-1,"")</f>
        <v/>
      </c>
      <c r="R573" t="str">
        <f ca="1">IF(ISNUMBER(M573),OFFSET('MPIO_SFIO Table'!$AJ$11,M573,0),"")</f>
        <v>unused_GMI_OE_N</v>
      </c>
      <c r="S573" t="str">
        <f ca="1">IF(ISNUMBER(N573),OFFSET('MPIO_SFIO Table'!$AJ$11,N573,0),"")</f>
        <v/>
      </c>
      <c r="T573" t="str">
        <f ca="1">IF(ISNUMBER(O573),OFFSET('MPIO_SFIO Table'!$AJ$11,O573,0),"")</f>
        <v/>
      </c>
      <c r="U573" t="str">
        <f ca="1">IF(ISNUMBER(P573),OFFSET('MPIO_SFIO Table'!$AJ$11,P573,0),"")</f>
        <v/>
      </c>
      <c r="V573" t="str">
        <f ca="1">IF(ISNUMBER(Q573),OFFSET('MPIO_SFIO Table'!$AJ$11,Q573,0),"")</f>
        <v/>
      </c>
      <c r="W573">
        <f t="shared" ca="1" si="75"/>
        <v>0</v>
      </c>
      <c r="X573">
        <f t="shared" ca="1" si="76"/>
        <v>0</v>
      </c>
      <c r="Y573">
        <f t="shared" ca="1" si="77"/>
        <v>0</v>
      </c>
      <c r="Z573">
        <f t="shared" ca="1" si="78"/>
        <v>0</v>
      </c>
      <c r="AA573">
        <f t="shared" ca="1" si="79"/>
        <v>0</v>
      </c>
    </row>
    <row r="574" spans="1:27" x14ac:dyDescent="0.25">
      <c r="A574">
        <f t="shared" ca="1" si="72"/>
        <v>0</v>
      </c>
      <c r="B574" t="str">
        <f t="shared" ca="1" si="73"/>
        <v/>
      </c>
      <c r="C574" t="str">
        <f t="shared" si="74"/>
        <v>NAND</v>
      </c>
      <c r="D574" t="s">
        <v>253</v>
      </c>
      <c r="E574" t="s">
        <v>253</v>
      </c>
      <c r="F574" s="3" t="s">
        <v>2885</v>
      </c>
      <c r="G574" s="11" t="s">
        <v>2207</v>
      </c>
      <c r="H574" s="11" t="s">
        <v>96</v>
      </c>
      <c r="I574" s="3" t="s">
        <v>253</v>
      </c>
      <c r="J574" s="3" t="s">
        <v>253</v>
      </c>
      <c r="K574" s="3" t="s">
        <v>253</v>
      </c>
      <c r="L574" s="3" t="s">
        <v>253</v>
      </c>
      <c r="M574">
        <f>IF(LEN(H574),MATCH(H574,'MPIO_SFIO Table'!$A$11:$A$65525,0)-1,"")</f>
        <v>91</v>
      </c>
      <c r="N574" t="str">
        <f>IF(LEN(I574),MATCH(I574,'MPIO_SFIO Table'!$A$11:$A$65525,0)-1,"")</f>
        <v/>
      </c>
      <c r="O574" t="str">
        <f>IF(LEN(J574),MATCH(J574,'MPIO_SFIO Table'!$A$11:$A$65525,0)-1,"")</f>
        <v/>
      </c>
      <c r="P574" t="str">
        <f>IF(LEN(K574),MATCH(K574,'MPIO_SFIO Table'!$A$11:$A$65525,0)-1,"")</f>
        <v/>
      </c>
      <c r="Q574" t="str">
        <f>IF(LEN(L574),MATCH(L574,'MPIO_SFIO Table'!$A$11:$A$65525,0)-1,"")</f>
        <v/>
      </c>
      <c r="R574" t="str">
        <f ca="1">IF(ISNUMBER(M574),OFFSET('MPIO_SFIO Table'!$AJ$11,M574,0),"")</f>
        <v>unused_GMI_WR_N</v>
      </c>
      <c r="S574" t="str">
        <f ca="1">IF(ISNUMBER(N574),OFFSET('MPIO_SFIO Table'!$AJ$11,N574,0),"")</f>
        <v/>
      </c>
      <c r="T574" t="str">
        <f ca="1">IF(ISNUMBER(O574),OFFSET('MPIO_SFIO Table'!$AJ$11,O574,0),"")</f>
        <v/>
      </c>
      <c r="U574" t="str">
        <f ca="1">IF(ISNUMBER(P574),OFFSET('MPIO_SFIO Table'!$AJ$11,P574,0),"")</f>
        <v/>
      </c>
      <c r="V574" t="str">
        <f ca="1">IF(ISNUMBER(Q574),OFFSET('MPIO_SFIO Table'!$AJ$11,Q574,0),"")</f>
        <v/>
      </c>
      <c r="W574">
        <f t="shared" ca="1" si="75"/>
        <v>0</v>
      </c>
      <c r="X574">
        <f t="shared" ca="1" si="76"/>
        <v>0</v>
      </c>
      <c r="Y574">
        <f t="shared" ca="1" si="77"/>
        <v>0</v>
      </c>
      <c r="Z574">
        <f t="shared" ca="1" si="78"/>
        <v>0</v>
      </c>
      <c r="AA574">
        <f t="shared" ca="1" si="79"/>
        <v>0</v>
      </c>
    </row>
    <row r="575" spans="1:27" x14ac:dyDescent="0.25">
      <c r="A575">
        <f t="shared" ca="1" si="72"/>
        <v>0</v>
      </c>
      <c r="B575" t="str">
        <f t="shared" ca="1" si="73"/>
        <v/>
      </c>
      <c r="C575" t="str">
        <f t="shared" si="74"/>
        <v/>
      </c>
      <c r="D575" t="s">
        <v>209</v>
      </c>
      <c r="E575" t="s">
        <v>1046</v>
      </c>
      <c r="F575" s="3" t="s">
        <v>253</v>
      </c>
      <c r="G575" s="11" t="s">
        <v>253</v>
      </c>
      <c r="H575" s="11" t="s">
        <v>253</v>
      </c>
      <c r="I575" s="3" t="s">
        <v>253</v>
      </c>
      <c r="J575" s="3" t="s">
        <v>253</v>
      </c>
      <c r="K575" s="3" t="s">
        <v>253</v>
      </c>
      <c r="L575" s="3" t="s">
        <v>253</v>
      </c>
      <c r="M575" t="str">
        <f>IF(LEN(H575),MATCH(H575,'MPIO_SFIO Table'!$A$11:$A$65525,0)-1,"")</f>
        <v/>
      </c>
      <c r="N575" t="str">
        <f>IF(LEN(I575),MATCH(I575,'MPIO_SFIO Table'!$A$11:$A$65525,0)-1,"")</f>
        <v/>
      </c>
      <c r="O575" t="str">
        <f>IF(LEN(J575),MATCH(J575,'MPIO_SFIO Table'!$A$11:$A$65525,0)-1,"")</f>
        <v/>
      </c>
      <c r="P575" t="str">
        <f>IF(LEN(K575),MATCH(K575,'MPIO_SFIO Table'!$A$11:$A$65525,0)-1,"")</f>
        <v/>
      </c>
      <c r="Q575" t="str">
        <f>IF(LEN(L575),MATCH(L575,'MPIO_SFIO Table'!$A$11:$A$65525,0)-1,"")</f>
        <v/>
      </c>
      <c r="R575" t="str">
        <f ca="1">IF(ISNUMBER(M575),OFFSET('MPIO_SFIO Table'!$AJ$11,M575,0),"")</f>
        <v/>
      </c>
      <c r="S575" t="str">
        <f ca="1">IF(ISNUMBER(N575),OFFSET('MPIO_SFIO Table'!$AJ$11,N575,0),"")</f>
        <v/>
      </c>
      <c r="T575" t="str">
        <f ca="1">IF(ISNUMBER(O575),OFFSET('MPIO_SFIO Table'!$AJ$11,O575,0),"")</f>
        <v/>
      </c>
      <c r="U575" t="str">
        <f ca="1">IF(ISNUMBER(P575),OFFSET('MPIO_SFIO Table'!$AJ$11,P575,0),"")</f>
        <v/>
      </c>
      <c r="V575" t="str">
        <f ca="1">IF(ISNUMBER(Q575),OFFSET('MPIO_SFIO Table'!$AJ$11,Q575,0),"")</f>
        <v/>
      </c>
      <c r="W575">
        <f t="shared" ca="1" si="75"/>
        <v>0</v>
      </c>
      <c r="X575">
        <f t="shared" ca="1" si="76"/>
        <v>0</v>
      </c>
      <c r="Y575">
        <f t="shared" ca="1" si="77"/>
        <v>0</v>
      </c>
      <c r="Z575">
        <f t="shared" ca="1" si="78"/>
        <v>0</v>
      </c>
      <c r="AA575">
        <f t="shared" ca="1" si="79"/>
        <v>0</v>
      </c>
    </row>
    <row r="576" spans="1:27" x14ac:dyDescent="0.25">
      <c r="A576">
        <f t="shared" ca="1" si="72"/>
        <v>0</v>
      </c>
      <c r="B576" t="str">
        <f t="shared" ca="1" si="73"/>
        <v/>
      </c>
      <c r="C576" t="str">
        <f t="shared" si="74"/>
        <v>OWR</v>
      </c>
      <c r="D576" t="s">
        <v>253</v>
      </c>
      <c r="E576" t="s">
        <v>253</v>
      </c>
      <c r="F576" s="3" t="s">
        <v>2519</v>
      </c>
      <c r="G576" s="11" t="s">
        <v>700</v>
      </c>
      <c r="H576" s="11" t="s">
        <v>209</v>
      </c>
      <c r="I576" s="3" t="s">
        <v>253</v>
      </c>
      <c r="J576" s="3" t="s">
        <v>253</v>
      </c>
      <c r="K576" s="3" t="s">
        <v>253</v>
      </c>
      <c r="L576" s="3" t="s">
        <v>253</v>
      </c>
      <c r="M576">
        <f>IF(LEN(H576),MATCH(H576,'MPIO_SFIO Table'!$A$11:$A$65525,0)-1,"")</f>
        <v>223</v>
      </c>
      <c r="N576" t="str">
        <f>IF(LEN(I576),MATCH(I576,'MPIO_SFIO Table'!$A$11:$A$65525,0)-1,"")</f>
        <v/>
      </c>
      <c r="O576" t="str">
        <f>IF(LEN(J576),MATCH(J576,'MPIO_SFIO Table'!$A$11:$A$65525,0)-1,"")</f>
        <v/>
      </c>
      <c r="P576" t="str">
        <f>IF(LEN(K576),MATCH(K576,'MPIO_SFIO Table'!$A$11:$A$65525,0)-1,"")</f>
        <v/>
      </c>
      <c r="Q576" t="str">
        <f>IF(LEN(L576),MATCH(L576,'MPIO_SFIO Table'!$A$11:$A$65525,0)-1,"")</f>
        <v/>
      </c>
      <c r="R576" t="str">
        <f ca="1">IF(ISNUMBER(M576),OFFSET('MPIO_SFIO Table'!$AJ$11,M576,0),"")</f>
        <v>unused_OWR</v>
      </c>
      <c r="S576" t="str">
        <f ca="1">IF(ISNUMBER(N576),OFFSET('MPIO_SFIO Table'!$AJ$11,N576,0),"")</f>
        <v/>
      </c>
      <c r="T576" t="str">
        <f ca="1">IF(ISNUMBER(O576),OFFSET('MPIO_SFIO Table'!$AJ$11,O576,0),"")</f>
        <v/>
      </c>
      <c r="U576" t="str">
        <f ca="1">IF(ISNUMBER(P576),OFFSET('MPIO_SFIO Table'!$AJ$11,P576,0),"")</f>
        <v/>
      </c>
      <c r="V576" t="str">
        <f ca="1">IF(ISNUMBER(Q576),OFFSET('MPIO_SFIO Table'!$AJ$11,Q576,0),"")</f>
        <v/>
      </c>
      <c r="W576">
        <f t="shared" ca="1" si="75"/>
        <v>0</v>
      </c>
      <c r="X576">
        <f t="shared" ca="1" si="76"/>
        <v>0</v>
      </c>
      <c r="Y576">
        <f t="shared" ca="1" si="77"/>
        <v>0</v>
      </c>
      <c r="Z576">
        <f t="shared" ca="1" si="78"/>
        <v>0</v>
      </c>
      <c r="AA576">
        <f t="shared" ca="1" si="79"/>
        <v>0</v>
      </c>
    </row>
    <row r="577" spans="1:27" x14ac:dyDescent="0.25">
      <c r="A577">
        <f t="shared" ca="1" si="72"/>
        <v>0</v>
      </c>
      <c r="B577" t="str">
        <f t="shared" ca="1" si="73"/>
        <v/>
      </c>
      <c r="C577" t="str">
        <f t="shared" si="74"/>
        <v>OWR</v>
      </c>
      <c r="D577" t="s">
        <v>253</v>
      </c>
      <c r="E577" t="s">
        <v>253</v>
      </c>
      <c r="F577" s="3" t="s">
        <v>2886</v>
      </c>
      <c r="G577" s="11" t="s">
        <v>583</v>
      </c>
      <c r="H577" s="11" t="s">
        <v>154</v>
      </c>
      <c r="I577" s="3" t="s">
        <v>204</v>
      </c>
      <c r="J577" s="3" t="s">
        <v>221</v>
      </c>
      <c r="K577" s="3" t="s">
        <v>253</v>
      </c>
      <c r="L577" s="3" t="s">
        <v>253</v>
      </c>
      <c r="M577">
        <f>IF(LEN(H577),MATCH(H577,'MPIO_SFIO Table'!$A$11:$A$65525,0)-1,"")</f>
        <v>152</v>
      </c>
      <c r="N577">
        <f>IF(LEN(I577),MATCH(I577,'MPIO_SFIO Table'!$A$11:$A$65525,0)-1,"")</f>
        <v>218</v>
      </c>
      <c r="O577">
        <f>IF(LEN(J577),MATCH(J577,'MPIO_SFIO Table'!$A$11:$A$65525,0)-1,"")</f>
        <v>239</v>
      </c>
      <c r="P577" t="str">
        <f>IF(LEN(K577),MATCH(K577,'MPIO_SFIO Table'!$A$11:$A$65525,0)-1,"")</f>
        <v/>
      </c>
      <c r="Q577" t="str">
        <f>IF(LEN(L577),MATCH(L577,'MPIO_SFIO Table'!$A$11:$A$65525,0)-1,"")</f>
        <v/>
      </c>
      <c r="R577" t="str">
        <f ca="1">IF(ISNUMBER(M577),OFFSET('MPIO_SFIO Table'!$AJ$11,M577,0),"")</f>
        <v>unused_GPIO_PV2</v>
      </c>
      <c r="S577" t="str">
        <f ca="1">IF(ISNUMBER(N577),OFFSET('MPIO_SFIO Table'!$AJ$11,N577,0),"")</f>
        <v>unused_KB_ROW5</v>
      </c>
      <c r="T577" t="str">
        <f ca="1">IF(ISNUMBER(O577),OFFSET('MPIO_SFIO Table'!$AJ$11,O577,0),"")</f>
        <v>unused_GPIO_PU0</v>
      </c>
      <c r="U577" t="str">
        <f ca="1">IF(ISNUMBER(P577),OFFSET('MPIO_SFIO Table'!$AJ$11,P577,0),"")</f>
        <v/>
      </c>
      <c r="V577" t="str">
        <f ca="1">IF(ISNUMBER(Q577),OFFSET('MPIO_SFIO Table'!$AJ$11,Q577,0),"")</f>
        <v/>
      </c>
      <c r="W577">
        <f t="shared" ca="1" si="75"/>
        <v>0</v>
      </c>
      <c r="X577">
        <f t="shared" ca="1" si="76"/>
        <v>0</v>
      </c>
      <c r="Y577">
        <f t="shared" ca="1" si="77"/>
        <v>0</v>
      </c>
      <c r="Z577">
        <f t="shared" ca="1" si="78"/>
        <v>0</v>
      </c>
      <c r="AA577">
        <f t="shared" ca="1" si="79"/>
        <v>0</v>
      </c>
    </row>
    <row r="578" spans="1:27" x14ac:dyDescent="0.25">
      <c r="A578">
        <f t="shared" ca="1" si="72"/>
        <v>0</v>
      </c>
      <c r="B578" t="str">
        <f t="shared" ca="1" si="73"/>
        <v/>
      </c>
      <c r="C578" t="str">
        <f t="shared" si="74"/>
        <v/>
      </c>
      <c r="D578" t="s">
        <v>2495</v>
      </c>
      <c r="E578" t="s">
        <v>1046</v>
      </c>
      <c r="F578" s="3" t="s">
        <v>253</v>
      </c>
      <c r="G578" s="11" t="s">
        <v>253</v>
      </c>
      <c r="H578" s="11" t="s">
        <v>253</v>
      </c>
      <c r="I578" s="3" t="s">
        <v>253</v>
      </c>
      <c r="J578" s="3" t="s">
        <v>253</v>
      </c>
      <c r="K578" s="3" t="s">
        <v>253</v>
      </c>
      <c r="L578" s="3" t="s">
        <v>253</v>
      </c>
      <c r="M578" t="str">
        <f>IF(LEN(H578),MATCH(H578,'MPIO_SFIO Table'!$A$11:$A$65525,0)-1,"")</f>
        <v/>
      </c>
      <c r="N578" t="str">
        <f>IF(LEN(I578),MATCH(I578,'MPIO_SFIO Table'!$A$11:$A$65525,0)-1,"")</f>
        <v/>
      </c>
      <c r="O578" t="str">
        <f>IF(LEN(J578),MATCH(J578,'MPIO_SFIO Table'!$A$11:$A$65525,0)-1,"")</f>
        <v/>
      </c>
      <c r="P578" t="str">
        <f>IF(LEN(K578),MATCH(K578,'MPIO_SFIO Table'!$A$11:$A$65525,0)-1,"")</f>
        <v/>
      </c>
      <c r="Q578" t="str">
        <f>IF(LEN(L578),MATCH(L578,'MPIO_SFIO Table'!$A$11:$A$65525,0)-1,"")</f>
        <v/>
      </c>
      <c r="R578" t="str">
        <f ca="1">IF(ISNUMBER(M578),OFFSET('MPIO_SFIO Table'!$AJ$11,M578,0),"")</f>
        <v/>
      </c>
      <c r="S578" t="str">
        <f ca="1">IF(ISNUMBER(N578),OFFSET('MPIO_SFIO Table'!$AJ$11,N578,0),"")</f>
        <v/>
      </c>
      <c r="T578" t="str">
        <f ca="1">IF(ISNUMBER(O578),OFFSET('MPIO_SFIO Table'!$AJ$11,O578,0),"")</f>
        <v/>
      </c>
      <c r="U578" t="str">
        <f ca="1">IF(ISNUMBER(P578),OFFSET('MPIO_SFIO Table'!$AJ$11,P578,0),"")</f>
        <v/>
      </c>
      <c r="V578" t="str">
        <f ca="1">IF(ISNUMBER(Q578),OFFSET('MPIO_SFIO Table'!$AJ$11,Q578,0),"")</f>
        <v/>
      </c>
      <c r="W578">
        <f t="shared" ca="1" si="75"/>
        <v>0</v>
      </c>
      <c r="X578">
        <f t="shared" ca="1" si="76"/>
        <v>0</v>
      </c>
      <c r="Y578">
        <f t="shared" ca="1" si="77"/>
        <v>0</v>
      </c>
      <c r="Z578">
        <f t="shared" ca="1" si="78"/>
        <v>0</v>
      </c>
      <c r="AA578">
        <f t="shared" ca="1" si="79"/>
        <v>0</v>
      </c>
    </row>
    <row r="579" spans="1:27" x14ac:dyDescent="0.25">
      <c r="A579">
        <f t="shared" ca="1" si="72"/>
        <v>0</v>
      </c>
      <c r="B579" t="str">
        <f t="shared" ca="1" si="73"/>
        <v/>
      </c>
      <c r="C579" t="str">
        <f t="shared" si="74"/>
        <v>PEX0</v>
      </c>
      <c r="D579" t="s">
        <v>253</v>
      </c>
      <c r="E579" t="s">
        <v>253</v>
      </c>
      <c r="F579" s="3" t="s">
        <v>2887</v>
      </c>
      <c r="G579" s="11" t="s">
        <v>2191</v>
      </c>
      <c r="H579" s="11" t="s">
        <v>143</v>
      </c>
      <c r="I579" s="3" t="s">
        <v>253</v>
      </c>
      <c r="J579" s="3" t="s">
        <v>253</v>
      </c>
      <c r="K579" s="3" t="s">
        <v>253</v>
      </c>
      <c r="L579" s="3" t="s">
        <v>253</v>
      </c>
      <c r="M579">
        <f>IF(LEN(H579),MATCH(H579,'MPIO_SFIO Table'!$A$11:$A$65525,0)-1,"")</f>
        <v>140</v>
      </c>
      <c r="N579" t="str">
        <f>IF(LEN(I579),MATCH(I579,'MPIO_SFIO Table'!$A$11:$A$65525,0)-1,"")</f>
        <v/>
      </c>
      <c r="O579" t="str">
        <f>IF(LEN(J579),MATCH(J579,'MPIO_SFIO Table'!$A$11:$A$65525,0)-1,"")</f>
        <v/>
      </c>
      <c r="P579" t="str">
        <f>IF(LEN(K579),MATCH(K579,'MPIO_SFIO Table'!$A$11:$A$65525,0)-1,"")</f>
        <v/>
      </c>
      <c r="Q579" t="str">
        <f>IF(LEN(L579),MATCH(L579,'MPIO_SFIO Table'!$A$11:$A$65525,0)-1,"")</f>
        <v/>
      </c>
      <c r="R579" t="str">
        <f ca="1">IF(ISNUMBER(M579),OFFSET('MPIO_SFIO Table'!$AJ$11,M579,0),"")</f>
        <v>unused_PEX_L0_PRSNT_N</v>
      </c>
      <c r="S579" t="str">
        <f ca="1">IF(ISNUMBER(N579),OFFSET('MPIO_SFIO Table'!$AJ$11,N579,0),"")</f>
        <v/>
      </c>
      <c r="T579" t="str">
        <f ca="1">IF(ISNUMBER(O579),OFFSET('MPIO_SFIO Table'!$AJ$11,O579,0),"")</f>
        <v/>
      </c>
      <c r="U579" t="str">
        <f ca="1">IF(ISNUMBER(P579),OFFSET('MPIO_SFIO Table'!$AJ$11,P579,0),"")</f>
        <v/>
      </c>
      <c r="V579" t="str">
        <f ca="1">IF(ISNUMBER(Q579),OFFSET('MPIO_SFIO Table'!$AJ$11,Q579,0),"")</f>
        <v/>
      </c>
      <c r="W579">
        <f t="shared" ca="1" si="75"/>
        <v>0</v>
      </c>
      <c r="X579">
        <f t="shared" ca="1" si="76"/>
        <v>0</v>
      </c>
      <c r="Y579">
        <f t="shared" ca="1" si="77"/>
        <v>0</v>
      </c>
      <c r="Z579">
        <f t="shared" ca="1" si="78"/>
        <v>0</v>
      </c>
      <c r="AA579">
        <f t="shared" ca="1" si="79"/>
        <v>0</v>
      </c>
    </row>
    <row r="580" spans="1:27" x14ac:dyDescent="0.25">
      <c r="A580">
        <f t="shared" ca="1" si="72"/>
        <v>0</v>
      </c>
      <c r="B580" t="str">
        <f t="shared" ca="1" si="73"/>
        <v/>
      </c>
      <c r="C580" t="str">
        <f t="shared" si="74"/>
        <v>PEX0</v>
      </c>
      <c r="D580" t="s">
        <v>253</v>
      </c>
      <c r="E580" t="s">
        <v>253</v>
      </c>
      <c r="F580" s="3" t="s">
        <v>2567</v>
      </c>
      <c r="G580" s="11" t="s">
        <v>2192</v>
      </c>
      <c r="H580" s="11" t="s">
        <v>144</v>
      </c>
      <c r="I580" s="3" t="s">
        <v>253</v>
      </c>
      <c r="J580" s="3" t="s">
        <v>253</v>
      </c>
      <c r="K580" s="3" t="s">
        <v>253</v>
      </c>
      <c r="L580" s="3" t="s">
        <v>253</v>
      </c>
      <c r="M580">
        <f>IF(LEN(H580),MATCH(H580,'MPIO_SFIO Table'!$A$11:$A$65525,0)-1,"")</f>
        <v>141</v>
      </c>
      <c r="N580" t="str">
        <f>IF(LEN(I580),MATCH(I580,'MPIO_SFIO Table'!$A$11:$A$65525,0)-1,"")</f>
        <v/>
      </c>
      <c r="O580" t="str">
        <f>IF(LEN(J580),MATCH(J580,'MPIO_SFIO Table'!$A$11:$A$65525,0)-1,"")</f>
        <v/>
      </c>
      <c r="P580" t="str">
        <f>IF(LEN(K580),MATCH(K580,'MPIO_SFIO Table'!$A$11:$A$65525,0)-1,"")</f>
        <v/>
      </c>
      <c r="Q580" t="str">
        <f>IF(LEN(L580),MATCH(L580,'MPIO_SFIO Table'!$A$11:$A$65525,0)-1,"")</f>
        <v/>
      </c>
      <c r="R580" t="str">
        <f ca="1">IF(ISNUMBER(M580),OFFSET('MPIO_SFIO Table'!$AJ$11,M580,0),"")</f>
        <v>unused_PEX_L0_RST_N</v>
      </c>
      <c r="S580" t="str">
        <f ca="1">IF(ISNUMBER(N580),OFFSET('MPIO_SFIO Table'!$AJ$11,N580,0),"")</f>
        <v/>
      </c>
      <c r="T580" t="str">
        <f ca="1">IF(ISNUMBER(O580),OFFSET('MPIO_SFIO Table'!$AJ$11,O580,0),"")</f>
        <v/>
      </c>
      <c r="U580" t="str">
        <f ca="1">IF(ISNUMBER(P580),OFFSET('MPIO_SFIO Table'!$AJ$11,P580,0),"")</f>
        <v/>
      </c>
      <c r="V580" t="str">
        <f ca="1">IF(ISNUMBER(Q580),OFFSET('MPIO_SFIO Table'!$AJ$11,Q580,0),"")</f>
        <v/>
      </c>
      <c r="W580">
        <f t="shared" ca="1" si="75"/>
        <v>0</v>
      </c>
      <c r="X580">
        <f t="shared" ca="1" si="76"/>
        <v>0</v>
      </c>
      <c r="Y580">
        <f t="shared" ca="1" si="77"/>
        <v>0</v>
      </c>
      <c r="Z580">
        <f t="shared" ca="1" si="78"/>
        <v>0</v>
      </c>
      <c r="AA580">
        <f t="shared" ca="1" si="79"/>
        <v>0</v>
      </c>
    </row>
    <row r="581" spans="1:27" x14ac:dyDescent="0.25">
      <c r="A581">
        <f t="shared" ca="1" si="72"/>
        <v>0</v>
      </c>
      <c r="B581" t="str">
        <f t="shared" ca="1" si="73"/>
        <v/>
      </c>
      <c r="C581" t="str">
        <f t="shared" si="74"/>
        <v/>
      </c>
      <c r="D581" t="s">
        <v>2496</v>
      </c>
      <c r="E581" t="s">
        <v>1046</v>
      </c>
      <c r="F581" s="3" t="s">
        <v>253</v>
      </c>
      <c r="G581" s="11" t="s">
        <v>253</v>
      </c>
      <c r="H581" s="11" t="s">
        <v>253</v>
      </c>
      <c r="I581" s="3" t="s">
        <v>253</v>
      </c>
      <c r="J581" s="3" t="s">
        <v>253</v>
      </c>
      <c r="K581" s="3" t="s">
        <v>253</v>
      </c>
      <c r="L581" s="3" t="s">
        <v>253</v>
      </c>
      <c r="M581" t="str">
        <f>IF(LEN(H581),MATCH(H581,'MPIO_SFIO Table'!$A$11:$A$65525,0)-1,"")</f>
        <v/>
      </c>
      <c r="N581" t="str">
        <f>IF(LEN(I581),MATCH(I581,'MPIO_SFIO Table'!$A$11:$A$65525,0)-1,"")</f>
        <v/>
      </c>
      <c r="O581" t="str">
        <f>IF(LEN(J581),MATCH(J581,'MPIO_SFIO Table'!$A$11:$A$65525,0)-1,"")</f>
        <v/>
      </c>
      <c r="P581" t="str">
        <f>IF(LEN(K581),MATCH(K581,'MPIO_SFIO Table'!$A$11:$A$65525,0)-1,"")</f>
        <v/>
      </c>
      <c r="Q581" t="str">
        <f>IF(LEN(L581),MATCH(L581,'MPIO_SFIO Table'!$A$11:$A$65525,0)-1,"")</f>
        <v/>
      </c>
      <c r="R581" t="str">
        <f ca="1">IF(ISNUMBER(M581),OFFSET('MPIO_SFIO Table'!$AJ$11,M581,0),"")</f>
        <v/>
      </c>
      <c r="S581" t="str">
        <f ca="1">IF(ISNUMBER(N581),OFFSET('MPIO_SFIO Table'!$AJ$11,N581,0),"")</f>
        <v/>
      </c>
      <c r="T581" t="str">
        <f ca="1">IF(ISNUMBER(O581),OFFSET('MPIO_SFIO Table'!$AJ$11,O581,0),"")</f>
        <v/>
      </c>
      <c r="U581" t="str">
        <f ca="1">IF(ISNUMBER(P581),OFFSET('MPIO_SFIO Table'!$AJ$11,P581,0),"")</f>
        <v/>
      </c>
      <c r="V581" t="str">
        <f ca="1">IF(ISNUMBER(Q581),OFFSET('MPIO_SFIO Table'!$AJ$11,Q581,0),"")</f>
        <v/>
      </c>
      <c r="W581">
        <f t="shared" ca="1" si="75"/>
        <v>0</v>
      </c>
      <c r="X581">
        <f t="shared" ca="1" si="76"/>
        <v>0</v>
      </c>
      <c r="Y581">
        <f t="shared" ca="1" si="77"/>
        <v>0</v>
      </c>
      <c r="Z581">
        <f t="shared" ca="1" si="78"/>
        <v>0</v>
      </c>
      <c r="AA581">
        <f t="shared" ca="1" si="79"/>
        <v>0</v>
      </c>
    </row>
    <row r="582" spans="1:27" x14ac:dyDescent="0.25">
      <c r="A582">
        <f t="shared" ca="1" si="72"/>
        <v>0</v>
      </c>
      <c r="B582" t="str">
        <f t="shared" ca="1" si="73"/>
        <v/>
      </c>
      <c r="C582" t="str">
        <f t="shared" si="74"/>
        <v>PEX1</v>
      </c>
      <c r="D582" t="s">
        <v>253</v>
      </c>
      <c r="E582" t="s">
        <v>253</v>
      </c>
      <c r="F582" s="3" t="s">
        <v>2887</v>
      </c>
      <c r="G582" s="11" t="s">
        <v>2194</v>
      </c>
      <c r="H582" s="11" t="s">
        <v>146</v>
      </c>
      <c r="I582" s="3" t="s">
        <v>253</v>
      </c>
      <c r="J582" s="3" t="s">
        <v>253</v>
      </c>
      <c r="K582" s="3" t="s">
        <v>253</v>
      </c>
      <c r="L582" s="3" t="s">
        <v>253</v>
      </c>
      <c r="M582">
        <f>IF(LEN(H582),MATCH(H582,'MPIO_SFIO Table'!$A$11:$A$65525,0)-1,"")</f>
        <v>143</v>
      </c>
      <c r="N582" t="str">
        <f>IF(LEN(I582),MATCH(I582,'MPIO_SFIO Table'!$A$11:$A$65525,0)-1,"")</f>
        <v/>
      </c>
      <c r="O582" t="str">
        <f>IF(LEN(J582),MATCH(J582,'MPIO_SFIO Table'!$A$11:$A$65525,0)-1,"")</f>
        <v/>
      </c>
      <c r="P582" t="str">
        <f>IF(LEN(K582),MATCH(K582,'MPIO_SFIO Table'!$A$11:$A$65525,0)-1,"")</f>
        <v/>
      </c>
      <c r="Q582" t="str">
        <f>IF(LEN(L582),MATCH(L582,'MPIO_SFIO Table'!$A$11:$A$65525,0)-1,"")</f>
        <v/>
      </c>
      <c r="R582" t="str">
        <f ca="1">IF(ISNUMBER(M582),OFFSET('MPIO_SFIO Table'!$AJ$11,M582,0),"")</f>
        <v>unused_PEX_L1_PRSNT_N</v>
      </c>
      <c r="S582" t="str">
        <f ca="1">IF(ISNUMBER(N582),OFFSET('MPIO_SFIO Table'!$AJ$11,N582,0),"")</f>
        <v/>
      </c>
      <c r="T582" t="str">
        <f ca="1">IF(ISNUMBER(O582),OFFSET('MPIO_SFIO Table'!$AJ$11,O582,0),"")</f>
        <v/>
      </c>
      <c r="U582" t="str">
        <f ca="1">IF(ISNUMBER(P582),OFFSET('MPIO_SFIO Table'!$AJ$11,P582,0),"")</f>
        <v/>
      </c>
      <c r="V582" t="str">
        <f ca="1">IF(ISNUMBER(Q582),OFFSET('MPIO_SFIO Table'!$AJ$11,Q582,0),"")</f>
        <v/>
      </c>
      <c r="W582">
        <f t="shared" ca="1" si="75"/>
        <v>0</v>
      </c>
      <c r="X582">
        <f t="shared" ca="1" si="76"/>
        <v>0</v>
      </c>
      <c r="Y582">
        <f t="shared" ca="1" si="77"/>
        <v>0</v>
      </c>
      <c r="Z582">
        <f t="shared" ca="1" si="78"/>
        <v>0</v>
      </c>
      <c r="AA582">
        <f t="shared" ca="1" si="79"/>
        <v>0</v>
      </c>
    </row>
    <row r="583" spans="1:27" x14ac:dyDescent="0.25">
      <c r="A583">
        <f t="shared" ca="1" si="72"/>
        <v>0</v>
      </c>
      <c r="B583" t="str">
        <f t="shared" ca="1" si="73"/>
        <v/>
      </c>
      <c r="C583" t="str">
        <f t="shared" si="74"/>
        <v>PEX1</v>
      </c>
      <c r="D583" t="s">
        <v>253</v>
      </c>
      <c r="E583" t="s">
        <v>253</v>
      </c>
      <c r="F583" s="3" t="s">
        <v>2567</v>
      </c>
      <c r="G583" s="11" t="s">
        <v>2195</v>
      </c>
      <c r="H583" s="11" t="s">
        <v>147</v>
      </c>
      <c r="I583" s="3" t="s">
        <v>253</v>
      </c>
      <c r="J583" s="3" t="s">
        <v>253</v>
      </c>
      <c r="K583" s="3" t="s">
        <v>253</v>
      </c>
      <c r="L583" s="3" t="s">
        <v>253</v>
      </c>
      <c r="M583">
        <f>IF(LEN(H583),MATCH(H583,'MPIO_SFIO Table'!$A$11:$A$65525,0)-1,"")</f>
        <v>144</v>
      </c>
      <c r="N583" t="str">
        <f>IF(LEN(I583),MATCH(I583,'MPIO_SFIO Table'!$A$11:$A$65525,0)-1,"")</f>
        <v/>
      </c>
      <c r="O583" t="str">
        <f>IF(LEN(J583),MATCH(J583,'MPIO_SFIO Table'!$A$11:$A$65525,0)-1,"")</f>
        <v/>
      </c>
      <c r="P583" t="str">
        <f>IF(LEN(K583),MATCH(K583,'MPIO_SFIO Table'!$A$11:$A$65525,0)-1,"")</f>
        <v/>
      </c>
      <c r="Q583" t="str">
        <f>IF(LEN(L583),MATCH(L583,'MPIO_SFIO Table'!$A$11:$A$65525,0)-1,"")</f>
        <v/>
      </c>
      <c r="R583" t="str">
        <f ca="1">IF(ISNUMBER(M583),OFFSET('MPIO_SFIO Table'!$AJ$11,M583,0),"")</f>
        <v>unused_PEX_L1_RST_N</v>
      </c>
      <c r="S583" t="str">
        <f ca="1">IF(ISNUMBER(N583),OFFSET('MPIO_SFIO Table'!$AJ$11,N583,0),"")</f>
        <v/>
      </c>
      <c r="T583" t="str">
        <f ca="1">IF(ISNUMBER(O583),OFFSET('MPIO_SFIO Table'!$AJ$11,O583,0),"")</f>
        <v/>
      </c>
      <c r="U583" t="str">
        <f ca="1">IF(ISNUMBER(P583),OFFSET('MPIO_SFIO Table'!$AJ$11,P583,0),"")</f>
        <v/>
      </c>
      <c r="V583" t="str">
        <f ca="1">IF(ISNUMBER(Q583),OFFSET('MPIO_SFIO Table'!$AJ$11,Q583,0),"")</f>
        <v/>
      </c>
      <c r="W583">
        <f t="shared" ca="1" si="75"/>
        <v>0</v>
      </c>
      <c r="X583">
        <f t="shared" ca="1" si="76"/>
        <v>0</v>
      </c>
      <c r="Y583">
        <f t="shared" ca="1" si="77"/>
        <v>0</v>
      </c>
      <c r="Z583">
        <f t="shared" ca="1" si="78"/>
        <v>0</v>
      </c>
      <c r="AA583">
        <f t="shared" ca="1" si="79"/>
        <v>0</v>
      </c>
    </row>
    <row r="584" spans="1:27" x14ac:dyDescent="0.25">
      <c r="A584">
        <f t="shared" ref="A584:A647" ca="1" si="80">SUM($W584:$AA584)</f>
        <v>0</v>
      </c>
      <c r="B584" t="str">
        <f t="shared" ref="B584:B647" ca="1" si="81">IF(A584&lt;&gt;0,REPLACE(G584,FIND("-",G584),LEN(G584),""),"")</f>
        <v/>
      </c>
      <c r="C584" t="str">
        <f t="shared" si="74"/>
        <v/>
      </c>
      <c r="D584" t="s">
        <v>2497</v>
      </c>
      <c r="E584" t="s">
        <v>1046</v>
      </c>
      <c r="F584" s="3" t="s">
        <v>253</v>
      </c>
      <c r="G584" s="11" t="s">
        <v>253</v>
      </c>
      <c r="H584" s="11" t="s">
        <v>253</v>
      </c>
      <c r="I584" s="3" t="s">
        <v>253</v>
      </c>
      <c r="J584" s="3" t="s">
        <v>253</v>
      </c>
      <c r="K584" s="3" t="s">
        <v>253</v>
      </c>
      <c r="L584" s="3" t="s">
        <v>253</v>
      </c>
      <c r="M584" t="str">
        <f>IF(LEN(H584),MATCH(H584,'MPIO_SFIO Table'!$A$11:$A$65525,0)-1,"")</f>
        <v/>
      </c>
      <c r="N584" t="str">
        <f>IF(LEN(I584),MATCH(I584,'MPIO_SFIO Table'!$A$11:$A$65525,0)-1,"")</f>
        <v/>
      </c>
      <c r="O584" t="str">
        <f>IF(LEN(J584),MATCH(J584,'MPIO_SFIO Table'!$A$11:$A$65525,0)-1,"")</f>
        <v/>
      </c>
      <c r="P584" t="str">
        <f>IF(LEN(K584),MATCH(K584,'MPIO_SFIO Table'!$A$11:$A$65525,0)-1,"")</f>
        <v/>
      </c>
      <c r="Q584" t="str">
        <f>IF(LEN(L584),MATCH(L584,'MPIO_SFIO Table'!$A$11:$A$65525,0)-1,"")</f>
        <v/>
      </c>
      <c r="R584" t="str">
        <f ca="1">IF(ISNUMBER(M584),OFFSET('MPIO_SFIO Table'!$AJ$11,M584,0),"")</f>
        <v/>
      </c>
      <c r="S584" t="str">
        <f ca="1">IF(ISNUMBER(N584),OFFSET('MPIO_SFIO Table'!$AJ$11,N584,0),"")</f>
        <v/>
      </c>
      <c r="T584" t="str">
        <f ca="1">IF(ISNUMBER(O584),OFFSET('MPIO_SFIO Table'!$AJ$11,O584,0),"")</f>
        <v/>
      </c>
      <c r="U584" t="str">
        <f ca="1">IF(ISNUMBER(P584),OFFSET('MPIO_SFIO Table'!$AJ$11,P584,0),"")</f>
        <v/>
      </c>
      <c r="V584" t="str">
        <f ca="1">IF(ISNUMBER(Q584),OFFSET('MPIO_SFIO Table'!$AJ$11,Q584,0),"")</f>
        <v/>
      </c>
      <c r="W584">
        <f t="shared" ca="1" si="75"/>
        <v>0</v>
      </c>
      <c r="X584">
        <f t="shared" ca="1" si="76"/>
        <v>0</v>
      </c>
      <c r="Y584">
        <f t="shared" ca="1" si="77"/>
        <v>0</v>
      </c>
      <c r="Z584">
        <f t="shared" ca="1" si="78"/>
        <v>0</v>
      </c>
      <c r="AA584">
        <f t="shared" ca="1" si="79"/>
        <v>0</v>
      </c>
    </row>
    <row r="585" spans="1:27" x14ac:dyDescent="0.25">
      <c r="A585">
        <f t="shared" ca="1" si="80"/>
        <v>0</v>
      </c>
      <c r="B585" t="str">
        <f t="shared" ca="1" si="81"/>
        <v/>
      </c>
      <c r="C585" t="str">
        <f t="shared" ref="C585:C648" si="82">REPLACE(G585,FIND(".",CONCATENATE(REPLACE(G585,FIND("-",CONCATENATE(G585,"-")),LEN(G585),""),".")),LEN(G585),"")</f>
        <v>PEX2</v>
      </c>
      <c r="D585" t="s">
        <v>253</v>
      </c>
      <c r="E585" t="s">
        <v>253</v>
      </c>
      <c r="F585" s="3" t="s">
        <v>2887</v>
      </c>
      <c r="G585" s="11" t="s">
        <v>2197</v>
      </c>
      <c r="H585" s="11" t="s">
        <v>149</v>
      </c>
      <c r="I585" s="3" t="s">
        <v>253</v>
      </c>
      <c r="J585" s="3" t="s">
        <v>253</v>
      </c>
      <c r="K585" s="3" t="s">
        <v>253</v>
      </c>
      <c r="L585" s="3" t="s">
        <v>253</v>
      </c>
      <c r="M585">
        <f>IF(LEN(H585),MATCH(H585,'MPIO_SFIO Table'!$A$11:$A$65525,0)-1,"")</f>
        <v>146</v>
      </c>
      <c r="N585" t="str">
        <f>IF(LEN(I585),MATCH(I585,'MPIO_SFIO Table'!$A$11:$A$65525,0)-1,"")</f>
        <v/>
      </c>
      <c r="O585" t="str">
        <f>IF(LEN(J585),MATCH(J585,'MPIO_SFIO Table'!$A$11:$A$65525,0)-1,"")</f>
        <v/>
      </c>
      <c r="P585" t="str">
        <f>IF(LEN(K585),MATCH(K585,'MPIO_SFIO Table'!$A$11:$A$65525,0)-1,"")</f>
        <v/>
      </c>
      <c r="Q585" t="str">
        <f>IF(LEN(L585),MATCH(L585,'MPIO_SFIO Table'!$A$11:$A$65525,0)-1,"")</f>
        <v/>
      </c>
      <c r="R585" t="str">
        <f ca="1">IF(ISNUMBER(M585),OFFSET('MPIO_SFIO Table'!$AJ$11,M585,0),"")</f>
        <v>unused_PEX_L2_PRSNT_N</v>
      </c>
      <c r="S585" t="str">
        <f ca="1">IF(ISNUMBER(N585),OFFSET('MPIO_SFIO Table'!$AJ$11,N585,0),"")</f>
        <v/>
      </c>
      <c r="T585" t="str">
        <f ca="1">IF(ISNUMBER(O585),OFFSET('MPIO_SFIO Table'!$AJ$11,O585,0),"")</f>
        <v/>
      </c>
      <c r="U585" t="str">
        <f ca="1">IF(ISNUMBER(P585),OFFSET('MPIO_SFIO Table'!$AJ$11,P585,0),"")</f>
        <v/>
      </c>
      <c r="V585" t="str">
        <f ca="1">IF(ISNUMBER(Q585),OFFSET('MPIO_SFIO Table'!$AJ$11,Q585,0),"")</f>
        <v/>
      </c>
      <c r="W585">
        <f t="shared" ref="W585:W648" ca="1" si="83">1*AND(ISTEXT(R585),LEN(R585),R585=$G585)</f>
        <v>0</v>
      </c>
      <c r="X585">
        <f t="shared" ref="X585:X648" ca="1" si="84">1*AND(ISTEXT(S585),LEN(S585),S585=$G585)</f>
        <v>0</v>
      </c>
      <c r="Y585">
        <f t="shared" ref="Y585:Y648" ca="1" si="85">1*AND(ISTEXT(T585),LEN(T585),T585=$G585)</f>
        <v>0</v>
      </c>
      <c r="Z585">
        <f t="shared" ref="Z585:Z648" ca="1" si="86">1*AND(ISTEXT(U585),LEN(U585),U585=$G585)</f>
        <v>0</v>
      </c>
      <c r="AA585">
        <f t="shared" ref="AA585:AA648" ca="1" si="87">1*AND(ISTEXT(V585),LEN(V585),V585=$G585)</f>
        <v>0</v>
      </c>
    </row>
    <row r="586" spans="1:27" x14ac:dyDescent="0.25">
      <c r="A586">
        <f t="shared" ca="1" si="80"/>
        <v>0</v>
      </c>
      <c r="B586" t="str">
        <f t="shared" ca="1" si="81"/>
        <v/>
      </c>
      <c r="C586" t="str">
        <f t="shared" si="82"/>
        <v>PEX2</v>
      </c>
      <c r="D586" t="s">
        <v>253</v>
      </c>
      <c r="E586" t="s">
        <v>253</v>
      </c>
      <c r="F586" s="3" t="s">
        <v>2567</v>
      </c>
      <c r="G586" s="11" t="s">
        <v>2198</v>
      </c>
      <c r="H586" s="11" t="s">
        <v>150</v>
      </c>
      <c r="I586" s="3" t="s">
        <v>253</v>
      </c>
      <c r="J586" s="3" t="s">
        <v>253</v>
      </c>
      <c r="K586" s="3" t="s">
        <v>253</v>
      </c>
      <c r="L586" s="3" t="s">
        <v>253</v>
      </c>
      <c r="M586">
        <f>IF(LEN(H586),MATCH(H586,'MPIO_SFIO Table'!$A$11:$A$65525,0)-1,"")</f>
        <v>147</v>
      </c>
      <c r="N586" t="str">
        <f>IF(LEN(I586),MATCH(I586,'MPIO_SFIO Table'!$A$11:$A$65525,0)-1,"")</f>
        <v/>
      </c>
      <c r="O586" t="str">
        <f>IF(LEN(J586),MATCH(J586,'MPIO_SFIO Table'!$A$11:$A$65525,0)-1,"")</f>
        <v/>
      </c>
      <c r="P586" t="str">
        <f>IF(LEN(K586),MATCH(K586,'MPIO_SFIO Table'!$A$11:$A$65525,0)-1,"")</f>
        <v/>
      </c>
      <c r="Q586" t="str">
        <f>IF(LEN(L586),MATCH(L586,'MPIO_SFIO Table'!$A$11:$A$65525,0)-1,"")</f>
        <v/>
      </c>
      <c r="R586" t="str">
        <f ca="1">IF(ISNUMBER(M586),OFFSET('MPIO_SFIO Table'!$AJ$11,M586,0),"")</f>
        <v>unused_PEX_L2_RST_N</v>
      </c>
      <c r="S586" t="str">
        <f ca="1">IF(ISNUMBER(N586),OFFSET('MPIO_SFIO Table'!$AJ$11,N586,0),"")</f>
        <v/>
      </c>
      <c r="T586" t="str">
        <f ca="1">IF(ISNUMBER(O586),OFFSET('MPIO_SFIO Table'!$AJ$11,O586,0),"")</f>
        <v/>
      </c>
      <c r="U586" t="str">
        <f ca="1">IF(ISNUMBER(P586),OFFSET('MPIO_SFIO Table'!$AJ$11,P586,0),"")</f>
        <v/>
      </c>
      <c r="V586" t="str">
        <f ca="1">IF(ISNUMBER(Q586),OFFSET('MPIO_SFIO Table'!$AJ$11,Q586,0),"")</f>
        <v/>
      </c>
      <c r="W586">
        <f t="shared" ca="1" si="83"/>
        <v>0</v>
      </c>
      <c r="X586">
        <f t="shared" ca="1" si="84"/>
        <v>0</v>
      </c>
      <c r="Y586">
        <f t="shared" ca="1" si="85"/>
        <v>0</v>
      </c>
      <c r="Z586">
        <f t="shared" ca="1" si="86"/>
        <v>0</v>
      </c>
      <c r="AA586">
        <f t="shared" ca="1" si="87"/>
        <v>0</v>
      </c>
    </row>
    <row r="587" spans="1:27" x14ac:dyDescent="0.25">
      <c r="A587">
        <f t="shared" ca="1" si="80"/>
        <v>0</v>
      </c>
      <c r="B587" t="str">
        <f t="shared" ca="1" si="81"/>
        <v/>
      </c>
      <c r="C587" t="str">
        <f t="shared" si="82"/>
        <v/>
      </c>
      <c r="D587" t="s">
        <v>2498</v>
      </c>
      <c r="E587" t="s">
        <v>1046</v>
      </c>
      <c r="F587" s="3" t="s">
        <v>253</v>
      </c>
      <c r="G587" s="11" t="s">
        <v>253</v>
      </c>
      <c r="H587" s="11" t="s">
        <v>253</v>
      </c>
      <c r="I587" s="3" t="s">
        <v>253</v>
      </c>
      <c r="J587" s="3" t="s">
        <v>253</v>
      </c>
      <c r="K587" s="3" t="s">
        <v>253</v>
      </c>
      <c r="L587" s="3" t="s">
        <v>253</v>
      </c>
      <c r="M587" t="str">
        <f>IF(LEN(H587),MATCH(H587,'MPIO_SFIO Table'!$A$11:$A$65525,0)-1,"")</f>
        <v/>
      </c>
      <c r="N587" t="str">
        <f>IF(LEN(I587),MATCH(I587,'MPIO_SFIO Table'!$A$11:$A$65525,0)-1,"")</f>
        <v/>
      </c>
      <c r="O587" t="str">
        <f>IF(LEN(J587),MATCH(J587,'MPIO_SFIO Table'!$A$11:$A$65525,0)-1,"")</f>
        <v/>
      </c>
      <c r="P587" t="str">
        <f>IF(LEN(K587),MATCH(K587,'MPIO_SFIO Table'!$A$11:$A$65525,0)-1,"")</f>
        <v/>
      </c>
      <c r="Q587" t="str">
        <f>IF(LEN(L587),MATCH(L587,'MPIO_SFIO Table'!$A$11:$A$65525,0)-1,"")</f>
        <v/>
      </c>
      <c r="R587" t="str">
        <f ca="1">IF(ISNUMBER(M587),OFFSET('MPIO_SFIO Table'!$AJ$11,M587,0),"")</f>
        <v/>
      </c>
      <c r="S587" t="str">
        <f ca="1">IF(ISNUMBER(N587),OFFSET('MPIO_SFIO Table'!$AJ$11,N587,0),"")</f>
        <v/>
      </c>
      <c r="T587" t="str">
        <f ca="1">IF(ISNUMBER(O587),OFFSET('MPIO_SFIO Table'!$AJ$11,O587,0),"")</f>
        <v/>
      </c>
      <c r="U587" t="str">
        <f ca="1">IF(ISNUMBER(P587),OFFSET('MPIO_SFIO Table'!$AJ$11,P587,0),"")</f>
        <v/>
      </c>
      <c r="V587" t="str">
        <f ca="1">IF(ISNUMBER(Q587),OFFSET('MPIO_SFIO Table'!$AJ$11,Q587,0),"")</f>
        <v/>
      </c>
      <c r="W587">
        <f t="shared" ca="1" si="83"/>
        <v>0</v>
      </c>
      <c r="X587">
        <f t="shared" ca="1" si="84"/>
        <v>0</v>
      </c>
      <c r="Y587">
        <f t="shared" ca="1" si="85"/>
        <v>0</v>
      </c>
      <c r="Z587">
        <f t="shared" ca="1" si="86"/>
        <v>0</v>
      </c>
      <c r="AA587">
        <f t="shared" ca="1" si="87"/>
        <v>0</v>
      </c>
    </row>
    <row r="588" spans="1:27" x14ac:dyDescent="0.25">
      <c r="A588">
        <f t="shared" ca="1" si="80"/>
        <v>0</v>
      </c>
      <c r="B588" t="str">
        <f t="shared" ca="1" si="81"/>
        <v/>
      </c>
      <c r="C588" t="str">
        <f t="shared" si="82"/>
        <v>PEXCLK0</v>
      </c>
      <c r="D588" t="s">
        <v>253</v>
      </c>
      <c r="E588" t="s">
        <v>253</v>
      </c>
      <c r="F588" s="3" t="s">
        <v>2888</v>
      </c>
      <c r="G588" s="11" t="s">
        <v>2190</v>
      </c>
      <c r="H588" s="11" t="s">
        <v>142</v>
      </c>
      <c r="I588" s="3" t="s">
        <v>253</v>
      </c>
      <c r="J588" s="3" t="s">
        <v>253</v>
      </c>
      <c r="K588" s="3" t="s">
        <v>253</v>
      </c>
      <c r="L588" s="3" t="s">
        <v>253</v>
      </c>
      <c r="M588">
        <f>IF(LEN(H588),MATCH(H588,'MPIO_SFIO Table'!$A$11:$A$65525,0)-1,"")</f>
        <v>139</v>
      </c>
      <c r="N588" t="str">
        <f>IF(LEN(I588),MATCH(I588,'MPIO_SFIO Table'!$A$11:$A$65525,0)-1,"")</f>
        <v/>
      </c>
      <c r="O588" t="str">
        <f>IF(LEN(J588),MATCH(J588,'MPIO_SFIO Table'!$A$11:$A$65525,0)-1,"")</f>
        <v/>
      </c>
      <c r="P588" t="str">
        <f>IF(LEN(K588),MATCH(K588,'MPIO_SFIO Table'!$A$11:$A$65525,0)-1,"")</f>
        <v/>
      </c>
      <c r="Q588" t="str">
        <f>IF(LEN(L588),MATCH(L588,'MPIO_SFIO Table'!$A$11:$A$65525,0)-1,"")</f>
        <v/>
      </c>
      <c r="R588" t="str">
        <f ca="1">IF(ISNUMBER(M588),OFFSET('MPIO_SFIO Table'!$AJ$11,M588,0),"")</f>
        <v>unused_PEX_L0_CLKREQ_N</v>
      </c>
      <c r="S588" t="str">
        <f ca="1">IF(ISNUMBER(N588),OFFSET('MPIO_SFIO Table'!$AJ$11,N588,0),"")</f>
        <v/>
      </c>
      <c r="T588" t="str">
        <f ca="1">IF(ISNUMBER(O588),OFFSET('MPIO_SFIO Table'!$AJ$11,O588,0),"")</f>
        <v/>
      </c>
      <c r="U588" t="str">
        <f ca="1">IF(ISNUMBER(P588),OFFSET('MPIO_SFIO Table'!$AJ$11,P588,0),"")</f>
        <v/>
      </c>
      <c r="V588" t="str">
        <f ca="1">IF(ISNUMBER(Q588),OFFSET('MPIO_SFIO Table'!$AJ$11,Q588,0),"")</f>
        <v/>
      </c>
      <c r="W588">
        <f t="shared" ca="1" si="83"/>
        <v>0</v>
      </c>
      <c r="X588">
        <f t="shared" ca="1" si="84"/>
        <v>0</v>
      </c>
      <c r="Y588">
        <f t="shared" ca="1" si="85"/>
        <v>0</v>
      </c>
      <c r="Z588">
        <f t="shared" ca="1" si="86"/>
        <v>0</v>
      </c>
      <c r="AA588">
        <f t="shared" ca="1" si="87"/>
        <v>0</v>
      </c>
    </row>
    <row r="589" spans="1:27" x14ac:dyDescent="0.25">
      <c r="A589">
        <f t="shared" ca="1" si="80"/>
        <v>0</v>
      </c>
      <c r="B589" t="str">
        <f t="shared" ca="1" si="81"/>
        <v/>
      </c>
      <c r="C589" t="str">
        <f t="shared" si="82"/>
        <v/>
      </c>
      <c r="D589" t="s">
        <v>2499</v>
      </c>
      <c r="E589" t="s">
        <v>1046</v>
      </c>
      <c r="F589" s="3" t="s">
        <v>253</v>
      </c>
      <c r="G589" s="11" t="s">
        <v>253</v>
      </c>
      <c r="H589" s="11" t="s">
        <v>253</v>
      </c>
      <c r="I589" s="3" t="s">
        <v>253</v>
      </c>
      <c r="J589" s="3" t="s">
        <v>253</v>
      </c>
      <c r="K589" s="3" t="s">
        <v>253</v>
      </c>
      <c r="L589" s="3" t="s">
        <v>253</v>
      </c>
      <c r="M589" t="str">
        <f>IF(LEN(H589),MATCH(H589,'MPIO_SFIO Table'!$A$11:$A$65525,0)-1,"")</f>
        <v/>
      </c>
      <c r="N589" t="str">
        <f>IF(LEN(I589),MATCH(I589,'MPIO_SFIO Table'!$A$11:$A$65525,0)-1,"")</f>
        <v/>
      </c>
      <c r="O589" t="str">
        <f>IF(LEN(J589),MATCH(J589,'MPIO_SFIO Table'!$A$11:$A$65525,0)-1,"")</f>
        <v/>
      </c>
      <c r="P589" t="str">
        <f>IF(LEN(K589),MATCH(K589,'MPIO_SFIO Table'!$A$11:$A$65525,0)-1,"")</f>
        <v/>
      </c>
      <c r="Q589" t="str">
        <f>IF(LEN(L589),MATCH(L589,'MPIO_SFIO Table'!$A$11:$A$65525,0)-1,"")</f>
        <v/>
      </c>
      <c r="R589" t="str">
        <f ca="1">IF(ISNUMBER(M589),OFFSET('MPIO_SFIO Table'!$AJ$11,M589,0),"")</f>
        <v/>
      </c>
      <c r="S589" t="str">
        <f ca="1">IF(ISNUMBER(N589),OFFSET('MPIO_SFIO Table'!$AJ$11,N589,0),"")</f>
        <v/>
      </c>
      <c r="T589" t="str">
        <f ca="1">IF(ISNUMBER(O589),OFFSET('MPIO_SFIO Table'!$AJ$11,O589,0),"")</f>
        <v/>
      </c>
      <c r="U589" t="str">
        <f ca="1">IF(ISNUMBER(P589),OFFSET('MPIO_SFIO Table'!$AJ$11,P589,0),"")</f>
        <v/>
      </c>
      <c r="V589" t="str">
        <f ca="1">IF(ISNUMBER(Q589),OFFSET('MPIO_SFIO Table'!$AJ$11,Q589,0),"")</f>
        <v/>
      </c>
      <c r="W589">
        <f t="shared" ca="1" si="83"/>
        <v>0</v>
      </c>
      <c r="X589">
        <f t="shared" ca="1" si="84"/>
        <v>0</v>
      </c>
      <c r="Y589">
        <f t="shared" ca="1" si="85"/>
        <v>0</v>
      </c>
      <c r="Z589">
        <f t="shared" ca="1" si="86"/>
        <v>0</v>
      </c>
      <c r="AA589">
        <f t="shared" ca="1" si="87"/>
        <v>0</v>
      </c>
    </row>
    <row r="590" spans="1:27" x14ac:dyDescent="0.25">
      <c r="A590">
        <f t="shared" ca="1" si="80"/>
        <v>0</v>
      </c>
      <c r="B590" t="str">
        <f t="shared" ca="1" si="81"/>
        <v/>
      </c>
      <c r="C590" t="str">
        <f t="shared" si="82"/>
        <v>PEXCLK1</v>
      </c>
      <c r="D590" t="s">
        <v>253</v>
      </c>
      <c r="E590" t="s">
        <v>253</v>
      </c>
      <c r="F590" s="3" t="s">
        <v>2888</v>
      </c>
      <c r="G590" s="11" t="s">
        <v>2193</v>
      </c>
      <c r="H590" s="11" t="s">
        <v>145</v>
      </c>
      <c r="I590" s="3" t="s">
        <v>253</v>
      </c>
      <c r="J590" s="3" t="s">
        <v>253</v>
      </c>
      <c r="K590" s="3" t="s">
        <v>253</v>
      </c>
      <c r="L590" s="3" t="s">
        <v>253</v>
      </c>
      <c r="M590">
        <f>IF(LEN(H590),MATCH(H590,'MPIO_SFIO Table'!$A$11:$A$65525,0)-1,"")</f>
        <v>142</v>
      </c>
      <c r="N590" t="str">
        <f>IF(LEN(I590),MATCH(I590,'MPIO_SFIO Table'!$A$11:$A$65525,0)-1,"")</f>
        <v/>
      </c>
      <c r="O590" t="str">
        <f>IF(LEN(J590),MATCH(J590,'MPIO_SFIO Table'!$A$11:$A$65525,0)-1,"")</f>
        <v/>
      </c>
      <c r="P590" t="str">
        <f>IF(LEN(K590),MATCH(K590,'MPIO_SFIO Table'!$A$11:$A$65525,0)-1,"")</f>
        <v/>
      </c>
      <c r="Q590" t="str">
        <f>IF(LEN(L590),MATCH(L590,'MPIO_SFIO Table'!$A$11:$A$65525,0)-1,"")</f>
        <v/>
      </c>
      <c r="R590" t="str">
        <f ca="1">IF(ISNUMBER(M590),OFFSET('MPIO_SFIO Table'!$AJ$11,M590,0),"")</f>
        <v>unused_PEX_L1_CLKREQ_N</v>
      </c>
      <c r="S590" t="str">
        <f ca="1">IF(ISNUMBER(N590),OFFSET('MPIO_SFIO Table'!$AJ$11,N590,0),"")</f>
        <v/>
      </c>
      <c r="T590" t="str">
        <f ca="1">IF(ISNUMBER(O590),OFFSET('MPIO_SFIO Table'!$AJ$11,O590,0),"")</f>
        <v/>
      </c>
      <c r="U590" t="str">
        <f ca="1">IF(ISNUMBER(P590),OFFSET('MPIO_SFIO Table'!$AJ$11,P590,0),"")</f>
        <v/>
      </c>
      <c r="V590" t="str">
        <f ca="1">IF(ISNUMBER(Q590),OFFSET('MPIO_SFIO Table'!$AJ$11,Q590,0),"")</f>
        <v/>
      </c>
      <c r="W590">
        <f t="shared" ca="1" si="83"/>
        <v>0</v>
      </c>
      <c r="X590">
        <f t="shared" ca="1" si="84"/>
        <v>0</v>
      </c>
      <c r="Y590">
        <f t="shared" ca="1" si="85"/>
        <v>0</v>
      </c>
      <c r="Z590">
        <f t="shared" ca="1" si="86"/>
        <v>0</v>
      </c>
      <c r="AA590">
        <f t="shared" ca="1" si="87"/>
        <v>0</v>
      </c>
    </row>
    <row r="591" spans="1:27" x14ac:dyDescent="0.25">
      <c r="A591">
        <f t="shared" ca="1" si="80"/>
        <v>0</v>
      </c>
      <c r="B591" t="str">
        <f t="shared" ca="1" si="81"/>
        <v/>
      </c>
      <c r="C591" t="str">
        <f t="shared" si="82"/>
        <v/>
      </c>
      <c r="D591" t="s">
        <v>2500</v>
      </c>
      <c r="E591" t="s">
        <v>1046</v>
      </c>
      <c r="F591" s="3" t="s">
        <v>253</v>
      </c>
      <c r="G591" s="11" t="s">
        <v>253</v>
      </c>
      <c r="H591" s="11" t="s">
        <v>253</v>
      </c>
      <c r="I591" s="3" t="s">
        <v>253</v>
      </c>
      <c r="J591" s="3" t="s">
        <v>253</v>
      </c>
      <c r="K591" s="3" t="s">
        <v>253</v>
      </c>
      <c r="L591" s="3" t="s">
        <v>253</v>
      </c>
      <c r="M591" t="str">
        <f>IF(LEN(H591),MATCH(H591,'MPIO_SFIO Table'!$A$11:$A$65525,0)-1,"")</f>
        <v/>
      </c>
      <c r="N591" t="str">
        <f>IF(LEN(I591),MATCH(I591,'MPIO_SFIO Table'!$A$11:$A$65525,0)-1,"")</f>
        <v/>
      </c>
      <c r="O591" t="str">
        <f>IF(LEN(J591),MATCH(J591,'MPIO_SFIO Table'!$A$11:$A$65525,0)-1,"")</f>
        <v/>
      </c>
      <c r="P591" t="str">
        <f>IF(LEN(K591),MATCH(K591,'MPIO_SFIO Table'!$A$11:$A$65525,0)-1,"")</f>
        <v/>
      </c>
      <c r="Q591" t="str">
        <f>IF(LEN(L591),MATCH(L591,'MPIO_SFIO Table'!$A$11:$A$65525,0)-1,"")</f>
        <v/>
      </c>
      <c r="R591" t="str">
        <f ca="1">IF(ISNUMBER(M591),OFFSET('MPIO_SFIO Table'!$AJ$11,M591,0),"")</f>
        <v/>
      </c>
      <c r="S591" t="str">
        <f ca="1">IF(ISNUMBER(N591),OFFSET('MPIO_SFIO Table'!$AJ$11,N591,0),"")</f>
        <v/>
      </c>
      <c r="T591" t="str">
        <f ca="1">IF(ISNUMBER(O591),OFFSET('MPIO_SFIO Table'!$AJ$11,O591,0),"")</f>
        <v/>
      </c>
      <c r="U591" t="str">
        <f ca="1">IF(ISNUMBER(P591),OFFSET('MPIO_SFIO Table'!$AJ$11,P591,0),"")</f>
        <v/>
      </c>
      <c r="V591" t="str">
        <f ca="1">IF(ISNUMBER(Q591),OFFSET('MPIO_SFIO Table'!$AJ$11,Q591,0),"")</f>
        <v/>
      </c>
      <c r="W591">
        <f t="shared" ca="1" si="83"/>
        <v>0</v>
      </c>
      <c r="X591">
        <f t="shared" ca="1" si="84"/>
        <v>0</v>
      </c>
      <c r="Y591">
        <f t="shared" ca="1" si="85"/>
        <v>0</v>
      </c>
      <c r="Z591">
        <f t="shared" ca="1" si="86"/>
        <v>0</v>
      </c>
      <c r="AA591">
        <f t="shared" ca="1" si="87"/>
        <v>0</v>
      </c>
    </row>
    <row r="592" spans="1:27" x14ac:dyDescent="0.25">
      <c r="A592">
        <f t="shared" ca="1" si="80"/>
        <v>0</v>
      </c>
      <c r="B592" t="str">
        <f t="shared" ca="1" si="81"/>
        <v/>
      </c>
      <c r="C592" t="str">
        <f t="shared" si="82"/>
        <v>PEXCLK2</v>
      </c>
      <c r="D592" t="s">
        <v>253</v>
      </c>
      <c r="E592" t="s">
        <v>253</v>
      </c>
      <c r="F592" s="3" t="s">
        <v>2888</v>
      </c>
      <c r="G592" s="11" t="s">
        <v>2196</v>
      </c>
      <c r="H592" s="11" t="s">
        <v>148</v>
      </c>
      <c r="I592" s="3" t="s">
        <v>253</v>
      </c>
      <c r="J592" s="3" t="s">
        <v>253</v>
      </c>
      <c r="K592" s="3" t="s">
        <v>253</v>
      </c>
      <c r="L592" s="3" t="s">
        <v>253</v>
      </c>
      <c r="M592">
        <f>IF(LEN(H592),MATCH(H592,'MPIO_SFIO Table'!$A$11:$A$65525,0)-1,"")</f>
        <v>145</v>
      </c>
      <c r="N592" t="str">
        <f>IF(LEN(I592),MATCH(I592,'MPIO_SFIO Table'!$A$11:$A$65525,0)-1,"")</f>
        <v/>
      </c>
      <c r="O592" t="str">
        <f>IF(LEN(J592),MATCH(J592,'MPIO_SFIO Table'!$A$11:$A$65525,0)-1,"")</f>
        <v/>
      </c>
      <c r="P592" t="str">
        <f>IF(LEN(K592),MATCH(K592,'MPIO_SFIO Table'!$A$11:$A$65525,0)-1,"")</f>
        <v/>
      </c>
      <c r="Q592" t="str">
        <f>IF(LEN(L592),MATCH(L592,'MPIO_SFIO Table'!$A$11:$A$65525,0)-1,"")</f>
        <v/>
      </c>
      <c r="R592" t="str">
        <f ca="1">IF(ISNUMBER(M592),OFFSET('MPIO_SFIO Table'!$AJ$11,M592,0),"")</f>
        <v>unused_PEX_L2_CLKREQ_N</v>
      </c>
      <c r="S592" t="str">
        <f ca="1">IF(ISNUMBER(N592),OFFSET('MPIO_SFIO Table'!$AJ$11,N592,0),"")</f>
        <v/>
      </c>
      <c r="T592" t="str">
        <f ca="1">IF(ISNUMBER(O592),OFFSET('MPIO_SFIO Table'!$AJ$11,O592,0),"")</f>
        <v/>
      </c>
      <c r="U592" t="str">
        <f ca="1">IF(ISNUMBER(P592),OFFSET('MPIO_SFIO Table'!$AJ$11,P592,0),"")</f>
        <v/>
      </c>
      <c r="V592" t="str">
        <f ca="1">IF(ISNUMBER(Q592),OFFSET('MPIO_SFIO Table'!$AJ$11,Q592,0),"")</f>
        <v/>
      </c>
      <c r="W592">
        <f t="shared" ca="1" si="83"/>
        <v>0</v>
      </c>
      <c r="X592">
        <f t="shared" ca="1" si="84"/>
        <v>0</v>
      </c>
      <c r="Y592">
        <f t="shared" ca="1" si="85"/>
        <v>0</v>
      </c>
      <c r="Z592">
        <f t="shared" ca="1" si="86"/>
        <v>0</v>
      </c>
      <c r="AA592">
        <f t="shared" ca="1" si="87"/>
        <v>0</v>
      </c>
    </row>
    <row r="593" spans="1:27" x14ac:dyDescent="0.25">
      <c r="A593">
        <f t="shared" ca="1" si="80"/>
        <v>0</v>
      </c>
      <c r="B593" t="str">
        <f t="shared" ca="1" si="81"/>
        <v/>
      </c>
      <c r="C593" t="str">
        <f t="shared" si="82"/>
        <v/>
      </c>
      <c r="D593" t="s">
        <v>2113</v>
      </c>
      <c r="E593" t="s">
        <v>1046</v>
      </c>
      <c r="F593" s="3" t="s">
        <v>253</v>
      </c>
      <c r="G593" s="11" t="s">
        <v>253</v>
      </c>
      <c r="H593" s="11" t="s">
        <v>253</v>
      </c>
      <c r="I593" s="3" t="s">
        <v>253</v>
      </c>
      <c r="J593" s="3" t="s">
        <v>253</v>
      </c>
      <c r="K593" s="3" t="s">
        <v>253</v>
      </c>
      <c r="L593" s="3" t="s">
        <v>253</v>
      </c>
      <c r="M593" t="str">
        <f>IF(LEN(H593),MATCH(H593,'MPIO_SFIO Table'!$A$11:$A$65525,0)-1,"")</f>
        <v/>
      </c>
      <c r="N593" t="str">
        <f>IF(LEN(I593),MATCH(I593,'MPIO_SFIO Table'!$A$11:$A$65525,0)-1,"")</f>
        <v/>
      </c>
      <c r="O593" t="str">
        <f>IF(LEN(J593),MATCH(J593,'MPIO_SFIO Table'!$A$11:$A$65525,0)-1,"")</f>
        <v/>
      </c>
      <c r="P593" t="str">
        <f>IF(LEN(K593),MATCH(K593,'MPIO_SFIO Table'!$A$11:$A$65525,0)-1,"")</f>
        <v/>
      </c>
      <c r="Q593" t="str">
        <f>IF(LEN(L593),MATCH(L593,'MPIO_SFIO Table'!$A$11:$A$65525,0)-1,"")</f>
        <v/>
      </c>
      <c r="R593" t="str">
        <f ca="1">IF(ISNUMBER(M593),OFFSET('MPIO_SFIO Table'!$AJ$11,M593,0),"")</f>
        <v/>
      </c>
      <c r="S593" t="str">
        <f ca="1">IF(ISNUMBER(N593),OFFSET('MPIO_SFIO Table'!$AJ$11,N593,0),"")</f>
        <v/>
      </c>
      <c r="T593" t="str">
        <f ca="1">IF(ISNUMBER(O593),OFFSET('MPIO_SFIO Table'!$AJ$11,O593,0),"")</f>
        <v/>
      </c>
      <c r="U593" t="str">
        <f ca="1">IF(ISNUMBER(P593),OFFSET('MPIO_SFIO Table'!$AJ$11,P593,0),"")</f>
        <v/>
      </c>
      <c r="V593" t="str">
        <f ca="1">IF(ISNUMBER(Q593),OFFSET('MPIO_SFIO Table'!$AJ$11,Q593,0),"")</f>
        <v/>
      </c>
      <c r="W593">
        <f t="shared" ca="1" si="83"/>
        <v>0</v>
      </c>
      <c r="X593">
        <f t="shared" ca="1" si="84"/>
        <v>0</v>
      </c>
      <c r="Y593">
        <f t="shared" ca="1" si="85"/>
        <v>0</v>
      </c>
      <c r="Z593">
        <f t="shared" ca="1" si="86"/>
        <v>0</v>
      </c>
      <c r="AA593">
        <f t="shared" ca="1" si="87"/>
        <v>0</v>
      </c>
    </row>
    <row r="594" spans="1:27" x14ac:dyDescent="0.25">
      <c r="A594">
        <f t="shared" ca="1" si="80"/>
        <v>0</v>
      </c>
      <c r="B594" t="str">
        <f t="shared" ca="1" si="81"/>
        <v/>
      </c>
      <c r="C594" t="str">
        <f t="shared" si="82"/>
        <v>PEX</v>
      </c>
      <c r="D594" t="s">
        <v>253</v>
      </c>
      <c r="E594" t="s">
        <v>253</v>
      </c>
      <c r="F594" s="3" t="s">
        <v>2889</v>
      </c>
      <c r="G594" s="11" t="s">
        <v>2199</v>
      </c>
      <c r="H594" s="11" t="s">
        <v>151</v>
      </c>
      <c r="I594" s="3" t="s">
        <v>253</v>
      </c>
      <c r="J594" s="3" t="s">
        <v>253</v>
      </c>
      <c r="K594" s="3" t="s">
        <v>253</v>
      </c>
      <c r="L594" s="3" t="s">
        <v>253</v>
      </c>
      <c r="M594">
        <f>IF(LEN(H594),MATCH(H594,'MPIO_SFIO Table'!$A$11:$A$65525,0)-1,"")</f>
        <v>148</v>
      </c>
      <c r="N594" t="str">
        <f>IF(LEN(I594),MATCH(I594,'MPIO_SFIO Table'!$A$11:$A$65525,0)-1,"")</f>
        <v/>
      </c>
      <c r="O594" t="str">
        <f>IF(LEN(J594),MATCH(J594,'MPIO_SFIO Table'!$A$11:$A$65525,0)-1,"")</f>
        <v/>
      </c>
      <c r="P594" t="str">
        <f>IF(LEN(K594),MATCH(K594,'MPIO_SFIO Table'!$A$11:$A$65525,0)-1,"")</f>
        <v/>
      </c>
      <c r="Q594" t="str">
        <f>IF(LEN(L594),MATCH(L594,'MPIO_SFIO Table'!$A$11:$A$65525,0)-1,"")</f>
        <v/>
      </c>
      <c r="R594" t="str">
        <f ca="1">IF(ISNUMBER(M594),OFFSET('MPIO_SFIO Table'!$AJ$11,M594,0),"")</f>
        <v>unused_PEX_WAKE_N</v>
      </c>
      <c r="S594" t="str">
        <f ca="1">IF(ISNUMBER(N594),OFFSET('MPIO_SFIO Table'!$AJ$11,N594,0),"")</f>
        <v/>
      </c>
      <c r="T594" t="str">
        <f ca="1">IF(ISNUMBER(O594),OFFSET('MPIO_SFIO Table'!$AJ$11,O594,0),"")</f>
        <v/>
      </c>
      <c r="U594" t="str">
        <f ca="1">IF(ISNUMBER(P594),OFFSET('MPIO_SFIO Table'!$AJ$11,P594,0),"")</f>
        <v/>
      </c>
      <c r="V594" t="str">
        <f ca="1">IF(ISNUMBER(Q594),OFFSET('MPIO_SFIO Table'!$AJ$11,Q594,0),"")</f>
        <v/>
      </c>
      <c r="W594">
        <f t="shared" ca="1" si="83"/>
        <v>0</v>
      </c>
      <c r="X594">
        <f t="shared" ca="1" si="84"/>
        <v>0</v>
      </c>
      <c r="Y594">
        <f t="shared" ca="1" si="85"/>
        <v>0</v>
      </c>
      <c r="Z594">
        <f t="shared" ca="1" si="86"/>
        <v>0</v>
      </c>
      <c r="AA594">
        <f t="shared" ca="1" si="87"/>
        <v>0</v>
      </c>
    </row>
    <row r="595" spans="1:27" x14ac:dyDescent="0.25">
      <c r="A595">
        <f t="shared" ca="1" si="80"/>
        <v>0</v>
      </c>
      <c r="B595" t="str">
        <f t="shared" ca="1" si="81"/>
        <v/>
      </c>
      <c r="C595" t="str">
        <f t="shared" si="82"/>
        <v/>
      </c>
      <c r="D595" t="s">
        <v>2501</v>
      </c>
      <c r="E595" t="s">
        <v>1046</v>
      </c>
      <c r="F595" s="3" t="s">
        <v>253</v>
      </c>
      <c r="G595" s="11" t="s">
        <v>253</v>
      </c>
      <c r="H595" s="11" t="s">
        <v>253</v>
      </c>
      <c r="I595" s="3" t="s">
        <v>253</v>
      </c>
      <c r="J595" s="3" t="s">
        <v>253</v>
      </c>
      <c r="K595" s="3" t="s">
        <v>253</v>
      </c>
      <c r="L595" s="3" t="s">
        <v>253</v>
      </c>
      <c r="M595" t="str">
        <f>IF(LEN(H595),MATCH(H595,'MPIO_SFIO Table'!$A$11:$A$65525,0)-1,"")</f>
        <v/>
      </c>
      <c r="N595" t="str">
        <f>IF(LEN(I595),MATCH(I595,'MPIO_SFIO Table'!$A$11:$A$65525,0)-1,"")</f>
        <v/>
      </c>
      <c r="O595" t="str">
        <f>IF(LEN(J595),MATCH(J595,'MPIO_SFIO Table'!$A$11:$A$65525,0)-1,"")</f>
        <v/>
      </c>
      <c r="P595" t="str">
        <f>IF(LEN(K595),MATCH(K595,'MPIO_SFIO Table'!$A$11:$A$65525,0)-1,"")</f>
        <v/>
      </c>
      <c r="Q595" t="str">
        <f>IF(LEN(L595),MATCH(L595,'MPIO_SFIO Table'!$A$11:$A$65525,0)-1,"")</f>
        <v/>
      </c>
      <c r="R595" t="str">
        <f ca="1">IF(ISNUMBER(M595),OFFSET('MPIO_SFIO Table'!$AJ$11,M595,0),"")</f>
        <v/>
      </c>
      <c r="S595" t="str">
        <f ca="1">IF(ISNUMBER(N595),OFFSET('MPIO_SFIO Table'!$AJ$11,N595,0),"")</f>
        <v/>
      </c>
      <c r="T595" t="str">
        <f ca="1">IF(ISNUMBER(O595),OFFSET('MPIO_SFIO Table'!$AJ$11,O595,0),"")</f>
        <v/>
      </c>
      <c r="U595" t="str">
        <f ca="1">IF(ISNUMBER(P595),OFFSET('MPIO_SFIO Table'!$AJ$11,P595,0),"")</f>
        <v/>
      </c>
      <c r="V595" t="str">
        <f ca="1">IF(ISNUMBER(Q595),OFFSET('MPIO_SFIO Table'!$AJ$11,Q595,0),"")</f>
        <v/>
      </c>
      <c r="W595">
        <f t="shared" ca="1" si="83"/>
        <v>0</v>
      </c>
      <c r="X595">
        <f t="shared" ca="1" si="84"/>
        <v>0</v>
      </c>
      <c r="Y595">
        <f t="shared" ca="1" si="85"/>
        <v>0</v>
      </c>
      <c r="Z595">
        <f t="shared" ca="1" si="86"/>
        <v>0</v>
      </c>
      <c r="AA595">
        <f t="shared" ca="1" si="87"/>
        <v>0</v>
      </c>
    </row>
    <row r="596" spans="1:27" x14ac:dyDescent="0.25">
      <c r="A596">
        <f t="shared" ca="1" si="80"/>
        <v>0</v>
      </c>
      <c r="B596" t="str">
        <f t="shared" ca="1" si="81"/>
        <v/>
      </c>
      <c r="C596" t="str">
        <f t="shared" si="82"/>
        <v>PMC</v>
      </c>
      <c r="D596" t="s">
        <v>253</v>
      </c>
      <c r="E596" t="s">
        <v>253</v>
      </c>
      <c r="F596" s="3" t="s">
        <v>2448</v>
      </c>
      <c r="G596" s="11" t="s">
        <v>652</v>
      </c>
      <c r="H596" s="11" t="s">
        <v>183</v>
      </c>
      <c r="I596" s="3" t="s">
        <v>253</v>
      </c>
      <c r="J596" s="3" t="s">
        <v>253</v>
      </c>
      <c r="K596" s="3" t="s">
        <v>253</v>
      </c>
      <c r="L596" s="3" t="s">
        <v>253</v>
      </c>
      <c r="M596">
        <f>IF(LEN(H596),MATCH(H596,'MPIO_SFIO Table'!$A$11:$A$65525,0)-1,"")</f>
        <v>188</v>
      </c>
      <c r="N596" t="str">
        <f>IF(LEN(I596),MATCH(I596,'MPIO_SFIO Table'!$A$11:$A$65525,0)-1,"")</f>
        <v/>
      </c>
      <c r="O596" t="str">
        <f>IF(LEN(J596),MATCH(J596,'MPIO_SFIO Table'!$A$11:$A$65525,0)-1,"")</f>
        <v/>
      </c>
      <c r="P596" t="str">
        <f>IF(LEN(K596),MATCH(K596,'MPIO_SFIO Table'!$A$11:$A$65525,0)-1,"")</f>
        <v/>
      </c>
      <c r="Q596" t="str">
        <f>IF(LEN(L596),MATCH(L596,'MPIO_SFIO Table'!$A$11:$A$65525,0)-1,"")</f>
        <v/>
      </c>
      <c r="R596" t="str">
        <f ca="1">IF(ISNUMBER(M596),OFFSET('MPIO_SFIO Table'!$AJ$11,M596,0),"")</f>
        <v>unused_CLK_32K_OUT</v>
      </c>
      <c r="S596" t="str">
        <f ca="1">IF(ISNUMBER(N596),OFFSET('MPIO_SFIO Table'!$AJ$11,N596,0),"")</f>
        <v/>
      </c>
      <c r="T596" t="str">
        <f ca="1">IF(ISNUMBER(O596),OFFSET('MPIO_SFIO Table'!$AJ$11,O596,0),"")</f>
        <v/>
      </c>
      <c r="U596" t="str">
        <f ca="1">IF(ISNUMBER(P596),OFFSET('MPIO_SFIO Table'!$AJ$11,P596,0),"")</f>
        <v/>
      </c>
      <c r="V596" t="str">
        <f ca="1">IF(ISNUMBER(Q596),OFFSET('MPIO_SFIO Table'!$AJ$11,Q596,0),"")</f>
        <v/>
      </c>
      <c r="W596">
        <f t="shared" ca="1" si="83"/>
        <v>0</v>
      </c>
      <c r="X596">
        <f t="shared" ca="1" si="84"/>
        <v>0</v>
      </c>
      <c r="Y596">
        <f t="shared" ca="1" si="85"/>
        <v>0</v>
      </c>
      <c r="Z596">
        <f t="shared" ca="1" si="86"/>
        <v>0</v>
      </c>
      <c r="AA596">
        <f t="shared" ca="1" si="87"/>
        <v>0</v>
      </c>
    </row>
    <row r="597" spans="1:27" x14ac:dyDescent="0.25">
      <c r="A597">
        <f t="shared" ca="1" si="80"/>
        <v>0</v>
      </c>
      <c r="B597" t="str">
        <f t="shared" ca="1" si="81"/>
        <v/>
      </c>
      <c r="C597" t="str">
        <f t="shared" si="82"/>
        <v>PMC</v>
      </c>
      <c r="D597" t="s">
        <v>253</v>
      </c>
      <c r="E597" t="s">
        <v>253</v>
      </c>
      <c r="F597" s="3" t="s">
        <v>212</v>
      </c>
      <c r="G597" s="11" t="s">
        <v>702</v>
      </c>
      <c r="H597" s="11" t="s">
        <v>212</v>
      </c>
      <c r="I597" s="3" t="s">
        <v>253</v>
      </c>
      <c r="J597" s="3" t="s">
        <v>253</v>
      </c>
      <c r="K597" s="3" t="s">
        <v>253</v>
      </c>
      <c r="L597" s="3" t="s">
        <v>253</v>
      </c>
      <c r="M597">
        <f>IF(LEN(H597),MATCH(H597,'MPIO_SFIO Table'!$A$11:$A$65525,0)-1,"")</f>
        <v>227</v>
      </c>
      <c r="N597" t="str">
        <f>IF(LEN(I597),MATCH(I597,'MPIO_SFIO Table'!$A$11:$A$65525,0)-1,"")</f>
        <v/>
      </c>
      <c r="O597" t="str">
        <f>IF(LEN(J597),MATCH(J597,'MPIO_SFIO Table'!$A$11:$A$65525,0)-1,"")</f>
        <v/>
      </c>
      <c r="P597" t="str">
        <f>IF(LEN(K597),MATCH(K597,'MPIO_SFIO Table'!$A$11:$A$65525,0)-1,"")</f>
        <v/>
      </c>
      <c r="Q597" t="str">
        <f>IF(LEN(L597),MATCH(L597,'MPIO_SFIO Table'!$A$11:$A$65525,0)-1,"")</f>
        <v/>
      </c>
      <c r="R597" t="str">
        <f ca="1">IF(ISNUMBER(M597),OFFSET('MPIO_SFIO Table'!$AJ$11,M597,0),"")</f>
        <v>unused_SYS_CLK_REQ</v>
      </c>
      <c r="S597" t="str">
        <f ca="1">IF(ISNUMBER(N597),OFFSET('MPIO_SFIO Table'!$AJ$11,N597,0),"")</f>
        <v/>
      </c>
      <c r="T597" t="str">
        <f ca="1">IF(ISNUMBER(O597),OFFSET('MPIO_SFIO Table'!$AJ$11,O597,0),"")</f>
        <v/>
      </c>
      <c r="U597" t="str">
        <f ca="1">IF(ISNUMBER(P597),OFFSET('MPIO_SFIO Table'!$AJ$11,P597,0),"")</f>
        <v/>
      </c>
      <c r="V597" t="str">
        <f ca="1">IF(ISNUMBER(Q597),OFFSET('MPIO_SFIO Table'!$AJ$11,Q597,0),"")</f>
        <v/>
      </c>
      <c r="W597">
        <f t="shared" ca="1" si="83"/>
        <v>0</v>
      </c>
      <c r="X597">
        <f t="shared" ca="1" si="84"/>
        <v>0</v>
      </c>
      <c r="Y597">
        <f t="shared" ca="1" si="85"/>
        <v>0</v>
      </c>
      <c r="Z597">
        <f t="shared" ca="1" si="86"/>
        <v>0</v>
      </c>
      <c r="AA597">
        <f t="shared" ca="1" si="87"/>
        <v>0</v>
      </c>
    </row>
    <row r="598" spans="1:27" x14ac:dyDescent="0.25">
      <c r="A598">
        <f t="shared" ca="1" si="80"/>
        <v>0</v>
      </c>
      <c r="B598" t="str">
        <f t="shared" ca="1" si="81"/>
        <v/>
      </c>
      <c r="C598" t="str">
        <f t="shared" si="82"/>
        <v/>
      </c>
      <c r="D598" t="s">
        <v>2502</v>
      </c>
      <c r="E598" t="s">
        <v>1046</v>
      </c>
      <c r="F598" s="3" t="s">
        <v>253</v>
      </c>
      <c r="G598" s="11" t="s">
        <v>253</v>
      </c>
      <c r="H598" s="11" t="s">
        <v>253</v>
      </c>
      <c r="I598" s="3" t="s">
        <v>253</v>
      </c>
      <c r="J598" s="3" t="s">
        <v>253</v>
      </c>
      <c r="K598" s="3" t="s">
        <v>253</v>
      </c>
      <c r="L598" s="3" t="s">
        <v>253</v>
      </c>
      <c r="M598" t="str">
        <f>IF(LEN(H598),MATCH(H598,'MPIO_SFIO Table'!$A$11:$A$65525,0)-1,"")</f>
        <v/>
      </c>
      <c r="N598" t="str">
        <f>IF(LEN(I598),MATCH(I598,'MPIO_SFIO Table'!$A$11:$A$65525,0)-1,"")</f>
        <v/>
      </c>
      <c r="O598" t="str">
        <f>IF(LEN(J598),MATCH(J598,'MPIO_SFIO Table'!$A$11:$A$65525,0)-1,"")</f>
        <v/>
      </c>
      <c r="P598" t="str">
        <f>IF(LEN(K598),MATCH(K598,'MPIO_SFIO Table'!$A$11:$A$65525,0)-1,"")</f>
        <v/>
      </c>
      <c r="Q598" t="str">
        <f>IF(LEN(L598),MATCH(L598,'MPIO_SFIO Table'!$A$11:$A$65525,0)-1,"")</f>
        <v/>
      </c>
      <c r="R598" t="str">
        <f ca="1">IF(ISNUMBER(M598),OFFSET('MPIO_SFIO Table'!$AJ$11,M598,0),"")</f>
        <v/>
      </c>
      <c r="S598" t="str">
        <f ca="1">IF(ISNUMBER(N598),OFFSET('MPIO_SFIO Table'!$AJ$11,N598,0),"")</f>
        <v/>
      </c>
      <c r="T598" t="str">
        <f ca="1">IF(ISNUMBER(O598),OFFSET('MPIO_SFIO Table'!$AJ$11,O598,0),"")</f>
        <v/>
      </c>
      <c r="U598" t="str">
        <f ca="1">IF(ISNUMBER(P598),OFFSET('MPIO_SFIO Table'!$AJ$11,P598,0),"")</f>
        <v/>
      </c>
      <c r="V598" t="str">
        <f ca="1">IF(ISNUMBER(Q598),OFFSET('MPIO_SFIO Table'!$AJ$11,Q598,0),"")</f>
        <v/>
      </c>
      <c r="W598">
        <f t="shared" ca="1" si="83"/>
        <v>0</v>
      </c>
      <c r="X598">
        <f t="shared" ca="1" si="84"/>
        <v>0</v>
      </c>
      <c r="Y598">
        <f t="shared" ca="1" si="85"/>
        <v>0</v>
      </c>
      <c r="Z598">
        <f t="shared" ca="1" si="86"/>
        <v>0</v>
      </c>
      <c r="AA598">
        <f t="shared" ca="1" si="87"/>
        <v>0</v>
      </c>
    </row>
    <row r="599" spans="1:27" x14ac:dyDescent="0.25">
      <c r="A599">
        <f t="shared" ca="1" si="80"/>
        <v>0</v>
      </c>
      <c r="B599" t="str">
        <f t="shared" ca="1" si="81"/>
        <v/>
      </c>
      <c r="C599" t="str">
        <f t="shared" si="82"/>
        <v>PWFM</v>
      </c>
      <c r="D599" t="s">
        <v>253</v>
      </c>
      <c r="E599" t="s">
        <v>253</v>
      </c>
      <c r="F599" s="3" t="s">
        <v>2890</v>
      </c>
      <c r="G599" s="11" t="s">
        <v>447</v>
      </c>
      <c r="H599" s="11" t="s">
        <v>79</v>
      </c>
      <c r="I599" s="3" t="s">
        <v>167</v>
      </c>
      <c r="J599" s="3" t="s">
        <v>169</v>
      </c>
      <c r="K599" s="3" t="s">
        <v>224</v>
      </c>
      <c r="L599" s="3" t="s">
        <v>233</v>
      </c>
      <c r="M599">
        <f>IF(LEN(H599),MATCH(H599,'MPIO_SFIO Table'!$A$11:$A$65525,0)-1,"")</f>
        <v>74</v>
      </c>
      <c r="N599">
        <f>IF(LEN(I599),MATCH(I599,'MPIO_SFIO Table'!$A$11:$A$65525,0)-1,"")</f>
        <v>168</v>
      </c>
      <c r="O599">
        <f>IF(LEN(J599),MATCH(J599,'MPIO_SFIO Table'!$A$11:$A$65525,0)-1,"")</f>
        <v>170</v>
      </c>
      <c r="P599">
        <f>IF(LEN(K599),MATCH(K599,'MPIO_SFIO Table'!$A$11:$A$65525,0)-1,"")</f>
        <v>242</v>
      </c>
      <c r="Q599">
        <f>IF(LEN(L599),MATCH(L599,'MPIO_SFIO Table'!$A$11:$A$65525,0)-1,"")</f>
        <v>251</v>
      </c>
      <c r="R599" t="str">
        <f ca="1">IF(ISNUMBER(M599),OFFSET('MPIO_SFIO Table'!$AJ$11,M599,0),"")</f>
        <v>unused_GMI_AD8</v>
      </c>
      <c r="S599" t="str">
        <f ca="1">IF(ISNUMBER(N599),OFFSET('MPIO_SFIO Table'!$AJ$11,N599,0),"")</f>
        <v>unused_SDMMC3_DAT3</v>
      </c>
      <c r="T599" t="str">
        <f ca="1">IF(ISNUMBER(O599),OFFSET('MPIO_SFIO Table'!$AJ$11,O599,0),"")</f>
        <v>unused_SDMMC3_DAT5</v>
      </c>
      <c r="U599" t="str">
        <f ca="1">IF(ISNUMBER(P599),OFFSET('MPIO_SFIO Table'!$AJ$11,P599,0),"")</f>
        <v>unused_GPIO_PU3</v>
      </c>
      <c r="V599" t="str">
        <f ca="1">IF(ISNUMBER(Q599),OFFSET('MPIO_SFIO Table'!$AJ$11,Q599,0),"")</f>
        <v>unused_UART3_RTS_N</v>
      </c>
      <c r="W599">
        <f t="shared" ca="1" si="83"/>
        <v>0</v>
      </c>
      <c r="X599">
        <f t="shared" ca="1" si="84"/>
        <v>0</v>
      </c>
      <c r="Y599">
        <f t="shared" ca="1" si="85"/>
        <v>0</v>
      </c>
      <c r="Z599">
        <f t="shared" ca="1" si="86"/>
        <v>0</v>
      </c>
      <c r="AA599">
        <f t="shared" ca="1" si="87"/>
        <v>0</v>
      </c>
    </row>
    <row r="600" spans="1:27" x14ac:dyDescent="0.25">
      <c r="A600">
        <f t="shared" ca="1" si="80"/>
        <v>0</v>
      </c>
      <c r="B600" t="str">
        <f t="shared" ca="1" si="81"/>
        <v/>
      </c>
      <c r="C600" t="str">
        <f t="shared" si="82"/>
        <v>PWFM</v>
      </c>
      <c r="D600" t="s">
        <v>253</v>
      </c>
      <c r="E600" t="s">
        <v>253</v>
      </c>
      <c r="F600" s="3" t="s">
        <v>2891</v>
      </c>
      <c r="G600" s="11" t="s">
        <v>450</v>
      </c>
      <c r="H600" s="11" t="s">
        <v>80</v>
      </c>
      <c r="I600" s="3" t="s">
        <v>166</v>
      </c>
      <c r="J600" s="3" t="s">
        <v>168</v>
      </c>
      <c r="K600" s="3" t="s">
        <v>225</v>
      </c>
      <c r="L600" s="3" t="s">
        <v>253</v>
      </c>
      <c r="M600">
        <f>IF(LEN(H600),MATCH(H600,'MPIO_SFIO Table'!$A$11:$A$65525,0)-1,"")</f>
        <v>75</v>
      </c>
      <c r="N600">
        <f>IF(LEN(I600),MATCH(I600,'MPIO_SFIO Table'!$A$11:$A$65525,0)-1,"")</f>
        <v>167</v>
      </c>
      <c r="O600">
        <f>IF(LEN(J600),MATCH(J600,'MPIO_SFIO Table'!$A$11:$A$65525,0)-1,"")</f>
        <v>169</v>
      </c>
      <c r="P600">
        <f>IF(LEN(K600),MATCH(K600,'MPIO_SFIO Table'!$A$11:$A$65525,0)-1,"")</f>
        <v>243</v>
      </c>
      <c r="Q600" t="str">
        <f>IF(LEN(L600),MATCH(L600,'MPIO_SFIO Table'!$A$11:$A$65525,0)-1,"")</f>
        <v/>
      </c>
      <c r="R600" t="str">
        <f ca="1">IF(ISNUMBER(M600),OFFSET('MPIO_SFIO Table'!$AJ$11,M600,0),"")</f>
        <v>unused_GMI_AD9</v>
      </c>
      <c r="S600" t="str">
        <f ca="1">IF(ISNUMBER(N600),OFFSET('MPIO_SFIO Table'!$AJ$11,N600,0),"")</f>
        <v>unused_SDMMC3_DAT2</v>
      </c>
      <c r="T600" t="str">
        <f ca="1">IF(ISNUMBER(O600),OFFSET('MPIO_SFIO Table'!$AJ$11,O600,0),"")</f>
        <v>unused_SDMMC3_DAT4</v>
      </c>
      <c r="U600" t="str">
        <f ca="1">IF(ISNUMBER(P600),OFFSET('MPIO_SFIO Table'!$AJ$11,P600,0),"")</f>
        <v>unused_GPIO_PU4</v>
      </c>
      <c r="V600" t="str">
        <f ca="1">IF(ISNUMBER(Q600),OFFSET('MPIO_SFIO Table'!$AJ$11,Q600,0),"")</f>
        <v/>
      </c>
      <c r="W600">
        <f t="shared" ca="1" si="83"/>
        <v>0</v>
      </c>
      <c r="X600">
        <f t="shared" ca="1" si="84"/>
        <v>0</v>
      </c>
      <c r="Y600">
        <f t="shared" ca="1" si="85"/>
        <v>0</v>
      </c>
      <c r="Z600">
        <f t="shared" ca="1" si="86"/>
        <v>0</v>
      </c>
      <c r="AA600">
        <f t="shared" ca="1" si="87"/>
        <v>0</v>
      </c>
    </row>
    <row r="601" spans="1:27" x14ac:dyDescent="0.25">
      <c r="A601">
        <f t="shared" ca="1" si="80"/>
        <v>0</v>
      </c>
      <c r="B601" t="str">
        <f t="shared" ca="1" si="81"/>
        <v/>
      </c>
      <c r="C601" t="str">
        <f t="shared" si="82"/>
        <v>PWFM</v>
      </c>
      <c r="D601" t="s">
        <v>253</v>
      </c>
      <c r="E601" t="s">
        <v>253</v>
      </c>
      <c r="F601" s="3" t="s">
        <v>2892</v>
      </c>
      <c r="G601" s="11" t="s">
        <v>420</v>
      </c>
      <c r="H601" s="11" t="s">
        <v>67</v>
      </c>
      <c r="I601" s="3" t="s">
        <v>162</v>
      </c>
      <c r="J601" s="3" t="s">
        <v>226</v>
      </c>
      <c r="K601" s="3" t="s">
        <v>253</v>
      </c>
      <c r="L601" s="3" t="s">
        <v>253</v>
      </c>
      <c r="M601">
        <f>IF(LEN(H601),MATCH(H601,'MPIO_SFIO Table'!$A$11:$A$65525,0)-1,"")</f>
        <v>62</v>
      </c>
      <c r="N601">
        <f>IF(LEN(I601),MATCH(I601,'MPIO_SFIO Table'!$A$11:$A$65525,0)-1,"")</f>
        <v>163</v>
      </c>
      <c r="O601">
        <f>IF(LEN(J601),MATCH(J601,'MPIO_SFIO Table'!$A$11:$A$65525,0)-1,"")</f>
        <v>244</v>
      </c>
      <c r="P601" t="str">
        <f>IF(LEN(K601),MATCH(K601,'MPIO_SFIO Table'!$A$11:$A$65525,0)-1,"")</f>
        <v/>
      </c>
      <c r="Q601" t="str">
        <f>IF(LEN(L601),MATCH(L601,'MPIO_SFIO Table'!$A$11:$A$65525,0)-1,"")</f>
        <v/>
      </c>
      <c r="R601" t="str">
        <f ca="1">IF(ISNUMBER(M601),OFFSET('MPIO_SFIO Table'!$AJ$11,M601,0),"")</f>
        <v>unused_GMI_AD10</v>
      </c>
      <c r="S601" t="str">
        <f ca="1">IF(ISNUMBER(N601),OFFSET('MPIO_SFIO Table'!$AJ$11,N601,0),"")</f>
        <v>unused_SDMMC3_CLK</v>
      </c>
      <c r="T601" t="str">
        <f ca="1">IF(ISNUMBER(O601),OFFSET('MPIO_SFIO Table'!$AJ$11,O601,0),"")</f>
        <v>unused_GPIO_PU5</v>
      </c>
      <c r="U601" t="str">
        <f ca="1">IF(ISNUMBER(P601),OFFSET('MPIO_SFIO Table'!$AJ$11,P601,0),"")</f>
        <v/>
      </c>
      <c r="V601" t="str">
        <f ca="1">IF(ISNUMBER(Q601),OFFSET('MPIO_SFIO Table'!$AJ$11,Q601,0),"")</f>
        <v/>
      </c>
      <c r="W601">
        <f t="shared" ca="1" si="83"/>
        <v>0</v>
      </c>
      <c r="X601">
        <f t="shared" ca="1" si="84"/>
        <v>0</v>
      </c>
      <c r="Y601">
        <f t="shared" ca="1" si="85"/>
        <v>0</v>
      </c>
      <c r="Z601">
        <f t="shared" ca="1" si="86"/>
        <v>0</v>
      </c>
      <c r="AA601">
        <f t="shared" ca="1" si="87"/>
        <v>0</v>
      </c>
    </row>
    <row r="602" spans="1:27" x14ac:dyDescent="0.25">
      <c r="A602">
        <f t="shared" ca="1" si="80"/>
        <v>0</v>
      </c>
      <c r="B602" t="str">
        <f t="shared" ca="1" si="81"/>
        <v/>
      </c>
      <c r="C602" t="str">
        <f t="shared" si="82"/>
        <v>PWFM</v>
      </c>
      <c r="D602" t="s">
        <v>253</v>
      </c>
      <c r="E602" t="s">
        <v>253</v>
      </c>
      <c r="F602" s="3" t="s">
        <v>2893</v>
      </c>
      <c r="G602" s="11" t="s">
        <v>424</v>
      </c>
      <c r="H602" s="11" t="s">
        <v>68</v>
      </c>
      <c r="I602" s="3" t="s">
        <v>163</v>
      </c>
      <c r="J602" s="3" t="s">
        <v>227</v>
      </c>
      <c r="K602" s="3" t="s">
        <v>253</v>
      </c>
      <c r="L602" s="3" t="s">
        <v>253</v>
      </c>
      <c r="M602">
        <f>IF(LEN(H602),MATCH(H602,'MPIO_SFIO Table'!$A$11:$A$65525,0)-1,"")</f>
        <v>63</v>
      </c>
      <c r="N602">
        <f>IF(LEN(I602),MATCH(I602,'MPIO_SFIO Table'!$A$11:$A$65525,0)-1,"")</f>
        <v>164</v>
      </c>
      <c r="O602">
        <f>IF(LEN(J602),MATCH(J602,'MPIO_SFIO Table'!$A$11:$A$65525,0)-1,"")</f>
        <v>245</v>
      </c>
      <c r="P602" t="str">
        <f>IF(LEN(K602),MATCH(K602,'MPIO_SFIO Table'!$A$11:$A$65525,0)-1,"")</f>
        <v/>
      </c>
      <c r="Q602" t="str">
        <f>IF(LEN(L602),MATCH(L602,'MPIO_SFIO Table'!$A$11:$A$65525,0)-1,"")</f>
        <v/>
      </c>
      <c r="R602" t="str">
        <f ca="1">IF(ISNUMBER(M602),OFFSET('MPIO_SFIO Table'!$AJ$11,M602,0),"")</f>
        <v>unused_GMI_AD11</v>
      </c>
      <c r="S602" t="str">
        <f ca="1">IF(ISNUMBER(N602),OFFSET('MPIO_SFIO Table'!$AJ$11,N602,0),"")</f>
        <v>unused_SDMMC3_CMD</v>
      </c>
      <c r="T602" t="str">
        <f ca="1">IF(ISNUMBER(O602),OFFSET('MPIO_SFIO Table'!$AJ$11,O602,0),"")</f>
        <v>unused_GPIO_PU6</v>
      </c>
      <c r="U602" t="str">
        <f ca="1">IF(ISNUMBER(P602),OFFSET('MPIO_SFIO Table'!$AJ$11,P602,0),"")</f>
        <v/>
      </c>
      <c r="V602" t="str">
        <f ca="1">IF(ISNUMBER(Q602),OFFSET('MPIO_SFIO Table'!$AJ$11,Q602,0),"")</f>
        <v/>
      </c>
      <c r="W602">
        <f t="shared" ca="1" si="83"/>
        <v>0</v>
      </c>
      <c r="X602">
        <f t="shared" ca="1" si="84"/>
        <v>0</v>
      </c>
      <c r="Y602">
        <f t="shared" ca="1" si="85"/>
        <v>0</v>
      </c>
      <c r="Z602">
        <f t="shared" ca="1" si="86"/>
        <v>0</v>
      </c>
      <c r="AA602">
        <f t="shared" ca="1" si="87"/>
        <v>0</v>
      </c>
    </row>
    <row r="603" spans="1:27" x14ac:dyDescent="0.25">
      <c r="A603">
        <f t="shared" ca="1" si="80"/>
        <v>0</v>
      </c>
      <c r="B603" t="str">
        <f t="shared" ca="1" si="81"/>
        <v/>
      </c>
      <c r="C603" t="str">
        <f t="shared" si="82"/>
        <v/>
      </c>
      <c r="D603" t="s">
        <v>1260</v>
      </c>
      <c r="E603" t="s">
        <v>1046</v>
      </c>
      <c r="F603" s="3" t="s">
        <v>253</v>
      </c>
      <c r="G603" s="11" t="s">
        <v>253</v>
      </c>
      <c r="H603" s="11" t="s">
        <v>253</v>
      </c>
      <c r="I603" s="3" t="s">
        <v>253</v>
      </c>
      <c r="J603" s="3" t="s">
        <v>253</v>
      </c>
      <c r="K603" s="3" t="s">
        <v>253</v>
      </c>
      <c r="L603" s="3" t="s">
        <v>253</v>
      </c>
      <c r="M603" t="str">
        <f>IF(LEN(H603),MATCH(H603,'MPIO_SFIO Table'!$A$11:$A$65525,0)-1,"")</f>
        <v/>
      </c>
      <c r="N603" t="str">
        <f>IF(LEN(I603),MATCH(I603,'MPIO_SFIO Table'!$A$11:$A$65525,0)-1,"")</f>
        <v/>
      </c>
      <c r="O603" t="str">
        <f>IF(LEN(J603),MATCH(J603,'MPIO_SFIO Table'!$A$11:$A$65525,0)-1,"")</f>
        <v/>
      </c>
      <c r="P603" t="str">
        <f>IF(LEN(K603),MATCH(K603,'MPIO_SFIO Table'!$A$11:$A$65525,0)-1,"")</f>
        <v/>
      </c>
      <c r="Q603" t="str">
        <f>IF(LEN(L603),MATCH(L603,'MPIO_SFIO Table'!$A$11:$A$65525,0)-1,"")</f>
        <v/>
      </c>
      <c r="R603" t="str">
        <f ca="1">IF(ISNUMBER(M603),OFFSET('MPIO_SFIO Table'!$AJ$11,M603,0),"")</f>
        <v/>
      </c>
      <c r="S603" t="str">
        <f ca="1">IF(ISNUMBER(N603),OFFSET('MPIO_SFIO Table'!$AJ$11,N603,0),"")</f>
        <v/>
      </c>
      <c r="T603" t="str">
        <f ca="1">IF(ISNUMBER(O603),OFFSET('MPIO_SFIO Table'!$AJ$11,O603,0),"")</f>
        <v/>
      </c>
      <c r="U603" t="str">
        <f ca="1">IF(ISNUMBER(P603),OFFSET('MPIO_SFIO Table'!$AJ$11,P603,0),"")</f>
        <v/>
      </c>
      <c r="V603" t="str">
        <f ca="1">IF(ISNUMBER(Q603),OFFSET('MPIO_SFIO Table'!$AJ$11,Q603,0),"")</f>
        <v/>
      </c>
      <c r="W603">
        <f t="shared" ca="1" si="83"/>
        <v>0</v>
      </c>
      <c r="X603">
        <f t="shared" ca="1" si="84"/>
        <v>0</v>
      </c>
      <c r="Y603">
        <f t="shared" ca="1" si="85"/>
        <v>0</v>
      </c>
      <c r="Z603">
        <f t="shared" ca="1" si="86"/>
        <v>0</v>
      </c>
      <c r="AA603">
        <f t="shared" ca="1" si="87"/>
        <v>0</v>
      </c>
    </row>
    <row r="604" spans="1:27" x14ac:dyDescent="0.25">
      <c r="A604">
        <f t="shared" ca="1" si="80"/>
        <v>0</v>
      </c>
      <c r="B604" t="str">
        <f t="shared" ca="1" si="81"/>
        <v/>
      </c>
      <c r="C604" t="str">
        <f t="shared" si="82"/>
        <v>SATA</v>
      </c>
      <c r="D604" t="s">
        <v>253</v>
      </c>
      <c r="E604" t="s">
        <v>253</v>
      </c>
      <c r="F604" s="3" t="s">
        <v>2894</v>
      </c>
      <c r="G604" s="11" t="s">
        <v>461</v>
      </c>
      <c r="H604" s="11" t="s">
        <v>88</v>
      </c>
      <c r="I604" s="3" t="s">
        <v>253</v>
      </c>
      <c r="J604" s="3" t="s">
        <v>253</v>
      </c>
      <c r="K604" s="3" t="s">
        <v>253</v>
      </c>
      <c r="L604" s="3" t="s">
        <v>253</v>
      </c>
      <c r="M604">
        <f>IF(LEN(H604),MATCH(H604,'MPIO_SFIO Table'!$A$11:$A$65525,0)-1,"")</f>
        <v>83</v>
      </c>
      <c r="N604" t="str">
        <f>IF(LEN(I604),MATCH(I604,'MPIO_SFIO Table'!$A$11:$A$65525,0)-1,"")</f>
        <v/>
      </c>
      <c r="O604" t="str">
        <f>IF(LEN(J604),MATCH(J604,'MPIO_SFIO Table'!$A$11:$A$65525,0)-1,"")</f>
        <v/>
      </c>
      <c r="P604" t="str">
        <f>IF(LEN(K604),MATCH(K604,'MPIO_SFIO Table'!$A$11:$A$65525,0)-1,"")</f>
        <v/>
      </c>
      <c r="Q604" t="str">
        <f>IF(LEN(L604),MATCH(L604,'MPIO_SFIO Table'!$A$11:$A$65525,0)-1,"")</f>
        <v/>
      </c>
      <c r="R604" t="str">
        <f ca="1">IF(ISNUMBER(M604),OFFSET('MPIO_SFIO Table'!$AJ$11,M604,0),"")</f>
        <v>unused_GMI_CS6_N</v>
      </c>
      <c r="S604" t="str">
        <f ca="1">IF(ISNUMBER(N604),OFFSET('MPIO_SFIO Table'!$AJ$11,N604,0),"")</f>
        <v/>
      </c>
      <c r="T604" t="str">
        <f ca="1">IF(ISNUMBER(O604),OFFSET('MPIO_SFIO Table'!$AJ$11,O604,0),"")</f>
        <v/>
      </c>
      <c r="U604" t="str">
        <f ca="1">IF(ISNUMBER(P604),OFFSET('MPIO_SFIO Table'!$AJ$11,P604,0),"")</f>
        <v/>
      </c>
      <c r="V604" t="str">
        <f ca="1">IF(ISNUMBER(Q604),OFFSET('MPIO_SFIO Table'!$AJ$11,Q604,0),"")</f>
        <v/>
      </c>
      <c r="W604">
        <f t="shared" ca="1" si="83"/>
        <v>0</v>
      </c>
      <c r="X604">
        <f t="shared" ca="1" si="84"/>
        <v>0</v>
      </c>
      <c r="Y604">
        <f t="shared" ca="1" si="85"/>
        <v>0</v>
      </c>
      <c r="Z604">
        <f t="shared" ca="1" si="86"/>
        <v>0</v>
      </c>
      <c r="AA604">
        <f t="shared" ca="1" si="87"/>
        <v>0</v>
      </c>
    </row>
    <row r="605" spans="1:27" x14ac:dyDescent="0.25">
      <c r="A605">
        <f t="shared" ca="1" si="80"/>
        <v>0</v>
      </c>
      <c r="B605" t="str">
        <f t="shared" ca="1" si="81"/>
        <v/>
      </c>
      <c r="C605" t="str">
        <f t="shared" si="82"/>
        <v/>
      </c>
      <c r="D605" t="s">
        <v>1236</v>
      </c>
      <c r="E605" t="s">
        <v>1046</v>
      </c>
      <c r="F605" s="3" t="s">
        <v>253</v>
      </c>
      <c r="G605" s="11" t="s">
        <v>253</v>
      </c>
      <c r="H605" s="11" t="s">
        <v>253</v>
      </c>
      <c r="I605" s="3" t="s">
        <v>253</v>
      </c>
      <c r="J605" s="3" t="s">
        <v>253</v>
      </c>
      <c r="K605" s="3" t="s">
        <v>253</v>
      </c>
      <c r="L605" s="3" t="s">
        <v>253</v>
      </c>
      <c r="M605" t="str">
        <f>IF(LEN(H605),MATCH(H605,'MPIO_SFIO Table'!$A$11:$A$65525,0)-1,"")</f>
        <v/>
      </c>
      <c r="N605" t="str">
        <f>IF(LEN(I605),MATCH(I605,'MPIO_SFIO Table'!$A$11:$A$65525,0)-1,"")</f>
        <v/>
      </c>
      <c r="O605" t="str">
        <f>IF(LEN(J605),MATCH(J605,'MPIO_SFIO Table'!$A$11:$A$65525,0)-1,"")</f>
        <v/>
      </c>
      <c r="P605" t="str">
        <f>IF(LEN(K605),MATCH(K605,'MPIO_SFIO Table'!$A$11:$A$65525,0)-1,"")</f>
        <v/>
      </c>
      <c r="Q605" t="str">
        <f>IF(LEN(L605),MATCH(L605,'MPIO_SFIO Table'!$A$11:$A$65525,0)-1,"")</f>
        <v/>
      </c>
      <c r="R605" t="str">
        <f ca="1">IF(ISNUMBER(M605),OFFSET('MPIO_SFIO Table'!$AJ$11,M605,0),"")</f>
        <v/>
      </c>
      <c r="S605" t="str">
        <f ca="1">IF(ISNUMBER(N605),OFFSET('MPIO_SFIO Table'!$AJ$11,N605,0),"")</f>
        <v/>
      </c>
      <c r="T605" t="str">
        <f ca="1">IF(ISNUMBER(O605),OFFSET('MPIO_SFIO Table'!$AJ$11,O605,0),"")</f>
        <v/>
      </c>
      <c r="U605" t="str">
        <f ca="1">IF(ISNUMBER(P605),OFFSET('MPIO_SFIO Table'!$AJ$11,P605,0),"")</f>
        <v/>
      </c>
      <c r="V605" t="str">
        <f ca="1">IF(ISNUMBER(Q605),OFFSET('MPIO_SFIO Table'!$AJ$11,Q605,0),"")</f>
        <v/>
      </c>
      <c r="W605">
        <f t="shared" ca="1" si="83"/>
        <v>0</v>
      </c>
      <c r="X605">
        <f t="shared" ca="1" si="84"/>
        <v>0</v>
      </c>
      <c r="Y605">
        <f t="shared" ca="1" si="85"/>
        <v>0</v>
      </c>
      <c r="Z605">
        <f t="shared" ca="1" si="86"/>
        <v>0</v>
      </c>
      <c r="AA605">
        <f t="shared" ca="1" si="87"/>
        <v>0</v>
      </c>
    </row>
    <row r="606" spans="1:27" x14ac:dyDescent="0.25">
      <c r="A606">
        <f t="shared" ca="1" si="80"/>
        <v>0</v>
      </c>
      <c r="B606" t="str">
        <f t="shared" ca="1" si="81"/>
        <v/>
      </c>
      <c r="C606" t="str">
        <f t="shared" si="82"/>
        <v>SDMMC1</v>
      </c>
      <c r="D606" t="s">
        <v>253</v>
      </c>
      <c r="E606" t="s">
        <v>253</v>
      </c>
      <c r="F606" s="3" t="s">
        <v>2895</v>
      </c>
      <c r="G606" s="11" t="s">
        <v>587</v>
      </c>
      <c r="H606" s="11" t="s">
        <v>157</v>
      </c>
      <c r="I606" s="3" t="s">
        <v>253</v>
      </c>
      <c r="J606" s="3" t="s">
        <v>253</v>
      </c>
      <c r="K606" s="3" t="s">
        <v>253</v>
      </c>
      <c r="L606" s="3" t="s">
        <v>253</v>
      </c>
      <c r="M606">
        <f>IF(LEN(H606),MATCH(H606,'MPIO_SFIO Table'!$A$11:$A$65525,0)-1,"")</f>
        <v>155</v>
      </c>
      <c r="N606" t="str">
        <f>IF(LEN(I606),MATCH(I606,'MPIO_SFIO Table'!$A$11:$A$65525,0)-1,"")</f>
        <v/>
      </c>
      <c r="O606" t="str">
        <f>IF(LEN(J606),MATCH(J606,'MPIO_SFIO Table'!$A$11:$A$65525,0)-1,"")</f>
        <v/>
      </c>
      <c r="P606" t="str">
        <f>IF(LEN(K606),MATCH(K606,'MPIO_SFIO Table'!$A$11:$A$65525,0)-1,"")</f>
        <v/>
      </c>
      <c r="Q606" t="str">
        <f>IF(LEN(L606),MATCH(L606,'MPIO_SFIO Table'!$A$11:$A$65525,0)-1,"")</f>
        <v/>
      </c>
      <c r="R606" t="str">
        <f ca="1">IF(ISNUMBER(M606),OFFSET('MPIO_SFIO Table'!$AJ$11,M606,0),"")</f>
        <v>unused_SDMMC1_CMD</v>
      </c>
      <c r="S606" t="str">
        <f ca="1">IF(ISNUMBER(N606),OFFSET('MPIO_SFIO Table'!$AJ$11,N606,0),"")</f>
        <v/>
      </c>
      <c r="T606" t="str">
        <f ca="1">IF(ISNUMBER(O606),OFFSET('MPIO_SFIO Table'!$AJ$11,O606,0),"")</f>
        <v/>
      </c>
      <c r="U606" t="str">
        <f ca="1">IF(ISNUMBER(P606),OFFSET('MPIO_SFIO Table'!$AJ$11,P606,0),"")</f>
        <v/>
      </c>
      <c r="V606" t="str">
        <f ca="1">IF(ISNUMBER(Q606),OFFSET('MPIO_SFIO Table'!$AJ$11,Q606,0),"")</f>
        <v/>
      </c>
      <c r="W606">
        <f t="shared" ca="1" si="83"/>
        <v>0</v>
      </c>
      <c r="X606">
        <f t="shared" ca="1" si="84"/>
        <v>0</v>
      </c>
      <c r="Y606">
        <f t="shared" ca="1" si="85"/>
        <v>0</v>
      </c>
      <c r="Z606">
        <f t="shared" ca="1" si="86"/>
        <v>0</v>
      </c>
      <c r="AA606">
        <f t="shared" ca="1" si="87"/>
        <v>0</v>
      </c>
    </row>
    <row r="607" spans="1:27" x14ac:dyDescent="0.25">
      <c r="A607">
        <f t="shared" ca="1" si="80"/>
        <v>0</v>
      </c>
      <c r="B607" t="str">
        <f t="shared" ca="1" si="81"/>
        <v/>
      </c>
      <c r="C607" t="str">
        <f t="shared" si="82"/>
        <v>SDMMC1</v>
      </c>
      <c r="D607" t="s">
        <v>253</v>
      </c>
      <c r="E607" t="s">
        <v>253</v>
      </c>
      <c r="F607" s="3" t="s">
        <v>2896</v>
      </c>
      <c r="G607" s="11" t="s">
        <v>588</v>
      </c>
      <c r="H607" s="11" t="s">
        <v>158</v>
      </c>
      <c r="I607" s="3" t="s">
        <v>253</v>
      </c>
      <c r="J607" s="3" t="s">
        <v>253</v>
      </c>
      <c r="K607" s="3" t="s">
        <v>253</v>
      </c>
      <c r="L607" s="3" t="s">
        <v>253</v>
      </c>
      <c r="M607">
        <f>IF(LEN(H607),MATCH(H607,'MPIO_SFIO Table'!$A$11:$A$65525,0)-1,"")</f>
        <v>156</v>
      </c>
      <c r="N607" t="str">
        <f>IF(LEN(I607),MATCH(I607,'MPIO_SFIO Table'!$A$11:$A$65525,0)-1,"")</f>
        <v/>
      </c>
      <c r="O607" t="str">
        <f>IF(LEN(J607),MATCH(J607,'MPIO_SFIO Table'!$A$11:$A$65525,0)-1,"")</f>
        <v/>
      </c>
      <c r="P607" t="str">
        <f>IF(LEN(K607),MATCH(K607,'MPIO_SFIO Table'!$A$11:$A$65525,0)-1,"")</f>
        <v/>
      </c>
      <c r="Q607" t="str">
        <f>IF(LEN(L607),MATCH(L607,'MPIO_SFIO Table'!$A$11:$A$65525,0)-1,"")</f>
        <v/>
      </c>
      <c r="R607" t="str">
        <f ca="1">IF(ISNUMBER(M607),OFFSET('MPIO_SFIO Table'!$AJ$11,M607,0),"")</f>
        <v>unused_SDMMC1_DAT0</v>
      </c>
      <c r="S607" t="str">
        <f ca="1">IF(ISNUMBER(N607),OFFSET('MPIO_SFIO Table'!$AJ$11,N607,0),"")</f>
        <v/>
      </c>
      <c r="T607" t="str">
        <f ca="1">IF(ISNUMBER(O607),OFFSET('MPIO_SFIO Table'!$AJ$11,O607,0),"")</f>
        <v/>
      </c>
      <c r="U607" t="str">
        <f ca="1">IF(ISNUMBER(P607),OFFSET('MPIO_SFIO Table'!$AJ$11,P607,0),"")</f>
        <v/>
      </c>
      <c r="V607" t="str">
        <f ca="1">IF(ISNUMBER(Q607),OFFSET('MPIO_SFIO Table'!$AJ$11,Q607,0),"")</f>
        <v/>
      </c>
      <c r="W607">
        <f t="shared" ca="1" si="83"/>
        <v>0</v>
      </c>
      <c r="X607">
        <f t="shared" ca="1" si="84"/>
        <v>0</v>
      </c>
      <c r="Y607">
        <f t="shared" ca="1" si="85"/>
        <v>0</v>
      </c>
      <c r="Z607">
        <f t="shared" ca="1" si="86"/>
        <v>0</v>
      </c>
      <c r="AA607">
        <f t="shared" ca="1" si="87"/>
        <v>0</v>
      </c>
    </row>
    <row r="608" spans="1:27" x14ac:dyDescent="0.25">
      <c r="A608">
        <f t="shared" ca="1" si="80"/>
        <v>0</v>
      </c>
      <c r="B608" t="str">
        <f t="shared" ca="1" si="81"/>
        <v/>
      </c>
      <c r="C608" t="str">
        <f t="shared" si="82"/>
        <v>SDMMC1</v>
      </c>
      <c r="D608" t="s">
        <v>253</v>
      </c>
      <c r="E608" t="s">
        <v>253</v>
      </c>
      <c r="F608" s="3" t="s">
        <v>2897</v>
      </c>
      <c r="G608" s="11" t="s">
        <v>589</v>
      </c>
      <c r="H608" s="11" t="s">
        <v>159</v>
      </c>
      <c r="I608" s="3" t="s">
        <v>253</v>
      </c>
      <c r="J608" s="3" t="s">
        <v>253</v>
      </c>
      <c r="K608" s="3" t="s">
        <v>253</v>
      </c>
      <c r="L608" s="3" t="s">
        <v>253</v>
      </c>
      <c r="M608">
        <f>IF(LEN(H608),MATCH(H608,'MPIO_SFIO Table'!$A$11:$A$65525,0)-1,"")</f>
        <v>157</v>
      </c>
      <c r="N608" t="str">
        <f>IF(LEN(I608),MATCH(I608,'MPIO_SFIO Table'!$A$11:$A$65525,0)-1,"")</f>
        <v/>
      </c>
      <c r="O608" t="str">
        <f>IF(LEN(J608),MATCH(J608,'MPIO_SFIO Table'!$A$11:$A$65525,0)-1,"")</f>
        <v/>
      </c>
      <c r="P608" t="str">
        <f>IF(LEN(K608),MATCH(K608,'MPIO_SFIO Table'!$A$11:$A$65525,0)-1,"")</f>
        <v/>
      </c>
      <c r="Q608" t="str">
        <f>IF(LEN(L608),MATCH(L608,'MPIO_SFIO Table'!$A$11:$A$65525,0)-1,"")</f>
        <v/>
      </c>
      <c r="R608" t="str">
        <f ca="1">IF(ISNUMBER(M608),OFFSET('MPIO_SFIO Table'!$AJ$11,M608,0),"")</f>
        <v>unused_SDMMC1_DAT1</v>
      </c>
      <c r="S608" t="str">
        <f ca="1">IF(ISNUMBER(N608),OFFSET('MPIO_SFIO Table'!$AJ$11,N608,0),"")</f>
        <v/>
      </c>
      <c r="T608" t="str">
        <f ca="1">IF(ISNUMBER(O608),OFFSET('MPIO_SFIO Table'!$AJ$11,O608,0),"")</f>
        <v/>
      </c>
      <c r="U608" t="str">
        <f ca="1">IF(ISNUMBER(P608),OFFSET('MPIO_SFIO Table'!$AJ$11,P608,0),"")</f>
        <v/>
      </c>
      <c r="V608" t="str">
        <f ca="1">IF(ISNUMBER(Q608),OFFSET('MPIO_SFIO Table'!$AJ$11,Q608,0),"")</f>
        <v/>
      </c>
      <c r="W608">
        <f t="shared" ca="1" si="83"/>
        <v>0</v>
      </c>
      <c r="X608">
        <f t="shared" ca="1" si="84"/>
        <v>0</v>
      </c>
      <c r="Y608">
        <f t="shared" ca="1" si="85"/>
        <v>0</v>
      </c>
      <c r="Z608">
        <f t="shared" ca="1" si="86"/>
        <v>0</v>
      </c>
      <c r="AA608">
        <f t="shared" ca="1" si="87"/>
        <v>0</v>
      </c>
    </row>
    <row r="609" spans="1:27" x14ac:dyDescent="0.25">
      <c r="A609">
        <f t="shared" ca="1" si="80"/>
        <v>0</v>
      </c>
      <c r="B609" t="str">
        <f t="shared" ca="1" si="81"/>
        <v/>
      </c>
      <c r="C609" t="str">
        <f t="shared" si="82"/>
        <v>SDMMC1</v>
      </c>
      <c r="D609" t="s">
        <v>253</v>
      </c>
      <c r="E609" t="s">
        <v>253</v>
      </c>
      <c r="F609" s="3" t="s">
        <v>2898</v>
      </c>
      <c r="G609" s="11" t="s">
        <v>590</v>
      </c>
      <c r="H609" s="11" t="s">
        <v>160</v>
      </c>
      <c r="I609" s="3" t="s">
        <v>253</v>
      </c>
      <c r="J609" s="3" t="s">
        <v>253</v>
      </c>
      <c r="K609" s="3" t="s">
        <v>253</v>
      </c>
      <c r="L609" s="3" t="s">
        <v>253</v>
      </c>
      <c r="M609">
        <f>IF(LEN(H609),MATCH(H609,'MPIO_SFIO Table'!$A$11:$A$65525,0)-1,"")</f>
        <v>158</v>
      </c>
      <c r="N609" t="str">
        <f>IF(LEN(I609),MATCH(I609,'MPIO_SFIO Table'!$A$11:$A$65525,0)-1,"")</f>
        <v/>
      </c>
      <c r="O609" t="str">
        <f>IF(LEN(J609),MATCH(J609,'MPIO_SFIO Table'!$A$11:$A$65525,0)-1,"")</f>
        <v/>
      </c>
      <c r="P609" t="str">
        <f>IF(LEN(K609),MATCH(K609,'MPIO_SFIO Table'!$A$11:$A$65525,0)-1,"")</f>
        <v/>
      </c>
      <c r="Q609" t="str">
        <f>IF(LEN(L609),MATCH(L609,'MPIO_SFIO Table'!$A$11:$A$65525,0)-1,"")</f>
        <v/>
      </c>
      <c r="R609" t="str">
        <f ca="1">IF(ISNUMBER(M609),OFFSET('MPIO_SFIO Table'!$AJ$11,M609,0),"")</f>
        <v>unused_SDMMC1_DAT2</v>
      </c>
      <c r="S609" t="str">
        <f ca="1">IF(ISNUMBER(N609),OFFSET('MPIO_SFIO Table'!$AJ$11,N609,0),"")</f>
        <v/>
      </c>
      <c r="T609" t="str">
        <f ca="1">IF(ISNUMBER(O609),OFFSET('MPIO_SFIO Table'!$AJ$11,O609,0),"")</f>
        <v/>
      </c>
      <c r="U609" t="str">
        <f ca="1">IF(ISNUMBER(P609),OFFSET('MPIO_SFIO Table'!$AJ$11,P609,0),"")</f>
        <v/>
      </c>
      <c r="V609" t="str">
        <f ca="1">IF(ISNUMBER(Q609),OFFSET('MPIO_SFIO Table'!$AJ$11,Q609,0),"")</f>
        <v/>
      </c>
      <c r="W609">
        <f t="shared" ca="1" si="83"/>
        <v>0</v>
      </c>
      <c r="X609">
        <f t="shared" ca="1" si="84"/>
        <v>0</v>
      </c>
      <c r="Y609">
        <f t="shared" ca="1" si="85"/>
        <v>0</v>
      </c>
      <c r="Z609">
        <f t="shared" ca="1" si="86"/>
        <v>0</v>
      </c>
      <c r="AA609">
        <f t="shared" ca="1" si="87"/>
        <v>0</v>
      </c>
    </row>
    <row r="610" spans="1:27" x14ac:dyDescent="0.25">
      <c r="A610">
        <f t="shared" ca="1" si="80"/>
        <v>0</v>
      </c>
      <c r="B610" t="str">
        <f t="shared" ca="1" si="81"/>
        <v/>
      </c>
      <c r="C610" t="str">
        <f t="shared" si="82"/>
        <v>SDMMC1</v>
      </c>
      <c r="D610" t="s">
        <v>253</v>
      </c>
      <c r="E610" t="s">
        <v>253</v>
      </c>
      <c r="F610" s="3" t="s">
        <v>2899</v>
      </c>
      <c r="G610" s="11" t="s">
        <v>592</v>
      </c>
      <c r="H610" s="11" t="s">
        <v>161</v>
      </c>
      <c r="I610" s="3" t="s">
        <v>253</v>
      </c>
      <c r="J610" s="3" t="s">
        <v>253</v>
      </c>
      <c r="K610" s="3" t="s">
        <v>253</v>
      </c>
      <c r="L610" s="3" t="s">
        <v>253</v>
      </c>
      <c r="M610">
        <f>IF(LEN(H610),MATCH(H610,'MPIO_SFIO Table'!$A$11:$A$65525,0)-1,"")</f>
        <v>159</v>
      </c>
      <c r="N610" t="str">
        <f>IF(LEN(I610),MATCH(I610,'MPIO_SFIO Table'!$A$11:$A$65525,0)-1,"")</f>
        <v/>
      </c>
      <c r="O610" t="str">
        <f>IF(LEN(J610),MATCH(J610,'MPIO_SFIO Table'!$A$11:$A$65525,0)-1,"")</f>
        <v/>
      </c>
      <c r="P610" t="str">
        <f>IF(LEN(K610),MATCH(K610,'MPIO_SFIO Table'!$A$11:$A$65525,0)-1,"")</f>
        <v/>
      </c>
      <c r="Q610" t="str">
        <f>IF(LEN(L610),MATCH(L610,'MPIO_SFIO Table'!$A$11:$A$65525,0)-1,"")</f>
        <v/>
      </c>
      <c r="R610" t="str">
        <f ca="1">IF(ISNUMBER(M610),OFFSET('MPIO_SFIO Table'!$AJ$11,M610,0),"")</f>
        <v>unused_SDMMC1_DAT3</v>
      </c>
      <c r="S610" t="str">
        <f ca="1">IF(ISNUMBER(N610),OFFSET('MPIO_SFIO Table'!$AJ$11,N610,0),"")</f>
        <v/>
      </c>
      <c r="T610" t="str">
        <f ca="1">IF(ISNUMBER(O610),OFFSET('MPIO_SFIO Table'!$AJ$11,O610,0),"")</f>
        <v/>
      </c>
      <c r="U610" t="str">
        <f ca="1">IF(ISNUMBER(P610),OFFSET('MPIO_SFIO Table'!$AJ$11,P610,0),"")</f>
        <v/>
      </c>
      <c r="V610" t="str">
        <f ca="1">IF(ISNUMBER(Q610),OFFSET('MPIO_SFIO Table'!$AJ$11,Q610,0),"")</f>
        <v/>
      </c>
      <c r="W610">
        <f t="shared" ca="1" si="83"/>
        <v>0</v>
      </c>
      <c r="X610">
        <f t="shared" ca="1" si="84"/>
        <v>0</v>
      </c>
      <c r="Y610">
        <f t="shared" ca="1" si="85"/>
        <v>0</v>
      </c>
      <c r="Z610">
        <f t="shared" ca="1" si="86"/>
        <v>0</v>
      </c>
      <c r="AA610">
        <f t="shared" ca="1" si="87"/>
        <v>0</v>
      </c>
    </row>
    <row r="611" spans="1:27" x14ac:dyDescent="0.25">
      <c r="A611">
        <f t="shared" ca="1" si="80"/>
        <v>0</v>
      </c>
      <c r="B611" t="str">
        <f t="shared" ca="1" si="81"/>
        <v/>
      </c>
      <c r="C611" t="str">
        <f t="shared" si="82"/>
        <v>SDMMC1</v>
      </c>
      <c r="D611" t="s">
        <v>253</v>
      </c>
      <c r="E611" t="s">
        <v>253</v>
      </c>
      <c r="F611" s="3" t="s">
        <v>2820</v>
      </c>
      <c r="G611" s="11" t="s">
        <v>584</v>
      </c>
      <c r="H611" s="11" t="s">
        <v>156</v>
      </c>
      <c r="I611" s="3" t="s">
        <v>253</v>
      </c>
      <c r="J611" s="3" t="s">
        <v>253</v>
      </c>
      <c r="K611" s="3" t="s">
        <v>253</v>
      </c>
      <c r="L611" s="3" t="s">
        <v>253</v>
      </c>
      <c r="M611">
        <f>IF(LEN(H611),MATCH(H611,'MPIO_SFIO Table'!$A$11:$A$65525,0)-1,"")</f>
        <v>154</v>
      </c>
      <c r="N611" t="str">
        <f>IF(LEN(I611),MATCH(I611,'MPIO_SFIO Table'!$A$11:$A$65525,0)-1,"")</f>
        <v/>
      </c>
      <c r="O611" t="str">
        <f>IF(LEN(J611),MATCH(J611,'MPIO_SFIO Table'!$A$11:$A$65525,0)-1,"")</f>
        <v/>
      </c>
      <c r="P611" t="str">
        <f>IF(LEN(K611),MATCH(K611,'MPIO_SFIO Table'!$A$11:$A$65525,0)-1,"")</f>
        <v/>
      </c>
      <c r="Q611" t="str">
        <f>IF(LEN(L611),MATCH(L611,'MPIO_SFIO Table'!$A$11:$A$65525,0)-1,"")</f>
        <v/>
      </c>
      <c r="R611" t="str">
        <f ca="1">IF(ISNUMBER(M611),OFFSET('MPIO_SFIO Table'!$AJ$11,M611,0),"")</f>
        <v>unused_SDMMC1_CLK</v>
      </c>
      <c r="S611" t="str">
        <f ca="1">IF(ISNUMBER(N611),OFFSET('MPIO_SFIO Table'!$AJ$11,N611,0),"")</f>
        <v/>
      </c>
      <c r="T611" t="str">
        <f ca="1">IF(ISNUMBER(O611),OFFSET('MPIO_SFIO Table'!$AJ$11,O611,0),"")</f>
        <v/>
      </c>
      <c r="U611" t="str">
        <f ca="1">IF(ISNUMBER(P611),OFFSET('MPIO_SFIO Table'!$AJ$11,P611,0),"")</f>
        <v/>
      </c>
      <c r="V611" t="str">
        <f ca="1">IF(ISNUMBER(Q611),OFFSET('MPIO_SFIO Table'!$AJ$11,Q611,0),"")</f>
        <v/>
      </c>
      <c r="W611">
        <f t="shared" ca="1" si="83"/>
        <v>0</v>
      </c>
      <c r="X611">
        <f t="shared" ca="1" si="84"/>
        <v>0</v>
      </c>
      <c r="Y611">
        <f t="shared" ca="1" si="85"/>
        <v>0</v>
      </c>
      <c r="Z611">
        <f t="shared" ca="1" si="86"/>
        <v>0</v>
      </c>
      <c r="AA611">
        <f t="shared" ca="1" si="87"/>
        <v>0</v>
      </c>
    </row>
    <row r="612" spans="1:27" x14ac:dyDescent="0.25">
      <c r="A612">
        <f t="shared" ca="1" si="80"/>
        <v>0</v>
      </c>
      <c r="B612" t="str">
        <f t="shared" ca="1" si="81"/>
        <v/>
      </c>
      <c r="C612" t="str">
        <f t="shared" si="82"/>
        <v/>
      </c>
      <c r="D612" t="s">
        <v>2503</v>
      </c>
      <c r="E612" t="s">
        <v>1026</v>
      </c>
      <c r="F612" s="3" t="s">
        <v>253</v>
      </c>
      <c r="G612" s="11" t="s">
        <v>253</v>
      </c>
      <c r="H612" s="11" t="s">
        <v>253</v>
      </c>
      <c r="I612" s="3" t="s">
        <v>253</v>
      </c>
      <c r="J612" s="3" t="s">
        <v>253</v>
      </c>
      <c r="K612" s="3" t="s">
        <v>253</v>
      </c>
      <c r="L612" s="3" t="s">
        <v>253</v>
      </c>
      <c r="M612" t="str">
        <f>IF(LEN(H612),MATCH(H612,'MPIO_SFIO Table'!$A$11:$A$65525,0)-1,"")</f>
        <v/>
      </c>
      <c r="N612" t="str">
        <f>IF(LEN(I612),MATCH(I612,'MPIO_SFIO Table'!$A$11:$A$65525,0)-1,"")</f>
        <v/>
      </c>
      <c r="O612" t="str">
        <f>IF(LEN(J612),MATCH(J612,'MPIO_SFIO Table'!$A$11:$A$65525,0)-1,"")</f>
        <v/>
      </c>
      <c r="P612" t="str">
        <f>IF(LEN(K612),MATCH(K612,'MPIO_SFIO Table'!$A$11:$A$65525,0)-1,"")</f>
        <v/>
      </c>
      <c r="Q612" t="str">
        <f>IF(LEN(L612),MATCH(L612,'MPIO_SFIO Table'!$A$11:$A$65525,0)-1,"")</f>
        <v/>
      </c>
      <c r="R612" t="str">
        <f ca="1">IF(ISNUMBER(M612),OFFSET('MPIO_SFIO Table'!$AJ$11,M612,0),"")</f>
        <v/>
      </c>
      <c r="S612" t="str">
        <f ca="1">IF(ISNUMBER(N612),OFFSET('MPIO_SFIO Table'!$AJ$11,N612,0),"")</f>
        <v/>
      </c>
      <c r="T612" t="str">
        <f ca="1">IF(ISNUMBER(O612),OFFSET('MPIO_SFIO Table'!$AJ$11,O612,0),"")</f>
        <v/>
      </c>
      <c r="U612" t="str">
        <f ca="1">IF(ISNUMBER(P612),OFFSET('MPIO_SFIO Table'!$AJ$11,P612,0),"")</f>
        <v/>
      </c>
      <c r="V612" t="str">
        <f ca="1">IF(ISNUMBER(Q612),OFFSET('MPIO_SFIO Table'!$AJ$11,Q612,0),"")</f>
        <v/>
      </c>
      <c r="W612">
        <f t="shared" ca="1" si="83"/>
        <v>0</v>
      </c>
      <c r="X612">
        <f t="shared" ca="1" si="84"/>
        <v>0</v>
      </c>
      <c r="Y612">
        <f t="shared" ca="1" si="85"/>
        <v>0</v>
      </c>
      <c r="Z612">
        <f t="shared" ca="1" si="86"/>
        <v>0</v>
      </c>
      <c r="AA612">
        <f t="shared" ca="1" si="87"/>
        <v>0</v>
      </c>
    </row>
    <row r="613" spans="1:27" x14ac:dyDescent="0.25">
      <c r="A613">
        <f t="shared" ca="1" si="80"/>
        <v>0</v>
      </c>
      <c r="B613" t="str">
        <f t="shared" ca="1" si="81"/>
        <v/>
      </c>
      <c r="C613" t="str">
        <f t="shared" si="82"/>
        <v>SDMMC2</v>
      </c>
      <c r="D613" t="s">
        <v>253</v>
      </c>
      <c r="E613" t="s">
        <v>253</v>
      </c>
      <c r="F613" s="3" t="s">
        <v>2895</v>
      </c>
      <c r="G613" s="11" t="s">
        <v>677</v>
      </c>
      <c r="H613" s="11" t="s">
        <v>196</v>
      </c>
      <c r="I613" s="3" t="s">
        <v>253</v>
      </c>
      <c r="J613" s="3" t="s">
        <v>253</v>
      </c>
      <c r="K613" s="3" t="s">
        <v>253</v>
      </c>
      <c r="L613" s="3" t="s">
        <v>253</v>
      </c>
      <c r="M613">
        <f>IF(LEN(H613),MATCH(H613,'MPIO_SFIO Table'!$A$11:$A$65525,0)-1,"")</f>
        <v>210</v>
      </c>
      <c r="N613" t="str">
        <f>IF(LEN(I613),MATCH(I613,'MPIO_SFIO Table'!$A$11:$A$65525,0)-1,"")</f>
        <v/>
      </c>
      <c r="O613" t="str">
        <f>IF(LEN(J613),MATCH(J613,'MPIO_SFIO Table'!$A$11:$A$65525,0)-1,"")</f>
        <v/>
      </c>
      <c r="P613" t="str">
        <f>IF(LEN(K613),MATCH(K613,'MPIO_SFIO Table'!$A$11:$A$65525,0)-1,"")</f>
        <v/>
      </c>
      <c r="Q613" t="str">
        <f>IF(LEN(L613),MATCH(L613,'MPIO_SFIO Table'!$A$11:$A$65525,0)-1,"")</f>
        <v/>
      </c>
      <c r="R613" t="str">
        <f ca="1">IF(ISNUMBER(M613),OFFSET('MPIO_SFIO Table'!$AJ$11,M613,0),"")</f>
        <v>unused_KB_ROW11</v>
      </c>
      <c r="S613" t="str">
        <f ca="1">IF(ISNUMBER(N613),OFFSET('MPIO_SFIO Table'!$AJ$11,N613,0),"")</f>
        <v/>
      </c>
      <c r="T613" t="str">
        <f ca="1">IF(ISNUMBER(O613),OFFSET('MPIO_SFIO Table'!$AJ$11,O613,0),"")</f>
        <v/>
      </c>
      <c r="U613" t="str">
        <f ca="1">IF(ISNUMBER(P613),OFFSET('MPIO_SFIO Table'!$AJ$11,P613,0),"")</f>
        <v/>
      </c>
      <c r="V613" t="str">
        <f ca="1">IF(ISNUMBER(Q613),OFFSET('MPIO_SFIO Table'!$AJ$11,Q613,0),"")</f>
        <v/>
      </c>
      <c r="W613">
        <f t="shared" ca="1" si="83"/>
        <v>0</v>
      </c>
      <c r="X613">
        <f t="shared" ca="1" si="84"/>
        <v>0</v>
      </c>
      <c r="Y613">
        <f t="shared" ca="1" si="85"/>
        <v>0</v>
      </c>
      <c r="Z613">
        <f t="shared" ca="1" si="86"/>
        <v>0</v>
      </c>
      <c r="AA613">
        <f t="shared" ca="1" si="87"/>
        <v>0</v>
      </c>
    </row>
    <row r="614" spans="1:27" x14ac:dyDescent="0.25">
      <c r="A614">
        <f t="shared" ca="1" si="80"/>
        <v>0</v>
      </c>
      <c r="B614" t="str">
        <f t="shared" ca="1" si="81"/>
        <v/>
      </c>
      <c r="C614" t="str">
        <f t="shared" si="82"/>
        <v>SDMMC2</v>
      </c>
      <c r="D614" t="s">
        <v>253</v>
      </c>
      <c r="E614" t="s">
        <v>253</v>
      </c>
      <c r="F614" s="3" t="s">
        <v>2896</v>
      </c>
      <c r="G614" s="11" t="s">
        <v>679</v>
      </c>
      <c r="H614" s="11" t="s">
        <v>197</v>
      </c>
      <c r="I614" s="3" t="s">
        <v>253</v>
      </c>
      <c r="J614" s="3" t="s">
        <v>253</v>
      </c>
      <c r="K614" s="3" t="s">
        <v>253</v>
      </c>
      <c r="L614" s="3" t="s">
        <v>253</v>
      </c>
      <c r="M614">
        <f>IF(LEN(H614),MATCH(H614,'MPIO_SFIO Table'!$A$11:$A$65525,0)-1,"")</f>
        <v>211</v>
      </c>
      <c r="N614" t="str">
        <f>IF(LEN(I614),MATCH(I614,'MPIO_SFIO Table'!$A$11:$A$65525,0)-1,"")</f>
        <v/>
      </c>
      <c r="O614" t="str">
        <f>IF(LEN(J614),MATCH(J614,'MPIO_SFIO Table'!$A$11:$A$65525,0)-1,"")</f>
        <v/>
      </c>
      <c r="P614" t="str">
        <f>IF(LEN(K614),MATCH(K614,'MPIO_SFIO Table'!$A$11:$A$65525,0)-1,"")</f>
        <v/>
      </c>
      <c r="Q614" t="str">
        <f>IF(LEN(L614),MATCH(L614,'MPIO_SFIO Table'!$A$11:$A$65525,0)-1,"")</f>
        <v/>
      </c>
      <c r="R614" t="str">
        <f ca="1">IF(ISNUMBER(M614),OFFSET('MPIO_SFIO Table'!$AJ$11,M614,0),"")</f>
        <v>unused_KB_ROW12</v>
      </c>
      <c r="S614" t="str">
        <f ca="1">IF(ISNUMBER(N614),OFFSET('MPIO_SFIO Table'!$AJ$11,N614,0),"")</f>
        <v/>
      </c>
      <c r="T614" t="str">
        <f ca="1">IF(ISNUMBER(O614),OFFSET('MPIO_SFIO Table'!$AJ$11,O614,0),"")</f>
        <v/>
      </c>
      <c r="U614" t="str">
        <f ca="1">IF(ISNUMBER(P614),OFFSET('MPIO_SFIO Table'!$AJ$11,P614,0),"")</f>
        <v/>
      </c>
      <c r="V614" t="str">
        <f ca="1">IF(ISNUMBER(Q614),OFFSET('MPIO_SFIO Table'!$AJ$11,Q614,0),"")</f>
        <v/>
      </c>
      <c r="W614">
        <f t="shared" ca="1" si="83"/>
        <v>0</v>
      </c>
      <c r="X614">
        <f t="shared" ca="1" si="84"/>
        <v>0</v>
      </c>
      <c r="Y614">
        <f t="shared" ca="1" si="85"/>
        <v>0</v>
      </c>
      <c r="Z614">
        <f t="shared" ca="1" si="86"/>
        <v>0</v>
      </c>
      <c r="AA614">
        <f t="shared" ca="1" si="87"/>
        <v>0</v>
      </c>
    </row>
    <row r="615" spans="1:27" x14ac:dyDescent="0.25">
      <c r="A615">
        <f t="shared" ca="1" si="80"/>
        <v>0</v>
      </c>
      <c r="B615" t="str">
        <f t="shared" ca="1" si="81"/>
        <v/>
      </c>
      <c r="C615" t="str">
        <f t="shared" si="82"/>
        <v>SDMMC2</v>
      </c>
      <c r="D615" t="s">
        <v>253</v>
      </c>
      <c r="E615" t="s">
        <v>253</v>
      </c>
      <c r="F615" s="3" t="s">
        <v>2897</v>
      </c>
      <c r="G615" s="11" t="s">
        <v>681</v>
      </c>
      <c r="H615" s="11" t="s">
        <v>198</v>
      </c>
      <c r="I615" s="3" t="s">
        <v>253</v>
      </c>
      <c r="J615" s="3" t="s">
        <v>253</v>
      </c>
      <c r="K615" s="3" t="s">
        <v>253</v>
      </c>
      <c r="L615" s="3" t="s">
        <v>253</v>
      </c>
      <c r="M615">
        <f>IF(LEN(H615),MATCH(H615,'MPIO_SFIO Table'!$A$11:$A$65525,0)-1,"")</f>
        <v>212</v>
      </c>
      <c r="N615" t="str">
        <f>IF(LEN(I615),MATCH(I615,'MPIO_SFIO Table'!$A$11:$A$65525,0)-1,"")</f>
        <v/>
      </c>
      <c r="O615" t="str">
        <f>IF(LEN(J615),MATCH(J615,'MPIO_SFIO Table'!$A$11:$A$65525,0)-1,"")</f>
        <v/>
      </c>
      <c r="P615" t="str">
        <f>IF(LEN(K615),MATCH(K615,'MPIO_SFIO Table'!$A$11:$A$65525,0)-1,"")</f>
        <v/>
      </c>
      <c r="Q615" t="str">
        <f>IF(LEN(L615),MATCH(L615,'MPIO_SFIO Table'!$A$11:$A$65525,0)-1,"")</f>
        <v/>
      </c>
      <c r="R615" t="str">
        <f ca="1">IF(ISNUMBER(M615),OFFSET('MPIO_SFIO Table'!$AJ$11,M615,0),"")</f>
        <v>unused_KB_ROW13</v>
      </c>
      <c r="S615" t="str">
        <f ca="1">IF(ISNUMBER(N615),OFFSET('MPIO_SFIO Table'!$AJ$11,N615,0),"")</f>
        <v/>
      </c>
      <c r="T615" t="str">
        <f ca="1">IF(ISNUMBER(O615),OFFSET('MPIO_SFIO Table'!$AJ$11,O615,0),"")</f>
        <v/>
      </c>
      <c r="U615" t="str">
        <f ca="1">IF(ISNUMBER(P615),OFFSET('MPIO_SFIO Table'!$AJ$11,P615,0),"")</f>
        <v/>
      </c>
      <c r="V615" t="str">
        <f ca="1">IF(ISNUMBER(Q615),OFFSET('MPIO_SFIO Table'!$AJ$11,Q615,0),"")</f>
        <v/>
      </c>
      <c r="W615">
        <f t="shared" ca="1" si="83"/>
        <v>0</v>
      </c>
      <c r="X615">
        <f t="shared" ca="1" si="84"/>
        <v>0</v>
      </c>
      <c r="Y615">
        <f t="shared" ca="1" si="85"/>
        <v>0</v>
      </c>
      <c r="Z615">
        <f t="shared" ca="1" si="86"/>
        <v>0</v>
      </c>
      <c r="AA615">
        <f t="shared" ca="1" si="87"/>
        <v>0</v>
      </c>
    </row>
    <row r="616" spans="1:27" x14ac:dyDescent="0.25">
      <c r="A616">
        <f t="shared" ca="1" si="80"/>
        <v>0</v>
      </c>
      <c r="B616" t="str">
        <f t="shared" ca="1" si="81"/>
        <v/>
      </c>
      <c r="C616" t="str">
        <f t="shared" si="82"/>
        <v>SDMMC2</v>
      </c>
      <c r="D616" t="s">
        <v>253</v>
      </c>
      <c r="E616" t="s">
        <v>253</v>
      </c>
      <c r="F616" s="3" t="s">
        <v>2898</v>
      </c>
      <c r="G616" s="11" t="s">
        <v>683</v>
      </c>
      <c r="H616" s="11" t="s">
        <v>199</v>
      </c>
      <c r="I616" s="3" t="s">
        <v>253</v>
      </c>
      <c r="J616" s="3" t="s">
        <v>253</v>
      </c>
      <c r="K616" s="3" t="s">
        <v>253</v>
      </c>
      <c r="L616" s="3" t="s">
        <v>253</v>
      </c>
      <c r="M616">
        <f>IF(LEN(H616),MATCH(H616,'MPIO_SFIO Table'!$A$11:$A$65525,0)-1,"")</f>
        <v>213</v>
      </c>
      <c r="N616" t="str">
        <f>IF(LEN(I616),MATCH(I616,'MPIO_SFIO Table'!$A$11:$A$65525,0)-1,"")</f>
        <v/>
      </c>
      <c r="O616" t="str">
        <f>IF(LEN(J616),MATCH(J616,'MPIO_SFIO Table'!$A$11:$A$65525,0)-1,"")</f>
        <v/>
      </c>
      <c r="P616" t="str">
        <f>IF(LEN(K616),MATCH(K616,'MPIO_SFIO Table'!$A$11:$A$65525,0)-1,"")</f>
        <v/>
      </c>
      <c r="Q616" t="str">
        <f>IF(LEN(L616),MATCH(L616,'MPIO_SFIO Table'!$A$11:$A$65525,0)-1,"")</f>
        <v/>
      </c>
      <c r="R616" t="str">
        <f ca="1">IF(ISNUMBER(M616),OFFSET('MPIO_SFIO Table'!$AJ$11,M616,0),"")</f>
        <v>unused_KB_ROW14</v>
      </c>
      <c r="S616" t="str">
        <f ca="1">IF(ISNUMBER(N616),OFFSET('MPIO_SFIO Table'!$AJ$11,N616,0),"")</f>
        <v/>
      </c>
      <c r="T616" t="str">
        <f ca="1">IF(ISNUMBER(O616),OFFSET('MPIO_SFIO Table'!$AJ$11,O616,0),"")</f>
        <v/>
      </c>
      <c r="U616" t="str">
        <f ca="1">IF(ISNUMBER(P616),OFFSET('MPIO_SFIO Table'!$AJ$11,P616,0),"")</f>
        <v/>
      </c>
      <c r="V616" t="str">
        <f ca="1">IF(ISNUMBER(Q616),OFFSET('MPIO_SFIO Table'!$AJ$11,Q616,0),"")</f>
        <v/>
      </c>
      <c r="W616">
        <f t="shared" ca="1" si="83"/>
        <v>0</v>
      </c>
      <c r="X616">
        <f t="shared" ca="1" si="84"/>
        <v>0</v>
      </c>
      <c r="Y616">
        <f t="shared" ca="1" si="85"/>
        <v>0</v>
      </c>
      <c r="Z616">
        <f t="shared" ca="1" si="86"/>
        <v>0</v>
      </c>
      <c r="AA616">
        <f t="shared" ca="1" si="87"/>
        <v>0</v>
      </c>
    </row>
    <row r="617" spans="1:27" x14ac:dyDescent="0.25">
      <c r="A617">
        <f t="shared" ca="1" si="80"/>
        <v>0</v>
      </c>
      <c r="B617" t="str">
        <f t="shared" ca="1" si="81"/>
        <v/>
      </c>
      <c r="C617" t="str">
        <f t="shared" si="82"/>
        <v>SDMMC2</v>
      </c>
      <c r="D617" t="s">
        <v>253</v>
      </c>
      <c r="E617" t="s">
        <v>253</v>
      </c>
      <c r="F617" s="3" t="s">
        <v>2899</v>
      </c>
      <c r="G617" s="11" t="s">
        <v>685</v>
      </c>
      <c r="H617" s="11" t="s">
        <v>200</v>
      </c>
      <c r="I617" s="3" t="s">
        <v>253</v>
      </c>
      <c r="J617" s="3" t="s">
        <v>253</v>
      </c>
      <c r="K617" s="3" t="s">
        <v>253</v>
      </c>
      <c r="L617" s="3" t="s">
        <v>253</v>
      </c>
      <c r="M617">
        <f>IF(LEN(H617),MATCH(H617,'MPIO_SFIO Table'!$A$11:$A$65525,0)-1,"")</f>
        <v>214</v>
      </c>
      <c r="N617" t="str">
        <f>IF(LEN(I617),MATCH(I617,'MPIO_SFIO Table'!$A$11:$A$65525,0)-1,"")</f>
        <v/>
      </c>
      <c r="O617" t="str">
        <f>IF(LEN(J617),MATCH(J617,'MPIO_SFIO Table'!$A$11:$A$65525,0)-1,"")</f>
        <v/>
      </c>
      <c r="P617" t="str">
        <f>IF(LEN(K617),MATCH(K617,'MPIO_SFIO Table'!$A$11:$A$65525,0)-1,"")</f>
        <v/>
      </c>
      <c r="Q617" t="str">
        <f>IF(LEN(L617),MATCH(L617,'MPIO_SFIO Table'!$A$11:$A$65525,0)-1,"")</f>
        <v/>
      </c>
      <c r="R617" t="str">
        <f ca="1">IF(ISNUMBER(M617),OFFSET('MPIO_SFIO Table'!$AJ$11,M617,0),"")</f>
        <v>unused_KB_ROW15</v>
      </c>
      <c r="S617" t="str">
        <f ca="1">IF(ISNUMBER(N617),OFFSET('MPIO_SFIO Table'!$AJ$11,N617,0),"")</f>
        <v/>
      </c>
      <c r="T617" t="str">
        <f ca="1">IF(ISNUMBER(O617),OFFSET('MPIO_SFIO Table'!$AJ$11,O617,0),"")</f>
        <v/>
      </c>
      <c r="U617" t="str">
        <f ca="1">IF(ISNUMBER(P617),OFFSET('MPIO_SFIO Table'!$AJ$11,P617,0),"")</f>
        <v/>
      </c>
      <c r="V617" t="str">
        <f ca="1">IF(ISNUMBER(Q617),OFFSET('MPIO_SFIO Table'!$AJ$11,Q617,0),"")</f>
        <v/>
      </c>
      <c r="W617">
        <f t="shared" ca="1" si="83"/>
        <v>0</v>
      </c>
      <c r="X617">
        <f t="shared" ca="1" si="84"/>
        <v>0</v>
      </c>
      <c r="Y617">
        <f t="shared" ca="1" si="85"/>
        <v>0</v>
      </c>
      <c r="Z617">
        <f t="shared" ca="1" si="86"/>
        <v>0</v>
      </c>
      <c r="AA617">
        <f t="shared" ca="1" si="87"/>
        <v>0</v>
      </c>
    </row>
    <row r="618" spans="1:27" x14ac:dyDescent="0.25">
      <c r="A618">
        <f t="shared" ca="1" si="80"/>
        <v>0</v>
      </c>
      <c r="B618" t="str">
        <f t="shared" ca="1" si="81"/>
        <v/>
      </c>
      <c r="C618" t="str">
        <f t="shared" si="82"/>
        <v>SDMMC2</v>
      </c>
      <c r="D618" t="s">
        <v>253</v>
      </c>
      <c r="E618" t="s">
        <v>253</v>
      </c>
      <c r="F618" s="3" t="s">
        <v>2900</v>
      </c>
      <c r="G618" s="11" t="s">
        <v>693</v>
      </c>
      <c r="H618" s="11" t="s">
        <v>205</v>
      </c>
      <c r="I618" s="3" t="s">
        <v>253</v>
      </c>
      <c r="J618" s="3" t="s">
        <v>253</v>
      </c>
      <c r="K618" s="3" t="s">
        <v>253</v>
      </c>
      <c r="L618" s="3" t="s">
        <v>253</v>
      </c>
      <c r="M618">
        <f>IF(LEN(H618),MATCH(H618,'MPIO_SFIO Table'!$A$11:$A$65525,0)-1,"")</f>
        <v>219</v>
      </c>
      <c r="N618" t="str">
        <f>IF(LEN(I618),MATCH(I618,'MPIO_SFIO Table'!$A$11:$A$65525,0)-1,"")</f>
        <v/>
      </c>
      <c r="O618" t="str">
        <f>IF(LEN(J618),MATCH(J618,'MPIO_SFIO Table'!$A$11:$A$65525,0)-1,"")</f>
        <v/>
      </c>
      <c r="P618" t="str">
        <f>IF(LEN(K618),MATCH(K618,'MPIO_SFIO Table'!$A$11:$A$65525,0)-1,"")</f>
        <v/>
      </c>
      <c r="Q618" t="str">
        <f>IF(LEN(L618),MATCH(L618,'MPIO_SFIO Table'!$A$11:$A$65525,0)-1,"")</f>
        <v/>
      </c>
      <c r="R618" t="str">
        <f ca="1">IF(ISNUMBER(M618),OFFSET('MPIO_SFIO Table'!$AJ$11,M618,0),"")</f>
        <v>unused_KB_ROW6</v>
      </c>
      <c r="S618" t="str">
        <f ca="1">IF(ISNUMBER(N618),OFFSET('MPIO_SFIO Table'!$AJ$11,N618,0),"")</f>
        <v/>
      </c>
      <c r="T618" t="str">
        <f ca="1">IF(ISNUMBER(O618),OFFSET('MPIO_SFIO Table'!$AJ$11,O618,0),"")</f>
        <v/>
      </c>
      <c r="U618" t="str">
        <f ca="1">IF(ISNUMBER(P618),OFFSET('MPIO_SFIO Table'!$AJ$11,P618,0),"")</f>
        <v/>
      </c>
      <c r="V618" t="str">
        <f ca="1">IF(ISNUMBER(Q618),OFFSET('MPIO_SFIO Table'!$AJ$11,Q618,0),"")</f>
        <v/>
      </c>
      <c r="W618">
        <f t="shared" ca="1" si="83"/>
        <v>0</v>
      </c>
      <c r="X618">
        <f t="shared" ca="1" si="84"/>
        <v>0</v>
      </c>
      <c r="Y618">
        <f t="shared" ca="1" si="85"/>
        <v>0</v>
      </c>
      <c r="Z618">
        <f t="shared" ca="1" si="86"/>
        <v>0</v>
      </c>
      <c r="AA618">
        <f t="shared" ca="1" si="87"/>
        <v>0</v>
      </c>
    </row>
    <row r="619" spans="1:27" x14ac:dyDescent="0.25">
      <c r="A619">
        <f t="shared" ca="1" si="80"/>
        <v>0</v>
      </c>
      <c r="B619" t="str">
        <f t="shared" ca="1" si="81"/>
        <v/>
      </c>
      <c r="C619" t="str">
        <f t="shared" si="82"/>
        <v>SDMMC2</v>
      </c>
      <c r="D619" t="s">
        <v>253</v>
      </c>
      <c r="E619" t="s">
        <v>253</v>
      </c>
      <c r="F619" s="3" t="s">
        <v>2901</v>
      </c>
      <c r="G619" s="11" t="s">
        <v>695</v>
      </c>
      <c r="H619" s="11" t="s">
        <v>206</v>
      </c>
      <c r="I619" s="3" t="s">
        <v>253</v>
      </c>
      <c r="J619" s="3" t="s">
        <v>253</v>
      </c>
      <c r="K619" s="3" t="s">
        <v>253</v>
      </c>
      <c r="L619" s="3" t="s">
        <v>253</v>
      </c>
      <c r="M619">
        <f>IF(LEN(H619),MATCH(H619,'MPIO_SFIO Table'!$A$11:$A$65525,0)-1,"")</f>
        <v>220</v>
      </c>
      <c r="N619" t="str">
        <f>IF(LEN(I619),MATCH(I619,'MPIO_SFIO Table'!$A$11:$A$65525,0)-1,"")</f>
        <v/>
      </c>
      <c r="O619" t="str">
        <f>IF(LEN(J619),MATCH(J619,'MPIO_SFIO Table'!$A$11:$A$65525,0)-1,"")</f>
        <v/>
      </c>
      <c r="P619" t="str">
        <f>IF(LEN(K619),MATCH(K619,'MPIO_SFIO Table'!$A$11:$A$65525,0)-1,"")</f>
        <v/>
      </c>
      <c r="Q619" t="str">
        <f>IF(LEN(L619),MATCH(L619,'MPIO_SFIO Table'!$A$11:$A$65525,0)-1,"")</f>
        <v/>
      </c>
      <c r="R619" t="str">
        <f ca="1">IF(ISNUMBER(M619),OFFSET('MPIO_SFIO Table'!$AJ$11,M619,0),"")</f>
        <v>unused_KB_ROW7</v>
      </c>
      <c r="S619" t="str">
        <f ca="1">IF(ISNUMBER(N619),OFFSET('MPIO_SFIO Table'!$AJ$11,N619,0),"")</f>
        <v/>
      </c>
      <c r="T619" t="str">
        <f ca="1">IF(ISNUMBER(O619),OFFSET('MPIO_SFIO Table'!$AJ$11,O619,0),"")</f>
        <v/>
      </c>
      <c r="U619" t="str">
        <f ca="1">IF(ISNUMBER(P619),OFFSET('MPIO_SFIO Table'!$AJ$11,P619,0),"")</f>
        <v/>
      </c>
      <c r="V619" t="str">
        <f ca="1">IF(ISNUMBER(Q619),OFFSET('MPIO_SFIO Table'!$AJ$11,Q619,0),"")</f>
        <v/>
      </c>
      <c r="W619">
        <f t="shared" ca="1" si="83"/>
        <v>0</v>
      </c>
      <c r="X619">
        <f t="shared" ca="1" si="84"/>
        <v>0</v>
      </c>
      <c r="Y619">
        <f t="shared" ca="1" si="85"/>
        <v>0</v>
      </c>
      <c r="Z619">
        <f t="shared" ca="1" si="86"/>
        <v>0</v>
      </c>
      <c r="AA619">
        <f t="shared" ca="1" si="87"/>
        <v>0</v>
      </c>
    </row>
    <row r="620" spans="1:27" x14ac:dyDescent="0.25">
      <c r="A620">
        <f t="shared" ca="1" si="80"/>
        <v>0</v>
      </c>
      <c r="B620" t="str">
        <f t="shared" ca="1" si="81"/>
        <v/>
      </c>
      <c r="C620" t="str">
        <f t="shared" si="82"/>
        <v>SDMMC2</v>
      </c>
      <c r="D620" t="s">
        <v>253</v>
      </c>
      <c r="E620" t="s">
        <v>253</v>
      </c>
      <c r="F620" s="3" t="s">
        <v>2902</v>
      </c>
      <c r="G620" s="11" t="s">
        <v>697</v>
      </c>
      <c r="H620" s="11" t="s">
        <v>207</v>
      </c>
      <c r="I620" s="3" t="s">
        <v>253</v>
      </c>
      <c r="J620" s="3" t="s">
        <v>253</v>
      </c>
      <c r="K620" s="3" t="s">
        <v>253</v>
      </c>
      <c r="L620" s="3" t="s">
        <v>253</v>
      </c>
      <c r="M620">
        <f>IF(LEN(H620),MATCH(H620,'MPIO_SFIO Table'!$A$11:$A$65525,0)-1,"")</f>
        <v>221</v>
      </c>
      <c r="N620" t="str">
        <f>IF(LEN(I620),MATCH(I620,'MPIO_SFIO Table'!$A$11:$A$65525,0)-1,"")</f>
        <v/>
      </c>
      <c r="O620" t="str">
        <f>IF(LEN(J620),MATCH(J620,'MPIO_SFIO Table'!$A$11:$A$65525,0)-1,"")</f>
        <v/>
      </c>
      <c r="P620" t="str">
        <f>IF(LEN(K620),MATCH(K620,'MPIO_SFIO Table'!$A$11:$A$65525,0)-1,"")</f>
        <v/>
      </c>
      <c r="Q620" t="str">
        <f>IF(LEN(L620),MATCH(L620,'MPIO_SFIO Table'!$A$11:$A$65525,0)-1,"")</f>
        <v/>
      </c>
      <c r="R620" t="str">
        <f ca="1">IF(ISNUMBER(M620),OFFSET('MPIO_SFIO Table'!$AJ$11,M620,0),"")</f>
        <v>unused_KB_ROW8</v>
      </c>
      <c r="S620" t="str">
        <f ca="1">IF(ISNUMBER(N620),OFFSET('MPIO_SFIO Table'!$AJ$11,N620,0),"")</f>
        <v/>
      </c>
      <c r="T620" t="str">
        <f ca="1">IF(ISNUMBER(O620),OFFSET('MPIO_SFIO Table'!$AJ$11,O620,0),"")</f>
        <v/>
      </c>
      <c r="U620" t="str">
        <f ca="1">IF(ISNUMBER(P620),OFFSET('MPIO_SFIO Table'!$AJ$11,P620,0),"")</f>
        <v/>
      </c>
      <c r="V620" t="str">
        <f ca="1">IF(ISNUMBER(Q620),OFFSET('MPIO_SFIO Table'!$AJ$11,Q620,0),"")</f>
        <v/>
      </c>
      <c r="W620">
        <f t="shared" ca="1" si="83"/>
        <v>0</v>
      </c>
      <c r="X620">
        <f t="shared" ca="1" si="84"/>
        <v>0</v>
      </c>
      <c r="Y620">
        <f t="shared" ca="1" si="85"/>
        <v>0</v>
      </c>
      <c r="Z620">
        <f t="shared" ca="1" si="86"/>
        <v>0</v>
      </c>
      <c r="AA620">
        <f t="shared" ca="1" si="87"/>
        <v>0</v>
      </c>
    </row>
    <row r="621" spans="1:27" x14ac:dyDescent="0.25">
      <c r="A621">
        <f t="shared" ca="1" si="80"/>
        <v>0</v>
      </c>
      <c r="B621" t="str">
        <f t="shared" ca="1" si="81"/>
        <v/>
      </c>
      <c r="C621" t="str">
        <f t="shared" si="82"/>
        <v>SDMMC2</v>
      </c>
      <c r="D621" t="s">
        <v>253</v>
      </c>
      <c r="E621" t="s">
        <v>253</v>
      </c>
      <c r="F621" s="3" t="s">
        <v>2903</v>
      </c>
      <c r="G621" s="11" t="s">
        <v>699</v>
      </c>
      <c r="H621" s="11" t="s">
        <v>208</v>
      </c>
      <c r="I621" s="3" t="s">
        <v>253</v>
      </c>
      <c r="J621" s="3" t="s">
        <v>253</v>
      </c>
      <c r="K621" s="3" t="s">
        <v>253</v>
      </c>
      <c r="L621" s="3" t="s">
        <v>253</v>
      </c>
      <c r="M621">
        <f>IF(LEN(H621),MATCH(H621,'MPIO_SFIO Table'!$A$11:$A$65525,0)-1,"")</f>
        <v>222</v>
      </c>
      <c r="N621" t="str">
        <f>IF(LEN(I621),MATCH(I621,'MPIO_SFIO Table'!$A$11:$A$65525,0)-1,"")</f>
        <v/>
      </c>
      <c r="O621" t="str">
        <f>IF(LEN(J621),MATCH(J621,'MPIO_SFIO Table'!$A$11:$A$65525,0)-1,"")</f>
        <v/>
      </c>
      <c r="P621" t="str">
        <f>IF(LEN(K621),MATCH(K621,'MPIO_SFIO Table'!$A$11:$A$65525,0)-1,"")</f>
        <v/>
      </c>
      <c r="Q621" t="str">
        <f>IF(LEN(L621),MATCH(L621,'MPIO_SFIO Table'!$A$11:$A$65525,0)-1,"")</f>
        <v/>
      </c>
      <c r="R621" t="str">
        <f ca="1">IF(ISNUMBER(M621),OFFSET('MPIO_SFIO Table'!$AJ$11,M621,0),"")</f>
        <v>unused_KB_ROW9</v>
      </c>
      <c r="S621" t="str">
        <f ca="1">IF(ISNUMBER(N621),OFFSET('MPIO_SFIO Table'!$AJ$11,N621,0),"")</f>
        <v/>
      </c>
      <c r="T621" t="str">
        <f ca="1">IF(ISNUMBER(O621),OFFSET('MPIO_SFIO Table'!$AJ$11,O621,0),"")</f>
        <v/>
      </c>
      <c r="U621" t="str">
        <f ca="1">IF(ISNUMBER(P621),OFFSET('MPIO_SFIO Table'!$AJ$11,P621,0),"")</f>
        <v/>
      </c>
      <c r="V621" t="str">
        <f ca="1">IF(ISNUMBER(Q621),OFFSET('MPIO_SFIO Table'!$AJ$11,Q621,0),"")</f>
        <v/>
      </c>
      <c r="W621">
        <f t="shared" ca="1" si="83"/>
        <v>0</v>
      </c>
      <c r="X621">
        <f t="shared" ca="1" si="84"/>
        <v>0</v>
      </c>
      <c r="Y621">
        <f t="shared" ca="1" si="85"/>
        <v>0</v>
      </c>
      <c r="Z621">
        <f t="shared" ca="1" si="86"/>
        <v>0</v>
      </c>
      <c r="AA621">
        <f t="shared" ca="1" si="87"/>
        <v>0</v>
      </c>
    </row>
    <row r="622" spans="1:27" x14ac:dyDescent="0.25">
      <c r="A622">
        <f t="shared" ca="1" si="80"/>
        <v>0</v>
      </c>
      <c r="B622" t="str">
        <f t="shared" ca="1" si="81"/>
        <v/>
      </c>
      <c r="C622" t="str">
        <f t="shared" si="82"/>
        <v>SDMMC2</v>
      </c>
      <c r="D622" t="s">
        <v>253</v>
      </c>
      <c r="E622" t="s">
        <v>253</v>
      </c>
      <c r="F622" s="3" t="s">
        <v>2820</v>
      </c>
      <c r="G622" s="11" t="s">
        <v>675</v>
      </c>
      <c r="H622" s="11" t="s">
        <v>195</v>
      </c>
      <c r="I622" s="3" t="s">
        <v>253</v>
      </c>
      <c r="J622" s="3" t="s">
        <v>253</v>
      </c>
      <c r="K622" s="3" t="s">
        <v>253</v>
      </c>
      <c r="L622" s="3" t="s">
        <v>253</v>
      </c>
      <c r="M622">
        <f>IF(LEN(H622),MATCH(H622,'MPIO_SFIO Table'!$A$11:$A$65525,0)-1,"")</f>
        <v>209</v>
      </c>
      <c r="N622" t="str">
        <f>IF(LEN(I622),MATCH(I622,'MPIO_SFIO Table'!$A$11:$A$65525,0)-1,"")</f>
        <v/>
      </c>
      <c r="O622" t="str">
        <f>IF(LEN(J622),MATCH(J622,'MPIO_SFIO Table'!$A$11:$A$65525,0)-1,"")</f>
        <v/>
      </c>
      <c r="P622" t="str">
        <f>IF(LEN(K622),MATCH(K622,'MPIO_SFIO Table'!$A$11:$A$65525,0)-1,"")</f>
        <v/>
      </c>
      <c r="Q622" t="str">
        <f>IF(LEN(L622),MATCH(L622,'MPIO_SFIO Table'!$A$11:$A$65525,0)-1,"")</f>
        <v/>
      </c>
      <c r="R622" t="str">
        <f ca="1">IF(ISNUMBER(M622),OFFSET('MPIO_SFIO Table'!$AJ$11,M622,0),"")</f>
        <v>unused_KB_ROW10</v>
      </c>
      <c r="S622" t="str">
        <f ca="1">IF(ISNUMBER(N622),OFFSET('MPIO_SFIO Table'!$AJ$11,N622,0),"")</f>
        <v/>
      </c>
      <c r="T622" t="str">
        <f ca="1">IF(ISNUMBER(O622),OFFSET('MPIO_SFIO Table'!$AJ$11,O622,0),"")</f>
        <v/>
      </c>
      <c r="U622" t="str">
        <f ca="1">IF(ISNUMBER(P622),OFFSET('MPIO_SFIO Table'!$AJ$11,P622,0),"")</f>
        <v/>
      </c>
      <c r="V622" t="str">
        <f ca="1">IF(ISNUMBER(Q622),OFFSET('MPIO_SFIO Table'!$AJ$11,Q622,0),"")</f>
        <v/>
      </c>
      <c r="W622">
        <f t="shared" ca="1" si="83"/>
        <v>0</v>
      </c>
      <c r="X622">
        <f t="shared" ca="1" si="84"/>
        <v>0</v>
      </c>
      <c r="Y622">
        <f t="shared" ca="1" si="85"/>
        <v>0</v>
      </c>
      <c r="Z622">
        <f t="shared" ca="1" si="86"/>
        <v>0</v>
      </c>
      <c r="AA622">
        <f t="shared" ca="1" si="87"/>
        <v>0</v>
      </c>
    </row>
    <row r="623" spans="1:27" x14ac:dyDescent="0.25">
      <c r="A623">
        <f t="shared" ca="1" si="80"/>
        <v>0</v>
      </c>
      <c r="B623" t="str">
        <f t="shared" ca="1" si="81"/>
        <v/>
      </c>
      <c r="C623" t="str">
        <f t="shared" si="82"/>
        <v/>
      </c>
      <c r="D623" t="s">
        <v>253</v>
      </c>
      <c r="E623" t="s">
        <v>1027</v>
      </c>
      <c r="F623" s="3" t="s">
        <v>253</v>
      </c>
      <c r="G623" s="11" t="s">
        <v>253</v>
      </c>
      <c r="H623" s="11" t="s">
        <v>253</v>
      </c>
      <c r="I623" s="3" t="s">
        <v>253</v>
      </c>
      <c r="J623" s="3" t="s">
        <v>253</v>
      </c>
      <c r="K623" s="3" t="s">
        <v>253</v>
      </c>
      <c r="L623" s="3" t="s">
        <v>253</v>
      </c>
      <c r="M623" t="str">
        <f>IF(LEN(H623),MATCH(H623,'MPIO_SFIO Table'!$A$11:$A$65525,0)-1,"")</f>
        <v/>
      </c>
      <c r="N623" t="str">
        <f>IF(LEN(I623),MATCH(I623,'MPIO_SFIO Table'!$A$11:$A$65525,0)-1,"")</f>
        <v/>
      </c>
      <c r="O623" t="str">
        <f>IF(LEN(J623),MATCH(J623,'MPIO_SFIO Table'!$A$11:$A$65525,0)-1,"")</f>
        <v/>
      </c>
      <c r="P623" t="str">
        <f>IF(LEN(K623),MATCH(K623,'MPIO_SFIO Table'!$A$11:$A$65525,0)-1,"")</f>
        <v/>
      </c>
      <c r="Q623" t="str">
        <f>IF(LEN(L623),MATCH(L623,'MPIO_SFIO Table'!$A$11:$A$65525,0)-1,"")</f>
        <v/>
      </c>
      <c r="R623" t="str">
        <f ca="1">IF(ISNUMBER(M623),OFFSET('MPIO_SFIO Table'!$AJ$11,M623,0),"")</f>
        <v/>
      </c>
      <c r="S623" t="str">
        <f ca="1">IF(ISNUMBER(N623),OFFSET('MPIO_SFIO Table'!$AJ$11,N623,0),"")</f>
        <v/>
      </c>
      <c r="T623" t="str">
        <f ca="1">IF(ISNUMBER(O623),OFFSET('MPIO_SFIO Table'!$AJ$11,O623,0),"")</f>
        <v/>
      </c>
      <c r="U623" t="str">
        <f ca="1">IF(ISNUMBER(P623),OFFSET('MPIO_SFIO Table'!$AJ$11,P623,0),"")</f>
        <v/>
      </c>
      <c r="V623" t="str">
        <f ca="1">IF(ISNUMBER(Q623),OFFSET('MPIO_SFIO Table'!$AJ$11,Q623,0),"")</f>
        <v/>
      </c>
      <c r="W623">
        <f t="shared" ca="1" si="83"/>
        <v>0</v>
      </c>
      <c r="X623">
        <f t="shared" ca="1" si="84"/>
        <v>0</v>
      </c>
      <c r="Y623">
        <f t="shared" ca="1" si="85"/>
        <v>0</v>
      </c>
      <c r="Z623">
        <f t="shared" ca="1" si="86"/>
        <v>0</v>
      </c>
      <c r="AA623">
        <f t="shared" ca="1" si="87"/>
        <v>0</v>
      </c>
    </row>
    <row r="624" spans="1:27" x14ac:dyDescent="0.25">
      <c r="A624">
        <f t="shared" ca="1" si="80"/>
        <v>0</v>
      </c>
      <c r="B624" t="str">
        <f t="shared" ca="1" si="81"/>
        <v/>
      </c>
      <c r="C624" t="str">
        <f t="shared" si="82"/>
        <v>SDMMC2</v>
      </c>
      <c r="D624" t="s">
        <v>253</v>
      </c>
      <c r="E624" t="s">
        <v>253</v>
      </c>
      <c r="F624" s="3" t="s">
        <v>2895</v>
      </c>
      <c r="G624" s="11" t="s">
        <v>749</v>
      </c>
      <c r="H624" s="11" t="s">
        <v>237</v>
      </c>
      <c r="I624" s="3" t="s">
        <v>253</v>
      </c>
      <c r="J624" s="3" t="s">
        <v>253</v>
      </c>
      <c r="K624" s="3" t="s">
        <v>253</v>
      </c>
      <c r="L624" s="3" t="s">
        <v>253</v>
      </c>
      <c r="M624">
        <f>IF(LEN(H624),MATCH(H624,'MPIO_SFIO Table'!$A$11:$A$65525,0)-1,"")</f>
        <v>256</v>
      </c>
      <c r="N624" t="str">
        <f>IF(LEN(I624),MATCH(I624,'MPIO_SFIO Table'!$A$11:$A$65525,0)-1,"")</f>
        <v/>
      </c>
      <c r="O624" t="str">
        <f>IF(LEN(J624),MATCH(J624,'MPIO_SFIO Table'!$A$11:$A$65525,0)-1,"")</f>
        <v/>
      </c>
      <c r="P624" t="str">
        <f>IF(LEN(K624),MATCH(K624,'MPIO_SFIO Table'!$A$11:$A$65525,0)-1,"")</f>
        <v/>
      </c>
      <c r="Q624" t="str">
        <f>IF(LEN(L624),MATCH(L624,'MPIO_SFIO Table'!$A$11:$A$65525,0)-1,"")</f>
        <v/>
      </c>
      <c r="R624" t="str">
        <f ca="1">IF(ISNUMBER(M624),OFFSET('MPIO_SFIO Table'!$AJ$11,M624,0),"")</f>
        <v>unused_VI_D1</v>
      </c>
      <c r="S624" t="str">
        <f ca="1">IF(ISNUMBER(N624),OFFSET('MPIO_SFIO Table'!$AJ$11,N624,0),"")</f>
        <v/>
      </c>
      <c r="T624" t="str">
        <f ca="1">IF(ISNUMBER(O624),OFFSET('MPIO_SFIO Table'!$AJ$11,O624,0),"")</f>
        <v/>
      </c>
      <c r="U624" t="str">
        <f ca="1">IF(ISNUMBER(P624),OFFSET('MPIO_SFIO Table'!$AJ$11,P624,0),"")</f>
        <v/>
      </c>
      <c r="V624" t="str">
        <f ca="1">IF(ISNUMBER(Q624),OFFSET('MPIO_SFIO Table'!$AJ$11,Q624,0),"")</f>
        <v/>
      </c>
      <c r="W624">
        <f t="shared" ca="1" si="83"/>
        <v>0</v>
      </c>
      <c r="X624">
        <f t="shared" ca="1" si="84"/>
        <v>0</v>
      </c>
      <c r="Y624">
        <f t="shared" ca="1" si="85"/>
        <v>0</v>
      </c>
      <c r="Z624">
        <f t="shared" ca="1" si="86"/>
        <v>0</v>
      </c>
      <c r="AA624">
        <f t="shared" ca="1" si="87"/>
        <v>0</v>
      </c>
    </row>
    <row r="625" spans="1:27" x14ac:dyDescent="0.25">
      <c r="A625">
        <f t="shared" ca="1" si="80"/>
        <v>0</v>
      </c>
      <c r="B625" t="str">
        <f t="shared" ca="1" si="81"/>
        <v/>
      </c>
      <c r="C625" t="str">
        <f t="shared" si="82"/>
        <v>SDMMC2</v>
      </c>
      <c r="D625" t="s">
        <v>253</v>
      </c>
      <c r="E625" t="s">
        <v>253</v>
      </c>
      <c r="F625" s="3" t="s">
        <v>2896</v>
      </c>
      <c r="G625" s="11" t="s">
        <v>753</v>
      </c>
      <c r="H625" s="11" t="s">
        <v>240</v>
      </c>
      <c r="I625" s="3" t="s">
        <v>253</v>
      </c>
      <c r="J625" s="3" t="s">
        <v>253</v>
      </c>
      <c r="K625" s="3" t="s">
        <v>253</v>
      </c>
      <c r="L625" s="3" t="s">
        <v>253</v>
      </c>
      <c r="M625">
        <f>IF(LEN(H625),MATCH(H625,'MPIO_SFIO Table'!$A$11:$A$65525,0)-1,"")</f>
        <v>259</v>
      </c>
      <c r="N625" t="str">
        <f>IF(LEN(I625),MATCH(I625,'MPIO_SFIO Table'!$A$11:$A$65525,0)-1,"")</f>
        <v/>
      </c>
      <c r="O625" t="str">
        <f>IF(LEN(J625),MATCH(J625,'MPIO_SFIO Table'!$A$11:$A$65525,0)-1,"")</f>
        <v/>
      </c>
      <c r="P625" t="str">
        <f>IF(LEN(K625),MATCH(K625,'MPIO_SFIO Table'!$A$11:$A$65525,0)-1,"")</f>
        <v/>
      </c>
      <c r="Q625" t="str">
        <f>IF(LEN(L625),MATCH(L625,'MPIO_SFIO Table'!$A$11:$A$65525,0)-1,"")</f>
        <v/>
      </c>
      <c r="R625" t="str">
        <f ca="1">IF(ISNUMBER(M625),OFFSET('MPIO_SFIO Table'!$AJ$11,M625,0),"")</f>
        <v>unused_VI_D2</v>
      </c>
      <c r="S625" t="str">
        <f ca="1">IF(ISNUMBER(N625),OFFSET('MPIO_SFIO Table'!$AJ$11,N625,0),"")</f>
        <v/>
      </c>
      <c r="T625" t="str">
        <f ca="1">IF(ISNUMBER(O625),OFFSET('MPIO_SFIO Table'!$AJ$11,O625,0),"")</f>
        <v/>
      </c>
      <c r="U625" t="str">
        <f ca="1">IF(ISNUMBER(P625),OFFSET('MPIO_SFIO Table'!$AJ$11,P625,0),"")</f>
        <v/>
      </c>
      <c r="V625" t="str">
        <f ca="1">IF(ISNUMBER(Q625),OFFSET('MPIO_SFIO Table'!$AJ$11,Q625,0),"")</f>
        <v/>
      </c>
      <c r="W625">
        <f t="shared" ca="1" si="83"/>
        <v>0</v>
      </c>
      <c r="X625">
        <f t="shared" ca="1" si="84"/>
        <v>0</v>
      </c>
      <c r="Y625">
        <f t="shared" ca="1" si="85"/>
        <v>0</v>
      </c>
      <c r="Z625">
        <f t="shared" ca="1" si="86"/>
        <v>0</v>
      </c>
      <c r="AA625">
        <f t="shared" ca="1" si="87"/>
        <v>0</v>
      </c>
    </row>
    <row r="626" spans="1:27" x14ac:dyDescent="0.25">
      <c r="A626">
        <f t="shared" ca="1" si="80"/>
        <v>0</v>
      </c>
      <c r="B626" t="str">
        <f t="shared" ca="1" si="81"/>
        <v/>
      </c>
      <c r="C626" t="str">
        <f t="shared" si="82"/>
        <v>SDMMC2</v>
      </c>
      <c r="D626" t="s">
        <v>253</v>
      </c>
      <c r="E626" t="s">
        <v>253</v>
      </c>
      <c r="F626" s="3" t="s">
        <v>2897</v>
      </c>
      <c r="G626" s="11" t="s">
        <v>755</v>
      </c>
      <c r="H626" s="11" t="s">
        <v>241</v>
      </c>
      <c r="I626" s="3" t="s">
        <v>253</v>
      </c>
      <c r="J626" s="3" t="s">
        <v>253</v>
      </c>
      <c r="K626" s="3" t="s">
        <v>253</v>
      </c>
      <c r="L626" s="3" t="s">
        <v>253</v>
      </c>
      <c r="M626">
        <f>IF(LEN(H626),MATCH(H626,'MPIO_SFIO Table'!$A$11:$A$65525,0)-1,"")</f>
        <v>260</v>
      </c>
      <c r="N626" t="str">
        <f>IF(LEN(I626),MATCH(I626,'MPIO_SFIO Table'!$A$11:$A$65525,0)-1,"")</f>
        <v/>
      </c>
      <c r="O626" t="str">
        <f>IF(LEN(J626),MATCH(J626,'MPIO_SFIO Table'!$A$11:$A$65525,0)-1,"")</f>
        <v/>
      </c>
      <c r="P626" t="str">
        <f>IF(LEN(K626),MATCH(K626,'MPIO_SFIO Table'!$A$11:$A$65525,0)-1,"")</f>
        <v/>
      </c>
      <c r="Q626" t="str">
        <f>IF(LEN(L626),MATCH(L626,'MPIO_SFIO Table'!$A$11:$A$65525,0)-1,"")</f>
        <v/>
      </c>
      <c r="R626" t="str">
        <f ca="1">IF(ISNUMBER(M626),OFFSET('MPIO_SFIO Table'!$AJ$11,M626,0),"")</f>
        <v>unused_VI_D3</v>
      </c>
      <c r="S626" t="str">
        <f ca="1">IF(ISNUMBER(N626),OFFSET('MPIO_SFIO Table'!$AJ$11,N626,0),"")</f>
        <v/>
      </c>
      <c r="T626" t="str">
        <f ca="1">IF(ISNUMBER(O626),OFFSET('MPIO_SFIO Table'!$AJ$11,O626,0),"")</f>
        <v/>
      </c>
      <c r="U626" t="str">
        <f ca="1">IF(ISNUMBER(P626),OFFSET('MPIO_SFIO Table'!$AJ$11,P626,0),"")</f>
        <v/>
      </c>
      <c r="V626" t="str">
        <f ca="1">IF(ISNUMBER(Q626),OFFSET('MPIO_SFIO Table'!$AJ$11,Q626,0),"")</f>
        <v/>
      </c>
      <c r="W626">
        <f t="shared" ca="1" si="83"/>
        <v>0</v>
      </c>
      <c r="X626">
        <f t="shared" ca="1" si="84"/>
        <v>0</v>
      </c>
      <c r="Y626">
        <f t="shared" ca="1" si="85"/>
        <v>0</v>
      </c>
      <c r="Z626">
        <f t="shared" ca="1" si="86"/>
        <v>0</v>
      </c>
      <c r="AA626">
        <f t="shared" ca="1" si="87"/>
        <v>0</v>
      </c>
    </row>
    <row r="627" spans="1:27" x14ac:dyDescent="0.25">
      <c r="A627">
        <f t="shared" ca="1" si="80"/>
        <v>0</v>
      </c>
      <c r="B627" t="str">
        <f t="shared" ca="1" si="81"/>
        <v/>
      </c>
      <c r="C627" t="str">
        <f t="shared" si="82"/>
        <v>SDMMC2</v>
      </c>
      <c r="D627" t="s">
        <v>253</v>
      </c>
      <c r="E627" t="s">
        <v>253</v>
      </c>
      <c r="F627" s="3" t="s">
        <v>2898</v>
      </c>
      <c r="G627" s="11" t="s">
        <v>757</v>
      </c>
      <c r="H627" s="11" t="s">
        <v>242</v>
      </c>
      <c r="I627" s="3" t="s">
        <v>253</v>
      </c>
      <c r="J627" s="3" t="s">
        <v>253</v>
      </c>
      <c r="K627" s="3" t="s">
        <v>253</v>
      </c>
      <c r="L627" s="3" t="s">
        <v>253</v>
      </c>
      <c r="M627">
        <f>IF(LEN(H627),MATCH(H627,'MPIO_SFIO Table'!$A$11:$A$65525,0)-1,"")</f>
        <v>261</v>
      </c>
      <c r="N627" t="str">
        <f>IF(LEN(I627),MATCH(I627,'MPIO_SFIO Table'!$A$11:$A$65525,0)-1,"")</f>
        <v/>
      </c>
      <c r="O627" t="str">
        <f>IF(LEN(J627),MATCH(J627,'MPIO_SFIO Table'!$A$11:$A$65525,0)-1,"")</f>
        <v/>
      </c>
      <c r="P627" t="str">
        <f>IF(LEN(K627),MATCH(K627,'MPIO_SFIO Table'!$A$11:$A$65525,0)-1,"")</f>
        <v/>
      </c>
      <c r="Q627" t="str">
        <f>IF(LEN(L627),MATCH(L627,'MPIO_SFIO Table'!$A$11:$A$65525,0)-1,"")</f>
        <v/>
      </c>
      <c r="R627" t="str">
        <f ca="1">IF(ISNUMBER(M627),OFFSET('MPIO_SFIO Table'!$AJ$11,M627,0),"")</f>
        <v>unused_VI_D4</v>
      </c>
      <c r="S627" t="str">
        <f ca="1">IF(ISNUMBER(N627),OFFSET('MPIO_SFIO Table'!$AJ$11,N627,0),"")</f>
        <v/>
      </c>
      <c r="T627" t="str">
        <f ca="1">IF(ISNUMBER(O627),OFFSET('MPIO_SFIO Table'!$AJ$11,O627,0),"")</f>
        <v/>
      </c>
      <c r="U627" t="str">
        <f ca="1">IF(ISNUMBER(P627),OFFSET('MPIO_SFIO Table'!$AJ$11,P627,0),"")</f>
        <v/>
      </c>
      <c r="V627" t="str">
        <f ca="1">IF(ISNUMBER(Q627),OFFSET('MPIO_SFIO Table'!$AJ$11,Q627,0),"")</f>
        <v/>
      </c>
      <c r="W627">
        <f t="shared" ca="1" si="83"/>
        <v>0</v>
      </c>
      <c r="X627">
        <f t="shared" ca="1" si="84"/>
        <v>0</v>
      </c>
      <c r="Y627">
        <f t="shared" ca="1" si="85"/>
        <v>0</v>
      </c>
      <c r="Z627">
        <f t="shared" ca="1" si="86"/>
        <v>0</v>
      </c>
      <c r="AA627">
        <f t="shared" ca="1" si="87"/>
        <v>0</v>
      </c>
    </row>
    <row r="628" spans="1:27" x14ac:dyDescent="0.25">
      <c r="A628">
        <f t="shared" ca="1" si="80"/>
        <v>0</v>
      </c>
      <c r="B628" t="str">
        <f t="shared" ca="1" si="81"/>
        <v/>
      </c>
      <c r="C628" t="str">
        <f t="shared" si="82"/>
        <v>SDMMC2</v>
      </c>
      <c r="D628" t="s">
        <v>253</v>
      </c>
      <c r="E628" t="s">
        <v>253</v>
      </c>
      <c r="F628" s="3" t="s">
        <v>2899</v>
      </c>
      <c r="G628" s="11" t="s">
        <v>759</v>
      </c>
      <c r="H628" s="11" t="s">
        <v>243</v>
      </c>
      <c r="I628" s="3" t="s">
        <v>253</v>
      </c>
      <c r="J628" s="3" t="s">
        <v>253</v>
      </c>
      <c r="K628" s="3" t="s">
        <v>253</v>
      </c>
      <c r="L628" s="3" t="s">
        <v>253</v>
      </c>
      <c r="M628">
        <f>IF(LEN(H628),MATCH(H628,'MPIO_SFIO Table'!$A$11:$A$65525,0)-1,"")</f>
        <v>262</v>
      </c>
      <c r="N628" t="str">
        <f>IF(LEN(I628),MATCH(I628,'MPIO_SFIO Table'!$A$11:$A$65525,0)-1,"")</f>
        <v/>
      </c>
      <c r="O628" t="str">
        <f>IF(LEN(J628),MATCH(J628,'MPIO_SFIO Table'!$A$11:$A$65525,0)-1,"")</f>
        <v/>
      </c>
      <c r="P628" t="str">
        <f>IF(LEN(K628),MATCH(K628,'MPIO_SFIO Table'!$A$11:$A$65525,0)-1,"")</f>
        <v/>
      </c>
      <c r="Q628" t="str">
        <f>IF(LEN(L628),MATCH(L628,'MPIO_SFIO Table'!$A$11:$A$65525,0)-1,"")</f>
        <v/>
      </c>
      <c r="R628" t="str">
        <f ca="1">IF(ISNUMBER(M628),OFFSET('MPIO_SFIO Table'!$AJ$11,M628,0),"")</f>
        <v>unused_VI_D5</v>
      </c>
      <c r="S628" t="str">
        <f ca="1">IF(ISNUMBER(N628),OFFSET('MPIO_SFIO Table'!$AJ$11,N628,0),"")</f>
        <v/>
      </c>
      <c r="T628" t="str">
        <f ca="1">IF(ISNUMBER(O628),OFFSET('MPIO_SFIO Table'!$AJ$11,O628,0),"")</f>
        <v/>
      </c>
      <c r="U628" t="str">
        <f ca="1">IF(ISNUMBER(P628),OFFSET('MPIO_SFIO Table'!$AJ$11,P628,0),"")</f>
        <v/>
      </c>
      <c r="V628" t="str">
        <f ca="1">IF(ISNUMBER(Q628),OFFSET('MPIO_SFIO Table'!$AJ$11,Q628,0),"")</f>
        <v/>
      </c>
      <c r="W628">
        <f t="shared" ca="1" si="83"/>
        <v>0</v>
      </c>
      <c r="X628">
        <f t="shared" ca="1" si="84"/>
        <v>0</v>
      </c>
      <c r="Y628">
        <f t="shared" ca="1" si="85"/>
        <v>0</v>
      </c>
      <c r="Z628">
        <f t="shared" ca="1" si="86"/>
        <v>0</v>
      </c>
      <c r="AA628">
        <f t="shared" ca="1" si="87"/>
        <v>0</v>
      </c>
    </row>
    <row r="629" spans="1:27" x14ac:dyDescent="0.25">
      <c r="A629">
        <f t="shared" ca="1" si="80"/>
        <v>0</v>
      </c>
      <c r="B629" t="str">
        <f t="shared" ca="1" si="81"/>
        <v/>
      </c>
      <c r="C629" t="str">
        <f t="shared" si="82"/>
        <v>SDMMC2</v>
      </c>
      <c r="D629" t="s">
        <v>253</v>
      </c>
      <c r="E629" t="s">
        <v>253</v>
      </c>
      <c r="F629" s="3" t="s">
        <v>2900</v>
      </c>
      <c r="G629" s="11" t="s">
        <v>761</v>
      </c>
      <c r="H629" s="11" t="s">
        <v>244</v>
      </c>
      <c r="I629" s="3" t="s">
        <v>253</v>
      </c>
      <c r="J629" s="3" t="s">
        <v>253</v>
      </c>
      <c r="K629" s="3" t="s">
        <v>253</v>
      </c>
      <c r="L629" s="3" t="s">
        <v>253</v>
      </c>
      <c r="M629">
        <f>IF(LEN(H629),MATCH(H629,'MPIO_SFIO Table'!$A$11:$A$65525,0)-1,"")</f>
        <v>263</v>
      </c>
      <c r="N629" t="str">
        <f>IF(LEN(I629),MATCH(I629,'MPIO_SFIO Table'!$A$11:$A$65525,0)-1,"")</f>
        <v/>
      </c>
      <c r="O629" t="str">
        <f>IF(LEN(J629),MATCH(J629,'MPIO_SFIO Table'!$A$11:$A$65525,0)-1,"")</f>
        <v/>
      </c>
      <c r="P629" t="str">
        <f>IF(LEN(K629),MATCH(K629,'MPIO_SFIO Table'!$A$11:$A$65525,0)-1,"")</f>
        <v/>
      </c>
      <c r="Q629" t="str">
        <f>IF(LEN(L629),MATCH(L629,'MPIO_SFIO Table'!$A$11:$A$65525,0)-1,"")</f>
        <v/>
      </c>
      <c r="R629" t="str">
        <f ca="1">IF(ISNUMBER(M629),OFFSET('MPIO_SFIO Table'!$AJ$11,M629,0),"")</f>
        <v>unused_VI_D6</v>
      </c>
      <c r="S629" t="str">
        <f ca="1">IF(ISNUMBER(N629),OFFSET('MPIO_SFIO Table'!$AJ$11,N629,0),"")</f>
        <v/>
      </c>
      <c r="T629" t="str">
        <f ca="1">IF(ISNUMBER(O629),OFFSET('MPIO_SFIO Table'!$AJ$11,O629,0),"")</f>
        <v/>
      </c>
      <c r="U629" t="str">
        <f ca="1">IF(ISNUMBER(P629),OFFSET('MPIO_SFIO Table'!$AJ$11,P629,0),"")</f>
        <v/>
      </c>
      <c r="V629" t="str">
        <f ca="1">IF(ISNUMBER(Q629),OFFSET('MPIO_SFIO Table'!$AJ$11,Q629,0),"")</f>
        <v/>
      </c>
      <c r="W629">
        <f t="shared" ca="1" si="83"/>
        <v>0</v>
      </c>
      <c r="X629">
        <f t="shared" ca="1" si="84"/>
        <v>0</v>
      </c>
      <c r="Y629">
        <f t="shared" ca="1" si="85"/>
        <v>0</v>
      </c>
      <c r="Z629">
        <f t="shared" ca="1" si="86"/>
        <v>0</v>
      </c>
      <c r="AA629">
        <f t="shared" ca="1" si="87"/>
        <v>0</v>
      </c>
    </row>
    <row r="630" spans="1:27" x14ac:dyDescent="0.25">
      <c r="A630">
        <f t="shared" ca="1" si="80"/>
        <v>0</v>
      </c>
      <c r="B630" t="str">
        <f t="shared" ca="1" si="81"/>
        <v/>
      </c>
      <c r="C630" t="str">
        <f t="shared" si="82"/>
        <v>SDMMC2</v>
      </c>
      <c r="D630" t="s">
        <v>253</v>
      </c>
      <c r="E630" t="s">
        <v>253</v>
      </c>
      <c r="F630" s="3" t="s">
        <v>2901</v>
      </c>
      <c r="G630" s="11" t="s">
        <v>763</v>
      </c>
      <c r="H630" s="11" t="s">
        <v>245</v>
      </c>
      <c r="I630" s="3" t="s">
        <v>253</v>
      </c>
      <c r="J630" s="3" t="s">
        <v>253</v>
      </c>
      <c r="K630" s="3" t="s">
        <v>253</v>
      </c>
      <c r="L630" s="3" t="s">
        <v>253</v>
      </c>
      <c r="M630">
        <f>IF(LEN(H630),MATCH(H630,'MPIO_SFIO Table'!$A$11:$A$65525,0)-1,"")</f>
        <v>264</v>
      </c>
      <c r="N630" t="str">
        <f>IF(LEN(I630),MATCH(I630,'MPIO_SFIO Table'!$A$11:$A$65525,0)-1,"")</f>
        <v/>
      </c>
      <c r="O630" t="str">
        <f>IF(LEN(J630),MATCH(J630,'MPIO_SFIO Table'!$A$11:$A$65525,0)-1,"")</f>
        <v/>
      </c>
      <c r="P630" t="str">
        <f>IF(LEN(K630),MATCH(K630,'MPIO_SFIO Table'!$A$11:$A$65525,0)-1,"")</f>
        <v/>
      </c>
      <c r="Q630" t="str">
        <f>IF(LEN(L630),MATCH(L630,'MPIO_SFIO Table'!$A$11:$A$65525,0)-1,"")</f>
        <v/>
      </c>
      <c r="R630" t="str">
        <f ca="1">IF(ISNUMBER(M630),OFFSET('MPIO_SFIO Table'!$AJ$11,M630,0),"")</f>
        <v>unused_VI_D7</v>
      </c>
      <c r="S630" t="str">
        <f ca="1">IF(ISNUMBER(N630),OFFSET('MPIO_SFIO Table'!$AJ$11,N630,0),"")</f>
        <v/>
      </c>
      <c r="T630" t="str">
        <f ca="1">IF(ISNUMBER(O630),OFFSET('MPIO_SFIO Table'!$AJ$11,O630,0),"")</f>
        <v/>
      </c>
      <c r="U630" t="str">
        <f ca="1">IF(ISNUMBER(P630),OFFSET('MPIO_SFIO Table'!$AJ$11,P630,0),"")</f>
        <v/>
      </c>
      <c r="V630" t="str">
        <f ca="1">IF(ISNUMBER(Q630),OFFSET('MPIO_SFIO Table'!$AJ$11,Q630,0),"")</f>
        <v/>
      </c>
      <c r="W630">
        <f t="shared" ca="1" si="83"/>
        <v>0</v>
      </c>
      <c r="X630">
        <f t="shared" ca="1" si="84"/>
        <v>0</v>
      </c>
      <c r="Y630">
        <f t="shared" ca="1" si="85"/>
        <v>0</v>
      </c>
      <c r="Z630">
        <f t="shared" ca="1" si="86"/>
        <v>0</v>
      </c>
      <c r="AA630">
        <f t="shared" ca="1" si="87"/>
        <v>0</v>
      </c>
    </row>
    <row r="631" spans="1:27" x14ac:dyDescent="0.25">
      <c r="A631">
        <f t="shared" ca="1" si="80"/>
        <v>0</v>
      </c>
      <c r="B631" t="str">
        <f t="shared" ca="1" si="81"/>
        <v/>
      </c>
      <c r="C631" t="str">
        <f t="shared" si="82"/>
        <v>SDMMC2</v>
      </c>
      <c r="D631" t="s">
        <v>253</v>
      </c>
      <c r="E631" t="s">
        <v>253</v>
      </c>
      <c r="F631" s="3" t="s">
        <v>2902</v>
      </c>
      <c r="G631" s="11" t="s">
        <v>765</v>
      </c>
      <c r="H631" s="11" t="s">
        <v>246</v>
      </c>
      <c r="I631" s="3" t="s">
        <v>253</v>
      </c>
      <c r="J631" s="3" t="s">
        <v>253</v>
      </c>
      <c r="K631" s="3" t="s">
        <v>253</v>
      </c>
      <c r="L631" s="3" t="s">
        <v>253</v>
      </c>
      <c r="M631">
        <f>IF(LEN(H631),MATCH(H631,'MPIO_SFIO Table'!$A$11:$A$65525,0)-1,"")</f>
        <v>265</v>
      </c>
      <c r="N631" t="str">
        <f>IF(LEN(I631),MATCH(I631,'MPIO_SFIO Table'!$A$11:$A$65525,0)-1,"")</f>
        <v/>
      </c>
      <c r="O631" t="str">
        <f>IF(LEN(J631),MATCH(J631,'MPIO_SFIO Table'!$A$11:$A$65525,0)-1,"")</f>
        <v/>
      </c>
      <c r="P631" t="str">
        <f>IF(LEN(K631),MATCH(K631,'MPIO_SFIO Table'!$A$11:$A$65525,0)-1,"")</f>
        <v/>
      </c>
      <c r="Q631" t="str">
        <f>IF(LEN(L631),MATCH(L631,'MPIO_SFIO Table'!$A$11:$A$65525,0)-1,"")</f>
        <v/>
      </c>
      <c r="R631" t="str">
        <f ca="1">IF(ISNUMBER(M631),OFFSET('MPIO_SFIO Table'!$AJ$11,M631,0),"")</f>
        <v>unused_VI_D8</v>
      </c>
      <c r="S631" t="str">
        <f ca="1">IF(ISNUMBER(N631),OFFSET('MPIO_SFIO Table'!$AJ$11,N631,0),"")</f>
        <v/>
      </c>
      <c r="T631" t="str">
        <f ca="1">IF(ISNUMBER(O631),OFFSET('MPIO_SFIO Table'!$AJ$11,O631,0),"")</f>
        <v/>
      </c>
      <c r="U631" t="str">
        <f ca="1">IF(ISNUMBER(P631),OFFSET('MPIO_SFIO Table'!$AJ$11,P631,0),"")</f>
        <v/>
      </c>
      <c r="V631" t="str">
        <f ca="1">IF(ISNUMBER(Q631),OFFSET('MPIO_SFIO Table'!$AJ$11,Q631,0),"")</f>
        <v/>
      </c>
      <c r="W631">
        <f t="shared" ca="1" si="83"/>
        <v>0</v>
      </c>
      <c r="X631">
        <f t="shared" ca="1" si="84"/>
        <v>0</v>
      </c>
      <c r="Y631">
        <f t="shared" ca="1" si="85"/>
        <v>0</v>
      </c>
      <c r="Z631">
        <f t="shared" ca="1" si="86"/>
        <v>0</v>
      </c>
      <c r="AA631">
        <f t="shared" ca="1" si="87"/>
        <v>0</v>
      </c>
    </row>
    <row r="632" spans="1:27" x14ac:dyDescent="0.25">
      <c r="A632">
        <f t="shared" ca="1" si="80"/>
        <v>0</v>
      </c>
      <c r="B632" t="str">
        <f t="shared" ca="1" si="81"/>
        <v/>
      </c>
      <c r="C632" t="str">
        <f t="shared" si="82"/>
        <v>SDMMC2</v>
      </c>
      <c r="D632" t="s">
        <v>253</v>
      </c>
      <c r="E632" t="s">
        <v>253</v>
      </c>
      <c r="F632" s="3" t="s">
        <v>2903</v>
      </c>
      <c r="G632" s="11" t="s">
        <v>767</v>
      </c>
      <c r="H632" s="11" t="s">
        <v>247</v>
      </c>
      <c r="I632" s="3" t="s">
        <v>253</v>
      </c>
      <c r="J632" s="3" t="s">
        <v>253</v>
      </c>
      <c r="K632" s="3" t="s">
        <v>253</v>
      </c>
      <c r="L632" s="3" t="s">
        <v>253</v>
      </c>
      <c r="M632">
        <f>IF(LEN(H632),MATCH(H632,'MPIO_SFIO Table'!$A$11:$A$65525,0)-1,"")</f>
        <v>266</v>
      </c>
      <c r="N632" t="str">
        <f>IF(LEN(I632),MATCH(I632,'MPIO_SFIO Table'!$A$11:$A$65525,0)-1,"")</f>
        <v/>
      </c>
      <c r="O632" t="str">
        <f>IF(LEN(J632),MATCH(J632,'MPIO_SFIO Table'!$A$11:$A$65525,0)-1,"")</f>
        <v/>
      </c>
      <c r="P632" t="str">
        <f>IF(LEN(K632),MATCH(K632,'MPIO_SFIO Table'!$A$11:$A$65525,0)-1,"")</f>
        <v/>
      </c>
      <c r="Q632" t="str">
        <f>IF(LEN(L632),MATCH(L632,'MPIO_SFIO Table'!$A$11:$A$65525,0)-1,"")</f>
        <v/>
      </c>
      <c r="R632" t="str">
        <f ca="1">IF(ISNUMBER(M632),OFFSET('MPIO_SFIO Table'!$AJ$11,M632,0),"")</f>
        <v>unused_VI_D9</v>
      </c>
      <c r="S632" t="str">
        <f ca="1">IF(ISNUMBER(N632),OFFSET('MPIO_SFIO Table'!$AJ$11,N632,0),"")</f>
        <v/>
      </c>
      <c r="T632" t="str">
        <f ca="1">IF(ISNUMBER(O632),OFFSET('MPIO_SFIO Table'!$AJ$11,O632,0),"")</f>
        <v/>
      </c>
      <c r="U632" t="str">
        <f ca="1">IF(ISNUMBER(P632),OFFSET('MPIO_SFIO Table'!$AJ$11,P632,0),"")</f>
        <v/>
      </c>
      <c r="V632" t="str">
        <f ca="1">IF(ISNUMBER(Q632),OFFSET('MPIO_SFIO Table'!$AJ$11,Q632,0),"")</f>
        <v/>
      </c>
      <c r="W632">
        <f t="shared" ca="1" si="83"/>
        <v>0</v>
      </c>
      <c r="X632">
        <f t="shared" ca="1" si="84"/>
        <v>0</v>
      </c>
      <c r="Y632">
        <f t="shared" ca="1" si="85"/>
        <v>0</v>
      </c>
      <c r="Z632">
        <f t="shared" ca="1" si="86"/>
        <v>0</v>
      </c>
      <c r="AA632">
        <f t="shared" ca="1" si="87"/>
        <v>0</v>
      </c>
    </row>
    <row r="633" spans="1:27" x14ac:dyDescent="0.25">
      <c r="A633">
        <f t="shared" ca="1" si="80"/>
        <v>0</v>
      </c>
      <c r="B633" t="str">
        <f t="shared" ca="1" si="81"/>
        <v/>
      </c>
      <c r="C633" t="str">
        <f t="shared" si="82"/>
        <v>SDMMC2</v>
      </c>
      <c r="D633" t="s">
        <v>253</v>
      </c>
      <c r="E633" t="s">
        <v>253</v>
      </c>
      <c r="F633" s="3" t="s">
        <v>2820</v>
      </c>
      <c r="G633" s="11" t="s">
        <v>771</v>
      </c>
      <c r="H633" s="11" t="s">
        <v>250</v>
      </c>
      <c r="I633" s="3" t="s">
        <v>253</v>
      </c>
      <c r="J633" s="3" t="s">
        <v>253</v>
      </c>
      <c r="K633" s="3" t="s">
        <v>253</v>
      </c>
      <c r="L633" s="3" t="s">
        <v>253</v>
      </c>
      <c r="M633">
        <f>IF(LEN(H633),MATCH(H633,'MPIO_SFIO Table'!$A$11:$A$65525,0)-1,"")</f>
        <v>269</v>
      </c>
      <c r="N633" t="str">
        <f>IF(LEN(I633),MATCH(I633,'MPIO_SFIO Table'!$A$11:$A$65525,0)-1,"")</f>
        <v/>
      </c>
      <c r="O633" t="str">
        <f>IF(LEN(J633),MATCH(J633,'MPIO_SFIO Table'!$A$11:$A$65525,0)-1,"")</f>
        <v/>
      </c>
      <c r="P633" t="str">
        <f>IF(LEN(K633),MATCH(K633,'MPIO_SFIO Table'!$A$11:$A$65525,0)-1,"")</f>
        <v/>
      </c>
      <c r="Q633" t="str">
        <f>IF(LEN(L633),MATCH(L633,'MPIO_SFIO Table'!$A$11:$A$65525,0)-1,"")</f>
        <v/>
      </c>
      <c r="R633" t="str">
        <f ca="1">IF(ISNUMBER(M633),OFFSET('MPIO_SFIO Table'!$AJ$11,M633,0),"")</f>
        <v>unused_VI_PCLK</v>
      </c>
      <c r="S633" t="str">
        <f ca="1">IF(ISNUMBER(N633),OFFSET('MPIO_SFIO Table'!$AJ$11,N633,0),"")</f>
        <v/>
      </c>
      <c r="T633" t="str">
        <f ca="1">IF(ISNUMBER(O633),OFFSET('MPIO_SFIO Table'!$AJ$11,O633,0),"")</f>
        <v/>
      </c>
      <c r="U633" t="str">
        <f ca="1">IF(ISNUMBER(P633),OFFSET('MPIO_SFIO Table'!$AJ$11,P633,0),"")</f>
        <v/>
      </c>
      <c r="V633" t="str">
        <f ca="1">IF(ISNUMBER(Q633),OFFSET('MPIO_SFIO Table'!$AJ$11,Q633,0),"")</f>
        <v/>
      </c>
      <c r="W633">
        <f t="shared" ca="1" si="83"/>
        <v>0</v>
      </c>
      <c r="X633">
        <f t="shared" ca="1" si="84"/>
        <v>0</v>
      </c>
      <c r="Y633">
        <f t="shared" ca="1" si="85"/>
        <v>0</v>
      </c>
      <c r="Z633">
        <f t="shared" ca="1" si="86"/>
        <v>0</v>
      </c>
      <c r="AA633">
        <f t="shared" ca="1" si="87"/>
        <v>0</v>
      </c>
    </row>
    <row r="634" spans="1:27" x14ac:dyDescent="0.25">
      <c r="A634">
        <f t="shared" ca="1" si="80"/>
        <v>0</v>
      </c>
      <c r="B634" t="str">
        <f t="shared" ca="1" si="81"/>
        <v/>
      </c>
      <c r="C634" t="str">
        <f t="shared" si="82"/>
        <v/>
      </c>
      <c r="D634" t="s">
        <v>253</v>
      </c>
      <c r="E634" t="s">
        <v>1028</v>
      </c>
      <c r="F634" s="3" t="s">
        <v>253</v>
      </c>
      <c r="G634" s="11" t="s">
        <v>253</v>
      </c>
      <c r="H634" s="11" t="s">
        <v>253</v>
      </c>
      <c r="I634" s="3" t="s">
        <v>253</v>
      </c>
      <c r="J634" s="3" t="s">
        <v>253</v>
      </c>
      <c r="K634" s="3" t="s">
        <v>253</v>
      </c>
      <c r="L634" s="3" t="s">
        <v>253</v>
      </c>
      <c r="M634" t="str">
        <f>IF(LEN(H634),MATCH(H634,'MPIO_SFIO Table'!$A$11:$A$65525,0)-1,"")</f>
        <v/>
      </c>
      <c r="N634" t="str">
        <f>IF(LEN(I634),MATCH(I634,'MPIO_SFIO Table'!$A$11:$A$65525,0)-1,"")</f>
        <v/>
      </c>
      <c r="O634" t="str">
        <f>IF(LEN(J634),MATCH(J634,'MPIO_SFIO Table'!$A$11:$A$65525,0)-1,"")</f>
        <v/>
      </c>
      <c r="P634" t="str">
        <f>IF(LEN(K634),MATCH(K634,'MPIO_SFIO Table'!$A$11:$A$65525,0)-1,"")</f>
        <v/>
      </c>
      <c r="Q634" t="str">
        <f>IF(LEN(L634),MATCH(L634,'MPIO_SFIO Table'!$A$11:$A$65525,0)-1,"")</f>
        <v/>
      </c>
      <c r="R634" t="str">
        <f ca="1">IF(ISNUMBER(M634),OFFSET('MPIO_SFIO Table'!$AJ$11,M634,0),"")</f>
        <v/>
      </c>
      <c r="S634" t="str">
        <f ca="1">IF(ISNUMBER(N634),OFFSET('MPIO_SFIO Table'!$AJ$11,N634,0),"")</f>
        <v/>
      </c>
      <c r="T634" t="str">
        <f ca="1">IF(ISNUMBER(O634),OFFSET('MPIO_SFIO Table'!$AJ$11,O634,0),"")</f>
        <v/>
      </c>
      <c r="U634" t="str">
        <f ca="1">IF(ISNUMBER(P634),OFFSET('MPIO_SFIO Table'!$AJ$11,P634,0),"")</f>
        <v/>
      </c>
      <c r="V634" t="str">
        <f ca="1">IF(ISNUMBER(Q634),OFFSET('MPIO_SFIO Table'!$AJ$11,Q634,0),"")</f>
        <v/>
      </c>
      <c r="W634">
        <f t="shared" ca="1" si="83"/>
        <v>0</v>
      </c>
      <c r="X634">
        <f t="shared" ca="1" si="84"/>
        <v>0</v>
      </c>
      <c r="Y634">
        <f t="shared" ca="1" si="85"/>
        <v>0</v>
      </c>
      <c r="Z634">
        <f t="shared" ca="1" si="86"/>
        <v>0</v>
      </c>
      <c r="AA634">
        <f t="shared" ca="1" si="87"/>
        <v>0</v>
      </c>
    </row>
    <row r="635" spans="1:27" x14ac:dyDescent="0.25">
      <c r="A635">
        <f t="shared" ca="1" si="80"/>
        <v>0</v>
      </c>
      <c r="B635" t="str">
        <f t="shared" ca="1" si="81"/>
        <v/>
      </c>
      <c r="C635" t="str">
        <f t="shared" si="82"/>
        <v>SDMMC2</v>
      </c>
      <c r="D635" t="s">
        <v>253</v>
      </c>
      <c r="E635" t="s">
        <v>253</v>
      </c>
      <c r="F635" s="3" t="s">
        <v>2895</v>
      </c>
      <c r="G635" s="11" t="s">
        <v>279</v>
      </c>
      <c r="H635" s="11" t="s">
        <v>12</v>
      </c>
      <c r="I635" s="3" t="s">
        <v>253</v>
      </c>
      <c r="J635" s="3" t="s">
        <v>253</v>
      </c>
      <c r="K635" s="3" t="s">
        <v>253</v>
      </c>
      <c r="L635" s="3" t="s">
        <v>253</v>
      </c>
      <c r="M635">
        <f>IF(LEN(H635),MATCH(H635,'MPIO_SFIO Table'!$A$11:$A$65525,0)-1,"")</f>
        <v>4</v>
      </c>
      <c r="N635" t="str">
        <f>IF(LEN(I635),MATCH(I635,'MPIO_SFIO Table'!$A$11:$A$65525,0)-1,"")</f>
        <v/>
      </c>
      <c r="O635" t="str">
        <f>IF(LEN(J635),MATCH(J635,'MPIO_SFIO Table'!$A$11:$A$65525,0)-1,"")</f>
        <v/>
      </c>
      <c r="P635" t="str">
        <f>IF(LEN(K635),MATCH(K635,'MPIO_SFIO Table'!$A$11:$A$65525,0)-1,"")</f>
        <v/>
      </c>
      <c r="Q635" t="str">
        <f>IF(LEN(L635),MATCH(L635,'MPIO_SFIO Table'!$A$11:$A$65525,0)-1,"")</f>
        <v/>
      </c>
      <c r="R635" t="str">
        <f ca="1">IF(ISNUMBER(M635),OFFSET('MPIO_SFIO Table'!$AJ$11,M635,0),"")</f>
        <v>unused_DAP1_FS</v>
      </c>
      <c r="S635" t="str">
        <f ca="1">IF(ISNUMBER(N635),OFFSET('MPIO_SFIO Table'!$AJ$11,N635,0),"")</f>
        <v/>
      </c>
      <c r="T635" t="str">
        <f ca="1">IF(ISNUMBER(O635),OFFSET('MPIO_SFIO Table'!$AJ$11,O635,0),"")</f>
        <v/>
      </c>
      <c r="U635" t="str">
        <f ca="1">IF(ISNUMBER(P635),OFFSET('MPIO_SFIO Table'!$AJ$11,P635,0),"")</f>
        <v/>
      </c>
      <c r="V635" t="str">
        <f ca="1">IF(ISNUMBER(Q635),OFFSET('MPIO_SFIO Table'!$AJ$11,Q635,0),"")</f>
        <v/>
      </c>
      <c r="W635">
        <f t="shared" ca="1" si="83"/>
        <v>0</v>
      </c>
      <c r="X635">
        <f t="shared" ca="1" si="84"/>
        <v>0</v>
      </c>
      <c r="Y635">
        <f t="shared" ca="1" si="85"/>
        <v>0</v>
      </c>
      <c r="Z635">
        <f t="shared" ca="1" si="86"/>
        <v>0</v>
      </c>
      <c r="AA635">
        <f t="shared" ca="1" si="87"/>
        <v>0</v>
      </c>
    </row>
    <row r="636" spans="1:27" x14ac:dyDescent="0.25">
      <c r="A636">
        <f t="shared" ca="1" si="80"/>
        <v>0</v>
      </c>
      <c r="B636" t="str">
        <f t="shared" ca="1" si="81"/>
        <v/>
      </c>
      <c r="C636" t="str">
        <f t="shared" si="82"/>
        <v>SDMMC2</v>
      </c>
      <c r="D636" t="s">
        <v>253</v>
      </c>
      <c r="E636" t="s">
        <v>253</v>
      </c>
      <c r="F636" s="3" t="s">
        <v>2896</v>
      </c>
      <c r="G636" s="11" t="s">
        <v>269</v>
      </c>
      <c r="H636" s="11" t="s">
        <v>10</v>
      </c>
      <c r="I636" s="3" t="s">
        <v>253</v>
      </c>
      <c r="J636" s="3" t="s">
        <v>253</v>
      </c>
      <c r="K636" s="3" t="s">
        <v>253</v>
      </c>
      <c r="L636" s="3" t="s">
        <v>253</v>
      </c>
      <c r="M636">
        <f>IF(LEN(H636),MATCH(H636,'MPIO_SFIO Table'!$A$11:$A$65525,0)-1,"")</f>
        <v>2</v>
      </c>
      <c r="N636" t="str">
        <f>IF(LEN(I636),MATCH(I636,'MPIO_SFIO Table'!$A$11:$A$65525,0)-1,"")</f>
        <v/>
      </c>
      <c r="O636" t="str">
        <f>IF(LEN(J636),MATCH(J636,'MPIO_SFIO Table'!$A$11:$A$65525,0)-1,"")</f>
        <v/>
      </c>
      <c r="P636" t="str">
        <f>IF(LEN(K636),MATCH(K636,'MPIO_SFIO Table'!$A$11:$A$65525,0)-1,"")</f>
        <v/>
      </c>
      <c r="Q636" t="str">
        <f>IF(LEN(L636),MATCH(L636,'MPIO_SFIO Table'!$A$11:$A$65525,0)-1,"")</f>
        <v/>
      </c>
      <c r="R636" t="str">
        <f ca="1">IF(ISNUMBER(M636),OFFSET('MPIO_SFIO Table'!$AJ$11,M636,0),"")</f>
        <v>unused_DAP1_DIN</v>
      </c>
      <c r="S636" t="str">
        <f ca="1">IF(ISNUMBER(N636),OFFSET('MPIO_SFIO Table'!$AJ$11,N636,0),"")</f>
        <v/>
      </c>
      <c r="T636" t="str">
        <f ca="1">IF(ISNUMBER(O636),OFFSET('MPIO_SFIO Table'!$AJ$11,O636,0),"")</f>
        <v/>
      </c>
      <c r="U636" t="str">
        <f ca="1">IF(ISNUMBER(P636),OFFSET('MPIO_SFIO Table'!$AJ$11,P636,0),"")</f>
        <v/>
      </c>
      <c r="V636" t="str">
        <f ca="1">IF(ISNUMBER(Q636),OFFSET('MPIO_SFIO Table'!$AJ$11,Q636,0),"")</f>
        <v/>
      </c>
      <c r="W636">
        <f t="shared" ca="1" si="83"/>
        <v>0</v>
      </c>
      <c r="X636">
        <f t="shared" ca="1" si="84"/>
        <v>0</v>
      </c>
      <c r="Y636">
        <f t="shared" ca="1" si="85"/>
        <v>0</v>
      </c>
      <c r="Z636">
        <f t="shared" ca="1" si="86"/>
        <v>0</v>
      </c>
      <c r="AA636">
        <f t="shared" ca="1" si="87"/>
        <v>0</v>
      </c>
    </row>
    <row r="637" spans="1:27" x14ac:dyDescent="0.25">
      <c r="A637">
        <f t="shared" ca="1" si="80"/>
        <v>0</v>
      </c>
      <c r="B637" t="str">
        <f t="shared" ca="1" si="81"/>
        <v/>
      </c>
      <c r="C637" t="str">
        <f t="shared" si="82"/>
        <v>SDMMC2</v>
      </c>
      <c r="D637" t="s">
        <v>253</v>
      </c>
      <c r="E637" t="s">
        <v>253</v>
      </c>
      <c r="F637" s="3" t="s">
        <v>2897</v>
      </c>
      <c r="G637" s="11" t="s">
        <v>275</v>
      </c>
      <c r="H637" s="11" t="s">
        <v>11</v>
      </c>
      <c r="I637" s="3" t="s">
        <v>253</v>
      </c>
      <c r="J637" s="3" t="s">
        <v>253</v>
      </c>
      <c r="K637" s="3" t="s">
        <v>253</v>
      </c>
      <c r="L637" s="3" t="s">
        <v>253</v>
      </c>
      <c r="M637">
        <f>IF(LEN(H637),MATCH(H637,'MPIO_SFIO Table'!$A$11:$A$65525,0)-1,"")</f>
        <v>3</v>
      </c>
      <c r="N637" t="str">
        <f>IF(LEN(I637),MATCH(I637,'MPIO_SFIO Table'!$A$11:$A$65525,0)-1,"")</f>
        <v/>
      </c>
      <c r="O637" t="str">
        <f>IF(LEN(J637),MATCH(J637,'MPIO_SFIO Table'!$A$11:$A$65525,0)-1,"")</f>
        <v/>
      </c>
      <c r="P637" t="str">
        <f>IF(LEN(K637),MATCH(K637,'MPIO_SFIO Table'!$A$11:$A$65525,0)-1,"")</f>
        <v/>
      </c>
      <c r="Q637" t="str">
        <f>IF(LEN(L637),MATCH(L637,'MPIO_SFIO Table'!$A$11:$A$65525,0)-1,"")</f>
        <v/>
      </c>
      <c r="R637" t="str">
        <f ca="1">IF(ISNUMBER(M637),OFFSET('MPIO_SFIO Table'!$AJ$11,M637,0),"")</f>
        <v>unused_DAP1_DOUT</v>
      </c>
      <c r="S637" t="str">
        <f ca="1">IF(ISNUMBER(N637),OFFSET('MPIO_SFIO Table'!$AJ$11,N637,0),"")</f>
        <v/>
      </c>
      <c r="T637" t="str">
        <f ca="1">IF(ISNUMBER(O637),OFFSET('MPIO_SFIO Table'!$AJ$11,O637,0),"")</f>
        <v/>
      </c>
      <c r="U637" t="str">
        <f ca="1">IF(ISNUMBER(P637),OFFSET('MPIO_SFIO Table'!$AJ$11,P637,0),"")</f>
        <v/>
      </c>
      <c r="V637" t="str">
        <f ca="1">IF(ISNUMBER(Q637),OFFSET('MPIO_SFIO Table'!$AJ$11,Q637,0),"")</f>
        <v/>
      </c>
      <c r="W637">
        <f t="shared" ca="1" si="83"/>
        <v>0</v>
      </c>
      <c r="X637">
        <f t="shared" ca="1" si="84"/>
        <v>0</v>
      </c>
      <c r="Y637">
        <f t="shared" ca="1" si="85"/>
        <v>0</v>
      </c>
      <c r="Z637">
        <f t="shared" ca="1" si="86"/>
        <v>0</v>
      </c>
      <c r="AA637">
        <f t="shared" ca="1" si="87"/>
        <v>0</v>
      </c>
    </row>
    <row r="638" spans="1:27" x14ac:dyDescent="0.25">
      <c r="A638">
        <f t="shared" ca="1" si="80"/>
        <v>0</v>
      </c>
      <c r="B638" t="str">
        <f t="shared" ca="1" si="81"/>
        <v/>
      </c>
      <c r="C638" t="str">
        <f t="shared" si="82"/>
        <v>SDMMC2</v>
      </c>
      <c r="D638" t="s">
        <v>253</v>
      </c>
      <c r="E638" t="s">
        <v>253</v>
      </c>
      <c r="F638" s="3" t="s">
        <v>2898</v>
      </c>
      <c r="G638" s="11" t="s">
        <v>303</v>
      </c>
      <c r="H638" s="11" t="s">
        <v>19</v>
      </c>
      <c r="I638" s="3" t="s">
        <v>253</v>
      </c>
      <c r="J638" s="3" t="s">
        <v>253</v>
      </c>
      <c r="K638" s="3" t="s">
        <v>253</v>
      </c>
      <c r="L638" s="3" t="s">
        <v>253</v>
      </c>
      <c r="M638">
        <f>IF(LEN(H638),MATCH(H638,'MPIO_SFIO Table'!$A$11:$A$65525,0)-1,"")</f>
        <v>11</v>
      </c>
      <c r="N638" t="str">
        <f>IF(LEN(I638),MATCH(I638,'MPIO_SFIO Table'!$A$11:$A$65525,0)-1,"")</f>
        <v/>
      </c>
      <c r="O638" t="str">
        <f>IF(LEN(J638),MATCH(J638,'MPIO_SFIO Table'!$A$11:$A$65525,0)-1,"")</f>
        <v/>
      </c>
      <c r="P638" t="str">
        <f>IF(LEN(K638),MATCH(K638,'MPIO_SFIO Table'!$A$11:$A$65525,0)-1,"")</f>
        <v/>
      </c>
      <c r="Q638" t="str">
        <f>IF(LEN(L638),MATCH(L638,'MPIO_SFIO Table'!$A$11:$A$65525,0)-1,"")</f>
        <v/>
      </c>
      <c r="R638" t="str">
        <f ca="1">IF(ISNUMBER(M638),OFFSET('MPIO_SFIO Table'!$AJ$11,M638,0),"")</f>
        <v>unused_SPDIF_OUT</v>
      </c>
      <c r="S638" t="str">
        <f ca="1">IF(ISNUMBER(N638),OFFSET('MPIO_SFIO Table'!$AJ$11,N638,0),"")</f>
        <v/>
      </c>
      <c r="T638" t="str">
        <f ca="1">IF(ISNUMBER(O638),OFFSET('MPIO_SFIO Table'!$AJ$11,O638,0),"")</f>
        <v/>
      </c>
      <c r="U638" t="str">
        <f ca="1">IF(ISNUMBER(P638),OFFSET('MPIO_SFIO Table'!$AJ$11,P638,0),"")</f>
        <v/>
      </c>
      <c r="V638" t="str">
        <f ca="1">IF(ISNUMBER(Q638),OFFSET('MPIO_SFIO Table'!$AJ$11,Q638,0),"")</f>
        <v/>
      </c>
      <c r="W638">
        <f t="shared" ca="1" si="83"/>
        <v>0</v>
      </c>
      <c r="X638">
        <f t="shared" ca="1" si="84"/>
        <v>0</v>
      </c>
      <c r="Y638">
        <f t="shared" ca="1" si="85"/>
        <v>0</v>
      </c>
      <c r="Z638">
        <f t="shared" ca="1" si="86"/>
        <v>0</v>
      </c>
      <c r="AA638">
        <f t="shared" ca="1" si="87"/>
        <v>0</v>
      </c>
    </row>
    <row r="639" spans="1:27" x14ac:dyDescent="0.25">
      <c r="A639">
        <f t="shared" ca="1" si="80"/>
        <v>0</v>
      </c>
      <c r="B639" t="str">
        <f t="shared" ca="1" si="81"/>
        <v/>
      </c>
      <c r="C639" t="str">
        <f t="shared" si="82"/>
        <v>SDMMC2</v>
      </c>
      <c r="D639" t="s">
        <v>253</v>
      </c>
      <c r="E639" t="s">
        <v>253</v>
      </c>
      <c r="F639" s="3" t="s">
        <v>2899</v>
      </c>
      <c r="G639" s="11" t="s">
        <v>299</v>
      </c>
      <c r="H639" s="11" t="s">
        <v>18</v>
      </c>
      <c r="I639" s="3" t="s">
        <v>253</v>
      </c>
      <c r="J639" s="3" t="s">
        <v>253</v>
      </c>
      <c r="K639" s="3" t="s">
        <v>253</v>
      </c>
      <c r="L639" s="3" t="s">
        <v>253</v>
      </c>
      <c r="M639">
        <f>IF(LEN(H639),MATCH(H639,'MPIO_SFIO Table'!$A$11:$A$65525,0)-1,"")</f>
        <v>10</v>
      </c>
      <c r="N639" t="str">
        <f>IF(LEN(I639),MATCH(I639,'MPIO_SFIO Table'!$A$11:$A$65525,0)-1,"")</f>
        <v/>
      </c>
      <c r="O639" t="str">
        <f>IF(LEN(J639),MATCH(J639,'MPIO_SFIO Table'!$A$11:$A$65525,0)-1,"")</f>
        <v/>
      </c>
      <c r="P639" t="str">
        <f>IF(LEN(K639),MATCH(K639,'MPIO_SFIO Table'!$A$11:$A$65525,0)-1,"")</f>
        <v/>
      </c>
      <c r="Q639" t="str">
        <f>IF(LEN(L639),MATCH(L639,'MPIO_SFIO Table'!$A$11:$A$65525,0)-1,"")</f>
        <v/>
      </c>
      <c r="R639" t="str">
        <f ca="1">IF(ISNUMBER(M639),OFFSET('MPIO_SFIO Table'!$AJ$11,M639,0),"")</f>
        <v>unused_SPDIF_IN</v>
      </c>
      <c r="S639" t="str">
        <f ca="1">IF(ISNUMBER(N639),OFFSET('MPIO_SFIO Table'!$AJ$11,N639,0),"")</f>
        <v/>
      </c>
      <c r="T639" t="str">
        <f ca="1">IF(ISNUMBER(O639),OFFSET('MPIO_SFIO Table'!$AJ$11,O639,0),"")</f>
        <v/>
      </c>
      <c r="U639" t="str">
        <f ca="1">IF(ISNUMBER(P639),OFFSET('MPIO_SFIO Table'!$AJ$11,P639,0),"")</f>
        <v/>
      </c>
      <c r="V639" t="str">
        <f ca="1">IF(ISNUMBER(Q639),OFFSET('MPIO_SFIO Table'!$AJ$11,Q639,0),"")</f>
        <v/>
      </c>
      <c r="W639">
        <f t="shared" ca="1" si="83"/>
        <v>0</v>
      </c>
      <c r="X639">
        <f t="shared" ca="1" si="84"/>
        <v>0</v>
      </c>
      <c r="Y639">
        <f t="shared" ca="1" si="85"/>
        <v>0</v>
      </c>
      <c r="Z639">
        <f t="shared" ca="1" si="86"/>
        <v>0</v>
      </c>
      <c r="AA639">
        <f t="shared" ca="1" si="87"/>
        <v>0</v>
      </c>
    </row>
    <row r="640" spans="1:27" x14ac:dyDescent="0.25">
      <c r="A640">
        <f t="shared" ca="1" si="80"/>
        <v>0</v>
      </c>
      <c r="B640" t="str">
        <f t="shared" ca="1" si="81"/>
        <v/>
      </c>
      <c r="C640" t="str">
        <f t="shared" si="82"/>
        <v>SDMMC2</v>
      </c>
      <c r="D640" t="s">
        <v>253</v>
      </c>
      <c r="E640" t="s">
        <v>253</v>
      </c>
      <c r="F640" s="3" t="s">
        <v>2820</v>
      </c>
      <c r="G640" s="11" t="s">
        <v>283</v>
      </c>
      <c r="H640" s="11" t="s">
        <v>13</v>
      </c>
      <c r="I640" s="3" t="s">
        <v>253</v>
      </c>
      <c r="J640" s="3" t="s">
        <v>253</v>
      </c>
      <c r="K640" s="3" t="s">
        <v>253</v>
      </c>
      <c r="L640" s="3" t="s">
        <v>253</v>
      </c>
      <c r="M640">
        <f>IF(LEN(H640),MATCH(H640,'MPIO_SFIO Table'!$A$11:$A$65525,0)-1,"")</f>
        <v>5</v>
      </c>
      <c r="N640" t="str">
        <f>IF(LEN(I640),MATCH(I640,'MPIO_SFIO Table'!$A$11:$A$65525,0)-1,"")</f>
        <v/>
      </c>
      <c r="O640" t="str">
        <f>IF(LEN(J640),MATCH(J640,'MPIO_SFIO Table'!$A$11:$A$65525,0)-1,"")</f>
        <v/>
      </c>
      <c r="P640" t="str">
        <f>IF(LEN(K640),MATCH(K640,'MPIO_SFIO Table'!$A$11:$A$65525,0)-1,"")</f>
        <v/>
      </c>
      <c r="Q640" t="str">
        <f>IF(LEN(L640),MATCH(L640,'MPIO_SFIO Table'!$A$11:$A$65525,0)-1,"")</f>
        <v/>
      </c>
      <c r="R640" t="str">
        <f ca="1">IF(ISNUMBER(M640),OFFSET('MPIO_SFIO Table'!$AJ$11,M640,0),"")</f>
        <v>unused_DAP1_SCLK</v>
      </c>
      <c r="S640" t="str">
        <f ca="1">IF(ISNUMBER(N640),OFFSET('MPIO_SFIO Table'!$AJ$11,N640,0),"")</f>
        <v/>
      </c>
      <c r="T640" t="str">
        <f ca="1">IF(ISNUMBER(O640),OFFSET('MPIO_SFIO Table'!$AJ$11,O640,0),"")</f>
        <v/>
      </c>
      <c r="U640" t="str">
        <f ca="1">IF(ISNUMBER(P640),OFFSET('MPIO_SFIO Table'!$AJ$11,P640,0),"")</f>
        <v/>
      </c>
      <c r="V640" t="str">
        <f ca="1">IF(ISNUMBER(Q640),OFFSET('MPIO_SFIO Table'!$AJ$11,Q640,0),"")</f>
        <v/>
      </c>
      <c r="W640">
        <f t="shared" ca="1" si="83"/>
        <v>0</v>
      </c>
      <c r="X640">
        <f t="shared" ca="1" si="84"/>
        <v>0</v>
      </c>
      <c r="Y640">
        <f t="shared" ca="1" si="85"/>
        <v>0</v>
      </c>
      <c r="Z640">
        <f t="shared" ca="1" si="86"/>
        <v>0</v>
      </c>
      <c r="AA640">
        <f t="shared" ca="1" si="87"/>
        <v>0</v>
      </c>
    </row>
    <row r="641" spans="1:27" x14ac:dyDescent="0.25">
      <c r="A641">
        <f t="shared" ca="1" si="80"/>
        <v>0</v>
      </c>
      <c r="B641" t="str">
        <f t="shared" ca="1" si="81"/>
        <v/>
      </c>
      <c r="C641" t="str">
        <f t="shared" si="82"/>
        <v/>
      </c>
      <c r="D641" t="s">
        <v>1237</v>
      </c>
      <c r="E641" t="s">
        <v>1046</v>
      </c>
      <c r="F641" s="3" t="s">
        <v>253</v>
      </c>
      <c r="G641" s="11" t="s">
        <v>253</v>
      </c>
      <c r="H641" s="11" t="s">
        <v>253</v>
      </c>
      <c r="I641" s="3" t="s">
        <v>253</v>
      </c>
      <c r="J641" s="3" t="s">
        <v>253</v>
      </c>
      <c r="K641" s="3" t="s">
        <v>253</v>
      </c>
      <c r="L641" s="3" t="s">
        <v>253</v>
      </c>
      <c r="M641" t="str">
        <f>IF(LEN(H641),MATCH(H641,'MPIO_SFIO Table'!$A$11:$A$65525,0)-1,"")</f>
        <v/>
      </c>
      <c r="N641" t="str">
        <f>IF(LEN(I641),MATCH(I641,'MPIO_SFIO Table'!$A$11:$A$65525,0)-1,"")</f>
        <v/>
      </c>
      <c r="O641" t="str">
        <f>IF(LEN(J641),MATCH(J641,'MPIO_SFIO Table'!$A$11:$A$65525,0)-1,"")</f>
        <v/>
      </c>
      <c r="P641" t="str">
        <f>IF(LEN(K641),MATCH(K641,'MPIO_SFIO Table'!$A$11:$A$65525,0)-1,"")</f>
        <v/>
      </c>
      <c r="Q641" t="str">
        <f>IF(LEN(L641),MATCH(L641,'MPIO_SFIO Table'!$A$11:$A$65525,0)-1,"")</f>
        <v/>
      </c>
      <c r="R641" t="str">
        <f ca="1">IF(ISNUMBER(M641),OFFSET('MPIO_SFIO Table'!$AJ$11,M641,0),"")</f>
        <v/>
      </c>
      <c r="S641" t="str">
        <f ca="1">IF(ISNUMBER(N641),OFFSET('MPIO_SFIO Table'!$AJ$11,N641,0),"")</f>
        <v/>
      </c>
      <c r="T641" t="str">
        <f ca="1">IF(ISNUMBER(O641),OFFSET('MPIO_SFIO Table'!$AJ$11,O641,0),"")</f>
        <v/>
      </c>
      <c r="U641" t="str">
        <f ca="1">IF(ISNUMBER(P641),OFFSET('MPIO_SFIO Table'!$AJ$11,P641,0),"")</f>
        <v/>
      </c>
      <c r="V641" t="str">
        <f ca="1">IF(ISNUMBER(Q641),OFFSET('MPIO_SFIO Table'!$AJ$11,Q641,0),"")</f>
        <v/>
      </c>
      <c r="W641">
        <f t="shared" ca="1" si="83"/>
        <v>0</v>
      </c>
      <c r="X641">
        <f t="shared" ca="1" si="84"/>
        <v>0</v>
      </c>
      <c r="Y641">
        <f t="shared" ca="1" si="85"/>
        <v>0</v>
      </c>
      <c r="Z641">
        <f t="shared" ca="1" si="86"/>
        <v>0</v>
      </c>
      <c r="AA641">
        <f t="shared" ca="1" si="87"/>
        <v>0</v>
      </c>
    </row>
    <row r="642" spans="1:27" x14ac:dyDescent="0.25">
      <c r="A642">
        <f t="shared" ca="1" si="80"/>
        <v>0</v>
      </c>
      <c r="B642" t="str">
        <f t="shared" ca="1" si="81"/>
        <v/>
      </c>
      <c r="C642" t="str">
        <f t="shared" si="82"/>
        <v>SDMMC3</v>
      </c>
      <c r="D642" t="s">
        <v>253</v>
      </c>
      <c r="E642" t="s">
        <v>253</v>
      </c>
      <c r="F642" s="3" t="s">
        <v>2895</v>
      </c>
      <c r="G642" s="11" t="s">
        <v>599</v>
      </c>
      <c r="H642" s="11" t="s">
        <v>163</v>
      </c>
      <c r="I642" s="3" t="s">
        <v>253</v>
      </c>
      <c r="J642" s="3" t="s">
        <v>253</v>
      </c>
      <c r="K642" s="3" t="s">
        <v>253</v>
      </c>
      <c r="L642" s="3" t="s">
        <v>253</v>
      </c>
      <c r="M642">
        <f>IF(LEN(H642),MATCH(H642,'MPIO_SFIO Table'!$A$11:$A$65525,0)-1,"")</f>
        <v>164</v>
      </c>
      <c r="N642" t="str">
        <f>IF(LEN(I642),MATCH(I642,'MPIO_SFIO Table'!$A$11:$A$65525,0)-1,"")</f>
        <v/>
      </c>
      <c r="O642" t="str">
        <f>IF(LEN(J642),MATCH(J642,'MPIO_SFIO Table'!$A$11:$A$65525,0)-1,"")</f>
        <v/>
      </c>
      <c r="P642" t="str">
        <f>IF(LEN(K642),MATCH(K642,'MPIO_SFIO Table'!$A$11:$A$65525,0)-1,"")</f>
        <v/>
      </c>
      <c r="Q642" t="str">
        <f>IF(LEN(L642),MATCH(L642,'MPIO_SFIO Table'!$A$11:$A$65525,0)-1,"")</f>
        <v/>
      </c>
      <c r="R642" t="str">
        <f ca="1">IF(ISNUMBER(M642),OFFSET('MPIO_SFIO Table'!$AJ$11,M642,0),"")</f>
        <v>unused_SDMMC3_CMD</v>
      </c>
      <c r="S642" t="str">
        <f ca="1">IF(ISNUMBER(N642),OFFSET('MPIO_SFIO Table'!$AJ$11,N642,0),"")</f>
        <v/>
      </c>
      <c r="T642" t="str">
        <f ca="1">IF(ISNUMBER(O642),OFFSET('MPIO_SFIO Table'!$AJ$11,O642,0),"")</f>
        <v/>
      </c>
      <c r="U642" t="str">
        <f ca="1">IF(ISNUMBER(P642),OFFSET('MPIO_SFIO Table'!$AJ$11,P642,0),"")</f>
        <v/>
      </c>
      <c r="V642" t="str">
        <f ca="1">IF(ISNUMBER(Q642),OFFSET('MPIO_SFIO Table'!$AJ$11,Q642,0),"")</f>
        <v/>
      </c>
      <c r="W642">
        <f t="shared" ca="1" si="83"/>
        <v>0</v>
      </c>
      <c r="X642">
        <f t="shared" ca="1" si="84"/>
        <v>0</v>
      </c>
      <c r="Y642">
        <f t="shared" ca="1" si="85"/>
        <v>0</v>
      </c>
      <c r="Z642">
        <f t="shared" ca="1" si="86"/>
        <v>0</v>
      </c>
      <c r="AA642">
        <f t="shared" ca="1" si="87"/>
        <v>0</v>
      </c>
    </row>
    <row r="643" spans="1:27" x14ac:dyDescent="0.25">
      <c r="A643">
        <f t="shared" ca="1" si="80"/>
        <v>0</v>
      </c>
      <c r="B643" t="str">
        <f t="shared" ca="1" si="81"/>
        <v/>
      </c>
      <c r="C643" t="str">
        <f t="shared" si="82"/>
        <v>SDMMC3</v>
      </c>
      <c r="D643" t="s">
        <v>253</v>
      </c>
      <c r="E643" t="s">
        <v>253</v>
      </c>
      <c r="F643" s="3" t="s">
        <v>2896</v>
      </c>
      <c r="G643" s="11" t="s">
        <v>600</v>
      </c>
      <c r="H643" s="11" t="s">
        <v>164</v>
      </c>
      <c r="I643" s="3" t="s">
        <v>253</v>
      </c>
      <c r="J643" s="3" t="s">
        <v>253</v>
      </c>
      <c r="K643" s="3" t="s">
        <v>253</v>
      </c>
      <c r="L643" s="3" t="s">
        <v>253</v>
      </c>
      <c r="M643">
        <f>IF(LEN(H643),MATCH(H643,'MPIO_SFIO Table'!$A$11:$A$65525,0)-1,"")</f>
        <v>165</v>
      </c>
      <c r="N643" t="str">
        <f>IF(LEN(I643),MATCH(I643,'MPIO_SFIO Table'!$A$11:$A$65525,0)-1,"")</f>
        <v/>
      </c>
      <c r="O643" t="str">
        <f>IF(LEN(J643),MATCH(J643,'MPIO_SFIO Table'!$A$11:$A$65525,0)-1,"")</f>
        <v/>
      </c>
      <c r="P643" t="str">
        <f>IF(LEN(K643),MATCH(K643,'MPIO_SFIO Table'!$A$11:$A$65525,0)-1,"")</f>
        <v/>
      </c>
      <c r="Q643" t="str">
        <f>IF(LEN(L643),MATCH(L643,'MPIO_SFIO Table'!$A$11:$A$65525,0)-1,"")</f>
        <v/>
      </c>
      <c r="R643" t="str">
        <f ca="1">IF(ISNUMBER(M643),OFFSET('MPIO_SFIO Table'!$AJ$11,M643,0),"")</f>
        <v>unused_SDMMC3_DAT0</v>
      </c>
      <c r="S643" t="str">
        <f ca="1">IF(ISNUMBER(N643),OFFSET('MPIO_SFIO Table'!$AJ$11,N643,0),"")</f>
        <v/>
      </c>
      <c r="T643" t="str">
        <f ca="1">IF(ISNUMBER(O643),OFFSET('MPIO_SFIO Table'!$AJ$11,O643,0),"")</f>
        <v/>
      </c>
      <c r="U643" t="str">
        <f ca="1">IF(ISNUMBER(P643),OFFSET('MPIO_SFIO Table'!$AJ$11,P643,0),"")</f>
        <v/>
      </c>
      <c r="V643" t="str">
        <f ca="1">IF(ISNUMBER(Q643),OFFSET('MPIO_SFIO Table'!$AJ$11,Q643,0),"")</f>
        <v/>
      </c>
      <c r="W643">
        <f t="shared" ca="1" si="83"/>
        <v>0</v>
      </c>
      <c r="X643">
        <f t="shared" ca="1" si="84"/>
        <v>0</v>
      </c>
      <c r="Y643">
        <f t="shared" ca="1" si="85"/>
        <v>0</v>
      </c>
      <c r="Z643">
        <f t="shared" ca="1" si="86"/>
        <v>0</v>
      </c>
      <c r="AA643">
        <f t="shared" ca="1" si="87"/>
        <v>0</v>
      </c>
    </row>
    <row r="644" spans="1:27" x14ac:dyDescent="0.25">
      <c r="A644">
        <f t="shared" ca="1" si="80"/>
        <v>0</v>
      </c>
      <c r="B644" t="str">
        <f t="shared" ca="1" si="81"/>
        <v/>
      </c>
      <c r="C644" t="str">
        <f t="shared" si="82"/>
        <v>SDMMC3</v>
      </c>
      <c r="D644" t="s">
        <v>253</v>
      </c>
      <c r="E644" t="s">
        <v>253</v>
      </c>
      <c r="F644" s="3" t="s">
        <v>2897</v>
      </c>
      <c r="G644" s="11" t="s">
        <v>601</v>
      </c>
      <c r="H644" s="11" t="s">
        <v>165</v>
      </c>
      <c r="I644" s="3" t="s">
        <v>253</v>
      </c>
      <c r="J644" s="3" t="s">
        <v>253</v>
      </c>
      <c r="K644" s="3" t="s">
        <v>253</v>
      </c>
      <c r="L644" s="3" t="s">
        <v>253</v>
      </c>
      <c r="M644">
        <f>IF(LEN(H644),MATCH(H644,'MPIO_SFIO Table'!$A$11:$A$65525,0)-1,"")</f>
        <v>166</v>
      </c>
      <c r="N644" t="str">
        <f>IF(LEN(I644),MATCH(I644,'MPIO_SFIO Table'!$A$11:$A$65525,0)-1,"")</f>
        <v/>
      </c>
      <c r="O644" t="str">
        <f>IF(LEN(J644),MATCH(J644,'MPIO_SFIO Table'!$A$11:$A$65525,0)-1,"")</f>
        <v/>
      </c>
      <c r="P644" t="str">
        <f>IF(LEN(K644),MATCH(K644,'MPIO_SFIO Table'!$A$11:$A$65525,0)-1,"")</f>
        <v/>
      </c>
      <c r="Q644" t="str">
        <f>IF(LEN(L644),MATCH(L644,'MPIO_SFIO Table'!$A$11:$A$65525,0)-1,"")</f>
        <v/>
      </c>
      <c r="R644" t="str">
        <f ca="1">IF(ISNUMBER(M644),OFFSET('MPIO_SFIO Table'!$AJ$11,M644,0),"")</f>
        <v>unused_SDMMC3_DAT1</v>
      </c>
      <c r="S644" t="str">
        <f ca="1">IF(ISNUMBER(N644),OFFSET('MPIO_SFIO Table'!$AJ$11,N644,0),"")</f>
        <v/>
      </c>
      <c r="T644" t="str">
        <f ca="1">IF(ISNUMBER(O644),OFFSET('MPIO_SFIO Table'!$AJ$11,O644,0),"")</f>
        <v/>
      </c>
      <c r="U644" t="str">
        <f ca="1">IF(ISNUMBER(P644),OFFSET('MPIO_SFIO Table'!$AJ$11,P644,0),"")</f>
        <v/>
      </c>
      <c r="V644" t="str">
        <f ca="1">IF(ISNUMBER(Q644),OFFSET('MPIO_SFIO Table'!$AJ$11,Q644,0),"")</f>
        <v/>
      </c>
      <c r="W644">
        <f t="shared" ca="1" si="83"/>
        <v>0</v>
      </c>
      <c r="X644">
        <f t="shared" ca="1" si="84"/>
        <v>0</v>
      </c>
      <c r="Y644">
        <f t="shared" ca="1" si="85"/>
        <v>0</v>
      </c>
      <c r="Z644">
        <f t="shared" ca="1" si="86"/>
        <v>0</v>
      </c>
      <c r="AA644">
        <f t="shared" ca="1" si="87"/>
        <v>0</v>
      </c>
    </row>
    <row r="645" spans="1:27" x14ac:dyDescent="0.25">
      <c r="A645">
        <f t="shared" ca="1" si="80"/>
        <v>0</v>
      </c>
      <c r="B645" t="str">
        <f t="shared" ca="1" si="81"/>
        <v/>
      </c>
      <c r="C645" t="str">
        <f t="shared" si="82"/>
        <v>SDMMC3</v>
      </c>
      <c r="D645" t="s">
        <v>253</v>
      </c>
      <c r="E645" t="s">
        <v>253</v>
      </c>
      <c r="F645" s="3" t="s">
        <v>2898</v>
      </c>
      <c r="G645" s="11" t="s">
        <v>602</v>
      </c>
      <c r="H645" s="11" t="s">
        <v>166</v>
      </c>
      <c r="I645" s="3" t="s">
        <v>253</v>
      </c>
      <c r="J645" s="3" t="s">
        <v>253</v>
      </c>
      <c r="K645" s="3" t="s">
        <v>253</v>
      </c>
      <c r="L645" s="3" t="s">
        <v>253</v>
      </c>
      <c r="M645">
        <f>IF(LEN(H645),MATCH(H645,'MPIO_SFIO Table'!$A$11:$A$65525,0)-1,"")</f>
        <v>167</v>
      </c>
      <c r="N645" t="str">
        <f>IF(LEN(I645),MATCH(I645,'MPIO_SFIO Table'!$A$11:$A$65525,0)-1,"")</f>
        <v/>
      </c>
      <c r="O645" t="str">
        <f>IF(LEN(J645),MATCH(J645,'MPIO_SFIO Table'!$A$11:$A$65525,0)-1,"")</f>
        <v/>
      </c>
      <c r="P645" t="str">
        <f>IF(LEN(K645),MATCH(K645,'MPIO_SFIO Table'!$A$11:$A$65525,0)-1,"")</f>
        <v/>
      </c>
      <c r="Q645" t="str">
        <f>IF(LEN(L645),MATCH(L645,'MPIO_SFIO Table'!$A$11:$A$65525,0)-1,"")</f>
        <v/>
      </c>
      <c r="R645" t="str">
        <f ca="1">IF(ISNUMBER(M645),OFFSET('MPIO_SFIO Table'!$AJ$11,M645,0),"")</f>
        <v>unused_SDMMC3_DAT2</v>
      </c>
      <c r="S645" t="str">
        <f ca="1">IF(ISNUMBER(N645),OFFSET('MPIO_SFIO Table'!$AJ$11,N645,0),"")</f>
        <v/>
      </c>
      <c r="T645" t="str">
        <f ca="1">IF(ISNUMBER(O645),OFFSET('MPIO_SFIO Table'!$AJ$11,O645,0),"")</f>
        <v/>
      </c>
      <c r="U645" t="str">
        <f ca="1">IF(ISNUMBER(P645),OFFSET('MPIO_SFIO Table'!$AJ$11,P645,0),"")</f>
        <v/>
      </c>
      <c r="V645" t="str">
        <f ca="1">IF(ISNUMBER(Q645),OFFSET('MPIO_SFIO Table'!$AJ$11,Q645,0),"")</f>
        <v/>
      </c>
      <c r="W645">
        <f t="shared" ca="1" si="83"/>
        <v>0</v>
      </c>
      <c r="X645">
        <f t="shared" ca="1" si="84"/>
        <v>0</v>
      </c>
      <c r="Y645">
        <f t="shared" ca="1" si="85"/>
        <v>0</v>
      </c>
      <c r="Z645">
        <f t="shared" ca="1" si="86"/>
        <v>0</v>
      </c>
      <c r="AA645">
        <f t="shared" ca="1" si="87"/>
        <v>0</v>
      </c>
    </row>
    <row r="646" spans="1:27" x14ac:dyDescent="0.25">
      <c r="A646">
        <f t="shared" ca="1" si="80"/>
        <v>0</v>
      </c>
      <c r="B646" t="str">
        <f t="shared" ca="1" si="81"/>
        <v/>
      </c>
      <c r="C646" t="str">
        <f t="shared" si="82"/>
        <v>SDMMC3</v>
      </c>
      <c r="D646" t="s">
        <v>253</v>
      </c>
      <c r="E646" t="s">
        <v>253</v>
      </c>
      <c r="F646" s="3" t="s">
        <v>2899</v>
      </c>
      <c r="G646" s="11" t="s">
        <v>603</v>
      </c>
      <c r="H646" s="11" t="s">
        <v>167</v>
      </c>
      <c r="I646" s="3" t="s">
        <v>253</v>
      </c>
      <c r="J646" s="3" t="s">
        <v>253</v>
      </c>
      <c r="K646" s="3" t="s">
        <v>253</v>
      </c>
      <c r="L646" s="3" t="s">
        <v>253</v>
      </c>
      <c r="M646">
        <f>IF(LEN(H646),MATCH(H646,'MPIO_SFIO Table'!$A$11:$A$65525,0)-1,"")</f>
        <v>168</v>
      </c>
      <c r="N646" t="str">
        <f>IF(LEN(I646),MATCH(I646,'MPIO_SFIO Table'!$A$11:$A$65525,0)-1,"")</f>
        <v/>
      </c>
      <c r="O646" t="str">
        <f>IF(LEN(J646),MATCH(J646,'MPIO_SFIO Table'!$A$11:$A$65525,0)-1,"")</f>
        <v/>
      </c>
      <c r="P646" t="str">
        <f>IF(LEN(K646),MATCH(K646,'MPIO_SFIO Table'!$A$11:$A$65525,0)-1,"")</f>
        <v/>
      </c>
      <c r="Q646" t="str">
        <f>IF(LEN(L646),MATCH(L646,'MPIO_SFIO Table'!$A$11:$A$65525,0)-1,"")</f>
        <v/>
      </c>
      <c r="R646" t="str">
        <f ca="1">IF(ISNUMBER(M646),OFFSET('MPIO_SFIO Table'!$AJ$11,M646,0),"")</f>
        <v>unused_SDMMC3_DAT3</v>
      </c>
      <c r="S646" t="str">
        <f ca="1">IF(ISNUMBER(N646),OFFSET('MPIO_SFIO Table'!$AJ$11,N646,0),"")</f>
        <v/>
      </c>
      <c r="T646" t="str">
        <f ca="1">IF(ISNUMBER(O646),OFFSET('MPIO_SFIO Table'!$AJ$11,O646,0),"")</f>
        <v/>
      </c>
      <c r="U646" t="str">
        <f ca="1">IF(ISNUMBER(P646),OFFSET('MPIO_SFIO Table'!$AJ$11,P646,0),"")</f>
        <v/>
      </c>
      <c r="V646" t="str">
        <f ca="1">IF(ISNUMBER(Q646),OFFSET('MPIO_SFIO Table'!$AJ$11,Q646,0),"")</f>
        <v/>
      </c>
      <c r="W646">
        <f t="shared" ca="1" si="83"/>
        <v>0</v>
      </c>
      <c r="X646">
        <f t="shared" ca="1" si="84"/>
        <v>0</v>
      </c>
      <c r="Y646">
        <f t="shared" ca="1" si="85"/>
        <v>0</v>
      </c>
      <c r="Z646">
        <f t="shared" ca="1" si="86"/>
        <v>0</v>
      </c>
      <c r="AA646">
        <f t="shared" ca="1" si="87"/>
        <v>0</v>
      </c>
    </row>
    <row r="647" spans="1:27" x14ac:dyDescent="0.25">
      <c r="A647">
        <f t="shared" ca="1" si="80"/>
        <v>0</v>
      </c>
      <c r="B647" t="str">
        <f t="shared" ca="1" si="81"/>
        <v/>
      </c>
      <c r="C647" t="str">
        <f t="shared" si="82"/>
        <v>SDMMC3</v>
      </c>
      <c r="D647" t="s">
        <v>253</v>
      </c>
      <c r="E647" t="s">
        <v>253</v>
      </c>
      <c r="F647" s="3" t="s">
        <v>2900</v>
      </c>
      <c r="G647" s="11" t="s">
        <v>604</v>
      </c>
      <c r="H647" s="11" t="s">
        <v>168</v>
      </c>
      <c r="I647" s="3" t="s">
        <v>253</v>
      </c>
      <c r="J647" s="3" t="s">
        <v>253</v>
      </c>
      <c r="K647" s="3" t="s">
        <v>253</v>
      </c>
      <c r="L647" s="3" t="s">
        <v>253</v>
      </c>
      <c r="M647">
        <f>IF(LEN(H647),MATCH(H647,'MPIO_SFIO Table'!$A$11:$A$65525,0)-1,"")</f>
        <v>169</v>
      </c>
      <c r="N647" t="str">
        <f>IF(LEN(I647),MATCH(I647,'MPIO_SFIO Table'!$A$11:$A$65525,0)-1,"")</f>
        <v/>
      </c>
      <c r="O647" t="str">
        <f>IF(LEN(J647),MATCH(J647,'MPIO_SFIO Table'!$A$11:$A$65525,0)-1,"")</f>
        <v/>
      </c>
      <c r="P647" t="str">
        <f>IF(LEN(K647),MATCH(K647,'MPIO_SFIO Table'!$A$11:$A$65525,0)-1,"")</f>
        <v/>
      </c>
      <c r="Q647" t="str">
        <f>IF(LEN(L647),MATCH(L647,'MPIO_SFIO Table'!$A$11:$A$65525,0)-1,"")</f>
        <v/>
      </c>
      <c r="R647" t="str">
        <f ca="1">IF(ISNUMBER(M647),OFFSET('MPIO_SFIO Table'!$AJ$11,M647,0),"")</f>
        <v>unused_SDMMC3_DAT4</v>
      </c>
      <c r="S647" t="str">
        <f ca="1">IF(ISNUMBER(N647),OFFSET('MPIO_SFIO Table'!$AJ$11,N647,0),"")</f>
        <v/>
      </c>
      <c r="T647" t="str">
        <f ca="1">IF(ISNUMBER(O647),OFFSET('MPIO_SFIO Table'!$AJ$11,O647,0),"")</f>
        <v/>
      </c>
      <c r="U647" t="str">
        <f ca="1">IF(ISNUMBER(P647),OFFSET('MPIO_SFIO Table'!$AJ$11,P647,0),"")</f>
        <v/>
      </c>
      <c r="V647" t="str">
        <f ca="1">IF(ISNUMBER(Q647),OFFSET('MPIO_SFIO Table'!$AJ$11,Q647,0),"")</f>
        <v/>
      </c>
      <c r="W647">
        <f t="shared" ca="1" si="83"/>
        <v>0</v>
      </c>
      <c r="X647">
        <f t="shared" ca="1" si="84"/>
        <v>0</v>
      </c>
      <c r="Y647">
        <f t="shared" ca="1" si="85"/>
        <v>0</v>
      </c>
      <c r="Z647">
        <f t="shared" ca="1" si="86"/>
        <v>0</v>
      </c>
      <c r="AA647">
        <f t="shared" ca="1" si="87"/>
        <v>0</v>
      </c>
    </row>
    <row r="648" spans="1:27" x14ac:dyDescent="0.25">
      <c r="A648">
        <f t="shared" ref="A648:A711" ca="1" si="88">SUM($W648:$AA648)</f>
        <v>0</v>
      </c>
      <c r="B648" t="str">
        <f t="shared" ref="B648:B711" ca="1" si="89">IF(A648&lt;&gt;0,REPLACE(G648,FIND("-",G648),LEN(G648),""),"")</f>
        <v/>
      </c>
      <c r="C648" t="str">
        <f t="shared" si="82"/>
        <v>SDMMC3</v>
      </c>
      <c r="D648" t="s">
        <v>253</v>
      </c>
      <c r="E648" t="s">
        <v>253</v>
      </c>
      <c r="F648" s="3" t="s">
        <v>2901</v>
      </c>
      <c r="G648" s="11" t="s">
        <v>606</v>
      </c>
      <c r="H648" s="11" t="s">
        <v>169</v>
      </c>
      <c r="I648" s="3" t="s">
        <v>253</v>
      </c>
      <c r="J648" s="3" t="s">
        <v>253</v>
      </c>
      <c r="K648" s="3" t="s">
        <v>253</v>
      </c>
      <c r="L648" s="3" t="s">
        <v>253</v>
      </c>
      <c r="M648">
        <f>IF(LEN(H648),MATCH(H648,'MPIO_SFIO Table'!$A$11:$A$65525,0)-1,"")</f>
        <v>170</v>
      </c>
      <c r="N648" t="str">
        <f>IF(LEN(I648),MATCH(I648,'MPIO_SFIO Table'!$A$11:$A$65525,0)-1,"")</f>
        <v/>
      </c>
      <c r="O648" t="str">
        <f>IF(LEN(J648),MATCH(J648,'MPIO_SFIO Table'!$A$11:$A$65525,0)-1,"")</f>
        <v/>
      </c>
      <c r="P648" t="str">
        <f>IF(LEN(K648),MATCH(K648,'MPIO_SFIO Table'!$A$11:$A$65525,0)-1,"")</f>
        <v/>
      </c>
      <c r="Q648" t="str">
        <f>IF(LEN(L648),MATCH(L648,'MPIO_SFIO Table'!$A$11:$A$65525,0)-1,"")</f>
        <v/>
      </c>
      <c r="R648" t="str">
        <f ca="1">IF(ISNUMBER(M648),OFFSET('MPIO_SFIO Table'!$AJ$11,M648,0),"")</f>
        <v>unused_SDMMC3_DAT5</v>
      </c>
      <c r="S648" t="str">
        <f ca="1">IF(ISNUMBER(N648),OFFSET('MPIO_SFIO Table'!$AJ$11,N648,0),"")</f>
        <v/>
      </c>
      <c r="T648" t="str">
        <f ca="1">IF(ISNUMBER(O648),OFFSET('MPIO_SFIO Table'!$AJ$11,O648,0),"")</f>
        <v/>
      </c>
      <c r="U648" t="str">
        <f ca="1">IF(ISNUMBER(P648),OFFSET('MPIO_SFIO Table'!$AJ$11,P648,0),"")</f>
        <v/>
      </c>
      <c r="V648" t="str">
        <f ca="1">IF(ISNUMBER(Q648),OFFSET('MPIO_SFIO Table'!$AJ$11,Q648,0),"")</f>
        <v/>
      </c>
      <c r="W648">
        <f t="shared" ca="1" si="83"/>
        <v>0</v>
      </c>
      <c r="X648">
        <f t="shared" ca="1" si="84"/>
        <v>0</v>
      </c>
      <c r="Y648">
        <f t="shared" ca="1" si="85"/>
        <v>0</v>
      </c>
      <c r="Z648">
        <f t="shared" ca="1" si="86"/>
        <v>0</v>
      </c>
      <c r="AA648">
        <f t="shared" ca="1" si="87"/>
        <v>0</v>
      </c>
    </row>
    <row r="649" spans="1:27" x14ac:dyDescent="0.25">
      <c r="A649">
        <f t="shared" ca="1" si="88"/>
        <v>0</v>
      </c>
      <c r="B649" t="str">
        <f t="shared" ca="1" si="89"/>
        <v/>
      </c>
      <c r="C649" t="str">
        <f t="shared" ref="C649:C712" si="90">REPLACE(G649,FIND(".",CONCATENATE(REPLACE(G649,FIND("-",CONCATENATE(G649,"-")),LEN(G649),""),".")),LEN(G649),"")</f>
        <v>SDMMC3</v>
      </c>
      <c r="D649" t="s">
        <v>253</v>
      </c>
      <c r="E649" t="s">
        <v>253</v>
      </c>
      <c r="F649" s="3" t="s">
        <v>2902</v>
      </c>
      <c r="G649" s="11" t="s">
        <v>608</v>
      </c>
      <c r="H649" s="11" t="s">
        <v>170</v>
      </c>
      <c r="I649" s="3" t="s">
        <v>253</v>
      </c>
      <c r="J649" s="3" t="s">
        <v>253</v>
      </c>
      <c r="K649" s="3" t="s">
        <v>253</v>
      </c>
      <c r="L649" s="3" t="s">
        <v>253</v>
      </c>
      <c r="M649">
        <f>IF(LEN(H649),MATCH(H649,'MPIO_SFIO Table'!$A$11:$A$65525,0)-1,"")</f>
        <v>171</v>
      </c>
      <c r="N649" t="str">
        <f>IF(LEN(I649),MATCH(I649,'MPIO_SFIO Table'!$A$11:$A$65525,0)-1,"")</f>
        <v/>
      </c>
      <c r="O649" t="str">
        <f>IF(LEN(J649),MATCH(J649,'MPIO_SFIO Table'!$A$11:$A$65525,0)-1,"")</f>
        <v/>
      </c>
      <c r="P649" t="str">
        <f>IF(LEN(K649),MATCH(K649,'MPIO_SFIO Table'!$A$11:$A$65525,0)-1,"")</f>
        <v/>
      </c>
      <c r="Q649" t="str">
        <f>IF(LEN(L649),MATCH(L649,'MPIO_SFIO Table'!$A$11:$A$65525,0)-1,"")</f>
        <v/>
      </c>
      <c r="R649" t="str">
        <f ca="1">IF(ISNUMBER(M649),OFFSET('MPIO_SFIO Table'!$AJ$11,M649,0),"")</f>
        <v>unused_SDMMC3_DAT6</v>
      </c>
      <c r="S649" t="str">
        <f ca="1">IF(ISNUMBER(N649),OFFSET('MPIO_SFIO Table'!$AJ$11,N649,0),"")</f>
        <v/>
      </c>
      <c r="T649" t="str">
        <f ca="1">IF(ISNUMBER(O649),OFFSET('MPIO_SFIO Table'!$AJ$11,O649,0),"")</f>
        <v/>
      </c>
      <c r="U649" t="str">
        <f ca="1">IF(ISNUMBER(P649),OFFSET('MPIO_SFIO Table'!$AJ$11,P649,0),"")</f>
        <v/>
      </c>
      <c r="V649" t="str">
        <f ca="1">IF(ISNUMBER(Q649),OFFSET('MPIO_SFIO Table'!$AJ$11,Q649,0),"")</f>
        <v/>
      </c>
      <c r="W649">
        <f t="shared" ref="W649:W712" ca="1" si="91">1*AND(ISTEXT(R649),LEN(R649),R649=$G649)</f>
        <v>0</v>
      </c>
      <c r="X649">
        <f t="shared" ref="X649:X712" ca="1" si="92">1*AND(ISTEXT(S649),LEN(S649),S649=$G649)</f>
        <v>0</v>
      </c>
      <c r="Y649">
        <f t="shared" ref="Y649:Y712" ca="1" si="93">1*AND(ISTEXT(T649),LEN(T649),T649=$G649)</f>
        <v>0</v>
      </c>
      <c r="Z649">
        <f t="shared" ref="Z649:Z712" ca="1" si="94">1*AND(ISTEXT(U649),LEN(U649),U649=$G649)</f>
        <v>0</v>
      </c>
      <c r="AA649">
        <f t="shared" ref="AA649:AA712" ca="1" si="95">1*AND(ISTEXT(V649),LEN(V649),V649=$G649)</f>
        <v>0</v>
      </c>
    </row>
    <row r="650" spans="1:27" x14ac:dyDescent="0.25">
      <c r="A650">
        <f t="shared" ca="1" si="88"/>
        <v>0</v>
      </c>
      <c r="B650" t="str">
        <f t="shared" ca="1" si="89"/>
        <v/>
      </c>
      <c r="C650" t="str">
        <f t="shared" si="90"/>
        <v>SDMMC3</v>
      </c>
      <c r="D650" t="s">
        <v>253</v>
      </c>
      <c r="E650" t="s">
        <v>253</v>
      </c>
      <c r="F650" s="3" t="s">
        <v>2903</v>
      </c>
      <c r="G650" s="11" t="s">
        <v>610</v>
      </c>
      <c r="H650" s="11" t="s">
        <v>171</v>
      </c>
      <c r="I650" s="3" t="s">
        <v>253</v>
      </c>
      <c r="J650" s="3" t="s">
        <v>253</v>
      </c>
      <c r="K650" s="3" t="s">
        <v>253</v>
      </c>
      <c r="L650" s="3" t="s">
        <v>253</v>
      </c>
      <c r="M650">
        <f>IF(LEN(H650),MATCH(H650,'MPIO_SFIO Table'!$A$11:$A$65525,0)-1,"")</f>
        <v>172</v>
      </c>
      <c r="N650" t="str">
        <f>IF(LEN(I650),MATCH(I650,'MPIO_SFIO Table'!$A$11:$A$65525,0)-1,"")</f>
        <v/>
      </c>
      <c r="O650" t="str">
        <f>IF(LEN(J650),MATCH(J650,'MPIO_SFIO Table'!$A$11:$A$65525,0)-1,"")</f>
        <v/>
      </c>
      <c r="P650" t="str">
        <f>IF(LEN(K650),MATCH(K650,'MPIO_SFIO Table'!$A$11:$A$65525,0)-1,"")</f>
        <v/>
      </c>
      <c r="Q650" t="str">
        <f>IF(LEN(L650),MATCH(L650,'MPIO_SFIO Table'!$A$11:$A$65525,0)-1,"")</f>
        <v/>
      </c>
      <c r="R650" t="str">
        <f ca="1">IF(ISNUMBER(M650),OFFSET('MPIO_SFIO Table'!$AJ$11,M650,0),"")</f>
        <v>unused_SDMMC3_DAT7</v>
      </c>
      <c r="S650" t="str">
        <f ca="1">IF(ISNUMBER(N650),OFFSET('MPIO_SFIO Table'!$AJ$11,N650,0),"")</f>
        <v/>
      </c>
      <c r="T650" t="str">
        <f ca="1">IF(ISNUMBER(O650),OFFSET('MPIO_SFIO Table'!$AJ$11,O650,0),"")</f>
        <v/>
      </c>
      <c r="U650" t="str">
        <f ca="1">IF(ISNUMBER(P650),OFFSET('MPIO_SFIO Table'!$AJ$11,P650,0),"")</f>
        <v/>
      </c>
      <c r="V650" t="str">
        <f ca="1">IF(ISNUMBER(Q650),OFFSET('MPIO_SFIO Table'!$AJ$11,Q650,0),"")</f>
        <v/>
      </c>
      <c r="W650">
        <f t="shared" ca="1" si="91"/>
        <v>0</v>
      </c>
      <c r="X650">
        <f t="shared" ca="1" si="92"/>
        <v>0</v>
      </c>
      <c r="Y650">
        <f t="shared" ca="1" si="93"/>
        <v>0</v>
      </c>
      <c r="Z650">
        <f t="shared" ca="1" si="94"/>
        <v>0</v>
      </c>
      <c r="AA650">
        <f t="shared" ca="1" si="95"/>
        <v>0</v>
      </c>
    </row>
    <row r="651" spans="1:27" x14ac:dyDescent="0.25">
      <c r="A651">
        <f t="shared" ca="1" si="88"/>
        <v>0</v>
      </c>
      <c r="B651" t="str">
        <f t="shared" ca="1" si="89"/>
        <v/>
      </c>
      <c r="C651" t="str">
        <f t="shared" si="90"/>
        <v>SDMMC3</v>
      </c>
      <c r="D651" t="s">
        <v>253</v>
      </c>
      <c r="E651" t="s">
        <v>253</v>
      </c>
      <c r="F651" s="3" t="s">
        <v>2820</v>
      </c>
      <c r="G651" s="11" t="s">
        <v>595</v>
      </c>
      <c r="H651" s="11" t="s">
        <v>162</v>
      </c>
      <c r="I651" s="3" t="s">
        <v>253</v>
      </c>
      <c r="J651" s="3" t="s">
        <v>253</v>
      </c>
      <c r="K651" s="3" t="s">
        <v>253</v>
      </c>
      <c r="L651" s="3" t="s">
        <v>253</v>
      </c>
      <c r="M651">
        <f>IF(LEN(H651),MATCH(H651,'MPIO_SFIO Table'!$A$11:$A$65525,0)-1,"")</f>
        <v>163</v>
      </c>
      <c r="N651" t="str">
        <f>IF(LEN(I651),MATCH(I651,'MPIO_SFIO Table'!$A$11:$A$65525,0)-1,"")</f>
        <v/>
      </c>
      <c r="O651" t="str">
        <f>IF(LEN(J651),MATCH(J651,'MPIO_SFIO Table'!$A$11:$A$65525,0)-1,"")</f>
        <v/>
      </c>
      <c r="P651" t="str">
        <f>IF(LEN(K651),MATCH(K651,'MPIO_SFIO Table'!$A$11:$A$65525,0)-1,"")</f>
        <v/>
      </c>
      <c r="Q651" t="str">
        <f>IF(LEN(L651),MATCH(L651,'MPIO_SFIO Table'!$A$11:$A$65525,0)-1,"")</f>
        <v/>
      </c>
      <c r="R651" t="str">
        <f ca="1">IF(ISNUMBER(M651),OFFSET('MPIO_SFIO Table'!$AJ$11,M651,0),"")</f>
        <v>unused_SDMMC3_CLK</v>
      </c>
      <c r="S651" t="str">
        <f ca="1">IF(ISNUMBER(N651),OFFSET('MPIO_SFIO Table'!$AJ$11,N651,0),"")</f>
        <v/>
      </c>
      <c r="T651" t="str">
        <f ca="1">IF(ISNUMBER(O651),OFFSET('MPIO_SFIO Table'!$AJ$11,O651,0),"")</f>
        <v/>
      </c>
      <c r="U651" t="str">
        <f ca="1">IF(ISNUMBER(P651),OFFSET('MPIO_SFIO Table'!$AJ$11,P651,0),"")</f>
        <v/>
      </c>
      <c r="V651" t="str">
        <f ca="1">IF(ISNUMBER(Q651),OFFSET('MPIO_SFIO Table'!$AJ$11,Q651,0),"")</f>
        <v/>
      </c>
      <c r="W651">
        <f t="shared" ca="1" si="91"/>
        <v>0</v>
      </c>
      <c r="X651">
        <f t="shared" ca="1" si="92"/>
        <v>0</v>
      </c>
      <c r="Y651">
        <f t="shared" ca="1" si="93"/>
        <v>0</v>
      </c>
      <c r="Z651">
        <f t="shared" ca="1" si="94"/>
        <v>0</v>
      </c>
      <c r="AA651">
        <f t="shared" ca="1" si="95"/>
        <v>0</v>
      </c>
    </row>
    <row r="652" spans="1:27" x14ac:dyDescent="0.25">
      <c r="A652">
        <f t="shared" ca="1" si="88"/>
        <v>0</v>
      </c>
      <c r="B652" t="str">
        <f t="shared" ca="1" si="89"/>
        <v/>
      </c>
      <c r="C652" t="str">
        <f t="shared" si="90"/>
        <v/>
      </c>
      <c r="D652" t="s">
        <v>1238</v>
      </c>
      <c r="E652" t="s">
        <v>1026</v>
      </c>
      <c r="F652" s="3" t="s">
        <v>253</v>
      </c>
      <c r="G652" s="11" t="s">
        <v>253</v>
      </c>
      <c r="H652" s="11" t="s">
        <v>253</v>
      </c>
      <c r="I652" s="3" t="s">
        <v>253</v>
      </c>
      <c r="J652" s="3" t="s">
        <v>253</v>
      </c>
      <c r="K652" s="3" t="s">
        <v>253</v>
      </c>
      <c r="L652" s="3" t="s">
        <v>253</v>
      </c>
      <c r="M652" t="str">
        <f>IF(LEN(H652),MATCH(H652,'MPIO_SFIO Table'!$A$11:$A$65525,0)-1,"")</f>
        <v/>
      </c>
      <c r="N652" t="str">
        <f>IF(LEN(I652),MATCH(I652,'MPIO_SFIO Table'!$A$11:$A$65525,0)-1,"")</f>
        <v/>
      </c>
      <c r="O652" t="str">
        <f>IF(LEN(J652),MATCH(J652,'MPIO_SFIO Table'!$A$11:$A$65525,0)-1,"")</f>
        <v/>
      </c>
      <c r="P652" t="str">
        <f>IF(LEN(K652),MATCH(K652,'MPIO_SFIO Table'!$A$11:$A$65525,0)-1,"")</f>
        <v/>
      </c>
      <c r="Q652" t="str">
        <f>IF(LEN(L652),MATCH(L652,'MPIO_SFIO Table'!$A$11:$A$65525,0)-1,"")</f>
        <v/>
      </c>
      <c r="R652" t="str">
        <f ca="1">IF(ISNUMBER(M652),OFFSET('MPIO_SFIO Table'!$AJ$11,M652,0),"")</f>
        <v/>
      </c>
      <c r="S652" t="str">
        <f ca="1">IF(ISNUMBER(N652),OFFSET('MPIO_SFIO Table'!$AJ$11,N652,0),"")</f>
        <v/>
      </c>
      <c r="T652" t="str">
        <f ca="1">IF(ISNUMBER(O652),OFFSET('MPIO_SFIO Table'!$AJ$11,O652,0),"")</f>
        <v/>
      </c>
      <c r="U652" t="str">
        <f ca="1">IF(ISNUMBER(P652),OFFSET('MPIO_SFIO Table'!$AJ$11,P652,0),"")</f>
        <v/>
      </c>
      <c r="V652" t="str">
        <f ca="1">IF(ISNUMBER(Q652),OFFSET('MPIO_SFIO Table'!$AJ$11,Q652,0),"")</f>
        <v/>
      </c>
      <c r="W652">
        <f t="shared" ca="1" si="91"/>
        <v>0</v>
      </c>
      <c r="X652">
        <f t="shared" ca="1" si="92"/>
        <v>0</v>
      </c>
      <c r="Y652">
        <f t="shared" ca="1" si="93"/>
        <v>0</v>
      </c>
      <c r="Z652">
        <f t="shared" ca="1" si="94"/>
        <v>0</v>
      </c>
      <c r="AA652">
        <f t="shared" ca="1" si="95"/>
        <v>0</v>
      </c>
    </row>
    <row r="653" spans="1:27" x14ac:dyDescent="0.25">
      <c r="A653">
        <f t="shared" ca="1" si="88"/>
        <v>0</v>
      </c>
      <c r="B653" t="str">
        <f t="shared" ca="1" si="89"/>
        <v/>
      </c>
      <c r="C653" t="str">
        <f t="shared" si="90"/>
        <v>SDMMC4</v>
      </c>
      <c r="D653" t="s">
        <v>253</v>
      </c>
      <c r="E653" t="s">
        <v>253</v>
      </c>
      <c r="F653" s="3" t="s">
        <v>2895</v>
      </c>
      <c r="G653" s="11" t="s">
        <v>616</v>
      </c>
      <c r="H653" s="11" t="s">
        <v>173</v>
      </c>
      <c r="I653" s="3" t="s">
        <v>253</v>
      </c>
      <c r="J653" s="3" t="s">
        <v>253</v>
      </c>
      <c r="K653" s="3" t="s">
        <v>253</v>
      </c>
      <c r="L653" s="3" t="s">
        <v>253</v>
      </c>
      <c r="M653">
        <f>IF(LEN(H653),MATCH(H653,'MPIO_SFIO Table'!$A$11:$A$65525,0)-1,"")</f>
        <v>177</v>
      </c>
      <c r="N653" t="str">
        <f>IF(LEN(I653),MATCH(I653,'MPIO_SFIO Table'!$A$11:$A$65525,0)-1,"")</f>
        <v/>
      </c>
      <c r="O653" t="str">
        <f>IF(LEN(J653),MATCH(J653,'MPIO_SFIO Table'!$A$11:$A$65525,0)-1,"")</f>
        <v/>
      </c>
      <c r="P653" t="str">
        <f>IF(LEN(K653),MATCH(K653,'MPIO_SFIO Table'!$A$11:$A$65525,0)-1,"")</f>
        <v/>
      </c>
      <c r="Q653" t="str">
        <f>IF(LEN(L653),MATCH(L653,'MPIO_SFIO Table'!$A$11:$A$65525,0)-1,"")</f>
        <v/>
      </c>
      <c r="R653" t="str">
        <f ca="1">IF(ISNUMBER(M653),OFFSET('MPIO_SFIO Table'!$AJ$11,M653,0),"")</f>
        <v>unused_SDMMC4_CMD</v>
      </c>
      <c r="S653" t="str">
        <f ca="1">IF(ISNUMBER(N653),OFFSET('MPIO_SFIO Table'!$AJ$11,N653,0),"")</f>
        <v/>
      </c>
      <c r="T653" t="str">
        <f ca="1">IF(ISNUMBER(O653),OFFSET('MPIO_SFIO Table'!$AJ$11,O653,0),"")</f>
        <v/>
      </c>
      <c r="U653" t="str">
        <f ca="1">IF(ISNUMBER(P653),OFFSET('MPIO_SFIO Table'!$AJ$11,P653,0),"")</f>
        <v/>
      </c>
      <c r="V653" t="str">
        <f ca="1">IF(ISNUMBER(Q653),OFFSET('MPIO_SFIO Table'!$AJ$11,Q653,0),"")</f>
        <v/>
      </c>
      <c r="W653">
        <f t="shared" ca="1" si="91"/>
        <v>0</v>
      </c>
      <c r="X653">
        <f t="shared" ca="1" si="92"/>
        <v>0</v>
      </c>
      <c r="Y653">
        <f t="shared" ca="1" si="93"/>
        <v>0</v>
      </c>
      <c r="Z653">
        <f t="shared" ca="1" si="94"/>
        <v>0</v>
      </c>
      <c r="AA653">
        <f t="shared" ca="1" si="95"/>
        <v>0</v>
      </c>
    </row>
    <row r="654" spans="1:27" x14ac:dyDescent="0.25">
      <c r="A654">
        <f t="shared" ca="1" si="88"/>
        <v>0</v>
      </c>
      <c r="B654" t="str">
        <f t="shared" ca="1" si="89"/>
        <v/>
      </c>
      <c r="C654" t="str">
        <f t="shared" si="90"/>
        <v>SDMMC4</v>
      </c>
      <c r="D654" t="s">
        <v>253</v>
      </c>
      <c r="E654" t="s">
        <v>253</v>
      </c>
      <c r="F654" s="3" t="s">
        <v>2896</v>
      </c>
      <c r="G654" s="11" t="s">
        <v>620</v>
      </c>
      <c r="H654" s="11" t="s">
        <v>174</v>
      </c>
      <c r="I654" s="3" t="s">
        <v>253</v>
      </c>
      <c r="J654" s="3" t="s">
        <v>253</v>
      </c>
      <c r="K654" s="3" t="s">
        <v>253</v>
      </c>
      <c r="L654" s="3" t="s">
        <v>253</v>
      </c>
      <c r="M654">
        <f>IF(LEN(H654),MATCH(H654,'MPIO_SFIO Table'!$A$11:$A$65525,0)-1,"")</f>
        <v>178</v>
      </c>
      <c r="N654" t="str">
        <f>IF(LEN(I654),MATCH(I654,'MPIO_SFIO Table'!$A$11:$A$65525,0)-1,"")</f>
        <v/>
      </c>
      <c r="O654" t="str">
        <f>IF(LEN(J654),MATCH(J654,'MPIO_SFIO Table'!$A$11:$A$65525,0)-1,"")</f>
        <v/>
      </c>
      <c r="P654" t="str">
        <f>IF(LEN(K654),MATCH(K654,'MPIO_SFIO Table'!$A$11:$A$65525,0)-1,"")</f>
        <v/>
      </c>
      <c r="Q654" t="str">
        <f>IF(LEN(L654),MATCH(L654,'MPIO_SFIO Table'!$A$11:$A$65525,0)-1,"")</f>
        <v/>
      </c>
      <c r="R654" t="str">
        <f ca="1">IF(ISNUMBER(M654),OFFSET('MPIO_SFIO Table'!$AJ$11,M654,0),"")</f>
        <v>unused_SDMMC4_DAT0</v>
      </c>
      <c r="S654" t="str">
        <f ca="1">IF(ISNUMBER(N654),OFFSET('MPIO_SFIO Table'!$AJ$11,N654,0),"")</f>
        <v/>
      </c>
      <c r="T654" t="str">
        <f ca="1">IF(ISNUMBER(O654),OFFSET('MPIO_SFIO Table'!$AJ$11,O654,0),"")</f>
        <v/>
      </c>
      <c r="U654" t="str">
        <f ca="1">IF(ISNUMBER(P654),OFFSET('MPIO_SFIO Table'!$AJ$11,P654,0),"")</f>
        <v/>
      </c>
      <c r="V654" t="str">
        <f ca="1">IF(ISNUMBER(Q654),OFFSET('MPIO_SFIO Table'!$AJ$11,Q654,0),"")</f>
        <v/>
      </c>
      <c r="W654">
        <f t="shared" ca="1" si="91"/>
        <v>0</v>
      </c>
      <c r="X654">
        <f t="shared" ca="1" si="92"/>
        <v>0</v>
      </c>
      <c r="Y654">
        <f t="shared" ca="1" si="93"/>
        <v>0</v>
      </c>
      <c r="Z654">
        <f t="shared" ca="1" si="94"/>
        <v>0</v>
      </c>
      <c r="AA654">
        <f t="shared" ca="1" si="95"/>
        <v>0</v>
      </c>
    </row>
    <row r="655" spans="1:27" x14ac:dyDescent="0.25">
      <c r="A655">
        <f t="shared" ca="1" si="88"/>
        <v>0</v>
      </c>
      <c r="B655" t="str">
        <f t="shared" ca="1" si="89"/>
        <v/>
      </c>
      <c r="C655" t="str">
        <f t="shared" si="90"/>
        <v>SDMMC4</v>
      </c>
      <c r="D655" t="s">
        <v>253</v>
      </c>
      <c r="E655" t="s">
        <v>253</v>
      </c>
      <c r="F655" s="3" t="s">
        <v>2897</v>
      </c>
      <c r="G655" s="11" t="s">
        <v>624</v>
      </c>
      <c r="H655" s="11" t="s">
        <v>175</v>
      </c>
      <c r="I655" s="3" t="s">
        <v>253</v>
      </c>
      <c r="J655" s="3" t="s">
        <v>253</v>
      </c>
      <c r="K655" s="3" t="s">
        <v>253</v>
      </c>
      <c r="L655" s="3" t="s">
        <v>253</v>
      </c>
      <c r="M655">
        <f>IF(LEN(H655),MATCH(H655,'MPIO_SFIO Table'!$A$11:$A$65525,0)-1,"")</f>
        <v>179</v>
      </c>
      <c r="N655" t="str">
        <f>IF(LEN(I655),MATCH(I655,'MPIO_SFIO Table'!$A$11:$A$65525,0)-1,"")</f>
        <v/>
      </c>
      <c r="O655" t="str">
        <f>IF(LEN(J655),MATCH(J655,'MPIO_SFIO Table'!$A$11:$A$65525,0)-1,"")</f>
        <v/>
      </c>
      <c r="P655" t="str">
        <f>IF(LEN(K655),MATCH(K655,'MPIO_SFIO Table'!$A$11:$A$65525,0)-1,"")</f>
        <v/>
      </c>
      <c r="Q655" t="str">
        <f>IF(LEN(L655),MATCH(L655,'MPIO_SFIO Table'!$A$11:$A$65525,0)-1,"")</f>
        <v/>
      </c>
      <c r="R655" t="str">
        <f ca="1">IF(ISNUMBER(M655),OFFSET('MPIO_SFIO Table'!$AJ$11,M655,0),"")</f>
        <v>unused_SDMMC4_DAT1</v>
      </c>
      <c r="S655" t="str">
        <f ca="1">IF(ISNUMBER(N655),OFFSET('MPIO_SFIO Table'!$AJ$11,N655,0),"")</f>
        <v/>
      </c>
      <c r="T655" t="str">
        <f ca="1">IF(ISNUMBER(O655),OFFSET('MPIO_SFIO Table'!$AJ$11,O655,0),"")</f>
        <v/>
      </c>
      <c r="U655" t="str">
        <f ca="1">IF(ISNUMBER(P655),OFFSET('MPIO_SFIO Table'!$AJ$11,P655,0),"")</f>
        <v/>
      </c>
      <c r="V655" t="str">
        <f ca="1">IF(ISNUMBER(Q655),OFFSET('MPIO_SFIO Table'!$AJ$11,Q655,0),"")</f>
        <v/>
      </c>
      <c r="W655">
        <f t="shared" ca="1" si="91"/>
        <v>0</v>
      </c>
      <c r="X655">
        <f t="shared" ca="1" si="92"/>
        <v>0</v>
      </c>
      <c r="Y655">
        <f t="shared" ca="1" si="93"/>
        <v>0</v>
      </c>
      <c r="Z655">
        <f t="shared" ca="1" si="94"/>
        <v>0</v>
      </c>
      <c r="AA655">
        <f t="shared" ca="1" si="95"/>
        <v>0</v>
      </c>
    </row>
    <row r="656" spans="1:27" x14ac:dyDescent="0.25">
      <c r="A656">
        <f t="shared" ca="1" si="88"/>
        <v>0</v>
      </c>
      <c r="B656" t="str">
        <f t="shared" ca="1" si="89"/>
        <v/>
      </c>
      <c r="C656" t="str">
        <f t="shared" si="90"/>
        <v>SDMMC4</v>
      </c>
      <c r="D656" t="s">
        <v>253</v>
      </c>
      <c r="E656" t="s">
        <v>253</v>
      </c>
      <c r="F656" s="3" t="s">
        <v>2898</v>
      </c>
      <c r="G656" s="11" t="s">
        <v>628</v>
      </c>
      <c r="H656" s="11" t="s">
        <v>176</v>
      </c>
      <c r="I656" s="3" t="s">
        <v>253</v>
      </c>
      <c r="J656" s="3" t="s">
        <v>253</v>
      </c>
      <c r="K656" s="3" t="s">
        <v>253</v>
      </c>
      <c r="L656" s="3" t="s">
        <v>253</v>
      </c>
      <c r="M656">
        <f>IF(LEN(H656),MATCH(H656,'MPIO_SFIO Table'!$A$11:$A$65525,0)-1,"")</f>
        <v>180</v>
      </c>
      <c r="N656" t="str">
        <f>IF(LEN(I656),MATCH(I656,'MPIO_SFIO Table'!$A$11:$A$65525,0)-1,"")</f>
        <v/>
      </c>
      <c r="O656" t="str">
        <f>IF(LEN(J656),MATCH(J656,'MPIO_SFIO Table'!$A$11:$A$65525,0)-1,"")</f>
        <v/>
      </c>
      <c r="P656" t="str">
        <f>IF(LEN(K656),MATCH(K656,'MPIO_SFIO Table'!$A$11:$A$65525,0)-1,"")</f>
        <v/>
      </c>
      <c r="Q656" t="str">
        <f>IF(LEN(L656),MATCH(L656,'MPIO_SFIO Table'!$A$11:$A$65525,0)-1,"")</f>
        <v/>
      </c>
      <c r="R656" t="str">
        <f ca="1">IF(ISNUMBER(M656),OFFSET('MPIO_SFIO Table'!$AJ$11,M656,0),"")</f>
        <v>unused_SDMMC4_DAT2</v>
      </c>
      <c r="S656" t="str">
        <f ca="1">IF(ISNUMBER(N656),OFFSET('MPIO_SFIO Table'!$AJ$11,N656,0),"")</f>
        <v/>
      </c>
      <c r="T656" t="str">
        <f ca="1">IF(ISNUMBER(O656),OFFSET('MPIO_SFIO Table'!$AJ$11,O656,0),"")</f>
        <v/>
      </c>
      <c r="U656" t="str">
        <f ca="1">IF(ISNUMBER(P656),OFFSET('MPIO_SFIO Table'!$AJ$11,P656,0),"")</f>
        <v/>
      </c>
      <c r="V656" t="str">
        <f ca="1">IF(ISNUMBER(Q656),OFFSET('MPIO_SFIO Table'!$AJ$11,Q656,0),"")</f>
        <v/>
      </c>
      <c r="W656">
        <f t="shared" ca="1" si="91"/>
        <v>0</v>
      </c>
      <c r="X656">
        <f t="shared" ca="1" si="92"/>
        <v>0</v>
      </c>
      <c r="Y656">
        <f t="shared" ca="1" si="93"/>
        <v>0</v>
      </c>
      <c r="Z656">
        <f t="shared" ca="1" si="94"/>
        <v>0</v>
      </c>
      <c r="AA656">
        <f t="shared" ca="1" si="95"/>
        <v>0</v>
      </c>
    </row>
    <row r="657" spans="1:27" x14ac:dyDescent="0.25">
      <c r="A657">
        <f t="shared" ca="1" si="88"/>
        <v>0</v>
      </c>
      <c r="B657" t="str">
        <f t="shared" ca="1" si="89"/>
        <v/>
      </c>
      <c r="C657" t="str">
        <f t="shared" si="90"/>
        <v>SDMMC4</v>
      </c>
      <c r="D657" t="s">
        <v>253</v>
      </c>
      <c r="E657" t="s">
        <v>253</v>
      </c>
      <c r="F657" s="3" t="s">
        <v>2899</v>
      </c>
      <c r="G657" s="11" t="s">
        <v>631</v>
      </c>
      <c r="H657" s="11" t="s">
        <v>177</v>
      </c>
      <c r="I657" s="3" t="s">
        <v>253</v>
      </c>
      <c r="J657" s="3" t="s">
        <v>253</v>
      </c>
      <c r="K657" s="3" t="s">
        <v>253</v>
      </c>
      <c r="L657" s="3" t="s">
        <v>253</v>
      </c>
      <c r="M657">
        <f>IF(LEN(H657),MATCH(H657,'MPIO_SFIO Table'!$A$11:$A$65525,0)-1,"")</f>
        <v>181</v>
      </c>
      <c r="N657" t="str">
        <f>IF(LEN(I657),MATCH(I657,'MPIO_SFIO Table'!$A$11:$A$65525,0)-1,"")</f>
        <v/>
      </c>
      <c r="O657" t="str">
        <f>IF(LEN(J657),MATCH(J657,'MPIO_SFIO Table'!$A$11:$A$65525,0)-1,"")</f>
        <v/>
      </c>
      <c r="P657" t="str">
        <f>IF(LEN(K657),MATCH(K657,'MPIO_SFIO Table'!$A$11:$A$65525,0)-1,"")</f>
        <v/>
      </c>
      <c r="Q657" t="str">
        <f>IF(LEN(L657),MATCH(L657,'MPIO_SFIO Table'!$A$11:$A$65525,0)-1,"")</f>
        <v/>
      </c>
      <c r="R657" t="str">
        <f ca="1">IF(ISNUMBER(M657),OFFSET('MPIO_SFIO Table'!$AJ$11,M657,0),"")</f>
        <v>unused_SDMMC4_DAT3</v>
      </c>
      <c r="S657" t="str">
        <f ca="1">IF(ISNUMBER(N657),OFFSET('MPIO_SFIO Table'!$AJ$11,N657,0),"")</f>
        <v/>
      </c>
      <c r="T657" t="str">
        <f ca="1">IF(ISNUMBER(O657),OFFSET('MPIO_SFIO Table'!$AJ$11,O657,0),"")</f>
        <v/>
      </c>
      <c r="U657" t="str">
        <f ca="1">IF(ISNUMBER(P657),OFFSET('MPIO_SFIO Table'!$AJ$11,P657,0),"")</f>
        <v/>
      </c>
      <c r="V657" t="str">
        <f ca="1">IF(ISNUMBER(Q657),OFFSET('MPIO_SFIO Table'!$AJ$11,Q657,0),"")</f>
        <v/>
      </c>
      <c r="W657">
        <f t="shared" ca="1" si="91"/>
        <v>0</v>
      </c>
      <c r="X657">
        <f t="shared" ca="1" si="92"/>
        <v>0</v>
      </c>
      <c r="Y657">
        <f t="shared" ca="1" si="93"/>
        <v>0</v>
      </c>
      <c r="Z657">
        <f t="shared" ca="1" si="94"/>
        <v>0</v>
      </c>
      <c r="AA657">
        <f t="shared" ca="1" si="95"/>
        <v>0</v>
      </c>
    </row>
    <row r="658" spans="1:27" x14ac:dyDescent="0.25">
      <c r="A658">
        <f t="shared" ca="1" si="88"/>
        <v>0</v>
      </c>
      <c r="B658" t="str">
        <f t="shared" ca="1" si="89"/>
        <v/>
      </c>
      <c r="C658" t="str">
        <f t="shared" si="90"/>
        <v>SDMMC4</v>
      </c>
      <c r="D658" t="s">
        <v>253</v>
      </c>
      <c r="E658" t="s">
        <v>253</v>
      </c>
      <c r="F658" s="3" t="s">
        <v>2900</v>
      </c>
      <c r="G658" s="11" t="s">
        <v>634</v>
      </c>
      <c r="H658" s="11" t="s">
        <v>178</v>
      </c>
      <c r="I658" s="3" t="s">
        <v>253</v>
      </c>
      <c r="J658" s="3" t="s">
        <v>253</v>
      </c>
      <c r="K658" s="3" t="s">
        <v>253</v>
      </c>
      <c r="L658" s="3" t="s">
        <v>253</v>
      </c>
      <c r="M658">
        <f>IF(LEN(H658),MATCH(H658,'MPIO_SFIO Table'!$A$11:$A$65525,0)-1,"")</f>
        <v>182</v>
      </c>
      <c r="N658" t="str">
        <f>IF(LEN(I658),MATCH(I658,'MPIO_SFIO Table'!$A$11:$A$65525,0)-1,"")</f>
        <v/>
      </c>
      <c r="O658" t="str">
        <f>IF(LEN(J658),MATCH(J658,'MPIO_SFIO Table'!$A$11:$A$65525,0)-1,"")</f>
        <v/>
      </c>
      <c r="P658" t="str">
        <f>IF(LEN(K658),MATCH(K658,'MPIO_SFIO Table'!$A$11:$A$65525,0)-1,"")</f>
        <v/>
      </c>
      <c r="Q658" t="str">
        <f>IF(LEN(L658),MATCH(L658,'MPIO_SFIO Table'!$A$11:$A$65525,0)-1,"")</f>
        <v/>
      </c>
      <c r="R658" t="str">
        <f ca="1">IF(ISNUMBER(M658),OFFSET('MPIO_SFIO Table'!$AJ$11,M658,0),"")</f>
        <v>unused_SDMMC4_DAT4</v>
      </c>
      <c r="S658" t="str">
        <f ca="1">IF(ISNUMBER(N658),OFFSET('MPIO_SFIO Table'!$AJ$11,N658,0),"")</f>
        <v/>
      </c>
      <c r="T658" t="str">
        <f ca="1">IF(ISNUMBER(O658),OFFSET('MPIO_SFIO Table'!$AJ$11,O658,0),"")</f>
        <v/>
      </c>
      <c r="U658" t="str">
        <f ca="1">IF(ISNUMBER(P658),OFFSET('MPIO_SFIO Table'!$AJ$11,P658,0),"")</f>
        <v/>
      </c>
      <c r="V658" t="str">
        <f ca="1">IF(ISNUMBER(Q658),OFFSET('MPIO_SFIO Table'!$AJ$11,Q658,0),"")</f>
        <v/>
      </c>
      <c r="W658">
        <f t="shared" ca="1" si="91"/>
        <v>0</v>
      </c>
      <c r="X658">
        <f t="shared" ca="1" si="92"/>
        <v>0</v>
      </c>
      <c r="Y658">
        <f t="shared" ca="1" si="93"/>
        <v>0</v>
      </c>
      <c r="Z658">
        <f t="shared" ca="1" si="94"/>
        <v>0</v>
      </c>
      <c r="AA658">
        <f t="shared" ca="1" si="95"/>
        <v>0</v>
      </c>
    </row>
    <row r="659" spans="1:27" x14ac:dyDescent="0.25">
      <c r="A659">
        <f t="shared" ca="1" si="88"/>
        <v>0</v>
      </c>
      <c r="B659" t="str">
        <f t="shared" ca="1" si="89"/>
        <v/>
      </c>
      <c r="C659" t="str">
        <f t="shared" si="90"/>
        <v>SDMMC4</v>
      </c>
      <c r="D659" t="s">
        <v>253</v>
      </c>
      <c r="E659" t="s">
        <v>253</v>
      </c>
      <c r="F659" s="3" t="s">
        <v>2901</v>
      </c>
      <c r="G659" s="11" t="s">
        <v>639</v>
      </c>
      <c r="H659" s="11" t="s">
        <v>179</v>
      </c>
      <c r="I659" s="3" t="s">
        <v>253</v>
      </c>
      <c r="J659" s="3" t="s">
        <v>253</v>
      </c>
      <c r="K659" s="3" t="s">
        <v>253</v>
      </c>
      <c r="L659" s="3" t="s">
        <v>253</v>
      </c>
      <c r="M659">
        <f>IF(LEN(H659),MATCH(H659,'MPIO_SFIO Table'!$A$11:$A$65525,0)-1,"")</f>
        <v>183</v>
      </c>
      <c r="N659" t="str">
        <f>IF(LEN(I659),MATCH(I659,'MPIO_SFIO Table'!$A$11:$A$65525,0)-1,"")</f>
        <v/>
      </c>
      <c r="O659" t="str">
        <f>IF(LEN(J659),MATCH(J659,'MPIO_SFIO Table'!$A$11:$A$65525,0)-1,"")</f>
        <v/>
      </c>
      <c r="P659" t="str">
        <f>IF(LEN(K659),MATCH(K659,'MPIO_SFIO Table'!$A$11:$A$65525,0)-1,"")</f>
        <v/>
      </c>
      <c r="Q659" t="str">
        <f>IF(LEN(L659),MATCH(L659,'MPIO_SFIO Table'!$A$11:$A$65525,0)-1,"")</f>
        <v/>
      </c>
      <c r="R659" t="str">
        <f ca="1">IF(ISNUMBER(M659),OFFSET('MPIO_SFIO Table'!$AJ$11,M659,0),"")</f>
        <v>unused_SDMMC4_DAT5</v>
      </c>
      <c r="S659" t="str">
        <f ca="1">IF(ISNUMBER(N659),OFFSET('MPIO_SFIO Table'!$AJ$11,N659,0),"")</f>
        <v/>
      </c>
      <c r="T659" t="str">
        <f ca="1">IF(ISNUMBER(O659),OFFSET('MPIO_SFIO Table'!$AJ$11,O659,0),"")</f>
        <v/>
      </c>
      <c r="U659" t="str">
        <f ca="1">IF(ISNUMBER(P659),OFFSET('MPIO_SFIO Table'!$AJ$11,P659,0),"")</f>
        <v/>
      </c>
      <c r="V659" t="str">
        <f ca="1">IF(ISNUMBER(Q659),OFFSET('MPIO_SFIO Table'!$AJ$11,Q659,0),"")</f>
        <v/>
      </c>
      <c r="W659">
        <f t="shared" ca="1" si="91"/>
        <v>0</v>
      </c>
      <c r="X659">
        <f t="shared" ca="1" si="92"/>
        <v>0</v>
      </c>
      <c r="Y659">
        <f t="shared" ca="1" si="93"/>
        <v>0</v>
      </c>
      <c r="Z659">
        <f t="shared" ca="1" si="94"/>
        <v>0</v>
      </c>
      <c r="AA659">
        <f t="shared" ca="1" si="95"/>
        <v>0</v>
      </c>
    </row>
    <row r="660" spans="1:27" x14ac:dyDescent="0.25">
      <c r="A660">
        <f t="shared" ca="1" si="88"/>
        <v>0</v>
      </c>
      <c r="B660" t="str">
        <f t="shared" ca="1" si="89"/>
        <v/>
      </c>
      <c r="C660" t="str">
        <f t="shared" si="90"/>
        <v>SDMMC4</v>
      </c>
      <c r="D660" t="s">
        <v>253</v>
      </c>
      <c r="E660" t="s">
        <v>253</v>
      </c>
      <c r="F660" s="3" t="s">
        <v>2902</v>
      </c>
      <c r="G660" s="11" t="s">
        <v>643</v>
      </c>
      <c r="H660" s="11" t="s">
        <v>180</v>
      </c>
      <c r="I660" s="3" t="s">
        <v>253</v>
      </c>
      <c r="J660" s="3" t="s">
        <v>253</v>
      </c>
      <c r="K660" s="3" t="s">
        <v>253</v>
      </c>
      <c r="L660" s="3" t="s">
        <v>253</v>
      </c>
      <c r="M660">
        <f>IF(LEN(H660),MATCH(H660,'MPIO_SFIO Table'!$A$11:$A$65525,0)-1,"")</f>
        <v>184</v>
      </c>
      <c r="N660" t="str">
        <f>IF(LEN(I660),MATCH(I660,'MPIO_SFIO Table'!$A$11:$A$65525,0)-1,"")</f>
        <v/>
      </c>
      <c r="O660" t="str">
        <f>IF(LEN(J660),MATCH(J660,'MPIO_SFIO Table'!$A$11:$A$65525,0)-1,"")</f>
        <v/>
      </c>
      <c r="P660" t="str">
        <f>IF(LEN(K660),MATCH(K660,'MPIO_SFIO Table'!$A$11:$A$65525,0)-1,"")</f>
        <v/>
      </c>
      <c r="Q660" t="str">
        <f>IF(LEN(L660),MATCH(L660,'MPIO_SFIO Table'!$A$11:$A$65525,0)-1,"")</f>
        <v/>
      </c>
      <c r="R660" t="str">
        <f ca="1">IF(ISNUMBER(M660),OFFSET('MPIO_SFIO Table'!$AJ$11,M660,0),"")</f>
        <v>unused_SDMMC4_DAT6</v>
      </c>
      <c r="S660" t="str">
        <f ca="1">IF(ISNUMBER(N660),OFFSET('MPIO_SFIO Table'!$AJ$11,N660,0),"")</f>
        <v/>
      </c>
      <c r="T660" t="str">
        <f ca="1">IF(ISNUMBER(O660),OFFSET('MPIO_SFIO Table'!$AJ$11,O660,0),"")</f>
        <v/>
      </c>
      <c r="U660" t="str">
        <f ca="1">IF(ISNUMBER(P660),OFFSET('MPIO_SFIO Table'!$AJ$11,P660,0),"")</f>
        <v/>
      </c>
      <c r="V660" t="str">
        <f ca="1">IF(ISNUMBER(Q660),OFFSET('MPIO_SFIO Table'!$AJ$11,Q660,0),"")</f>
        <v/>
      </c>
      <c r="W660">
        <f t="shared" ca="1" si="91"/>
        <v>0</v>
      </c>
      <c r="X660">
        <f t="shared" ca="1" si="92"/>
        <v>0</v>
      </c>
      <c r="Y660">
        <f t="shared" ca="1" si="93"/>
        <v>0</v>
      </c>
      <c r="Z660">
        <f t="shared" ca="1" si="94"/>
        <v>0</v>
      </c>
      <c r="AA660">
        <f t="shared" ca="1" si="95"/>
        <v>0</v>
      </c>
    </row>
    <row r="661" spans="1:27" x14ac:dyDescent="0.25">
      <c r="A661">
        <f t="shared" ca="1" si="88"/>
        <v>0</v>
      </c>
      <c r="B661" t="str">
        <f t="shared" ca="1" si="89"/>
        <v/>
      </c>
      <c r="C661" t="str">
        <f t="shared" si="90"/>
        <v>SDMMC4</v>
      </c>
      <c r="D661" t="s">
        <v>253</v>
      </c>
      <c r="E661" t="s">
        <v>253</v>
      </c>
      <c r="F661" s="3" t="s">
        <v>2903</v>
      </c>
      <c r="G661" s="11" t="s">
        <v>647</v>
      </c>
      <c r="H661" s="11" t="s">
        <v>181</v>
      </c>
      <c r="I661" s="3" t="s">
        <v>253</v>
      </c>
      <c r="J661" s="3" t="s">
        <v>253</v>
      </c>
      <c r="K661" s="3" t="s">
        <v>253</v>
      </c>
      <c r="L661" s="3" t="s">
        <v>253</v>
      </c>
      <c r="M661">
        <f>IF(LEN(H661),MATCH(H661,'MPIO_SFIO Table'!$A$11:$A$65525,0)-1,"")</f>
        <v>185</v>
      </c>
      <c r="N661" t="str">
        <f>IF(LEN(I661),MATCH(I661,'MPIO_SFIO Table'!$A$11:$A$65525,0)-1,"")</f>
        <v/>
      </c>
      <c r="O661" t="str">
        <f>IF(LEN(J661),MATCH(J661,'MPIO_SFIO Table'!$A$11:$A$65525,0)-1,"")</f>
        <v/>
      </c>
      <c r="P661" t="str">
        <f>IF(LEN(K661),MATCH(K661,'MPIO_SFIO Table'!$A$11:$A$65525,0)-1,"")</f>
        <v/>
      </c>
      <c r="Q661" t="str">
        <f>IF(LEN(L661),MATCH(L661,'MPIO_SFIO Table'!$A$11:$A$65525,0)-1,"")</f>
        <v/>
      </c>
      <c r="R661" t="str">
        <f ca="1">IF(ISNUMBER(M661),OFFSET('MPIO_SFIO Table'!$AJ$11,M661,0),"")</f>
        <v>unused_SDMMC4_DAT7</v>
      </c>
      <c r="S661" t="str">
        <f ca="1">IF(ISNUMBER(N661),OFFSET('MPIO_SFIO Table'!$AJ$11,N661,0),"")</f>
        <v/>
      </c>
      <c r="T661" t="str">
        <f ca="1">IF(ISNUMBER(O661),OFFSET('MPIO_SFIO Table'!$AJ$11,O661,0),"")</f>
        <v/>
      </c>
      <c r="U661" t="str">
        <f ca="1">IF(ISNUMBER(P661),OFFSET('MPIO_SFIO Table'!$AJ$11,P661,0),"")</f>
        <v/>
      </c>
      <c r="V661" t="str">
        <f ca="1">IF(ISNUMBER(Q661),OFFSET('MPIO_SFIO Table'!$AJ$11,Q661,0),"")</f>
        <v/>
      </c>
      <c r="W661">
        <f t="shared" ca="1" si="91"/>
        <v>0</v>
      </c>
      <c r="X661">
        <f t="shared" ca="1" si="92"/>
        <v>0</v>
      </c>
      <c r="Y661">
        <f t="shared" ca="1" si="93"/>
        <v>0</v>
      </c>
      <c r="Z661">
        <f t="shared" ca="1" si="94"/>
        <v>0</v>
      </c>
      <c r="AA661">
        <f t="shared" ca="1" si="95"/>
        <v>0</v>
      </c>
    </row>
    <row r="662" spans="1:27" x14ac:dyDescent="0.25">
      <c r="A662">
        <f t="shared" ca="1" si="88"/>
        <v>0</v>
      </c>
      <c r="B662" t="str">
        <f t="shared" ca="1" si="89"/>
        <v/>
      </c>
      <c r="C662" t="str">
        <f t="shared" si="90"/>
        <v>SDMMC4</v>
      </c>
      <c r="D662" t="s">
        <v>253</v>
      </c>
      <c r="E662" t="s">
        <v>253</v>
      </c>
      <c r="F662" s="3" t="s">
        <v>2567</v>
      </c>
      <c r="G662" s="11" t="s">
        <v>649</v>
      </c>
      <c r="H662" s="11" t="s">
        <v>182</v>
      </c>
      <c r="I662" s="3" t="s">
        <v>253</v>
      </c>
      <c r="J662" s="3" t="s">
        <v>253</v>
      </c>
      <c r="K662" s="3" t="s">
        <v>253</v>
      </c>
      <c r="L662" s="3" t="s">
        <v>253</v>
      </c>
      <c r="M662">
        <f>IF(LEN(H662),MATCH(H662,'MPIO_SFIO Table'!$A$11:$A$65525,0)-1,"")</f>
        <v>186</v>
      </c>
      <c r="N662" t="str">
        <f>IF(LEN(I662),MATCH(I662,'MPIO_SFIO Table'!$A$11:$A$65525,0)-1,"")</f>
        <v/>
      </c>
      <c r="O662" t="str">
        <f>IF(LEN(J662),MATCH(J662,'MPIO_SFIO Table'!$A$11:$A$65525,0)-1,"")</f>
        <v/>
      </c>
      <c r="P662" t="str">
        <f>IF(LEN(K662),MATCH(K662,'MPIO_SFIO Table'!$A$11:$A$65525,0)-1,"")</f>
        <v/>
      </c>
      <c r="Q662" t="str">
        <f>IF(LEN(L662),MATCH(L662,'MPIO_SFIO Table'!$A$11:$A$65525,0)-1,"")</f>
        <v/>
      </c>
      <c r="R662" t="str">
        <f ca="1">IF(ISNUMBER(M662),OFFSET('MPIO_SFIO Table'!$AJ$11,M662,0),"")</f>
        <v>unused_SDMMC4_RST_N</v>
      </c>
      <c r="S662" t="str">
        <f ca="1">IF(ISNUMBER(N662),OFFSET('MPIO_SFIO Table'!$AJ$11,N662,0),"")</f>
        <v/>
      </c>
      <c r="T662" t="str">
        <f ca="1">IF(ISNUMBER(O662),OFFSET('MPIO_SFIO Table'!$AJ$11,O662,0),"")</f>
        <v/>
      </c>
      <c r="U662" t="str">
        <f ca="1">IF(ISNUMBER(P662),OFFSET('MPIO_SFIO Table'!$AJ$11,P662,0),"")</f>
        <v/>
      </c>
      <c r="V662" t="str">
        <f ca="1">IF(ISNUMBER(Q662),OFFSET('MPIO_SFIO Table'!$AJ$11,Q662,0),"")</f>
        <v/>
      </c>
      <c r="W662">
        <f t="shared" ca="1" si="91"/>
        <v>0</v>
      </c>
      <c r="X662">
        <f t="shared" ca="1" si="92"/>
        <v>0</v>
      </c>
      <c r="Y662">
        <f t="shared" ca="1" si="93"/>
        <v>0</v>
      </c>
      <c r="Z662">
        <f t="shared" ca="1" si="94"/>
        <v>0</v>
      </c>
      <c r="AA662">
        <f t="shared" ca="1" si="95"/>
        <v>0</v>
      </c>
    </row>
    <row r="663" spans="1:27" x14ac:dyDescent="0.25">
      <c r="A663">
        <f t="shared" ca="1" si="88"/>
        <v>0</v>
      </c>
      <c r="B663" t="str">
        <f t="shared" ca="1" si="89"/>
        <v/>
      </c>
      <c r="C663" t="str">
        <f t="shared" si="90"/>
        <v>SDMMC4</v>
      </c>
      <c r="D663" t="s">
        <v>253</v>
      </c>
      <c r="E663" t="s">
        <v>253</v>
      </c>
      <c r="F663" s="3" t="s">
        <v>2820</v>
      </c>
      <c r="G663" s="11" t="s">
        <v>611</v>
      </c>
      <c r="H663" s="11" t="s">
        <v>172</v>
      </c>
      <c r="I663" s="3" t="s">
        <v>253</v>
      </c>
      <c r="J663" s="3" t="s">
        <v>253</v>
      </c>
      <c r="K663" s="3" t="s">
        <v>253</v>
      </c>
      <c r="L663" s="3" t="s">
        <v>253</v>
      </c>
      <c r="M663">
        <f>IF(LEN(H663),MATCH(H663,'MPIO_SFIO Table'!$A$11:$A$65525,0)-1,"")</f>
        <v>176</v>
      </c>
      <c r="N663" t="str">
        <f>IF(LEN(I663),MATCH(I663,'MPIO_SFIO Table'!$A$11:$A$65525,0)-1,"")</f>
        <v/>
      </c>
      <c r="O663" t="str">
        <f>IF(LEN(J663),MATCH(J663,'MPIO_SFIO Table'!$A$11:$A$65525,0)-1,"")</f>
        <v/>
      </c>
      <c r="P663" t="str">
        <f>IF(LEN(K663),MATCH(K663,'MPIO_SFIO Table'!$A$11:$A$65525,0)-1,"")</f>
        <v/>
      </c>
      <c r="Q663" t="str">
        <f>IF(LEN(L663),MATCH(L663,'MPIO_SFIO Table'!$A$11:$A$65525,0)-1,"")</f>
        <v/>
      </c>
      <c r="R663" t="str">
        <f ca="1">IF(ISNUMBER(M663),OFFSET('MPIO_SFIO Table'!$AJ$11,M663,0),"")</f>
        <v>unused_SDMMC4_CLK</v>
      </c>
      <c r="S663" t="str">
        <f ca="1">IF(ISNUMBER(N663),OFFSET('MPIO_SFIO Table'!$AJ$11,N663,0),"")</f>
        <v/>
      </c>
      <c r="T663" t="str">
        <f ca="1">IF(ISNUMBER(O663),OFFSET('MPIO_SFIO Table'!$AJ$11,O663,0),"")</f>
        <v/>
      </c>
      <c r="U663" t="str">
        <f ca="1">IF(ISNUMBER(P663),OFFSET('MPIO_SFIO Table'!$AJ$11,P663,0),"")</f>
        <v/>
      </c>
      <c r="V663" t="str">
        <f ca="1">IF(ISNUMBER(Q663),OFFSET('MPIO_SFIO Table'!$AJ$11,Q663,0),"")</f>
        <v/>
      </c>
      <c r="W663">
        <f t="shared" ca="1" si="91"/>
        <v>0</v>
      </c>
      <c r="X663">
        <f t="shared" ca="1" si="92"/>
        <v>0</v>
      </c>
      <c r="Y663">
        <f t="shared" ca="1" si="93"/>
        <v>0</v>
      </c>
      <c r="Z663">
        <f t="shared" ca="1" si="94"/>
        <v>0</v>
      </c>
      <c r="AA663">
        <f t="shared" ca="1" si="95"/>
        <v>0</v>
      </c>
    </row>
    <row r="664" spans="1:27" x14ac:dyDescent="0.25">
      <c r="A664">
        <f t="shared" ca="1" si="88"/>
        <v>0</v>
      </c>
      <c r="B664" t="str">
        <f t="shared" ca="1" si="89"/>
        <v/>
      </c>
      <c r="C664" t="str">
        <f t="shared" si="90"/>
        <v/>
      </c>
      <c r="D664" t="s">
        <v>253</v>
      </c>
      <c r="E664" t="s">
        <v>1027</v>
      </c>
      <c r="F664" s="3" t="s">
        <v>253</v>
      </c>
      <c r="G664" s="11" t="s">
        <v>253</v>
      </c>
      <c r="H664" s="11" t="s">
        <v>253</v>
      </c>
      <c r="I664" s="3" t="s">
        <v>253</v>
      </c>
      <c r="J664" s="3" t="s">
        <v>253</v>
      </c>
      <c r="K664" s="3" t="s">
        <v>253</v>
      </c>
      <c r="L664" s="3" t="s">
        <v>253</v>
      </c>
      <c r="M664" t="str">
        <f>IF(LEN(H664),MATCH(H664,'MPIO_SFIO Table'!$A$11:$A$65525,0)-1,"")</f>
        <v/>
      </c>
      <c r="N664" t="str">
        <f>IF(LEN(I664),MATCH(I664,'MPIO_SFIO Table'!$A$11:$A$65525,0)-1,"")</f>
        <v/>
      </c>
      <c r="O664" t="str">
        <f>IF(LEN(J664),MATCH(J664,'MPIO_SFIO Table'!$A$11:$A$65525,0)-1,"")</f>
        <v/>
      </c>
      <c r="P664" t="str">
        <f>IF(LEN(K664),MATCH(K664,'MPIO_SFIO Table'!$A$11:$A$65525,0)-1,"")</f>
        <v/>
      </c>
      <c r="Q664" t="str">
        <f>IF(LEN(L664),MATCH(L664,'MPIO_SFIO Table'!$A$11:$A$65525,0)-1,"")</f>
        <v/>
      </c>
      <c r="R664" t="str">
        <f ca="1">IF(ISNUMBER(M664),OFFSET('MPIO_SFIO Table'!$AJ$11,M664,0),"")</f>
        <v/>
      </c>
      <c r="S664" t="str">
        <f ca="1">IF(ISNUMBER(N664),OFFSET('MPIO_SFIO Table'!$AJ$11,N664,0),"")</f>
        <v/>
      </c>
      <c r="T664" t="str">
        <f ca="1">IF(ISNUMBER(O664),OFFSET('MPIO_SFIO Table'!$AJ$11,O664,0),"")</f>
        <v/>
      </c>
      <c r="U664" t="str">
        <f ca="1">IF(ISNUMBER(P664),OFFSET('MPIO_SFIO Table'!$AJ$11,P664,0),"")</f>
        <v/>
      </c>
      <c r="V664" t="str">
        <f ca="1">IF(ISNUMBER(Q664),OFFSET('MPIO_SFIO Table'!$AJ$11,Q664,0),"")</f>
        <v/>
      </c>
      <c r="W664">
        <f t="shared" ca="1" si="91"/>
        <v>0</v>
      </c>
      <c r="X664">
        <f t="shared" ca="1" si="92"/>
        <v>0</v>
      </c>
      <c r="Y664">
        <f t="shared" ca="1" si="93"/>
        <v>0</v>
      </c>
      <c r="Z664">
        <f t="shared" ca="1" si="94"/>
        <v>0</v>
      </c>
      <c r="AA664">
        <f t="shared" ca="1" si="95"/>
        <v>0</v>
      </c>
    </row>
    <row r="665" spans="1:27" x14ac:dyDescent="0.25">
      <c r="A665">
        <f t="shared" ca="1" si="88"/>
        <v>0</v>
      </c>
      <c r="B665" t="str">
        <f t="shared" ca="1" si="89"/>
        <v/>
      </c>
      <c r="C665" t="str">
        <f t="shared" si="90"/>
        <v>SDMMC4</v>
      </c>
      <c r="D665" t="s">
        <v>253</v>
      </c>
      <c r="E665" t="s">
        <v>253</v>
      </c>
      <c r="F665" s="3" t="s">
        <v>2895</v>
      </c>
      <c r="G665" s="11" t="s">
        <v>396</v>
      </c>
      <c r="H665" s="11" t="s">
        <v>57</v>
      </c>
      <c r="I665" s="3" t="s">
        <v>253</v>
      </c>
      <c r="J665" s="3" t="s">
        <v>253</v>
      </c>
      <c r="K665" s="3" t="s">
        <v>253</v>
      </c>
      <c r="L665" s="3" t="s">
        <v>253</v>
      </c>
      <c r="M665">
        <f>IF(LEN(H665),MATCH(H665,'MPIO_SFIO Table'!$A$11:$A$65525,0)-1,"")</f>
        <v>51</v>
      </c>
      <c r="N665" t="str">
        <f>IF(LEN(I665),MATCH(I665,'MPIO_SFIO Table'!$A$11:$A$65525,0)-1,"")</f>
        <v/>
      </c>
      <c r="O665" t="str">
        <f>IF(LEN(J665),MATCH(J665,'MPIO_SFIO Table'!$A$11:$A$65525,0)-1,"")</f>
        <v/>
      </c>
      <c r="P665" t="str">
        <f>IF(LEN(K665),MATCH(K665,'MPIO_SFIO Table'!$A$11:$A$65525,0)-1,"")</f>
        <v/>
      </c>
      <c r="Q665" t="str">
        <f>IF(LEN(L665),MATCH(L665,'MPIO_SFIO Table'!$A$11:$A$65525,0)-1,"")</f>
        <v/>
      </c>
      <c r="R665" t="str">
        <f ca="1">IF(ISNUMBER(M665),OFFSET('MPIO_SFIO Table'!$AJ$11,M665,0),"")</f>
        <v>unused_GPIO_PCC1</v>
      </c>
      <c r="S665" t="str">
        <f ca="1">IF(ISNUMBER(N665),OFFSET('MPIO_SFIO Table'!$AJ$11,N665,0),"")</f>
        <v/>
      </c>
      <c r="T665" t="str">
        <f ca="1">IF(ISNUMBER(O665),OFFSET('MPIO_SFIO Table'!$AJ$11,O665,0),"")</f>
        <v/>
      </c>
      <c r="U665" t="str">
        <f ca="1">IF(ISNUMBER(P665),OFFSET('MPIO_SFIO Table'!$AJ$11,P665,0),"")</f>
        <v/>
      </c>
      <c r="V665" t="str">
        <f ca="1">IF(ISNUMBER(Q665),OFFSET('MPIO_SFIO Table'!$AJ$11,Q665,0),"")</f>
        <v/>
      </c>
      <c r="W665">
        <f t="shared" ca="1" si="91"/>
        <v>0</v>
      </c>
      <c r="X665">
        <f t="shared" ca="1" si="92"/>
        <v>0</v>
      </c>
      <c r="Y665">
        <f t="shared" ca="1" si="93"/>
        <v>0</v>
      </c>
      <c r="Z665">
        <f t="shared" ca="1" si="94"/>
        <v>0</v>
      </c>
      <c r="AA665">
        <f t="shared" ca="1" si="95"/>
        <v>0</v>
      </c>
    </row>
    <row r="666" spans="1:27" x14ac:dyDescent="0.25">
      <c r="A666">
        <f t="shared" ca="1" si="88"/>
        <v>0</v>
      </c>
      <c r="B666" t="str">
        <f t="shared" ca="1" si="89"/>
        <v/>
      </c>
      <c r="C666" t="str">
        <f t="shared" si="90"/>
        <v>SDMMC4</v>
      </c>
      <c r="D666" t="s">
        <v>253</v>
      </c>
      <c r="E666" t="s">
        <v>253</v>
      </c>
      <c r="F666" s="3" t="s">
        <v>2896</v>
      </c>
      <c r="G666" s="11" t="s">
        <v>375</v>
      </c>
      <c r="H666" s="11" t="s">
        <v>51</v>
      </c>
      <c r="I666" s="3" t="s">
        <v>253</v>
      </c>
      <c r="J666" s="3" t="s">
        <v>253</v>
      </c>
      <c r="K666" s="3" t="s">
        <v>253</v>
      </c>
      <c r="L666" s="3" t="s">
        <v>253</v>
      </c>
      <c r="M666">
        <f>IF(LEN(H666),MATCH(H666,'MPIO_SFIO Table'!$A$11:$A$65525,0)-1,"")</f>
        <v>45</v>
      </c>
      <c r="N666" t="str">
        <f>IF(LEN(I666),MATCH(I666,'MPIO_SFIO Table'!$A$11:$A$65525,0)-1,"")</f>
        <v/>
      </c>
      <c r="O666" t="str">
        <f>IF(LEN(J666),MATCH(J666,'MPIO_SFIO Table'!$A$11:$A$65525,0)-1,"")</f>
        <v/>
      </c>
      <c r="P666" t="str">
        <f>IF(LEN(K666),MATCH(K666,'MPIO_SFIO Table'!$A$11:$A$65525,0)-1,"")</f>
        <v/>
      </c>
      <c r="Q666" t="str">
        <f>IF(LEN(L666),MATCH(L666,'MPIO_SFIO Table'!$A$11:$A$65525,0)-1,"")</f>
        <v/>
      </c>
      <c r="R666" t="str">
        <f ca="1">IF(ISNUMBER(M666),OFFSET('MPIO_SFIO Table'!$AJ$11,M666,0),"")</f>
        <v>unused_GPIO_PBB0</v>
      </c>
      <c r="S666" t="str">
        <f ca="1">IF(ISNUMBER(N666),OFFSET('MPIO_SFIO Table'!$AJ$11,N666,0),"")</f>
        <v/>
      </c>
      <c r="T666" t="str">
        <f ca="1">IF(ISNUMBER(O666),OFFSET('MPIO_SFIO Table'!$AJ$11,O666,0),"")</f>
        <v/>
      </c>
      <c r="U666" t="str">
        <f ca="1">IF(ISNUMBER(P666),OFFSET('MPIO_SFIO Table'!$AJ$11,P666,0),"")</f>
        <v/>
      </c>
      <c r="V666" t="str">
        <f ca="1">IF(ISNUMBER(Q666),OFFSET('MPIO_SFIO Table'!$AJ$11,Q666,0),"")</f>
        <v/>
      </c>
      <c r="W666">
        <f t="shared" ca="1" si="91"/>
        <v>0</v>
      </c>
      <c r="X666">
        <f t="shared" ca="1" si="92"/>
        <v>0</v>
      </c>
      <c r="Y666">
        <f t="shared" ca="1" si="93"/>
        <v>0</v>
      </c>
      <c r="Z666">
        <f t="shared" ca="1" si="94"/>
        <v>0</v>
      </c>
      <c r="AA666">
        <f t="shared" ca="1" si="95"/>
        <v>0</v>
      </c>
    </row>
    <row r="667" spans="1:27" x14ac:dyDescent="0.25">
      <c r="A667">
        <f t="shared" ca="1" si="88"/>
        <v>0</v>
      </c>
      <c r="B667" t="str">
        <f t="shared" ca="1" si="89"/>
        <v/>
      </c>
      <c r="C667" t="str">
        <f t="shared" si="90"/>
        <v>SDMMC4</v>
      </c>
      <c r="D667" t="s">
        <v>253</v>
      </c>
      <c r="E667" t="s">
        <v>253</v>
      </c>
      <c r="F667" s="3" t="s">
        <v>2897</v>
      </c>
      <c r="G667" s="11" t="s">
        <v>366</v>
      </c>
      <c r="H667" s="11" t="s">
        <v>48</v>
      </c>
      <c r="I667" s="3" t="s">
        <v>253</v>
      </c>
      <c r="J667" s="3" t="s">
        <v>253</v>
      </c>
      <c r="K667" s="3" t="s">
        <v>253</v>
      </c>
      <c r="L667" s="3" t="s">
        <v>253</v>
      </c>
      <c r="M667">
        <f>IF(LEN(H667),MATCH(H667,'MPIO_SFIO Table'!$A$11:$A$65525,0)-1,"")</f>
        <v>42</v>
      </c>
      <c r="N667" t="str">
        <f>IF(LEN(I667),MATCH(I667,'MPIO_SFIO Table'!$A$11:$A$65525,0)-1,"")</f>
        <v/>
      </c>
      <c r="O667" t="str">
        <f>IF(LEN(J667),MATCH(J667,'MPIO_SFIO Table'!$A$11:$A$65525,0)-1,"")</f>
        <v/>
      </c>
      <c r="P667" t="str">
        <f>IF(LEN(K667),MATCH(K667,'MPIO_SFIO Table'!$A$11:$A$65525,0)-1,"")</f>
        <v/>
      </c>
      <c r="Q667" t="str">
        <f>IF(LEN(L667),MATCH(L667,'MPIO_SFIO Table'!$A$11:$A$65525,0)-1,"")</f>
        <v/>
      </c>
      <c r="R667" t="str">
        <f ca="1">IF(ISNUMBER(M667),OFFSET('MPIO_SFIO Table'!$AJ$11,M667,0),"")</f>
        <v>unused_CAM_I2C_SCL</v>
      </c>
      <c r="S667" t="str">
        <f ca="1">IF(ISNUMBER(N667),OFFSET('MPIO_SFIO Table'!$AJ$11,N667,0),"")</f>
        <v/>
      </c>
      <c r="T667" t="str">
        <f ca="1">IF(ISNUMBER(O667),OFFSET('MPIO_SFIO Table'!$AJ$11,O667,0),"")</f>
        <v/>
      </c>
      <c r="U667" t="str">
        <f ca="1">IF(ISNUMBER(P667),OFFSET('MPIO_SFIO Table'!$AJ$11,P667,0),"")</f>
        <v/>
      </c>
      <c r="V667" t="str">
        <f ca="1">IF(ISNUMBER(Q667),OFFSET('MPIO_SFIO Table'!$AJ$11,Q667,0),"")</f>
        <v/>
      </c>
      <c r="W667">
        <f t="shared" ca="1" si="91"/>
        <v>0</v>
      </c>
      <c r="X667">
        <f t="shared" ca="1" si="92"/>
        <v>0</v>
      </c>
      <c r="Y667">
        <f t="shared" ca="1" si="93"/>
        <v>0</v>
      </c>
      <c r="Z667">
        <f t="shared" ca="1" si="94"/>
        <v>0</v>
      </c>
      <c r="AA667">
        <f t="shared" ca="1" si="95"/>
        <v>0</v>
      </c>
    </row>
    <row r="668" spans="1:27" x14ac:dyDescent="0.25">
      <c r="A668">
        <f t="shared" ca="1" si="88"/>
        <v>0</v>
      </c>
      <c r="B668" t="str">
        <f t="shared" ca="1" si="89"/>
        <v/>
      </c>
      <c r="C668" t="str">
        <f t="shared" si="90"/>
        <v>SDMMC4</v>
      </c>
      <c r="D668" t="s">
        <v>253</v>
      </c>
      <c r="E668" t="s">
        <v>253</v>
      </c>
      <c r="F668" s="3" t="s">
        <v>2898</v>
      </c>
      <c r="G668" s="11" t="s">
        <v>370</v>
      </c>
      <c r="H668" s="11" t="s">
        <v>49</v>
      </c>
      <c r="I668" s="3" t="s">
        <v>253</v>
      </c>
      <c r="J668" s="3" t="s">
        <v>253</v>
      </c>
      <c r="K668" s="3" t="s">
        <v>253</v>
      </c>
      <c r="L668" s="3" t="s">
        <v>253</v>
      </c>
      <c r="M668">
        <f>IF(LEN(H668),MATCH(H668,'MPIO_SFIO Table'!$A$11:$A$65525,0)-1,"")</f>
        <v>43</v>
      </c>
      <c r="N668" t="str">
        <f>IF(LEN(I668),MATCH(I668,'MPIO_SFIO Table'!$A$11:$A$65525,0)-1,"")</f>
        <v/>
      </c>
      <c r="O668" t="str">
        <f>IF(LEN(J668),MATCH(J668,'MPIO_SFIO Table'!$A$11:$A$65525,0)-1,"")</f>
        <v/>
      </c>
      <c r="P668" t="str">
        <f>IF(LEN(K668),MATCH(K668,'MPIO_SFIO Table'!$A$11:$A$65525,0)-1,"")</f>
        <v/>
      </c>
      <c r="Q668" t="str">
        <f>IF(LEN(L668),MATCH(L668,'MPIO_SFIO Table'!$A$11:$A$65525,0)-1,"")</f>
        <v/>
      </c>
      <c r="R668" t="str">
        <f ca="1">IF(ISNUMBER(M668),OFFSET('MPIO_SFIO Table'!$AJ$11,M668,0),"")</f>
        <v>unused_CAM_I2C_SDA</v>
      </c>
      <c r="S668" t="str">
        <f ca="1">IF(ISNUMBER(N668),OFFSET('MPIO_SFIO Table'!$AJ$11,N668,0),"")</f>
        <v/>
      </c>
      <c r="T668" t="str">
        <f ca="1">IF(ISNUMBER(O668),OFFSET('MPIO_SFIO Table'!$AJ$11,O668,0),"")</f>
        <v/>
      </c>
      <c r="U668" t="str">
        <f ca="1">IF(ISNUMBER(P668),OFFSET('MPIO_SFIO Table'!$AJ$11,P668,0),"")</f>
        <v/>
      </c>
      <c r="V668" t="str">
        <f ca="1">IF(ISNUMBER(Q668),OFFSET('MPIO_SFIO Table'!$AJ$11,Q668,0),"")</f>
        <v/>
      </c>
      <c r="W668">
        <f t="shared" ca="1" si="91"/>
        <v>0</v>
      </c>
      <c r="X668">
        <f t="shared" ca="1" si="92"/>
        <v>0</v>
      </c>
      <c r="Y668">
        <f t="shared" ca="1" si="93"/>
        <v>0</v>
      </c>
      <c r="Z668">
        <f t="shared" ca="1" si="94"/>
        <v>0</v>
      </c>
      <c r="AA668">
        <f t="shared" ca="1" si="95"/>
        <v>0</v>
      </c>
    </row>
    <row r="669" spans="1:27" x14ac:dyDescent="0.25">
      <c r="A669">
        <f t="shared" ca="1" si="88"/>
        <v>0</v>
      </c>
      <c r="B669" t="str">
        <f t="shared" ca="1" si="89"/>
        <v/>
      </c>
      <c r="C669" t="str">
        <f t="shared" si="90"/>
        <v>SDMMC4</v>
      </c>
      <c r="D669" t="s">
        <v>253</v>
      </c>
      <c r="E669" t="s">
        <v>253</v>
      </c>
      <c r="F669" s="3" t="s">
        <v>2899</v>
      </c>
      <c r="G669" s="11" t="s">
        <v>379</v>
      </c>
      <c r="H669" s="11" t="s">
        <v>52</v>
      </c>
      <c r="I669" s="3" t="s">
        <v>253</v>
      </c>
      <c r="J669" s="3" t="s">
        <v>253</v>
      </c>
      <c r="K669" s="3" t="s">
        <v>253</v>
      </c>
      <c r="L669" s="3" t="s">
        <v>253</v>
      </c>
      <c r="M669">
        <f>IF(LEN(H669),MATCH(H669,'MPIO_SFIO Table'!$A$11:$A$65525,0)-1,"")</f>
        <v>46</v>
      </c>
      <c r="N669" t="str">
        <f>IF(LEN(I669),MATCH(I669,'MPIO_SFIO Table'!$A$11:$A$65525,0)-1,"")</f>
        <v/>
      </c>
      <c r="O669" t="str">
        <f>IF(LEN(J669),MATCH(J669,'MPIO_SFIO Table'!$A$11:$A$65525,0)-1,"")</f>
        <v/>
      </c>
      <c r="P669" t="str">
        <f>IF(LEN(K669),MATCH(K669,'MPIO_SFIO Table'!$A$11:$A$65525,0)-1,"")</f>
        <v/>
      </c>
      <c r="Q669" t="str">
        <f>IF(LEN(L669),MATCH(L669,'MPIO_SFIO Table'!$A$11:$A$65525,0)-1,"")</f>
        <v/>
      </c>
      <c r="R669" t="str">
        <f ca="1">IF(ISNUMBER(M669),OFFSET('MPIO_SFIO Table'!$AJ$11,M669,0),"")</f>
        <v>unused_GPIO_PBB3</v>
      </c>
      <c r="S669" t="str">
        <f ca="1">IF(ISNUMBER(N669),OFFSET('MPIO_SFIO Table'!$AJ$11,N669,0),"")</f>
        <v/>
      </c>
      <c r="T669" t="str">
        <f ca="1">IF(ISNUMBER(O669),OFFSET('MPIO_SFIO Table'!$AJ$11,O669,0),"")</f>
        <v/>
      </c>
      <c r="U669" t="str">
        <f ca="1">IF(ISNUMBER(P669),OFFSET('MPIO_SFIO Table'!$AJ$11,P669,0),"")</f>
        <v/>
      </c>
      <c r="V669" t="str">
        <f ca="1">IF(ISNUMBER(Q669),OFFSET('MPIO_SFIO Table'!$AJ$11,Q669,0),"")</f>
        <v/>
      </c>
      <c r="W669">
        <f t="shared" ca="1" si="91"/>
        <v>0</v>
      </c>
      <c r="X669">
        <f t="shared" ca="1" si="92"/>
        <v>0</v>
      </c>
      <c r="Y669">
        <f t="shared" ca="1" si="93"/>
        <v>0</v>
      </c>
      <c r="Z669">
        <f t="shared" ca="1" si="94"/>
        <v>0</v>
      </c>
      <c r="AA669">
        <f t="shared" ca="1" si="95"/>
        <v>0</v>
      </c>
    </row>
    <row r="670" spans="1:27" x14ac:dyDescent="0.25">
      <c r="A670">
        <f t="shared" ca="1" si="88"/>
        <v>0</v>
      </c>
      <c r="B670" t="str">
        <f t="shared" ca="1" si="89"/>
        <v/>
      </c>
      <c r="C670" t="str">
        <f t="shared" si="90"/>
        <v>SDMMC4</v>
      </c>
      <c r="D670" t="s">
        <v>253</v>
      </c>
      <c r="E670" t="s">
        <v>253</v>
      </c>
      <c r="F670" s="3" t="s">
        <v>2900</v>
      </c>
      <c r="G670" s="11" t="s">
        <v>383</v>
      </c>
      <c r="H670" s="11" t="s">
        <v>53</v>
      </c>
      <c r="I670" s="3" t="s">
        <v>253</v>
      </c>
      <c r="J670" s="3" t="s">
        <v>253</v>
      </c>
      <c r="K670" s="3" t="s">
        <v>253</v>
      </c>
      <c r="L670" s="3" t="s">
        <v>253</v>
      </c>
      <c r="M670">
        <f>IF(LEN(H670),MATCH(H670,'MPIO_SFIO Table'!$A$11:$A$65525,0)-1,"")</f>
        <v>47</v>
      </c>
      <c r="N670" t="str">
        <f>IF(LEN(I670),MATCH(I670,'MPIO_SFIO Table'!$A$11:$A$65525,0)-1,"")</f>
        <v/>
      </c>
      <c r="O670" t="str">
        <f>IF(LEN(J670),MATCH(J670,'MPIO_SFIO Table'!$A$11:$A$65525,0)-1,"")</f>
        <v/>
      </c>
      <c r="P670" t="str">
        <f>IF(LEN(K670),MATCH(K670,'MPIO_SFIO Table'!$A$11:$A$65525,0)-1,"")</f>
        <v/>
      </c>
      <c r="Q670" t="str">
        <f>IF(LEN(L670),MATCH(L670,'MPIO_SFIO Table'!$A$11:$A$65525,0)-1,"")</f>
        <v/>
      </c>
      <c r="R670" t="str">
        <f ca="1">IF(ISNUMBER(M670),OFFSET('MPIO_SFIO Table'!$AJ$11,M670,0),"")</f>
        <v>unused_GPIO_PBB4</v>
      </c>
      <c r="S670" t="str">
        <f ca="1">IF(ISNUMBER(N670),OFFSET('MPIO_SFIO Table'!$AJ$11,N670,0),"")</f>
        <v/>
      </c>
      <c r="T670" t="str">
        <f ca="1">IF(ISNUMBER(O670),OFFSET('MPIO_SFIO Table'!$AJ$11,O670,0),"")</f>
        <v/>
      </c>
      <c r="U670" t="str">
        <f ca="1">IF(ISNUMBER(P670),OFFSET('MPIO_SFIO Table'!$AJ$11,P670,0),"")</f>
        <v/>
      </c>
      <c r="V670" t="str">
        <f ca="1">IF(ISNUMBER(Q670),OFFSET('MPIO_SFIO Table'!$AJ$11,Q670,0),"")</f>
        <v/>
      </c>
      <c r="W670">
        <f t="shared" ca="1" si="91"/>
        <v>0</v>
      </c>
      <c r="X670">
        <f t="shared" ca="1" si="92"/>
        <v>0</v>
      </c>
      <c r="Y670">
        <f t="shared" ca="1" si="93"/>
        <v>0</v>
      </c>
      <c r="Z670">
        <f t="shared" ca="1" si="94"/>
        <v>0</v>
      </c>
      <c r="AA670">
        <f t="shared" ca="1" si="95"/>
        <v>0</v>
      </c>
    </row>
    <row r="671" spans="1:27" x14ac:dyDescent="0.25">
      <c r="A671">
        <f t="shared" ca="1" si="88"/>
        <v>0</v>
      </c>
      <c r="B671" t="str">
        <f t="shared" ca="1" si="89"/>
        <v/>
      </c>
      <c r="C671" t="str">
        <f t="shared" si="90"/>
        <v>SDMMC4</v>
      </c>
      <c r="D671" t="s">
        <v>253</v>
      </c>
      <c r="E671" t="s">
        <v>253</v>
      </c>
      <c r="F671" s="3" t="s">
        <v>2901</v>
      </c>
      <c r="G671" s="11" t="s">
        <v>388</v>
      </c>
      <c r="H671" s="11" t="s">
        <v>54</v>
      </c>
      <c r="I671" s="3" t="s">
        <v>253</v>
      </c>
      <c r="J671" s="3" t="s">
        <v>253</v>
      </c>
      <c r="K671" s="3" t="s">
        <v>253</v>
      </c>
      <c r="L671" s="3" t="s">
        <v>253</v>
      </c>
      <c r="M671">
        <f>IF(LEN(H671),MATCH(H671,'MPIO_SFIO Table'!$A$11:$A$65525,0)-1,"")</f>
        <v>48</v>
      </c>
      <c r="N671" t="str">
        <f>IF(LEN(I671),MATCH(I671,'MPIO_SFIO Table'!$A$11:$A$65525,0)-1,"")</f>
        <v/>
      </c>
      <c r="O671" t="str">
        <f>IF(LEN(J671),MATCH(J671,'MPIO_SFIO Table'!$A$11:$A$65525,0)-1,"")</f>
        <v/>
      </c>
      <c r="P671" t="str">
        <f>IF(LEN(K671),MATCH(K671,'MPIO_SFIO Table'!$A$11:$A$65525,0)-1,"")</f>
        <v/>
      </c>
      <c r="Q671" t="str">
        <f>IF(LEN(L671),MATCH(L671,'MPIO_SFIO Table'!$A$11:$A$65525,0)-1,"")</f>
        <v/>
      </c>
      <c r="R671" t="str">
        <f ca="1">IF(ISNUMBER(M671),OFFSET('MPIO_SFIO Table'!$AJ$11,M671,0),"")</f>
        <v>unused_GPIO_PBB5</v>
      </c>
      <c r="S671" t="str">
        <f ca="1">IF(ISNUMBER(N671),OFFSET('MPIO_SFIO Table'!$AJ$11,N671,0),"")</f>
        <v/>
      </c>
      <c r="T671" t="str">
        <f ca="1">IF(ISNUMBER(O671),OFFSET('MPIO_SFIO Table'!$AJ$11,O671,0),"")</f>
        <v/>
      </c>
      <c r="U671" t="str">
        <f ca="1">IF(ISNUMBER(P671),OFFSET('MPIO_SFIO Table'!$AJ$11,P671,0),"")</f>
        <v/>
      </c>
      <c r="V671" t="str">
        <f ca="1">IF(ISNUMBER(Q671),OFFSET('MPIO_SFIO Table'!$AJ$11,Q671,0),"")</f>
        <v/>
      </c>
      <c r="W671">
        <f t="shared" ca="1" si="91"/>
        <v>0</v>
      </c>
      <c r="X671">
        <f t="shared" ca="1" si="92"/>
        <v>0</v>
      </c>
      <c r="Y671">
        <f t="shared" ca="1" si="93"/>
        <v>0</v>
      </c>
      <c r="Z671">
        <f t="shared" ca="1" si="94"/>
        <v>0</v>
      </c>
      <c r="AA671">
        <f t="shared" ca="1" si="95"/>
        <v>0</v>
      </c>
    </row>
    <row r="672" spans="1:27" x14ac:dyDescent="0.25">
      <c r="A672">
        <f t="shared" ca="1" si="88"/>
        <v>0</v>
      </c>
      <c r="B672" t="str">
        <f t="shared" ca="1" si="89"/>
        <v/>
      </c>
      <c r="C672" t="str">
        <f t="shared" si="90"/>
        <v>SDMMC4</v>
      </c>
      <c r="D672" t="s">
        <v>253</v>
      </c>
      <c r="E672" t="s">
        <v>253</v>
      </c>
      <c r="F672" s="3" t="s">
        <v>2902</v>
      </c>
      <c r="G672" s="11" t="s">
        <v>392</v>
      </c>
      <c r="H672" s="11" t="s">
        <v>55</v>
      </c>
      <c r="I672" s="3" t="s">
        <v>253</v>
      </c>
      <c r="J672" s="3" t="s">
        <v>253</v>
      </c>
      <c r="K672" s="3" t="s">
        <v>253</v>
      </c>
      <c r="L672" s="3" t="s">
        <v>253</v>
      </c>
      <c r="M672">
        <f>IF(LEN(H672),MATCH(H672,'MPIO_SFIO Table'!$A$11:$A$65525,0)-1,"")</f>
        <v>49</v>
      </c>
      <c r="N672" t="str">
        <f>IF(LEN(I672),MATCH(I672,'MPIO_SFIO Table'!$A$11:$A$65525,0)-1,"")</f>
        <v/>
      </c>
      <c r="O672" t="str">
        <f>IF(LEN(J672),MATCH(J672,'MPIO_SFIO Table'!$A$11:$A$65525,0)-1,"")</f>
        <v/>
      </c>
      <c r="P672" t="str">
        <f>IF(LEN(K672),MATCH(K672,'MPIO_SFIO Table'!$A$11:$A$65525,0)-1,"")</f>
        <v/>
      </c>
      <c r="Q672" t="str">
        <f>IF(LEN(L672),MATCH(L672,'MPIO_SFIO Table'!$A$11:$A$65525,0)-1,"")</f>
        <v/>
      </c>
      <c r="R672" t="str">
        <f ca="1">IF(ISNUMBER(M672),OFFSET('MPIO_SFIO Table'!$AJ$11,M672,0),"")</f>
        <v>unused_GPIO_PBB6</v>
      </c>
      <c r="S672" t="str">
        <f ca="1">IF(ISNUMBER(N672),OFFSET('MPIO_SFIO Table'!$AJ$11,N672,0),"")</f>
        <v/>
      </c>
      <c r="T672" t="str">
        <f ca="1">IF(ISNUMBER(O672),OFFSET('MPIO_SFIO Table'!$AJ$11,O672,0),"")</f>
        <v/>
      </c>
      <c r="U672" t="str">
        <f ca="1">IF(ISNUMBER(P672),OFFSET('MPIO_SFIO Table'!$AJ$11,P672,0),"")</f>
        <v/>
      </c>
      <c r="V672" t="str">
        <f ca="1">IF(ISNUMBER(Q672),OFFSET('MPIO_SFIO Table'!$AJ$11,Q672,0),"")</f>
        <v/>
      </c>
      <c r="W672">
        <f t="shared" ca="1" si="91"/>
        <v>0</v>
      </c>
      <c r="X672">
        <f t="shared" ca="1" si="92"/>
        <v>0</v>
      </c>
      <c r="Y672">
        <f t="shared" ca="1" si="93"/>
        <v>0</v>
      </c>
      <c r="Z672">
        <f t="shared" ca="1" si="94"/>
        <v>0</v>
      </c>
      <c r="AA672">
        <f t="shared" ca="1" si="95"/>
        <v>0</v>
      </c>
    </row>
    <row r="673" spans="1:27" x14ac:dyDescent="0.25">
      <c r="A673">
        <f t="shared" ca="1" si="88"/>
        <v>0</v>
      </c>
      <c r="B673" t="str">
        <f t="shared" ca="1" si="89"/>
        <v/>
      </c>
      <c r="C673" t="str">
        <f t="shared" si="90"/>
        <v>SDMMC4</v>
      </c>
      <c r="D673" t="s">
        <v>253</v>
      </c>
      <c r="E673" t="s">
        <v>253</v>
      </c>
      <c r="F673" s="3" t="s">
        <v>2903</v>
      </c>
      <c r="G673" s="11" t="s">
        <v>394</v>
      </c>
      <c r="H673" s="11" t="s">
        <v>56</v>
      </c>
      <c r="I673" s="3" t="s">
        <v>253</v>
      </c>
      <c r="J673" s="3" t="s">
        <v>253</v>
      </c>
      <c r="K673" s="3" t="s">
        <v>253</v>
      </c>
      <c r="L673" s="3" t="s">
        <v>253</v>
      </c>
      <c r="M673">
        <f>IF(LEN(H673),MATCH(H673,'MPIO_SFIO Table'!$A$11:$A$65525,0)-1,"")</f>
        <v>50</v>
      </c>
      <c r="N673" t="str">
        <f>IF(LEN(I673),MATCH(I673,'MPIO_SFIO Table'!$A$11:$A$65525,0)-1,"")</f>
        <v/>
      </c>
      <c r="O673" t="str">
        <f>IF(LEN(J673),MATCH(J673,'MPIO_SFIO Table'!$A$11:$A$65525,0)-1,"")</f>
        <v/>
      </c>
      <c r="P673" t="str">
        <f>IF(LEN(K673),MATCH(K673,'MPIO_SFIO Table'!$A$11:$A$65525,0)-1,"")</f>
        <v/>
      </c>
      <c r="Q673" t="str">
        <f>IF(LEN(L673),MATCH(L673,'MPIO_SFIO Table'!$A$11:$A$65525,0)-1,"")</f>
        <v/>
      </c>
      <c r="R673" t="str">
        <f ca="1">IF(ISNUMBER(M673),OFFSET('MPIO_SFIO Table'!$AJ$11,M673,0),"")</f>
        <v>unused_GPIO_PBB7</v>
      </c>
      <c r="S673" t="str">
        <f ca="1">IF(ISNUMBER(N673),OFFSET('MPIO_SFIO Table'!$AJ$11,N673,0),"")</f>
        <v/>
      </c>
      <c r="T673" t="str">
        <f ca="1">IF(ISNUMBER(O673),OFFSET('MPIO_SFIO Table'!$AJ$11,O673,0),"")</f>
        <v/>
      </c>
      <c r="U673" t="str">
        <f ca="1">IF(ISNUMBER(P673),OFFSET('MPIO_SFIO Table'!$AJ$11,P673,0),"")</f>
        <v/>
      </c>
      <c r="V673" t="str">
        <f ca="1">IF(ISNUMBER(Q673),OFFSET('MPIO_SFIO Table'!$AJ$11,Q673,0),"")</f>
        <v/>
      </c>
      <c r="W673">
        <f t="shared" ca="1" si="91"/>
        <v>0</v>
      </c>
      <c r="X673">
        <f t="shared" ca="1" si="92"/>
        <v>0</v>
      </c>
      <c r="Y673">
        <f t="shared" ca="1" si="93"/>
        <v>0</v>
      </c>
      <c r="Z673">
        <f t="shared" ca="1" si="94"/>
        <v>0</v>
      </c>
      <c r="AA673">
        <f t="shared" ca="1" si="95"/>
        <v>0</v>
      </c>
    </row>
    <row r="674" spans="1:27" x14ac:dyDescent="0.25">
      <c r="A674">
        <f t="shared" ca="1" si="88"/>
        <v>0</v>
      </c>
      <c r="B674" t="str">
        <f t="shared" ca="1" si="89"/>
        <v/>
      </c>
      <c r="C674" t="str">
        <f t="shared" si="90"/>
        <v>SDMMC4</v>
      </c>
      <c r="D674" t="s">
        <v>253</v>
      </c>
      <c r="E674" t="s">
        <v>253</v>
      </c>
      <c r="F674" s="3" t="s">
        <v>2567</v>
      </c>
      <c r="G674" s="11" t="s">
        <v>399</v>
      </c>
      <c r="H674" s="11" t="s">
        <v>58</v>
      </c>
      <c r="I674" s="3" t="s">
        <v>253</v>
      </c>
      <c r="J674" s="3" t="s">
        <v>253</v>
      </c>
      <c r="K674" s="3" t="s">
        <v>253</v>
      </c>
      <c r="L674" s="3" t="s">
        <v>253</v>
      </c>
      <c r="M674">
        <f>IF(LEN(H674),MATCH(H674,'MPIO_SFIO Table'!$A$11:$A$65525,0)-1,"")</f>
        <v>52</v>
      </c>
      <c r="N674" t="str">
        <f>IF(LEN(I674),MATCH(I674,'MPIO_SFIO Table'!$A$11:$A$65525,0)-1,"")</f>
        <v/>
      </c>
      <c r="O674" t="str">
        <f>IF(LEN(J674),MATCH(J674,'MPIO_SFIO Table'!$A$11:$A$65525,0)-1,"")</f>
        <v/>
      </c>
      <c r="P674" t="str">
        <f>IF(LEN(K674),MATCH(K674,'MPIO_SFIO Table'!$A$11:$A$65525,0)-1,"")</f>
        <v/>
      </c>
      <c r="Q674" t="str">
        <f>IF(LEN(L674),MATCH(L674,'MPIO_SFIO Table'!$A$11:$A$65525,0)-1,"")</f>
        <v/>
      </c>
      <c r="R674" t="str">
        <f ca="1">IF(ISNUMBER(M674),OFFSET('MPIO_SFIO Table'!$AJ$11,M674,0),"")</f>
        <v>unused_GPIO_PCC2</v>
      </c>
      <c r="S674" t="str">
        <f ca="1">IF(ISNUMBER(N674),OFFSET('MPIO_SFIO Table'!$AJ$11,N674,0),"")</f>
        <v/>
      </c>
      <c r="T674" t="str">
        <f ca="1">IF(ISNUMBER(O674),OFFSET('MPIO_SFIO Table'!$AJ$11,O674,0),"")</f>
        <v/>
      </c>
      <c r="U674" t="str">
        <f ca="1">IF(ISNUMBER(P674),OFFSET('MPIO_SFIO Table'!$AJ$11,P674,0),"")</f>
        <v/>
      </c>
      <c r="V674" t="str">
        <f ca="1">IF(ISNUMBER(Q674),OFFSET('MPIO_SFIO Table'!$AJ$11,Q674,0),"")</f>
        <v/>
      </c>
      <c r="W674">
        <f t="shared" ca="1" si="91"/>
        <v>0</v>
      </c>
      <c r="X674">
        <f t="shared" ca="1" si="92"/>
        <v>0</v>
      </c>
      <c r="Y674">
        <f t="shared" ca="1" si="93"/>
        <v>0</v>
      </c>
      <c r="Z674">
        <f t="shared" ca="1" si="94"/>
        <v>0</v>
      </c>
      <c r="AA674">
        <f t="shared" ca="1" si="95"/>
        <v>0</v>
      </c>
    </row>
    <row r="675" spans="1:27" x14ac:dyDescent="0.25">
      <c r="A675">
        <f t="shared" ca="1" si="88"/>
        <v>0</v>
      </c>
      <c r="B675" t="str">
        <f t="shared" ca="1" si="89"/>
        <v/>
      </c>
      <c r="C675" t="str">
        <f t="shared" si="90"/>
        <v>SDMMC4</v>
      </c>
      <c r="D675" t="s">
        <v>253</v>
      </c>
      <c r="E675" t="s">
        <v>253</v>
      </c>
      <c r="F675" s="3" t="s">
        <v>2820</v>
      </c>
      <c r="G675" s="11" t="s">
        <v>372</v>
      </c>
      <c r="H675" s="11" t="s">
        <v>50</v>
      </c>
      <c r="I675" s="3" t="s">
        <v>253</v>
      </c>
      <c r="J675" s="3" t="s">
        <v>253</v>
      </c>
      <c r="K675" s="3" t="s">
        <v>253</v>
      </c>
      <c r="L675" s="3" t="s">
        <v>253</v>
      </c>
      <c r="M675">
        <f>IF(LEN(H675),MATCH(H675,'MPIO_SFIO Table'!$A$11:$A$65525,0)-1,"")</f>
        <v>44</v>
      </c>
      <c r="N675" t="str">
        <f>IF(LEN(I675),MATCH(I675,'MPIO_SFIO Table'!$A$11:$A$65525,0)-1,"")</f>
        <v/>
      </c>
      <c r="O675" t="str">
        <f>IF(LEN(J675),MATCH(J675,'MPIO_SFIO Table'!$A$11:$A$65525,0)-1,"")</f>
        <v/>
      </c>
      <c r="P675" t="str">
        <f>IF(LEN(K675),MATCH(K675,'MPIO_SFIO Table'!$A$11:$A$65525,0)-1,"")</f>
        <v/>
      </c>
      <c r="Q675" t="str">
        <f>IF(LEN(L675),MATCH(L675,'MPIO_SFIO Table'!$A$11:$A$65525,0)-1,"")</f>
        <v/>
      </c>
      <c r="R675" t="str">
        <f ca="1">IF(ISNUMBER(M675),OFFSET('MPIO_SFIO Table'!$AJ$11,M675,0),"")</f>
        <v>unused_CAM_MCLK</v>
      </c>
      <c r="S675" t="str">
        <f ca="1">IF(ISNUMBER(N675),OFFSET('MPIO_SFIO Table'!$AJ$11,N675,0),"")</f>
        <v/>
      </c>
      <c r="T675" t="str">
        <f ca="1">IF(ISNUMBER(O675),OFFSET('MPIO_SFIO Table'!$AJ$11,O675,0),"")</f>
        <v/>
      </c>
      <c r="U675" t="str">
        <f ca="1">IF(ISNUMBER(P675),OFFSET('MPIO_SFIO Table'!$AJ$11,P675,0),"")</f>
        <v/>
      </c>
      <c r="V675" t="str">
        <f ca="1">IF(ISNUMBER(Q675),OFFSET('MPIO_SFIO Table'!$AJ$11,Q675,0),"")</f>
        <v/>
      </c>
      <c r="W675">
        <f t="shared" ca="1" si="91"/>
        <v>0</v>
      </c>
      <c r="X675">
        <f t="shared" ca="1" si="92"/>
        <v>0</v>
      </c>
      <c r="Y675">
        <f t="shared" ca="1" si="93"/>
        <v>0</v>
      </c>
      <c r="Z675">
        <f t="shared" ca="1" si="94"/>
        <v>0</v>
      </c>
      <c r="AA675">
        <f t="shared" ca="1" si="95"/>
        <v>0</v>
      </c>
    </row>
    <row r="676" spans="1:27" x14ac:dyDescent="0.25">
      <c r="A676">
        <f t="shared" ca="1" si="88"/>
        <v>0</v>
      </c>
      <c r="B676" t="str">
        <f t="shared" ca="1" si="89"/>
        <v/>
      </c>
      <c r="C676" t="str">
        <f t="shared" si="90"/>
        <v/>
      </c>
      <c r="D676" t="s">
        <v>2504</v>
      </c>
      <c r="E676" t="s">
        <v>1026</v>
      </c>
      <c r="F676" s="3" t="s">
        <v>253</v>
      </c>
      <c r="G676" s="11" t="s">
        <v>253</v>
      </c>
      <c r="H676" s="11" t="s">
        <v>253</v>
      </c>
      <c r="I676" s="3" t="s">
        <v>253</v>
      </c>
      <c r="J676" s="3" t="s">
        <v>253</v>
      </c>
      <c r="K676" s="3" t="s">
        <v>253</v>
      </c>
      <c r="L676" s="3" t="s">
        <v>253</v>
      </c>
      <c r="M676" t="str">
        <f>IF(LEN(H676),MATCH(H676,'MPIO_SFIO Table'!$A$11:$A$65525,0)-1,"")</f>
        <v/>
      </c>
      <c r="N676" t="str">
        <f>IF(LEN(I676),MATCH(I676,'MPIO_SFIO Table'!$A$11:$A$65525,0)-1,"")</f>
        <v/>
      </c>
      <c r="O676" t="str">
        <f>IF(LEN(J676),MATCH(J676,'MPIO_SFIO Table'!$A$11:$A$65525,0)-1,"")</f>
        <v/>
      </c>
      <c r="P676" t="str">
        <f>IF(LEN(K676),MATCH(K676,'MPIO_SFIO Table'!$A$11:$A$65525,0)-1,"")</f>
        <v/>
      </c>
      <c r="Q676" t="str">
        <f>IF(LEN(L676),MATCH(L676,'MPIO_SFIO Table'!$A$11:$A$65525,0)-1,"")</f>
        <v/>
      </c>
      <c r="R676" t="str">
        <f ca="1">IF(ISNUMBER(M676),OFFSET('MPIO_SFIO Table'!$AJ$11,M676,0),"")</f>
        <v/>
      </c>
      <c r="S676" t="str">
        <f ca="1">IF(ISNUMBER(N676),OFFSET('MPIO_SFIO Table'!$AJ$11,N676,0),"")</f>
        <v/>
      </c>
      <c r="T676" t="str">
        <f ca="1">IF(ISNUMBER(O676),OFFSET('MPIO_SFIO Table'!$AJ$11,O676,0),"")</f>
        <v/>
      </c>
      <c r="U676" t="str">
        <f ca="1">IF(ISNUMBER(P676),OFFSET('MPIO_SFIO Table'!$AJ$11,P676,0),"")</f>
        <v/>
      </c>
      <c r="V676" t="str">
        <f ca="1">IF(ISNUMBER(Q676),OFFSET('MPIO_SFIO Table'!$AJ$11,Q676,0),"")</f>
        <v/>
      </c>
      <c r="W676">
        <f t="shared" ca="1" si="91"/>
        <v>0</v>
      </c>
      <c r="X676">
        <f t="shared" ca="1" si="92"/>
        <v>0</v>
      </c>
      <c r="Y676">
        <f t="shared" ca="1" si="93"/>
        <v>0</v>
      </c>
      <c r="Z676">
        <f t="shared" ca="1" si="94"/>
        <v>0</v>
      </c>
      <c r="AA676">
        <f t="shared" ca="1" si="95"/>
        <v>0</v>
      </c>
    </row>
    <row r="677" spans="1:27" x14ac:dyDescent="0.25">
      <c r="A677">
        <f t="shared" ca="1" si="88"/>
        <v>0</v>
      </c>
      <c r="B677" t="str">
        <f t="shared" ca="1" si="89"/>
        <v/>
      </c>
      <c r="C677" t="str">
        <f t="shared" si="90"/>
        <v>SPDIF1</v>
      </c>
      <c r="D677" t="s">
        <v>253</v>
      </c>
      <c r="E677" t="s">
        <v>253</v>
      </c>
      <c r="F677" s="3" t="s">
        <v>2904</v>
      </c>
      <c r="G677" s="11" t="s">
        <v>297</v>
      </c>
      <c r="H677" s="11" t="s">
        <v>18</v>
      </c>
      <c r="I677" s="3" t="s">
        <v>253</v>
      </c>
      <c r="J677" s="3" t="s">
        <v>253</v>
      </c>
      <c r="K677" s="3" t="s">
        <v>253</v>
      </c>
      <c r="L677" s="3" t="s">
        <v>253</v>
      </c>
      <c r="M677">
        <f>IF(LEN(H677),MATCH(H677,'MPIO_SFIO Table'!$A$11:$A$65525,0)-1,"")</f>
        <v>10</v>
      </c>
      <c r="N677" t="str">
        <f>IF(LEN(I677),MATCH(I677,'MPIO_SFIO Table'!$A$11:$A$65525,0)-1,"")</f>
        <v/>
      </c>
      <c r="O677" t="str">
        <f>IF(LEN(J677),MATCH(J677,'MPIO_SFIO Table'!$A$11:$A$65525,0)-1,"")</f>
        <v/>
      </c>
      <c r="P677" t="str">
        <f>IF(LEN(K677),MATCH(K677,'MPIO_SFIO Table'!$A$11:$A$65525,0)-1,"")</f>
        <v/>
      </c>
      <c r="Q677" t="str">
        <f>IF(LEN(L677),MATCH(L677,'MPIO_SFIO Table'!$A$11:$A$65525,0)-1,"")</f>
        <v/>
      </c>
      <c r="R677" t="str">
        <f ca="1">IF(ISNUMBER(M677),OFFSET('MPIO_SFIO Table'!$AJ$11,M677,0),"")</f>
        <v>unused_SPDIF_IN</v>
      </c>
      <c r="S677" t="str">
        <f ca="1">IF(ISNUMBER(N677),OFFSET('MPIO_SFIO Table'!$AJ$11,N677,0),"")</f>
        <v/>
      </c>
      <c r="T677" t="str">
        <f ca="1">IF(ISNUMBER(O677),OFFSET('MPIO_SFIO Table'!$AJ$11,O677,0),"")</f>
        <v/>
      </c>
      <c r="U677" t="str">
        <f ca="1">IF(ISNUMBER(P677),OFFSET('MPIO_SFIO Table'!$AJ$11,P677,0),"")</f>
        <v/>
      </c>
      <c r="V677" t="str">
        <f ca="1">IF(ISNUMBER(Q677),OFFSET('MPIO_SFIO Table'!$AJ$11,Q677,0),"")</f>
        <v/>
      </c>
      <c r="W677">
        <f t="shared" ca="1" si="91"/>
        <v>0</v>
      </c>
      <c r="X677">
        <f t="shared" ca="1" si="92"/>
        <v>0</v>
      </c>
      <c r="Y677">
        <f t="shared" ca="1" si="93"/>
        <v>0</v>
      </c>
      <c r="Z677">
        <f t="shared" ca="1" si="94"/>
        <v>0</v>
      </c>
      <c r="AA677">
        <f t="shared" ca="1" si="95"/>
        <v>0</v>
      </c>
    </row>
    <row r="678" spans="1:27" x14ac:dyDescent="0.25">
      <c r="A678">
        <f t="shared" ca="1" si="88"/>
        <v>0</v>
      </c>
      <c r="B678" t="str">
        <f t="shared" ca="1" si="89"/>
        <v/>
      </c>
      <c r="C678" t="str">
        <f t="shared" si="90"/>
        <v>SPDIF1</v>
      </c>
      <c r="D678" t="s">
        <v>253</v>
      </c>
      <c r="E678" t="s">
        <v>253</v>
      </c>
      <c r="F678" s="3" t="s">
        <v>2905</v>
      </c>
      <c r="G678" s="11" t="s">
        <v>302</v>
      </c>
      <c r="H678" s="11" t="s">
        <v>19</v>
      </c>
      <c r="I678" s="3" t="s">
        <v>253</v>
      </c>
      <c r="J678" s="3" t="s">
        <v>253</v>
      </c>
      <c r="K678" s="3" t="s">
        <v>253</v>
      </c>
      <c r="L678" s="3" t="s">
        <v>253</v>
      </c>
      <c r="M678">
        <f>IF(LEN(H678),MATCH(H678,'MPIO_SFIO Table'!$A$11:$A$65525,0)-1,"")</f>
        <v>11</v>
      </c>
      <c r="N678" t="str">
        <f>IF(LEN(I678),MATCH(I678,'MPIO_SFIO Table'!$A$11:$A$65525,0)-1,"")</f>
        <v/>
      </c>
      <c r="O678" t="str">
        <f>IF(LEN(J678),MATCH(J678,'MPIO_SFIO Table'!$A$11:$A$65525,0)-1,"")</f>
        <v/>
      </c>
      <c r="P678" t="str">
        <f>IF(LEN(K678),MATCH(K678,'MPIO_SFIO Table'!$A$11:$A$65525,0)-1,"")</f>
        <v/>
      </c>
      <c r="Q678" t="str">
        <f>IF(LEN(L678),MATCH(L678,'MPIO_SFIO Table'!$A$11:$A$65525,0)-1,"")</f>
        <v/>
      </c>
      <c r="R678" t="str">
        <f ca="1">IF(ISNUMBER(M678),OFFSET('MPIO_SFIO Table'!$AJ$11,M678,0),"")</f>
        <v>unused_SPDIF_OUT</v>
      </c>
      <c r="S678" t="str">
        <f ca="1">IF(ISNUMBER(N678),OFFSET('MPIO_SFIO Table'!$AJ$11,N678,0),"")</f>
        <v/>
      </c>
      <c r="T678" t="str">
        <f ca="1">IF(ISNUMBER(O678),OFFSET('MPIO_SFIO Table'!$AJ$11,O678,0),"")</f>
        <v/>
      </c>
      <c r="U678" t="str">
        <f ca="1">IF(ISNUMBER(P678),OFFSET('MPIO_SFIO Table'!$AJ$11,P678,0),"")</f>
        <v/>
      </c>
      <c r="V678" t="str">
        <f ca="1">IF(ISNUMBER(Q678),OFFSET('MPIO_SFIO Table'!$AJ$11,Q678,0),"")</f>
        <v/>
      </c>
      <c r="W678">
        <f t="shared" ca="1" si="91"/>
        <v>0</v>
      </c>
      <c r="X678">
        <f t="shared" ca="1" si="92"/>
        <v>0</v>
      </c>
      <c r="Y678">
        <f t="shared" ca="1" si="93"/>
        <v>0</v>
      </c>
      <c r="Z678">
        <f t="shared" ca="1" si="94"/>
        <v>0</v>
      </c>
      <c r="AA678">
        <f t="shared" ca="1" si="95"/>
        <v>0</v>
      </c>
    </row>
    <row r="679" spans="1:27" x14ac:dyDescent="0.25">
      <c r="A679">
        <f t="shared" ca="1" si="88"/>
        <v>0</v>
      </c>
      <c r="B679" t="str">
        <f t="shared" ca="1" si="89"/>
        <v/>
      </c>
      <c r="C679" t="str">
        <f t="shared" si="90"/>
        <v/>
      </c>
      <c r="D679" t="s">
        <v>253</v>
      </c>
      <c r="E679" t="s">
        <v>1027</v>
      </c>
      <c r="F679" s="3" t="s">
        <v>253</v>
      </c>
      <c r="G679" s="11" t="s">
        <v>253</v>
      </c>
      <c r="H679" s="11" t="s">
        <v>253</v>
      </c>
      <c r="I679" s="3" t="s">
        <v>253</v>
      </c>
      <c r="J679" s="3" t="s">
        <v>253</v>
      </c>
      <c r="K679" s="3" t="s">
        <v>253</v>
      </c>
      <c r="L679" s="3" t="s">
        <v>253</v>
      </c>
      <c r="M679" t="str">
        <f>IF(LEN(H679),MATCH(H679,'MPIO_SFIO Table'!$A$11:$A$65525,0)-1,"")</f>
        <v/>
      </c>
      <c r="N679" t="str">
        <f>IF(LEN(I679),MATCH(I679,'MPIO_SFIO Table'!$A$11:$A$65525,0)-1,"")</f>
        <v/>
      </c>
      <c r="O679" t="str">
        <f>IF(LEN(J679),MATCH(J679,'MPIO_SFIO Table'!$A$11:$A$65525,0)-1,"")</f>
        <v/>
      </c>
      <c r="P679" t="str">
        <f>IF(LEN(K679),MATCH(K679,'MPIO_SFIO Table'!$A$11:$A$65525,0)-1,"")</f>
        <v/>
      </c>
      <c r="Q679" t="str">
        <f>IF(LEN(L679),MATCH(L679,'MPIO_SFIO Table'!$A$11:$A$65525,0)-1,"")</f>
        <v/>
      </c>
      <c r="R679" t="str">
        <f ca="1">IF(ISNUMBER(M679),OFFSET('MPIO_SFIO Table'!$AJ$11,M679,0),"")</f>
        <v/>
      </c>
      <c r="S679" t="str">
        <f ca="1">IF(ISNUMBER(N679),OFFSET('MPIO_SFIO Table'!$AJ$11,N679,0),"")</f>
        <v/>
      </c>
      <c r="T679" t="str">
        <f ca="1">IF(ISNUMBER(O679),OFFSET('MPIO_SFIO Table'!$AJ$11,O679,0),"")</f>
        <v/>
      </c>
      <c r="U679" t="str">
        <f ca="1">IF(ISNUMBER(P679),OFFSET('MPIO_SFIO Table'!$AJ$11,P679,0),"")</f>
        <v/>
      </c>
      <c r="V679" t="str">
        <f ca="1">IF(ISNUMBER(Q679),OFFSET('MPIO_SFIO Table'!$AJ$11,Q679,0),"")</f>
        <v/>
      </c>
      <c r="W679">
        <f t="shared" ca="1" si="91"/>
        <v>0</v>
      </c>
      <c r="X679">
        <f t="shared" ca="1" si="92"/>
        <v>0</v>
      </c>
      <c r="Y679">
        <f t="shared" ca="1" si="93"/>
        <v>0</v>
      </c>
      <c r="Z679">
        <f t="shared" ca="1" si="94"/>
        <v>0</v>
      </c>
      <c r="AA679">
        <f t="shared" ca="1" si="95"/>
        <v>0</v>
      </c>
    </row>
    <row r="680" spans="1:27" x14ac:dyDescent="0.25">
      <c r="A680">
        <f t="shared" ca="1" si="88"/>
        <v>0</v>
      </c>
      <c r="B680" t="str">
        <f t="shared" ca="1" si="89"/>
        <v/>
      </c>
      <c r="C680" t="str">
        <f t="shared" si="90"/>
        <v>SPDIF1</v>
      </c>
      <c r="D680" t="s">
        <v>253</v>
      </c>
      <c r="E680" t="s">
        <v>253</v>
      </c>
      <c r="F680" s="3" t="s">
        <v>2904</v>
      </c>
      <c r="G680" s="11" t="s">
        <v>607</v>
      </c>
      <c r="H680" s="11" t="s">
        <v>170</v>
      </c>
      <c r="I680" s="3" t="s">
        <v>253</v>
      </c>
      <c r="J680" s="3" t="s">
        <v>253</v>
      </c>
      <c r="K680" s="3" t="s">
        <v>253</v>
      </c>
      <c r="L680" s="3" t="s">
        <v>253</v>
      </c>
      <c r="M680">
        <f>IF(LEN(H680),MATCH(H680,'MPIO_SFIO Table'!$A$11:$A$65525,0)-1,"")</f>
        <v>171</v>
      </c>
      <c r="N680" t="str">
        <f>IF(LEN(I680),MATCH(I680,'MPIO_SFIO Table'!$A$11:$A$65525,0)-1,"")</f>
        <v/>
      </c>
      <c r="O680" t="str">
        <f>IF(LEN(J680),MATCH(J680,'MPIO_SFIO Table'!$A$11:$A$65525,0)-1,"")</f>
        <v/>
      </c>
      <c r="P680" t="str">
        <f>IF(LEN(K680),MATCH(K680,'MPIO_SFIO Table'!$A$11:$A$65525,0)-1,"")</f>
        <v/>
      </c>
      <c r="Q680" t="str">
        <f>IF(LEN(L680),MATCH(L680,'MPIO_SFIO Table'!$A$11:$A$65525,0)-1,"")</f>
        <v/>
      </c>
      <c r="R680" t="str">
        <f ca="1">IF(ISNUMBER(M680),OFFSET('MPIO_SFIO Table'!$AJ$11,M680,0),"")</f>
        <v>unused_SDMMC3_DAT6</v>
      </c>
      <c r="S680" t="str">
        <f ca="1">IF(ISNUMBER(N680),OFFSET('MPIO_SFIO Table'!$AJ$11,N680,0),"")</f>
        <v/>
      </c>
      <c r="T680" t="str">
        <f ca="1">IF(ISNUMBER(O680),OFFSET('MPIO_SFIO Table'!$AJ$11,O680,0),"")</f>
        <v/>
      </c>
      <c r="U680" t="str">
        <f ca="1">IF(ISNUMBER(P680),OFFSET('MPIO_SFIO Table'!$AJ$11,P680,0),"")</f>
        <v/>
      </c>
      <c r="V680" t="str">
        <f ca="1">IF(ISNUMBER(Q680),OFFSET('MPIO_SFIO Table'!$AJ$11,Q680,0),"")</f>
        <v/>
      </c>
      <c r="W680">
        <f t="shared" ca="1" si="91"/>
        <v>0</v>
      </c>
      <c r="X680">
        <f t="shared" ca="1" si="92"/>
        <v>0</v>
      </c>
      <c r="Y680">
        <f t="shared" ca="1" si="93"/>
        <v>0</v>
      </c>
      <c r="Z680">
        <f t="shared" ca="1" si="94"/>
        <v>0</v>
      </c>
      <c r="AA680">
        <f t="shared" ca="1" si="95"/>
        <v>0</v>
      </c>
    </row>
    <row r="681" spans="1:27" x14ac:dyDescent="0.25">
      <c r="A681">
        <f t="shared" ca="1" si="88"/>
        <v>0</v>
      </c>
      <c r="B681" t="str">
        <f t="shared" ca="1" si="89"/>
        <v/>
      </c>
      <c r="C681" t="str">
        <f t="shared" si="90"/>
        <v>SPDIF1</v>
      </c>
      <c r="D681" t="s">
        <v>253</v>
      </c>
      <c r="E681" t="s">
        <v>253</v>
      </c>
      <c r="F681" s="3" t="s">
        <v>2905</v>
      </c>
      <c r="G681" s="11" t="s">
        <v>609</v>
      </c>
      <c r="H681" s="11" t="s">
        <v>171</v>
      </c>
      <c r="I681" s="3" t="s">
        <v>253</v>
      </c>
      <c r="J681" s="3" t="s">
        <v>253</v>
      </c>
      <c r="K681" s="3" t="s">
        <v>253</v>
      </c>
      <c r="L681" s="3" t="s">
        <v>253</v>
      </c>
      <c r="M681">
        <f>IF(LEN(H681),MATCH(H681,'MPIO_SFIO Table'!$A$11:$A$65525,0)-1,"")</f>
        <v>172</v>
      </c>
      <c r="N681" t="str">
        <f>IF(LEN(I681),MATCH(I681,'MPIO_SFIO Table'!$A$11:$A$65525,0)-1,"")</f>
        <v/>
      </c>
      <c r="O681" t="str">
        <f>IF(LEN(J681),MATCH(J681,'MPIO_SFIO Table'!$A$11:$A$65525,0)-1,"")</f>
        <v/>
      </c>
      <c r="P681" t="str">
        <f>IF(LEN(K681),MATCH(K681,'MPIO_SFIO Table'!$A$11:$A$65525,0)-1,"")</f>
        <v/>
      </c>
      <c r="Q681" t="str">
        <f>IF(LEN(L681),MATCH(L681,'MPIO_SFIO Table'!$A$11:$A$65525,0)-1,"")</f>
        <v/>
      </c>
      <c r="R681" t="str">
        <f ca="1">IF(ISNUMBER(M681),OFFSET('MPIO_SFIO Table'!$AJ$11,M681,0),"")</f>
        <v>unused_SDMMC3_DAT7</v>
      </c>
      <c r="S681" t="str">
        <f ca="1">IF(ISNUMBER(N681),OFFSET('MPIO_SFIO Table'!$AJ$11,N681,0),"")</f>
        <v/>
      </c>
      <c r="T681" t="str">
        <f ca="1">IF(ISNUMBER(O681),OFFSET('MPIO_SFIO Table'!$AJ$11,O681,0),"")</f>
        <v/>
      </c>
      <c r="U681" t="str">
        <f ca="1">IF(ISNUMBER(P681),OFFSET('MPIO_SFIO Table'!$AJ$11,P681,0),"")</f>
        <v/>
      </c>
      <c r="V681" t="str">
        <f ca="1">IF(ISNUMBER(Q681),OFFSET('MPIO_SFIO Table'!$AJ$11,Q681,0),"")</f>
        <v/>
      </c>
      <c r="W681">
        <f t="shared" ca="1" si="91"/>
        <v>0</v>
      </c>
      <c r="X681">
        <f t="shared" ca="1" si="92"/>
        <v>0</v>
      </c>
      <c r="Y681">
        <f t="shared" ca="1" si="93"/>
        <v>0</v>
      </c>
      <c r="Z681">
        <f t="shared" ca="1" si="94"/>
        <v>0</v>
      </c>
      <c r="AA681">
        <f t="shared" ca="1" si="95"/>
        <v>0</v>
      </c>
    </row>
    <row r="682" spans="1:27" x14ac:dyDescent="0.25">
      <c r="A682">
        <f t="shared" ca="1" si="88"/>
        <v>0</v>
      </c>
      <c r="B682" t="str">
        <f t="shared" ca="1" si="89"/>
        <v/>
      </c>
      <c r="C682" t="str">
        <f t="shared" si="90"/>
        <v/>
      </c>
      <c r="D682" t="s">
        <v>253</v>
      </c>
      <c r="E682" t="s">
        <v>1028</v>
      </c>
      <c r="F682" s="3" t="s">
        <v>253</v>
      </c>
      <c r="G682" s="11" t="s">
        <v>253</v>
      </c>
      <c r="H682" s="11" t="s">
        <v>253</v>
      </c>
      <c r="I682" s="3" t="s">
        <v>253</v>
      </c>
      <c r="J682" s="3" t="s">
        <v>253</v>
      </c>
      <c r="K682" s="3" t="s">
        <v>253</v>
      </c>
      <c r="L682" s="3" t="s">
        <v>253</v>
      </c>
      <c r="M682" t="str">
        <f>IF(LEN(H682),MATCH(H682,'MPIO_SFIO Table'!$A$11:$A$65525,0)-1,"")</f>
        <v/>
      </c>
      <c r="N682" t="str">
        <f>IF(LEN(I682),MATCH(I682,'MPIO_SFIO Table'!$A$11:$A$65525,0)-1,"")</f>
        <v/>
      </c>
      <c r="O682" t="str">
        <f>IF(LEN(J682),MATCH(J682,'MPIO_SFIO Table'!$A$11:$A$65525,0)-1,"")</f>
        <v/>
      </c>
      <c r="P682" t="str">
        <f>IF(LEN(K682),MATCH(K682,'MPIO_SFIO Table'!$A$11:$A$65525,0)-1,"")</f>
        <v/>
      </c>
      <c r="Q682" t="str">
        <f>IF(LEN(L682),MATCH(L682,'MPIO_SFIO Table'!$A$11:$A$65525,0)-1,"")</f>
        <v/>
      </c>
      <c r="R682" t="str">
        <f ca="1">IF(ISNUMBER(M682),OFFSET('MPIO_SFIO Table'!$AJ$11,M682,0),"")</f>
        <v/>
      </c>
      <c r="S682" t="str">
        <f ca="1">IF(ISNUMBER(N682),OFFSET('MPIO_SFIO Table'!$AJ$11,N682,0),"")</f>
        <v/>
      </c>
      <c r="T682" t="str">
        <f ca="1">IF(ISNUMBER(O682),OFFSET('MPIO_SFIO Table'!$AJ$11,O682,0),"")</f>
        <v/>
      </c>
      <c r="U682" t="str">
        <f ca="1">IF(ISNUMBER(P682),OFFSET('MPIO_SFIO Table'!$AJ$11,P682,0),"")</f>
        <v/>
      </c>
      <c r="V682" t="str">
        <f ca="1">IF(ISNUMBER(Q682),OFFSET('MPIO_SFIO Table'!$AJ$11,Q682,0),"")</f>
        <v/>
      </c>
      <c r="W682">
        <f t="shared" ca="1" si="91"/>
        <v>0</v>
      </c>
      <c r="X682">
        <f t="shared" ca="1" si="92"/>
        <v>0</v>
      </c>
      <c r="Y682">
        <f t="shared" ca="1" si="93"/>
        <v>0</v>
      </c>
      <c r="Z682">
        <f t="shared" ca="1" si="94"/>
        <v>0</v>
      </c>
      <c r="AA682">
        <f t="shared" ca="1" si="95"/>
        <v>0</v>
      </c>
    </row>
    <row r="683" spans="1:27" x14ac:dyDescent="0.25">
      <c r="A683">
        <f t="shared" ca="1" si="88"/>
        <v>0</v>
      </c>
      <c r="B683" t="str">
        <f t="shared" ca="1" si="89"/>
        <v/>
      </c>
      <c r="C683" t="str">
        <f t="shared" si="90"/>
        <v>SPDIF1</v>
      </c>
      <c r="D683" t="s">
        <v>253</v>
      </c>
      <c r="E683" t="s">
        <v>253</v>
      </c>
      <c r="F683" s="3" t="s">
        <v>2904</v>
      </c>
      <c r="G683" s="11" t="s">
        <v>737</v>
      </c>
      <c r="H683" s="11" t="s">
        <v>231</v>
      </c>
      <c r="I683" s="3" t="s">
        <v>253</v>
      </c>
      <c r="J683" s="3" t="s">
        <v>253</v>
      </c>
      <c r="K683" s="3" t="s">
        <v>253</v>
      </c>
      <c r="L683" s="3" t="s">
        <v>253</v>
      </c>
      <c r="M683">
        <f>IF(LEN(H683),MATCH(H683,'MPIO_SFIO Table'!$A$11:$A$65525,0)-1,"")</f>
        <v>249</v>
      </c>
      <c r="N683" t="str">
        <f>IF(LEN(I683),MATCH(I683,'MPIO_SFIO Table'!$A$11:$A$65525,0)-1,"")</f>
        <v/>
      </c>
      <c r="O683" t="str">
        <f>IF(LEN(J683),MATCH(J683,'MPIO_SFIO Table'!$A$11:$A$65525,0)-1,"")</f>
        <v/>
      </c>
      <c r="P683" t="str">
        <f>IF(LEN(K683),MATCH(K683,'MPIO_SFIO Table'!$A$11:$A$65525,0)-1,"")</f>
        <v/>
      </c>
      <c r="Q683" t="str">
        <f>IF(LEN(L683),MATCH(L683,'MPIO_SFIO Table'!$A$11:$A$65525,0)-1,"")</f>
        <v/>
      </c>
      <c r="R683" t="str">
        <f ca="1">IF(ISNUMBER(M683),OFFSET('MPIO_SFIO Table'!$AJ$11,M683,0),"")</f>
        <v>unused_UART2_TXD</v>
      </c>
      <c r="S683" t="str">
        <f ca="1">IF(ISNUMBER(N683),OFFSET('MPIO_SFIO Table'!$AJ$11,N683,0),"")</f>
        <v/>
      </c>
      <c r="T683" t="str">
        <f ca="1">IF(ISNUMBER(O683),OFFSET('MPIO_SFIO Table'!$AJ$11,O683,0),"")</f>
        <v/>
      </c>
      <c r="U683" t="str">
        <f ca="1">IF(ISNUMBER(P683),OFFSET('MPIO_SFIO Table'!$AJ$11,P683,0),"")</f>
        <v/>
      </c>
      <c r="V683" t="str">
        <f ca="1">IF(ISNUMBER(Q683),OFFSET('MPIO_SFIO Table'!$AJ$11,Q683,0),"")</f>
        <v/>
      </c>
      <c r="W683">
        <f t="shared" ca="1" si="91"/>
        <v>0</v>
      </c>
      <c r="X683">
        <f t="shared" ca="1" si="92"/>
        <v>0</v>
      </c>
      <c r="Y683">
        <f t="shared" ca="1" si="93"/>
        <v>0</v>
      </c>
      <c r="Z683">
        <f t="shared" ca="1" si="94"/>
        <v>0</v>
      </c>
      <c r="AA683">
        <f t="shared" ca="1" si="95"/>
        <v>0</v>
      </c>
    </row>
    <row r="684" spans="1:27" x14ac:dyDescent="0.25">
      <c r="A684">
        <f t="shared" ca="1" si="88"/>
        <v>0</v>
      </c>
      <c r="B684" t="str">
        <f t="shared" ca="1" si="89"/>
        <v/>
      </c>
      <c r="C684" t="str">
        <f t="shared" si="90"/>
        <v>SPDIF1</v>
      </c>
      <c r="D684" t="s">
        <v>253</v>
      </c>
      <c r="E684" t="s">
        <v>253</v>
      </c>
      <c r="F684" s="3" t="s">
        <v>2905</v>
      </c>
      <c r="G684" s="11" t="s">
        <v>734</v>
      </c>
      <c r="H684" s="11" t="s">
        <v>230</v>
      </c>
      <c r="I684" s="3" t="s">
        <v>253</v>
      </c>
      <c r="J684" s="3" t="s">
        <v>253</v>
      </c>
      <c r="K684" s="3" t="s">
        <v>253</v>
      </c>
      <c r="L684" s="3" t="s">
        <v>253</v>
      </c>
      <c r="M684">
        <f>IF(LEN(H684),MATCH(H684,'MPIO_SFIO Table'!$A$11:$A$65525,0)-1,"")</f>
        <v>248</v>
      </c>
      <c r="N684" t="str">
        <f>IF(LEN(I684),MATCH(I684,'MPIO_SFIO Table'!$A$11:$A$65525,0)-1,"")</f>
        <v/>
      </c>
      <c r="O684" t="str">
        <f>IF(LEN(J684),MATCH(J684,'MPIO_SFIO Table'!$A$11:$A$65525,0)-1,"")</f>
        <v/>
      </c>
      <c r="P684" t="str">
        <f>IF(LEN(K684),MATCH(K684,'MPIO_SFIO Table'!$A$11:$A$65525,0)-1,"")</f>
        <v/>
      </c>
      <c r="Q684" t="str">
        <f>IF(LEN(L684),MATCH(L684,'MPIO_SFIO Table'!$A$11:$A$65525,0)-1,"")</f>
        <v/>
      </c>
      <c r="R684" t="str">
        <f ca="1">IF(ISNUMBER(M684),OFFSET('MPIO_SFIO Table'!$AJ$11,M684,0),"")</f>
        <v>unused_UART2_RXD</v>
      </c>
      <c r="S684" t="str">
        <f ca="1">IF(ISNUMBER(N684),OFFSET('MPIO_SFIO Table'!$AJ$11,N684,0),"")</f>
        <v/>
      </c>
      <c r="T684" t="str">
        <f ca="1">IF(ISNUMBER(O684),OFFSET('MPIO_SFIO Table'!$AJ$11,O684,0),"")</f>
        <v/>
      </c>
      <c r="U684" t="str">
        <f ca="1">IF(ISNUMBER(P684),OFFSET('MPIO_SFIO Table'!$AJ$11,P684,0),"")</f>
        <v/>
      </c>
      <c r="V684" t="str">
        <f ca="1">IF(ISNUMBER(Q684),OFFSET('MPIO_SFIO Table'!$AJ$11,Q684,0),"")</f>
        <v/>
      </c>
      <c r="W684">
        <f t="shared" ca="1" si="91"/>
        <v>0</v>
      </c>
      <c r="X684">
        <f t="shared" ca="1" si="92"/>
        <v>0</v>
      </c>
      <c r="Y684">
        <f t="shared" ca="1" si="93"/>
        <v>0</v>
      </c>
      <c r="Z684">
        <f t="shared" ca="1" si="94"/>
        <v>0</v>
      </c>
      <c r="AA684">
        <f t="shared" ca="1" si="95"/>
        <v>0</v>
      </c>
    </row>
    <row r="685" spans="1:27" x14ac:dyDescent="0.25">
      <c r="A685">
        <f t="shared" ca="1" si="88"/>
        <v>0</v>
      </c>
      <c r="B685" t="str">
        <f t="shared" ca="1" si="89"/>
        <v/>
      </c>
      <c r="C685" t="str">
        <f t="shared" si="90"/>
        <v/>
      </c>
      <c r="D685" t="s">
        <v>2505</v>
      </c>
      <c r="E685" t="s">
        <v>1026</v>
      </c>
      <c r="F685" s="3" t="s">
        <v>253</v>
      </c>
      <c r="G685" s="11" t="s">
        <v>253</v>
      </c>
      <c r="H685" s="11" t="s">
        <v>253</v>
      </c>
      <c r="I685" s="3" t="s">
        <v>253</v>
      </c>
      <c r="J685" s="3" t="s">
        <v>253</v>
      </c>
      <c r="K685" s="3" t="s">
        <v>253</v>
      </c>
      <c r="L685" s="3" t="s">
        <v>253</v>
      </c>
      <c r="M685" t="str">
        <f>IF(LEN(H685),MATCH(H685,'MPIO_SFIO Table'!$A$11:$A$65525,0)-1,"")</f>
        <v/>
      </c>
      <c r="N685" t="str">
        <f>IF(LEN(I685),MATCH(I685,'MPIO_SFIO Table'!$A$11:$A$65525,0)-1,"")</f>
        <v/>
      </c>
      <c r="O685" t="str">
        <f>IF(LEN(J685),MATCH(J685,'MPIO_SFIO Table'!$A$11:$A$65525,0)-1,"")</f>
        <v/>
      </c>
      <c r="P685" t="str">
        <f>IF(LEN(K685),MATCH(K685,'MPIO_SFIO Table'!$A$11:$A$65525,0)-1,"")</f>
        <v/>
      </c>
      <c r="Q685" t="str">
        <f>IF(LEN(L685),MATCH(L685,'MPIO_SFIO Table'!$A$11:$A$65525,0)-1,"")</f>
        <v/>
      </c>
      <c r="R685" t="str">
        <f ca="1">IF(ISNUMBER(M685),OFFSET('MPIO_SFIO Table'!$AJ$11,M685,0),"")</f>
        <v/>
      </c>
      <c r="S685" t="str">
        <f ca="1">IF(ISNUMBER(N685),OFFSET('MPIO_SFIO Table'!$AJ$11,N685,0),"")</f>
        <v/>
      </c>
      <c r="T685" t="str">
        <f ca="1">IF(ISNUMBER(O685),OFFSET('MPIO_SFIO Table'!$AJ$11,O685,0),"")</f>
        <v/>
      </c>
      <c r="U685" t="str">
        <f ca="1">IF(ISNUMBER(P685),OFFSET('MPIO_SFIO Table'!$AJ$11,P685,0),"")</f>
        <v/>
      </c>
      <c r="V685" t="str">
        <f ca="1">IF(ISNUMBER(Q685),OFFSET('MPIO_SFIO Table'!$AJ$11,Q685,0),"")</f>
        <v/>
      </c>
      <c r="W685">
        <f t="shared" ca="1" si="91"/>
        <v>0</v>
      </c>
      <c r="X685">
        <f t="shared" ca="1" si="92"/>
        <v>0</v>
      </c>
      <c r="Y685">
        <f t="shared" ca="1" si="93"/>
        <v>0</v>
      </c>
      <c r="Z685">
        <f t="shared" ca="1" si="94"/>
        <v>0</v>
      </c>
      <c r="AA685">
        <f t="shared" ca="1" si="95"/>
        <v>0</v>
      </c>
    </row>
    <row r="686" spans="1:27" x14ac:dyDescent="0.25">
      <c r="A686">
        <f t="shared" ca="1" si="88"/>
        <v>0</v>
      </c>
      <c r="B686" t="str">
        <f t="shared" ca="1" si="89"/>
        <v/>
      </c>
      <c r="C686" t="str">
        <f t="shared" si="90"/>
        <v>SPI1</v>
      </c>
      <c r="D686" t="s">
        <v>253</v>
      </c>
      <c r="E686" t="s">
        <v>253</v>
      </c>
      <c r="F686" s="3" t="s">
        <v>2553</v>
      </c>
      <c r="G686" s="11" t="s">
        <v>2167</v>
      </c>
      <c r="H686" s="11" t="s">
        <v>47</v>
      </c>
      <c r="I686" s="3" t="s">
        <v>253</v>
      </c>
      <c r="J686" s="3" t="s">
        <v>253</v>
      </c>
      <c r="K686" s="3" t="s">
        <v>253</v>
      </c>
      <c r="L686" s="3" t="s">
        <v>253</v>
      </c>
      <c r="M686">
        <f>IF(LEN(H686),MATCH(H686,'MPIO_SFIO Table'!$A$11:$A$65525,0)-1,"")</f>
        <v>40</v>
      </c>
      <c r="N686" t="str">
        <f>IF(LEN(I686),MATCH(I686,'MPIO_SFIO Table'!$A$11:$A$65525,0)-1,"")</f>
        <v/>
      </c>
      <c r="O686" t="str">
        <f>IF(LEN(J686),MATCH(J686,'MPIO_SFIO Table'!$A$11:$A$65525,0)-1,"")</f>
        <v/>
      </c>
      <c r="P686" t="str">
        <f>IF(LEN(K686),MATCH(K686,'MPIO_SFIO Table'!$A$11:$A$65525,0)-1,"")</f>
        <v/>
      </c>
      <c r="Q686" t="str">
        <f>IF(LEN(L686),MATCH(L686,'MPIO_SFIO Table'!$A$11:$A$65525,0)-1,"")</f>
        <v/>
      </c>
      <c r="R686" t="str">
        <f ca="1">IF(ISNUMBER(M686),OFFSET('MPIO_SFIO Table'!$AJ$11,M686,0),"")</f>
        <v>unused_ULPI_STP</v>
      </c>
      <c r="S686" t="str">
        <f ca="1">IF(ISNUMBER(N686),OFFSET('MPIO_SFIO Table'!$AJ$11,N686,0),"")</f>
        <v/>
      </c>
      <c r="T686" t="str">
        <f ca="1">IF(ISNUMBER(O686),OFFSET('MPIO_SFIO Table'!$AJ$11,O686,0),"")</f>
        <v/>
      </c>
      <c r="U686" t="str">
        <f ca="1">IF(ISNUMBER(P686),OFFSET('MPIO_SFIO Table'!$AJ$11,P686,0),"")</f>
        <v/>
      </c>
      <c r="V686" t="str">
        <f ca="1">IF(ISNUMBER(Q686),OFFSET('MPIO_SFIO Table'!$AJ$11,Q686,0),"")</f>
        <v/>
      </c>
      <c r="W686">
        <f t="shared" ca="1" si="91"/>
        <v>0</v>
      </c>
      <c r="X686">
        <f t="shared" ca="1" si="92"/>
        <v>0</v>
      </c>
      <c r="Y686">
        <f t="shared" ca="1" si="93"/>
        <v>0</v>
      </c>
      <c r="Z686">
        <f t="shared" ca="1" si="94"/>
        <v>0</v>
      </c>
      <c r="AA686">
        <f t="shared" ca="1" si="95"/>
        <v>0</v>
      </c>
    </row>
    <row r="687" spans="1:27" x14ac:dyDescent="0.25">
      <c r="A687">
        <f t="shared" ca="1" si="88"/>
        <v>0</v>
      </c>
      <c r="B687" t="str">
        <f t="shared" ca="1" si="89"/>
        <v/>
      </c>
      <c r="C687" t="str">
        <f t="shared" si="90"/>
        <v>SPI1</v>
      </c>
      <c r="D687" t="s">
        <v>253</v>
      </c>
      <c r="E687" t="s">
        <v>253</v>
      </c>
      <c r="F687" s="3" t="s">
        <v>2906</v>
      </c>
      <c r="G687" s="11" t="s">
        <v>360</v>
      </c>
      <c r="H687" s="11" t="s">
        <v>45</v>
      </c>
      <c r="I687" s="3" t="s">
        <v>253</v>
      </c>
      <c r="J687" s="3" t="s">
        <v>253</v>
      </c>
      <c r="K687" s="3" t="s">
        <v>253</v>
      </c>
      <c r="L687" s="3" t="s">
        <v>253</v>
      </c>
      <c r="M687">
        <f>IF(LEN(H687),MATCH(H687,'MPIO_SFIO Table'!$A$11:$A$65525,0)-1,"")</f>
        <v>38</v>
      </c>
      <c r="N687" t="str">
        <f>IF(LEN(I687),MATCH(I687,'MPIO_SFIO Table'!$A$11:$A$65525,0)-1,"")</f>
        <v/>
      </c>
      <c r="O687" t="str">
        <f>IF(LEN(J687),MATCH(J687,'MPIO_SFIO Table'!$A$11:$A$65525,0)-1,"")</f>
        <v/>
      </c>
      <c r="P687" t="str">
        <f>IF(LEN(K687),MATCH(K687,'MPIO_SFIO Table'!$A$11:$A$65525,0)-1,"")</f>
        <v/>
      </c>
      <c r="Q687" t="str">
        <f>IF(LEN(L687),MATCH(L687,'MPIO_SFIO Table'!$A$11:$A$65525,0)-1,"")</f>
        <v/>
      </c>
      <c r="R687" t="str">
        <f ca="1">IF(ISNUMBER(M687),OFFSET('MPIO_SFIO Table'!$AJ$11,M687,0),"")</f>
        <v>unused_ULPI_DIR</v>
      </c>
      <c r="S687" t="str">
        <f ca="1">IF(ISNUMBER(N687),OFFSET('MPIO_SFIO Table'!$AJ$11,N687,0),"")</f>
        <v/>
      </c>
      <c r="T687" t="str">
        <f ca="1">IF(ISNUMBER(O687),OFFSET('MPIO_SFIO Table'!$AJ$11,O687,0),"")</f>
        <v/>
      </c>
      <c r="U687" t="str">
        <f ca="1">IF(ISNUMBER(P687),OFFSET('MPIO_SFIO Table'!$AJ$11,P687,0),"")</f>
        <v/>
      </c>
      <c r="V687" t="str">
        <f ca="1">IF(ISNUMBER(Q687),OFFSET('MPIO_SFIO Table'!$AJ$11,Q687,0),"")</f>
        <v/>
      </c>
      <c r="W687">
        <f t="shared" ca="1" si="91"/>
        <v>0</v>
      </c>
      <c r="X687">
        <f t="shared" ca="1" si="92"/>
        <v>0</v>
      </c>
      <c r="Y687">
        <f t="shared" ca="1" si="93"/>
        <v>0</v>
      </c>
      <c r="Z687">
        <f t="shared" ca="1" si="94"/>
        <v>0</v>
      </c>
      <c r="AA687">
        <f t="shared" ca="1" si="95"/>
        <v>0</v>
      </c>
    </row>
    <row r="688" spans="1:27" x14ac:dyDescent="0.25">
      <c r="A688">
        <f t="shared" ca="1" si="88"/>
        <v>0</v>
      </c>
      <c r="B688" t="str">
        <f t="shared" ca="1" si="89"/>
        <v/>
      </c>
      <c r="C688" t="str">
        <f t="shared" si="90"/>
        <v>SPI1</v>
      </c>
      <c r="D688" t="s">
        <v>253</v>
      </c>
      <c r="E688" t="s">
        <v>253</v>
      </c>
      <c r="F688" s="3" t="s">
        <v>2907</v>
      </c>
      <c r="G688" s="11" t="s">
        <v>339</v>
      </c>
      <c r="H688" s="11" t="s">
        <v>36</v>
      </c>
      <c r="I688" s="3" t="s">
        <v>253</v>
      </c>
      <c r="J688" s="3" t="s">
        <v>253</v>
      </c>
      <c r="K688" s="3" t="s">
        <v>253</v>
      </c>
      <c r="L688" s="3" t="s">
        <v>253</v>
      </c>
      <c r="M688">
        <f>IF(LEN(H688),MATCH(H688,'MPIO_SFIO Table'!$A$11:$A$65525,0)-1,"")</f>
        <v>29</v>
      </c>
      <c r="N688" t="str">
        <f>IF(LEN(I688),MATCH(I688,'MPIO_SFIO Table'!$A$11:$A$65525,0)-1,"")</f>
        <v/>
      </c>
      <c r="O688" t="str">
        <f>IF(LEN(J688),MATCH(J688,'MPIO_SFIO Table'!$A$11:$A$65525,0)-1,"")</f>
        <v/>
      </c>
      <c r="P688" t="str">
        <f>IF(LEN(K688),MATCH(K688,'MPIO_SFIO Table'!$A$11:$A$65525,0)-1,"")</f>
        <v/>
      </c>
      <c r="Q688" t="str">
        <f>IF(LEN(L688),MATCH(L688,'MPIO_SFIO Table'!$A$11:$A$65525,0)-1,"")</f>
        <v/>
      </c>
      <c r="R688" t="str">
        <f ca="1">IF(ISNUMBER(M688),OFFSET('MPIO_SFIO Table'!$AJ$11,M688,0),"")</f>
        <v>unused_ULPI_CLK</v>
      </c>
      <c r="S688" t="str">
        <f ca="1">IF(ISNUMBER(N688),OFFSET('MPIO_SFIO Table'!$AJ$11,N688,0),"")</f>
        <v/>
      </c>
      <c r="T688" t="str">
        <f ca="1">IF(ISNUMBER(O688),OFFSET('MPIO_SFIO Table'!$AJ$11,O688,0),"")</f>
        <v/>
      </c>
      <c r="U688" t="str">
        <f ca="1">IF(ISNUMBER(P688),OFFSET('MPIO_SFIO Table'!$AJ$11,P688,0),"")</f>
        <v/>
      </c>
      <c r="V688" t="str">
        <f ca="1">IF(ISNUMBER(Q688),OFFSET('MPIO_SFIO Table'!$AJ$11,Q688,0),"")</f>
        <v/>
      </c>
      <c r="W688">
        <f t="shared" ca="1" si="91"/>
        <v>0</v>
      </c>
      <c r="X688">
        <f t="shared" ca="1" si="92"/>
        <v>0</v>
      </c>
      <c r="Y688">
        <f t="shared" ca="1" si="93"/>
        <v>0</v>
      </c>
      <c r="Z688">
        <f t="shared" ca="1" si="94"/>
        <v>0</v>
      </c>
      <c r="AA688">
        <f t="shared" ca="1" si="95"/>
        <v>0</v>
      </c>
    </row>
    <row r="689" spans="1:27" x14ac:dyDescent="0.25">
      <c r="A689">
        <f t="shared" ca="1" si="88"/>
        <v>0</v>
      </c>
      <c r="B689" t="str">
        <f t="shared" ca="1" si="89"/>
        <v/>
      </c>
      <c r="C689" t="str">
        <f t="shared" si="90"/>
        <v>SPI1</v>
      </c>
      <c r="D689" t="s">
        <v>253</v>
      </c>
      <c r="E689" t="s">
        <v>253</v>
      </c>
      <c r="F689" s="3" t="s">
        <v>2865</v>
      </c>
      <c r="G689" s="11" t="s">
        <v>363</v>
      </c>
      <c r="H689" s="11" t="s">
        <v>46</v>
      </c>
      <c r="I689" s="3" t="s">
        <v>253</v>
      </c>
      <c r="J689" s="3" t="s">
        <v>253</v>
      </c>
      <c r="K689" s="3" t="s">
        <v>253</v>
      </c>
      <c r="L689" s="3" t="s">
        <v>253</v>
      </c>
      <c r="M689">
        <f>IF(LEN(H689),MATCH(H689,'MPIO_SFIO Table'!$A$11:$A$65525,0)-1,"")</f>
        <v>39</v>
      </c>
      <c r="N689" t="str">
        <f>IF(LEN(I689),MATCH(I689,'MPIO_SFIO Table'!$A$11:$A$65525,0)-1,"")</f>
        <v/>
      </c>
      <c r="O689" t="str">
        <f>IF(LEN(J689),MATCH(J689,'MPIO_SFIO Table'!$A$11:$A$65525,0)-1,"")</f>
        <v/>
      </c>
      <c r="P689" t="str">
        <f>IF(LEN(K689),MATCH(K689,'MPIO_SFIO Table'!$A$11:$A$65525,0)-1,"")</f>
        <v/>
      </c>
      <c r="Q689" t="str">
        <f>IF(LEN(L689),MATCH(L689,'MPIO_SFIO Table'!$A$11:$A$65525,0)-1,"")</f>
        <v/>
      </c>
      <c r="R689" t="str">
        <f ca="1">IF(ISNUMBER(M689),OFFSET('MPIO_SFIO Table'!$AJ$11,M689,0),"")</f>
        <v>unused_ULPI_NXT</v>
      </c>
      <c r="S689" t="str">
        <f ca="1">IF(ISNUMBER(N689),OFFSET('MPIO_SFIO Table'!$AJ$11,N689,0),"")</f>
        <v/>
      </c>
      <c r="T689" t="str">
        <f ca="1">IF(ISNUMBER(O689),OFFSET('MPIO_SFIO Table'!$AJ$11,O689,0),"")</f>
        <v/>
      </c>
      <c r="U689" t="str">
        <f ca="1">IF(ISNUMBER(P689),OFFSET('MPIO_SFIO Table'!$AJ$11,P689,0),"")</f>
        <v/>
      </c>
      <c r="V689" t="str">
        <f ca="1">IF(ISNUMBER(Q689),OFFSET('MPIO_SFIO Table'!$AJ$11,Q689,0),"")</f>
        <v/>
      </c>
      <c r="W689">
        <f t="shared" ca="1" si="91"/>
        <v>0</v>
      </c>
      <c r="X689">
        <f t="shared" ca="1" si="92"/>
        <v>0</v>
      </c>
      <c r="Y689">
        <f t="shared" ca="1" si="93"/>
        <v>0</v>
      </c>
      <c r="Z689">
        <f t="shared" ca="1" si="94"/>
        <v>0</v>
      </c>
      <c r="AA689">
        <f t="shared" ca="1" si="95"/>
        <v>0</v>
      </c>
    </row>
    <row r="690" spans="1:27" x14ac:dyDescent="0.25">
      <c r="A690">
        <f t="shared" ca="1" si="88"/>
        <v>0</v>
      </c>
      <c r="B690" t="str">
        <f t="shared" ca="1" si="89"/>
        <v/>
      </c>
      <c r="C690" t="str">
        <f t="shared" si="90"/>
        <v/>
      </c>
      <c r="D690" t="s">
        <v>253</v>
      </c>
      <c r="E690" t="s">
        <v>1027</v>
      </c>
      <c r="F690" s="3" t="s">
        <v>253</v>
      </c>
      <c r="G690" s="11" t="s">
        <v>253</v>
      </c>
      <c r="H690" s="11" t="s">
        <v>253</v>
      </c>
      <c r="I690" s="3" t="s">
        <v>253</v>
      </c>
      <c r="J690" s="3" t="s">
        <v>253</v>
      </c>
      <c r="K690" s="3" t="s">
        <v>253</v>
      </c>
      <c r="L690" s="3" t="s">
        <v>253</v>
      </c>
      <c r="M690" t="str">
        <f>IF(LEN(H690),MATCH(H690,'MPIO_SFIO Table'!$A$11:$A$65525,0)-1,"")</f>
        <v/>
      </c>
      <c r="N690" t="str">
        <f>IF(LEN(I690),MATCH(I690,'MPIO_SFIO Table'!$A$11:$A$65525,0)-1,"")</f>
        <v/>
      </c>
      <c r="O690" t="str">
        <f>IF(LEN(J690),MATCH(J690,'MPIO_SFIO Table'!$A$11:$A$65525,0)-1,"")</f>
        <v/>
      </c>
      <c r="P690" t="str">
        <f>IF(LEN(K690),MATCH(K690,'MPIO_SFIO Table'!$A$11:$A$65525,0)-1,"")</f>
        <v/>
      </c>
      <c r="Q690" t="str">
        <f>IF(LEN(L690),MATCH(L690,'MPIO_SFIO Table'!$A$11:$A$65525,0)-1,"")</f>
        <v/>
      </c>
      <c r="R690" t="str">
        <f ca="1">IF(ISNUMBER(M690),OFFSET('MPIO_SFIO Table'!$AJ$11,M690,0),"")</f>
        <v/>
      </c>
      <c r="S690" t="str">
        <f ca="1">IF(ISNUMBER(N690),OFFSET('MPIO_SFIO Table'!$AJ$11,N690,0),"")</f>
        <v/>
      </c>
      <c r="T690" t="str">
        <f ca="1">IF(ISNUMBER(O690),OFFSET('MPIO_SFIO Table'!$AJ$11,O690,0),"")</f>
        <v/>
      </c>
      <c r="U690" t="str">
        <f ca="1">IF(ISNUMBER(P690),OFFSET('MPIO_SFIO Table'!$AJ$11,P690,0),"")</f>
        <v/>
      </c>
      <c r="V690" t="str">
        <f ca="1">IF(ISNUMBER(Q690),OFFSET('MPIO_SFIO Table'!$AJ$11,Q690,0),"")</f>
        <v/>
      </c>
      <c r="W690">
        <f t="shared" ca="1" si="91"/>
        <v>0</v>
      </c>
      <c r="X690">
        <f t="shared" ca="1" si="92"/>
        <v>0</v>
      </c>
      <c r="Y690">
        <f t="shared" ca="1" si="93"/>
        <v>0</v>
      </c>
      <c r="Z690">
        <f t="shared" ca="1" si="94"/>
        <v>0</v>
      </c>
      <c r="AA690">
        <f t="shared" ca="1" si="95"/>
        <v>0</v>
      </c>
    </row>
    <row r="691" spans="1:27" x14ac:dyDescent="0.25">
      <c r="A691">
        <f t="shared" ca="1" si="88"/>
        <v>0</v>
      </c>
      <c r="B691" t="str">
        <f t="shared" ca="1" si="89"/>
        <v/>
      </c>
      <c r="C691" t="str">
        <f t="shared" si="90"/>
        <v>SPI1</v>
      </c>
      <c r="D691" t="s">
        <v>253</v>
      </c>
      <c r="E691" t="s">
        <v>253</v>
      </c>
      <c r="F691" s="3" t="s">
        <v>2553</v>
      </c>
      <c r="G691" s="11" t="s">
        <v>2161</v>
      </c>
      <c r="H691" s="11" t="s">
        <v>20</v>
      </c>
      <c r="I691" s="3" t="s">
        <v>253</v>
      </c>
      <c r="J691" s="3" t="s">
        <v>253</v>
      </c>
      <c r="K691" s="3" t="s">
        <v>253</v>
      </c>
      <c r="L691" s="3" t="s">
        <v>253</v>
      </c>
      <c r="M691">
        <f>IF(LEN(H691),MATCH(H691,'MPIO_SFIO Table'!$A$11:$A$65525,0)-1,"")</f>
        <v>12</v>
      </c>
      <c r="N691" t="str">
        <f>IF(LEN(I691),MATCH(I691,'MPIO_SFIO Table'!$A$11:$A$65525,0)-1,"")</f>
        <v/>
      </c>
      <c r="O691" t="str">
        <f>IF(LEN(J691),MATCH(J691,'MPIO_SFIO Table'!$A$11:$A$65525,0)-1,"")</f>
        <v/>
      </c>
      <c r="P691" t="str">
        <f>IF(LEN(K691),MATCH(K691,'MPIO_SFIO Table'!$A$11:$A$65525,0)-1,"")</f>
        <v/>
      </c>
      <c r="Q691" t="str">
        <f>IF(LEN(L691),MATCH(L691,'MPIO_SFIO Table'!$A$11:$A$65525,0)-1,"")</f>
        <v/>
      </c>
      <c r="R691" t="str">
        <f ca="1">IF(ISNUMBER(M691),OFFSET('MPIO_SFIO Table'!$AJ$11,M691,0),"")</f>
        <v>unused_SPI1_CS0_N</v>
      </c>
      <c r="S691" t="str">
        <f ca="1">IF(ISNUMBER(N691),OFFSET('MPIO_SFIO Table'!$AJ$11,N691,0),"")</f>
        <v/>
      </c>
      <c r="T691" t="str">
        <f ca="1">IF(ISNUMBER(O691),OFFSET('MPIO_SFIO Table'!$AJ$11,O691,0),"")</f>
        <v/>
      </c>
      <c r="U691" t="str">
        <f ca="1">IF(ISNUMBER(P691),OFFSET('MPIO_SFIO Table'!$AJ$11,P691,0),"")</f>
        <v/>
      </c>
      <c r="V691" t="str">
        <f ca="1">IF(ISNUMBER(Q691),OFFSET('MPIO_SFIO Table'!$AJ$11,Q691,0),"")</f>
        <v/>
      </c>
      <c r="W691">
        <f t="shared" ca="1" si="91"/>
        <v>0</v>
      </c>
      <c r="X691">
        <f t="shared" ca="1" si="92"/>
        <v>0</v>
      </c>
      <c r="Y691">
        <f t="shared" ca="1" si="93"/>
        <v>0</v>
      </c>
      <c r="Z691">
        <f t="shared" ca="1" si="94"/>
        <v>0</v>
      </c>
      <c r="AA691">
        <f t="shared" ca="1" si="95"/>
        <v>0</v>
      </c>
    </row>
    <row r="692" spans="1:27" x14ac:dyDescent="0.25">
      <c r="A692">
        <f t="shared" ca="1" si="88"/>
        <v>0</v>
      </c>
      <c r="B692" t="str">
        <f t="shared" ca="1" si="89"/>
        <v/>
      </c>
      <c r="C692" t="str">
        <f t="shared" si="90"/>
        <v>SPI1</v>
      </c>
      <c r="D692" t="s">
        <v>253</v>
      </c>
      <c r="E692" t="s">
        <v>253</v>
      </c>
      <c r="F692" s="3" t="s">
        <v>2906</v>
      </c>
      <c r="G692" s="11" t="s">
        <v>306</v>
      </c>
      <c r="H692" s="11" t="s">
        <v>21</v>
      </c>
      <c r="I692" s="3" t="s">
        <v>253</v>
      </c>
      <c r="J692" s="3" t="s">
        <v>253</v>
      </c>
      <c r="K692" s="3" t="s">
        <v>253</v>
      </c>
      <c r="L692" s="3" t="s">
        <v>253</v>
      </c>
      <c r="M692">
        <f>IF(LEN(H692),MATCH(H692,'MPIO_SFIO Table'!$A$11:$A$65525,0)-1,"")</f>
        <v>13</v>
      </c>
      <c r="N692" t="str">
        <f>IF(LEN(I692),MATCH(I692,'MPIO_SFIO Table'!$A$11:$A$65525,0)-1,"")</f>
        <v/>
      </c>
      <c r="O692" t="str">
        <f>IF(LEN(J692),MATCH(J692,'MPIO_SFIO Table'!$A$11:$A$65525,0)-1,"")</f>
        <v/>
      </c>
      <c r="P692" t="str">
        <f>IF(LEN(K692),MATCH(K692,'MPIO_SFIO Table'!$A$11:$A$65525,0)-1,"")</f>
        <v/>
      </c>
      <c r="Q692" t="str">
        <f>IF(LEN(L692),MATCH(L692,'MPIO_SFIO Table'!$A$11:$A$65525,0)-1,"")</f>
        <v/>
      </c>
      <c r="R692" t="str">
        <f ca="1">IF(ISNUMBER(M692),OFFSET('MPIO_SFIO Table'!$AJ$11,M692,0),"")</f>
        <v>unused_SPI1_MISO</v>
      </c>
      <c r="S692" t="str">
        <f ca="1">IF(ISNUMBER(N692),OFFSET('MPIO_SFIO Table'!$AJ$11,N692,0),"")</f>
        <v/>
      </c>
      <c r="T692" t="str">
        <f ca="1">IF(ISNUMBER(O692),OFFSET('MPIO_SFIO Table'!$AJ$11,O692,0),"")</f>
        <v/>
      </c>
      <c r="U692" t="str">
        <f ca="1">IF(ISNUMBER(P692),OFFSET('MPIO_SFIO Table'!$AJ$11,P692,0),"")</f>
        <v/>
      </c>
      <c r="V692" t="str">
        <f ca="1">IF(ISNUMBER(Q692),OFFSET('MPIO_SFIO Table'!$AJ$11,Q692,0),"")</f>
        <v/>
      </c>
      <c r="W692">
        <f t="shared" ca="1" si="91"/>
        <v>0</v>
      </c>
      <c r="X692">
        <f t="shared" ca="1" si="92"/>
        <v>0</v>
      </c>
      <c r="Y692">
        <f t="shared" ca="1" si="93"/>
        <v>0</v>
      </c>
      <c r="Z692">
        <f t="shared" ca="1" si="94"/>
        <v>0</v>
      </c>
      <c r="AA692">
        <f t="shared" ca="1" si="95"/>
        <v>0</v>
      </c>
    </row>
    <row r="693" spans="1:27" x14ac:dyDescent="0.25">
      <c r="A693">
        <f t="shared" ca="1" si="88"/>
        <v>0</v>
      </c>
      <c r="B693" t="str">
        <f t="shared" ca="1" si="89"/>
        <v/>
      </c>
      <c r="C693" t="str">
        <f t="shared" si="90"/>
        <v>SPI1</v>
      </c>
      <c r="D693" t="s">
        <v>253</v>
      </c>
      <c r="E693" t="s">
        <v>253</v>
      </c>
      <c r="F693" s="3" t="s">
        <v>2907</v>
      </c>
      <c r="G693" s="11" t="s">
        <v>308</v>
      </c>
      <c r="H693" s="11" t="s">
        <v>22</v>
      </c>
      <c r="I693" s="3" t="s">
        <v>253</v>
      </c>
      <c r="J693" s="3" t="s">
        <v>253</v>
      </c>
      <c r="K693" s="3" t="s">
        <v>253</v>
      </c>
      <c r="L693" s="3" t="s">
        <v>253</v>
      </c>
      <c r="M693">
        <f>IF(LEN(H693),MATCH(H693,'MPIO_SFIO Table'!$A$11:$A$65525,0)-1,"")</f>
        <v>14</v>
      </c>
      <c r="N693" t="str">
        <f>IF(LEN(I693),MATCH(I693,'MPIO_SFIO Table'!$A$11:$A$65525,0)-1,"")</f>
        <v/>
      </c>
      <c r="O693" t="str">
        <f>IF(LEN(J693),MATCH(J693,'MPIO_SFIO Table'!$A$11:$A$65525,0)-1,"")</f>
        <v/>
      </c>
      <c r="P693" t="str">
        <f>IF(LEN(K693),MATCH(K693,'MPIO_SFIO Table'!$A$11:$A$65525,0)-1,"")</f>
        <v/>
      </c>
      <c r="Q693" t="str">
        <f>IF(LEN(L693),MATCH(L693,'MPIO_SFIO Table'!$A$11:$A$65525,0)-1,"")</f>
        <v/>
      </c>
      <c r="R693" t="str">
        <f ca="1">IF(ISNUMBER(M693),OFFSET('MPIO_SFIO Table'!$AJ$11,M693,0),"")</f>
        <v>unused_SPI1_MOSI</v>
      </c>
      <c r="S693" t="str">
        <f ca="1">IF(ISNUMBER(N693),OFFSET('MPIO_SFIO Table'!$AJ$11,N693,0),"")</f>
        <v/>
      </c>
      <c r="T693" t="str">
        <f ca="1">IF(ISNUMBER(O693),OFFSET('MPIO_SFIO Table'!$AJ$11,O693,0),"")</f>
        <v/>
      </c>
      <c r="U693" t="str">
        <f ca="1">IF(ISNUMBER(P693),OFFSET('MPIO_SFIO Table'!$AJ$11,P693,0),"")</f>
        <v/>
      </c>
      <c r="V693" t="str">
        <f ca="1">IF(ISNUMBER(Q693),OFFSET('MPIO_SFIO Table'!$AJ$11,Q693,0),"")</f>
        <v/>
      </c>
      <c r="W693">
        <f t="shared" ca="1" si="91"/>
        <v>0</v>
      </c>
      <c r="X693">
        <f t="shared" ca="1" si="92"/>
        <v>0</v>
      </c>
      <c r="Y693">
        <f t="shared" ca="1" si="93"/>
        <v>0</v>
      </c>
      <c r="Z693">
        <f t="shared" ca="1" si="94"/>
        <v>0</v>
      </c>
      <c r="AA693">
        <f t="shared" ca="1" si="95"/>
        <v>0</v>
      </c>
    </row>
    <row r="694" spans="1:27" x14ac:dyDescent="0.25">
      <c r="A694">
        <f t="shared" ca="1" si="88"/>
        <v>0</v>
      </c>
      <c r="B694" t="str">
        <f t="shared" ca="1" si="89"/>
        <v/>
      </c>
      <c r="C694" t="str">
        <f t="shared" si="90"/>
        <v>SPI1</v>
      </c>
      <c r="D694" t="s">
        <v>253</v>
      </c>
      <c r="E694" t="s">
        <v>253</v>
      </c>
      <c r="F694" s="3" t="s">
        <v>2865</v>
      </c>
      <c r="G694" s="11" t="s">
        <v>311</v>
      </c>
      <c r="H694" s="11" t="s">
        <v>23</v>
      </c>
      <c r="I694" s="3" t="s">
        <v>253</v>
      </c>
      <c r="J694" s="3" t="s">
        <v>253</v>
      </c>
      <c r="K694" s="3" t="s">
        <v>253</v>
      </c>
      <c r="L694" s="3" t="s">
        <v>253</v>
      </c>
      <c r="M694">
        <f>IF(LEN(H694),MATCH(H694,'MPIO_SFIO Table'!$A$11:$A$65525,0)-1,"")</f>
        <v>15</v>
      </c>
      <c r="N694" t="str">
        <f>IF(LEN(I694),MATCH(I694,'MPIO_SFIO Table'!$A$11:$A$65525,0)-1,"")</f>
        <v/>
      </c>
      <c r="O694" t="str">
        <f>IF(LEN(J694),MATCH(J694,'MPIO_SFIO Table'!$A$11:$A$65525,0)-1,"")</f>
        <v/>
      </c>
      <c r="P694" t="str">
        <f>IF(LEN(K694),MATCH(K694,'MPIO_SFIO Table'!$A$11:$A$65525,0)-1,"")</f>
        <v/>
      </c>
      <c r="Q694" t="str">
        <f>IF(LEN(L694),MATCH(L694,'MPIO_SFIO Table'!$A$11:$A$65525,0)-1,"")</f>
        <v/>
      </c>
      <c r="R694" t="str">
        <f ca="1">IF(ISNUMBER(M694),OFFSET('MPIO_SFIO Table'!$AJ$11,M694,0),"")</f>
        <v>unused_SPI1_SCK</v>
      </c>
      <c r="S694" t="str">
        <f ca="1">IF(ISNUMBER(N694),OFFSET('MPIO_SFIO Table'!$AJ$11,N694,0),"")</f>
        <v/>
      </c>
      <c r="T694" t="str">
        <f ca="1">IF(ISNUMBER(O694),OFFSET('MPIO_SFIO Table'!$AJ$11,O694,0),"")</f>
        <v/>
      </c>
      <c r="U694" t="str">
        <f ca="1">IF(ISNUMBER(P694),OFFSET('MPIO_SFIO Table'!$AJ$11,P694,0),"")</f>
        <v/>
      </c>
      <c r="V694" t="str">
        <f ca="1">IF(ISNUMBER(Q694),OFFSET('MPIO_SFIO Table'!$AJ$11,Q694,0),"")</f>
        <v/>
      </c>
      <c r="W694">
        <f t="shared" ca="1" si="91"/>
        <v>0</v>
      </c>
      <c r="X694">
        <f t="shared" ca="1" si="92"/>
        <v>0</v>
      </c>
      <c r="Y694">
        <f t="shared" ca="1" si="93"/>
        <v>0</v>
      </c>
      <c r="Z694">
        <f t="shared" ca="1" si="94"/>
        <v>0</v>
      </c>
      <c r="AA694">
        <f t="shared" ca="1" si="95"/>
        <v>0</v>
      </c>
    </row>
    <row r="695" spans="1:27" x14ac:dyDescent="0.25">
      <c r="A695">
        <f t="shared" ca="1" si="88"/>
        <v>0</v>
      </c>
      <c r="B695" t="str">
        <f t="shared" ca="1" si="89"/>
        <v/>
      </c>
      <c r="C695" t="str">
        <f t="shared" si="90"/>
        <v/>
      </c>
      <c r="D695" t="s">
        <v>2506</v>
      </c>
      <c r="E695" t="s">
        <v>1026</v>
      </c>
      <c r="F695" s="3" t="s">
        <v>253</v>
      </c>
      <c r="G695" s="11" t="s">
        <v>253</v>
      </c>
      <c r="H695" s="11" t="s">
        <v>253</v>
      </c>
      <c r="I695" s="3" t="s">
        <v>253</v>
      </c>
      <c r="J695" s="3" t="s">
        <v>253</v>
      </c>
      <c r="K695" s="3" t="s">
        <v>253</v>
      </c>
      <c r="L695" s="3" t="s">
        <v>253</v>
      </c>
      <c r="M695" t="str">
        <f>IF(LEN(H695),MATCH(H695,'MPIO_SFIO Table'!$A$11:$A$65525,0)-1,"")</f>
        <v/>
      </c>
      <c r="N695" t="str">
        <f>IF(LEN(I695),MATCH(I695,'MPIO_SFIO Table'!$A$11:$A$65525,0)-1,"")</f>
        <v/>
      </c>
      <c r="O695" t="str">
        <f>IF(LEN(J695),MATCH(J695,'MPIO_SFIO Table'!$A$11:$A$65525,0)-1,"")</f>
        <v/>
      </c>
      <c r="P695" t="str">
        <f>IF(LEN(K695),MATCH(K695,'MPIO_SFIO Table'!$A$11:$A$65525,0)-1,"")</f>
        <v/>
      </c>
      <c r="Q695" t="str">
        <f>IF(LEN(L695),MATCH(L695,'MPIO_SFIO Table'!$A$11:$A$65525,0)-1,"")</f>
        <v/>
      </c>
      <c r="R695" t="str">
        <f ca="1">IF(ISNUMBER(M695),OFFSET('MPIO_SFIO Table'!$AJ$11,M695,0),"")</f>
        <v/>
      </c>
      <c r="S695" t="str">
        <f ca="1">IF(ISNUMBER(N695),OFFSET('MPIO_SFIO Table'!$AJ$11,N695,0),"")</f>
        <v/>
      </c>
      <c r="T695" t="str">
        <f ca="1">IF(ISNUMBER(O695),OFFSET('MPIO_SFIO Table'!$AJ$11,O695,0),"")</f>
        <v/>
      </c>
      <c r="U695" t="str">
        <f ca="1">IF(ISNUMBER(P695),OFFSET('MPIO_SFIO Table'!$AJ$11,P695,0),"")</f>
        <v/>
      </c>
      <c r="V695" t="str">
        <f ca="1">IF(ISNUMBER(Q695),OFFSET('MPIO_SFIO Table'!$AJ$11,Q695,0),"")</f>
        <v/>
      </c>
      <c r="W695">
        <f t="shared" ca="1" si="91"/>
        <v>0</v>
      </c>
      <c r="X695">
        <f t="shared" ca="1" si="92"/>
        <v>0</v>
      </c>
      <c r="Y695">
        <f t="shared" ca="1" si="93"/>
        <v>0</v>
      </c>
      <c r="Z695">
        <f t="shared" ca="1" si="94"/>
        <v>0</v>
      </c>
      <c r="AA695">
        <f t="shared" ca="1" si="95"/>
        <v>0</v>
      </c>
    </row>
    <row r="696" spans="1:27" x14ac:dyDescent="0.25">
      <c r="A696">
        <f t="shared" ca="1" si="88"/>
        <v>0</v>
      </c>
      <c r="B696" t="str">
        <f t="shared" ca="1" si="89"/>
        <v/>
      </c>
      <c r="C696" t="str">
        <f t="shared" si="90"/>
        <v>SPI2</v>
      </c>
      <c r="D696" t="s">
        <v>253</v>
      </c>
      <c r="E696" t="s">
        <v>253</v>
      </c>
      <c r="F696" s="3" t="s">
        <v>2554</v>
      </c>
      <c r="G696" s="11" t="s">
        <v>2165</v>
      </c>
      <c r="H696" s="11" t="s">
        <v>44</v>
      </c>
      <c r="I696" s="3" t="s">
        <v>253</v>
      </c>
      <c r="J696" s="3" t="s">
        <v>253</v>
      </c>
      <c r="K696" s="3" t="s">
        <v>253</v>
      </c>
      <c r="L696" s="3" t="s">
        <v>253</v>
      </c>
      <c r="M696">
        <f>IF(LEN(H696),MATCH(H696,'MPIO_SFIO Table'!$A$11:$A$65525,0)-1,"")</f>
        <v>37</v>
      </c>
      <c r="N696" t="str">
        <f>IF(LEN(I696),MATCH(I696,'MPIO_SFIO Table'!$A$11:$A$65525,0)-1,"")</f>
        <v/>
      </c>
      <c r="O696" t="str">
        <f>IF(LEN(J696),MATCH(J696,'MPIO_SFIO Table'!$A$11:$A$65525,0)-1,"")</f>
        <v/>
      </c>
      <c r="P696" t="str">
        <f>IF(LEN(K696),MATCH(K696,'MPIO_SFIO Table'!$A$11:$A$65525,0)-1,"")</f>
        <v/>
      </c>
      <c r="Q696" t="str">
        <f>IF(LEN(L696),MATCH(L696,'MPIO_SFIO Table'!$A$11:$A$65525,0)-1,"")</f>
        <v/>
      </c>
      <c r="R696" t="str">
        <f ca="1">IF(ISNUMBER(M696),OFFSET('MPIO_SFIO Table'!$AJ$11,M696,0),"")</f>
        <v>unused_ULPI_DATA7</v>
      </c>
      <c r="S696" t="str">
        <f ca="1">IF(ISNUMBER(N696),OFFSET('MPIO_SFIO Table'!$AJ$11,N696,0),"")</f>
        <v/>
      </c>
      <c r="T696" t="str">
        <f ca="1">IF(ISNUMBER(O696),OFFSET('MPIO_SFIO Table'!$AJ$11,O696,0),"")</f>
        <v/>
      </c>
      <c r="U696" t="str">
        <f ca="1">IF(ISNUMBER(P696),OFFSET('MPIO_SFIO Table'!$AJ$11,P696,0),"")</f>
        <v/>
      </c>
      <c r="V696" t="str">
        <f ca="1">IF(ISNUMBER(Q696),OFFSET('MPIO_SFIO Table'!$AJ$11,Q696,0),"")</f>
        <v/>
      </c>
      <c r="W696">
        <f t="shared" ca="1" si="91"/>
        <v>0</v>
      </c>
      <c r="X696">
        <f t="shared" ca="1" si="92"/>
        <v>0</v>
      </c>
      <c r="Y696">
        <f t="shared" ca="1" si="93"/>
        <v>0</v>
      </c>
      <c r="Z696">
        <f t="shared" ca="1" si="94"/>
        <v>0</v>
      </c>
      <c r="AA696">
        <f t="shared" ca="1" si="95"/>
        <v>0</v>
      </c>
    </row>
    <row r="697" spans="1:27" x14ac:dyDescent="0.25">
      <c r="A697">
        <f t="shared" ca="1" si="88"/>
        <v>0</v>
      </c>
      <c r="B697" t="str">
        <f t="shared" ca="1" si="89"/>
        <v/>
      </c>
      <c r="C697" t="str">
        <f t="shared" si="90"/>
        <v>SPI2</v>
      </c>
      <c r="D697" t="s">
        <v>253</v>
      </c>
      <c r="E697" t="s">
        <v>253</v>
      </c>
      <c r="F697" s="3" t="s">
        <v>2906</v>
      </c>
      <c r="G697" s="11" t="s">
        <v>355</v>
      </c>
      <c r="H697" s="11" t="s">
        <v>42</v>
      </c>
      <c r="I697" s="3" t="s">
        <v>253</v>
      </c>
      <c r="J697" s="3" t="s">
        <v>253</v>
      </c>
      <c r="K697" s="3" t="s">
        <v>253</v>
      </c>
      <c r="L697" s="3" t="s">
        <v>253</v>
      </c>
      <c r="M697">
        <f>IF(LEN(H697),MATCH(H697,'MPIO_SFIO Table'!$A$11:$A$65525,0)-1,"")</f>
        <v>35</v>
      </c>
      <c r="N697" t="str">
        <f>IF(LEN(I697),MATCH(I697,'MPIO_SFIO Table'!$A$11:$A$65525,0)-1,"")</f>
        <v/>
      </c>
      <c r="O697" t="str">
        <f>IF(LEN(J697),MATCH(J697,'MPIO_SFIO Table'!$A$11:$A$65525,0)-1,"")</f>
        <v/>
      </c>
      <c r="P697" t="str">
        <f>IF(LEN(K697),MATCH(K697,'MPIO_SFIO Table'!$A$11:$A$65525,0)-1,"")</f>
        <v/>
      </c>
      <c r="Q697" t="str">
        <f>IF(LEN(L697),MATCH(L697,'MPIO_SFIO Table'!$A$11:$A$65525,0)-1,"")</f>
        <v/>
      </c>
      <c r="R697" t="str">
        <f ca="1">IF(ISNUMBER(M697),OFFSET('MPIO_SFIO Table'!$AJ$11,M697,0),"")</f>
        <v>unused_ULPI_DATA5</v>
      </c>
      <c r="S697" t="str">
        <f ca="1">IF(ISNUMBER(N697),OFFSET('MPIO_SFIO Table'!$AJ$11,N697,0),"")</f>
        <v/>
      </c>
      <c r="T697" t="str">
        <f ca="1">IF(ISNUMBER(O697),OFFSET('MPIO_SFIO Table'!$AJ$11,O697,0),"")</f>
        <v/>
      </c>
      <c r="U697" t="str">
        <f ca="1">IF(ISNUMBER(P697),OFFSET('MPIO_SFIO Table'!$AJ$11,P697,0),"")</f>
        <v/>
      </c>
      <c r="V697" t="str">
        <f ca="1">IF(ISNUMBER(Q697),OFFSET('MPIO_SFIO Table'!$AJ$11,Q697,0),"")</f>
        <v/>
      </c>
      <c r="W697">
        <f t="shared" ca="1" si="91"/>
        <v>0</v>
      </c>
      <c r="X697">
        <f t="shared" ca="1" si="92"/>
        <v>0</v>
      </c>
      <c r="Y697">
        <f t="shared" ca="1" si="93"/>
        <v>0</v>
      </c>
      <c r="Z697">
        <f t="shared" ca="1" si="94"/>
        <v>0</v>
      </c>
      <c r="AA697">
        <f t="shared" ca="1" si="95"/>
        <v>0</v>
      </c>
    </row>
    <row r="698" spans="1:27" x14ac:dyDescent="0.25">
      <c r="A698">
        <f t="shared" ca="1" si="88"/>
        <v>0</v>
      </c>
      <c r="B698" t="str">
        <f t="shared" ca="1" si="89"/>
        <v/>
      </c>
      <c r="C698" t="str">
        <f t="shared" si="90"/>
        <v>SPI2</v>
      </c>
      <c r="D698" t="s">
        <v>253</v>
      </c>
      <c r="E698" t="s">
        <v>253</v>
      </c>
      <c r="F698" s="3" t="s">
        <v>2907</v>
      </c>
      <c r="G698" s="11" t="s">
        <v>353</v>
      </c>
      <c r="H698" s="11" t="s">
        <v>41</v>
      </c>
      <c r="I698" s="3" t="s">
        <v>253</v>
      </c>
      <c r="J698" s="3" t="s">
        <v>253</v>
      </c>
      <c r="K698" s="3" t="s">
        <v>253</v>
      </c>
      <c r="L698" s="3" t="s">
        <v>253</v>
      </c>
      <c r="M698">
        <f>IF(LEN(H698),MATCH(H698,'MPIO_SFIO Table'!$A$11:$A$65525,0)-1,"")</f>
        <v>34</v>
      </c>
      <c r="N698" t="str">
        <f>IF(LEN(I698),MATCH(I698,'MPIO_SFIO Table'!$A$11:$A$65525,0)-1,"")</f>
        <v/>
      </c>
      <c r="O698" t="str">
        <f>IF(LEN(J698),MATCH(J698,'MPIO_SFIO Table'!$A$11:$A$65525,0)-1,"")</f>
        <v/>
      </c>
      <c r="P698" t="str">
        <f>IF(LEN(K698),MATCH(K698,'MPIO_SFIO Table'!$A$11:$A$65525,0)-1,"")</f>
        <v/>
      </c>
      <c r="Q698" t="str">
        <f>IF(LEN(L698),MATCH(L698,'MPIO_SFIO Table'!$A$11:$A$65525,0)-1,"")</f>
        <v/>
      </c>
      <c r="R698" t="str">
        <f ca="1">IF(ISNUMBER(M698),OFFSET('MPIO_SFIO Table'!$AJ$11,M698,0),"")</f>
        <v>unused_ULPI_DATA4</v>
      </c>
      <c r="S698" t="str">
        <f ca="1">IF(ISNUMBER(N698),OFFSET('MPIO_SFIO Table'!$AJ$11,N698,0),"")</f>
        <v/>
      </c>
      <c r="T698" t="str">
        <f ca="1">IF(ISNUMBER(O698),OFFSET('MPIO_SFIO Table'!$AJ$11,O698,0),"")</f>
        <v/>
      </c>
      <c r="U698" t="str">
        <f ca="1">IF(ISNUMBER(P698),OFFSET('MPIO_SFIO Table'!$AJ$11,P698,0),"")</f>
        <v/>
      </c>
      <c r="V698" t="str">
        <f ca="1">IF(ISNUMBER(Q698),OFFSET('MPIO_SFIO Table'!$AJ$11,Q698,0),"")</f>
        <v/>
      </c>
      <c r="W698">
        <f t="shared" ca="1" si="91"/>
        <v>0</v>
      </c>
      <c r="X698">
        <f t="shared" ca="1" si="92"/>
        <v>0</v>
      </c>
      <c r="Y698">
        <f t="shared" ca="1" si="93"/>
        <v>0</v>
      </c>
      <c r="Z698">
        <f t="shared" ca="1" si="94"/>
        <v>0</v>
      </c>
      <c r="AA698">
        <f t="shared" ca="1" si="95"/>
        <v>0</v>
      </c>
    </row>
    <row r="699" spans="1:27" x14ac:dyDescent="0.25">
      <c r="A699">
        <f t="shared" ca="1" si="88"/>
        <v>0</v>
      </c>
      <c r="B699" t="str">
        <f t="shared" ca="1" si="89"/>
        <v/>
      </c>
      <c r="C699" t="str">
        <f t="shared" si="90"/>
        <v>SPI2</v>
      </c>
      <c r="D699" t="s">
        <v>253</v>
      </c>
      <c r="E699" t="s">
        <v>253</v>
      </c>
      <c r="F699" s="3" t="s">
        <v>2865</v>
      </c>
      <c r="G699" s="11" t="s">
        <v>357</v>
      </c>
      <c r="H699" s="11" t="s">
        <v>43</v>
      </c>
      <c r="I699" s="3" t="s">
        <v>253</v>
      </c>
      <c r="J699" s="3" t="s">
        <v>253</v>
      </c>
      <c r="K699" s="3" t="s">
        <v>253</v>
      </c>
      <c r="L699" s="3" t="s">
        <v>253</v>
      </c>
      <c r="M699">
        <f>IF(LEN(H699),MATCH(H699,'MPIO_SFIO Table'!$A$11:$A$65525,0)-1,"")</f>
        <v>36</v>
      </c>
      <c r="N699" t="str">
        <f>IF(LEN(I699),MATCH(I699,'MPIO_SFIO Table'!$A$11:$A$65525,0)-1,"")</f>
        <v/>
      </c>
      <c r="O699" t="str">
        <f>IF(LEN(J699),MATCH(J699,'MPIO_SFIO Table'!$A$11:$A$65525,0)-1,"")</f>
        <v/>
      </c>
      <c r="P699" t="str">
        <f>IF(LEN(K699),MATCH(K699,'MPIO_SFIO Table'!$A$11:$A$65525,0)-1,"")</f>
        <v/>
      </c>
      <c r="Q699" t="str">
        <f>IF(LEN(L699),MATCH(L699,'MPIO_SFIO Table'!$A$11:$A$65525,0)-1,"")</f>
        <v/>
      </c>
      <c r="R699" t="str">
        <f ca="1">IF(ISNUMBER(M699),OFFSET('MPIO_SFIO Table'!$AJ$11,M699,0),"")</f>
        <v>unused_ULPI_DATA6</v>
      </c>
      <c r="S699" t="str">
        <f ca="1">IF(ISNUMBER(N699),OFFSET('MPIO_SFIO Table'!$AJ$11,N699,0),"")</f>
        <v/>
      </c>
      <c r="T699" t="str">
        <f ca="1">IF(ISNUMBER(O699),OFFSET('MPIO_SFIO Table'!$AJ$11,O699,0),"")</f>
        <v/>
      </c>
      <c r="U699" t="str">
        <f ca="1">IF(ISNUMBER(P699),OFFSET('MPIO_SFIO Table'!$AJ$11,P699,0),"")</f>
        <v/>
      </c>
      <c r="V699" t="str">
        <f ca="1">IF(ISNUMBER(Q699),OFFSET('MPIO_SFIO Table'!$AJ$11,Q699,0),"")</f>
        <v/>
      </c>
      <c r="W699">
        <f t="shared" ca="1" si="91"/>
        <v>0</v>
      </c>
      <c r="X699">
        <f t="shared" ca="1" si="92"/>
        <v>0</v>
      </c>
      <c r="Y699">
        <f t="shared" ca="1" si="93"/>
        <v>0</v>
      </c>
      <c r="Z699">
        <f t="shared" ca="1" si="94"/>
        <v>0</v>
      </c>
      <c r="AA699">
        <f t="shared" ca="1" si="95"/>
        <v>0</v>
      </c>
    </row>
    <row r="700" spans="1:27" x14ac:dyDescent="0.25">
      <c r="A700">
        <f t="shared" ca="1" si="88"/>
        <v>0</v>
      </c>
      <c r="B700" t="str">
        <f t="shared" ca="1" si="89"/>
        <v/>
      </c>
      <c r="C700" t="str">
        <f t="shared" si="90"/>
        <v/>
      </c>
      <c r="D700" t="s">
        <v>253</v>
      </c>
      <c r="E700" t="s">
        <v>1027</v>
      </c>
      <c r="F700" s="3" t="s">
        <v>253</v>
      </c>
      <c r="G700" s="11" t="s">
        <v>253</v>
      </c>
      <c r="H700" s="11" t="s">
        <v>253</v>
      </c>
      <c r="I700" s="3" t="s">
        <v>253</v>
      </c>
      <c r="J700" s="3" t="s">
        <v>253</v>
      </c>
      <c r="K700" s="3" t="s">
        <v>253</v>
      </c>
      <c r="L700" s="3" t="s">
        <v>253</v>
      </c>
      <c r="M700" t="str">
        <f>IF(LEN(H700),MATCH(H700,'MPIO_SFIO Table'!$A$11:$A$65525,0)-1,"")</f>
        <v/>
      </c>
      <c r="N700" t="str">
        <f>IF(LEN(I700),MATCH(I700,'MPIO_SFIO Table'!$A$11:$A$65525,0)-1,"")</f>
        <v/>
      </c>
      <c r="O700" t="str">
        <f>IF(LEN(J700),MATCH(J700,'MPIO_SFIO Table'!$A$11:$A$65525,0)-1,"")</f>
        <v/>
      </c>
      <c r="P700" t="str">
        <f>IF(LEN(K700),MATCH(K700,'MPIO_SFIO Table'!$A$11:$A$65525,0)-1,"")</f>
        <v/>
      </c>
      <c r="Q700" t="str">
        <f>IF(LEN(L700),MATCH(L700,'MPIO_SFIO Table'!$A$11:$A$65525,0)-1,"")</f>
        <v/>
      </c>
      <c r="R700" t="str">
        <f ca="1">IF(ISNUMBER(M700),OFFSET('MPIO_SFIO Table'!$AJ$11,M700,0),"")</f>
        <v/>
      </c>
      <c r="S700" t="str">
        <f ca="1">IF(ISNUMBER(N700),OFFSET('MPIO_SFIO Table'!$AJ$11,N700,0),"")</f>
        <v/>
      </c>
      <c r="T700" t="str">
        <f ca="1">IF(ISNUMBER(O700),OFFSET('MPIO_SFIO Table'!$AJ$11,O700,0),"")</f>
        <v/>
      </c>
      <c r="U700" t="str">
        <f ca="1">IF(ISNUMBER(P700),OFFSET('MPIO_SFIO Table'!$AJ$11,P700,0),"")</f>
        <v/>
      </c>
      <c r="V700" t="str">
        <f ca="1">IF(ISNUMBER(Q700),OFFSET('MPIO_SFIO Table'!$AJ$11,Q700,0),"")</f>
        <v/>
      </c>
      <c r="W700">
        <f t="shared" ca="1" si="91"/>
        <v>0</v>
      </c>
      <c r="X700">
        <f t="shared" ca="1" si="92"/>
        <v>0</v>
      </c>
      <c r="Y700">
        <f t="shared" ca="1" si="93"/>
        <v>0</v>
      </c>
      <c r="Z700">
        <f t="shared" ca="1" si="94"/>
        <v>0</v>
      </c>
      <c r="AA700">
        <f t="shared" ca="1" si="95"/>
        <v>0</v>
      </c>
    </row>
    <row r="701" spans="1:27" x14ac:dyDescent="0.25">
      <c r="A701">
        <f t="shared" ca="1" si="88"/>
        <v>0</v>
      </c>
      <c r="B701" t="str">
        <f t="shared" ca="1" si="89"/>
        <v/>
      </c>
      <c r="C701" t="str">
        <f t="shared" si="90"/>
        <v>SPI2</v>
      </c>
      <c r="D701" t="s">
        <v>253</v>
      </c>
      <c r="E701" t="s">
        <v>253</v>
      </c>
      <c r="F701" s="3" t="s">
        <v>2553</v>
      </c>
      <c r="G701" s="11" t="s">
        <v>2162</v>
      </c>
      <c r="H701" s="11" t="s">
        <v>24</v>
      </c>
      <c r="I701" s="3" t="s">
        <v>253</v>
      </c>
      <c r="J701" s="3" t="s">
        <v>253</v>
      </c>
      <c r="K701" s="3" t="s">
        <v>253</v>
      </c>
      <c r="L701" s="3" t="s">
        <v>253</v>
      </c>
      <c r="M701">
        <f>IF(LEN(H701),MATCH(H701,'MPIO_SFIO Table'!$A$11:$A$65525,0)-1,"")</f>
        <v>16</v>
      </c>
      <c r="N701" t="str">
        <f>IF(LEN(I701),MATCH(I701,'MPIO_SFIO Table'!$A$11:$A$65525,0)-1,"")</f>
        <v/>
      </c>
      <c r="O701" t="str">
        <f>IF(LEN(J701),MATCH(J701,'MPIO_SFIO Table'!$A$11:$A$65525,0)-1,"")</f>
        <v/>
      </c>
      <c r="P701" t="str">
        <f>IF(LEN(K701),MATCH(K701,'MPIO_SFIO Table'!$A$11:$A$65525,0)-1,"")</f>
        <v/>
      </c>
      <c r="Q701" t="str">
        <f>IF(LEN(L701),MATCH(L701,'MPIO_SFIO Table'!$A$11:$A$65525,0)-1,"")</f>
        <v/>
      </c>
      <c r="R701" t="str">
        <f ca="1">IF(ISNUMBER(M701),OFFSET('MPIO_SFIO Table'!$AJ$11,M701,0),"")</f>
        <v>unused_SPI2_CS0_N</v>
      </c>
      <c r="S701" t="str">
        <f ca="1">IF(ISNUMBER(N701),OFFSET('MPIO_SFIO Table'!$AJ$11,N701,0),"")</f>
        <v/>
      </c>
      <c r="T701" t="str">
        <f ca="1">IF(ISNUMBER(O701),OFFSET('MPIO_SFIO Table'!$AJ$11,O701,0),"")</f>
        <v/>
      </c>
      <c r="U701" t="str">
        <f ca="1">IF(ISNUMBER(P701),OFFSET('MPIO_SFIO Table'!$AJ$11,P701,0),"")</f>
        <v/>
      </c>
      <c r="V701" t="str">
        <f ca="1">IF(ISNUMBER(Q701),OFFSET('MPIO_SFIO Table'!$AJ$11,Q701,0),"")</f>
        <v/>
      </c>
      <c r="W701">
        <f t="shared" ca="1" si="91"/>
        <v>0</v>
      </c>
      <c r="X701">
        <f t="shared" ca="1" si="92"/>
        <v>0</v>
      </c>
      <c r="Y701">
        <f t="shared" ca="1" si="93"/>
        <v>0</v>
      </c>
      <c r="Z701">
        <f t="shared" ca="1" si="94"/>
        <v>0</v>
      </c>
      <c r="AA701">
        <f t="shared" ca="1" si="95"/>
        <v>0</v>
      </c>
    </row>
    <row r="702" spans="1:27" x14ac:dyDescent="0.25">
      <c r="A702">
        <f t="shared" ca="1" si="88"/>
        <v>0</v>
      </c>
      <c r="B702" t="str">
        <f t="shared" ca="1" si="89"/>
        <v/>
      </c>
      <c r="C702" t="str">
        <f t="shared" si="90"/>
        <v>SPI2</v>
      </c>
      <c r="D702" t="s">
        <v>253</v>
      </c>
      <c r="E702" t="s">
        <v>253</v>
      </c>
      <c r="F702" s="3" t="s">
        <v>2554</v>
      </c>
      <c r="G702" s="11" t="s">
        <v>2163</v>
      </c>
      <c r="H702" s="11" t="s">
        <v>25</v>
      </c>
      <c r="I702" s="3" t="s">
        <v>253</v>
      </c>
      <c r="J702" s="3" t="s">
        <v>253</v>
      </c>
      <c r="K702" s="3" t="s">
        <v>253</v>
      </c>
      <c r="L702" s="3" t="s">
        <v>253</v>
      </c>
      <c r="M702">
        <f>IF(LEN(H702),MATCH(H702,'MPIO_SFIO Table'!$A$11:$A$65525,0)-1,"")</f>
        <v>17</v>
      </c>
      <c r="N702" t="str">
        <f>IF(LEN(I702),MATCH(I702,'MPIO_SFIO Table'!$A$11:$A$65525,0)-1,"")</f>
        <v/>
      </c>
      <c r="O702" t="str">
        <f>IF(LEN(J702),MATCH(J702,'MPIO_SFIO Table'!$A$11:$A$65525,0)-1,"")</f>
        <v/>
      </c>
      <c r="P702" t="str">
        <f>IF(LEN(K702),MATCH(K702,'MPIO_SFIO Table'!$A$11:$A$65525,0)-1,"")</f>
        <v/>
      </c>
      <c r="Q702" t="str">
        <f>IF(LEN(L702),MATCH(L702,'MPIO_SFIO Table'!$A$11:$A$65525,0)-1,"")</f>
        <v/>
      </c>
      <c r="R702" t="str">
        <f ca="1">IF(ISNUMBER(M702),OFFSET('MPIO_SFIO Table'!$AJ$11,M702,0),"")</f>
        <v>unused_SPI2_CS1_N</v>
      </c>
      <c r="S702" t="str">
        <f ca="1">IF(ISNUMBER(N702),OFFSET('MPIO_SFIO Table'!$AJ$11,N702,0),"")</f>
        <v/>
      </c>
      <c r="T702" t="str">
        <f ca="1">IF(ISNUMBER(O702),OFFSET('MPIO_SFIO Table'!$AJ$11,O702,0),"")</f>
        <v/>
      </c>
      <c r="U702" t="str">
        <f ca="1">IF(ISNUMBER(P702),OFFSET('MPIO_SFIO Table'!$AJ$11,P702,0),"")</f>
        <v/>
      </c>
      <c r="V702" t="str">
        <f ca="1">IF(ISNUMBER(Q702),OFFSET('MPIO_SFIO Table'!$AJ$11,Q702,0),"")</f>
        <v/>
      </c>
      <c r="W702">
        <f t="shared" ca="1" si="91"/>
        <v>0</v>
      </c>
      <c r="X702">
        <f t="shared" ca="1" si="92"/>
        <v>0</v>
      </c>
      <c r="Y702">
        <f t="shared" ca="1" si="93"/>
        <v>0</v>
      </c>
      <c r="Z702">
        <f t="shared" ca="1" si="94"/>
        <v>0</v>
      </c>
      <c r="AA702">
        <f t="shared" ca="1" si="95"/>
        <v>0</v>
      </c>
    </row>
    <row r="703" spans="1:27" x14ac:dyDescent="0.25">
      <c r="A703">
        <f t="shared" ca="1" si="88"/>
        <v>0</v>
      </c>
      <c r="B703" t="str">
        <f t="shared" ca="1" si="89"/>
        <v/>
      </c>
      <c r="C703" t="str">
        <f t="shared" si="90"/>
        <v>SPI2</v>
      </c>
      <c r="D703" t="s">
        <v>253</v>
      </c>
      <c r="E703" t="s">
        <v>253</v>
      </c>
      <c r="F703" s="3" t="s">
        <v>2555</v>
      </c>
      <c r="G703" s="11" t="s">
        <v>2164</v>
      </c>
      <c r="H703" s="11" t="s">
        <v>26</v>
      </c>
      <c r="I703" s="3" t="s">
        <v>253</v>
      </c>
      <c r="J703" s="3" t="s">
        <v>253</v>
      </c>
      <c r="K703" s="3" t="s">
        <v>253</v>
      </c>
      <c r="L703" s="3" t="s">
        <v>253</v>
      </c>
      <c r="M703">
        <f>IF(LEN(H703),MATCH(H703,'MPIO_SFIO Table'!$A$11:$A$65525,0)-1,"")</f>
        <v>18</v>
      </c>
      <c r="N703" t="str">
        <f>IF(LEN(I703),MATCH(I703,'MPIO_SFIO Table'!$A$11:$A$65525,0)-1,"")</f>
        <v/>
      </c>
      <c r="O703" t="str">
        <f>IF(LEN(J703),MATCH(J703,'MPIO_SFIO Table'!$A$11:$A$65525,0)-1,"")</f>
        <v/>
      </c>
      <c r="P703" t="str">
        <f>IF(LEN(K703),MATCH(K703,'MPIO_SFIO Table'!$A$11:$A$65525,0)-1,"")</f>
        <v/>
      </c>
      <c r="Q703" t="str">
        <f>IF(LEN(L703),MATCH(L703,'MPIO_SFIO Table'!$A$11:$A$65525,0)-1,"")</f>
        <v/>
      </c>
      <c r="R703" t="str">
        <f ca="1">IF(ISNUMBER(M703),OFFSET('MPIO_SFIO Table'!$AJ$11,M703,0),"")</f>
        <v>unused_SPI2_CS2_N</v>
      </c>
      <c r="S703" t="str">
        <f ca="1">IF(ISNUMBER(N703),OFFSET('MPIO_SFIO Table'!$AJ$11,N703,0),"")</f>
        <v/>
      </c>
      <c r="T703" t="str">
        <f ca="1">IF(ISNUMBER(O703),OFFSET('MPIO_SFIO Table'!$AJ$11,O703,0),"")</f>
        <v/>
      </c>
      <c r="U703" t="str">
        <f ca="1">IF(ISNUMBER(P703),OFFSET('MPIO_SFIO Table'!$AJ$11,P703,0),"")</f>
        <v/>
      </c>
      <c r="V703" t="str">
        <f ca="1">IF(ISNUMBER(Q703),OFFSET('MPIO_SFIO Table'!$AJ$11,Q703,0),"")</f>
        <v/>
      </c>
      <c r="W703">
        <f t="shared" ca="1" si="91"/>
        <v>0</v>
      </c>
      <c r="X703">
        <f t="shared" ca="1" si="92"/>
        <v>0</v>
      </c>
      <c r="Y703">
        <f t="shared" ca="1" si="93"/>
        <v>0</v>
      </c>
      <c r="Z703">
        <f t="shared" ca="1" si="94"/>
        <v>0</v>
      </c>
      <c r="AA703">
        <f t="shared" ca="1" si="95"/>
        <v>0</v>
      </c>
    </row>
    <row r="704" spans="1:27" x14ac:dyDescent="0.25">
      <c r="A704">
        <f t="shared" ca="1" si="88"/>
        <v>0</v>
      </c>
      <c r="B704" t="str">
        <f t="shared" ca="1" si="89"/>
        <v/>
      </c>
      <c r="C704" t="str">
        <f t="shared" si="90"/>
        <v>SPI2</v>
      </c>
      <c r="D704" t="s">
        <v>253</v>
      </c>
      <c r="E704" t="s">
        <v>253</v>
      </c>
      <c r="F704" s="3" t="s">
        <v>2906</v>
      </c>
      <c r="G704" s="11" t="s">
        <v>316</v>
      </c>
      <c r="H704" s="11" t="s">
        <v>27</v>
      </c>
      <c r="I704" s="3" t="s">
        <v>253</v>
      </c>
      <c r="J704" s="3" t="s">
        <v>253</v>
      </c>
      <c r="K704" s="3" t="s">
        <v>253</v>
      </c>
      <c r="L704" s="3" t="s">
        <v>253</v>
      </c>
      <c r="M704">
        <f>IF(LEN(H704),MATCH(H704,'MPIO_SFIO Table'!$A$11:$A$65525,0)-1,"")</f>
        <v>19</v>
      </c>
      <c r="N704" t="str">
        <f>IF(LEN(I704),MATCH(I704,'MPIO_SFIO Table'!$A$11:$A$65525,0)-1,"")</f>
        <v/>
      </c>
      <c r="O704" t="str">
        <f>IF(LEN(J704),MATCH(J704,'MPIO_SFIO Table'!$A$11:$A$65525,0)-1,"")</f>
        <v/>
      </c>
      <c r="P704" t="str">
        <f>IF(LEN(K704),MATCH(K704,'MPIO_SFIO Table'!$A$11:$A$65525,0)-1,"")</f>
        <v/>
      </c>
      <c r="Q704" t="str">
        <f>IF(LEN(L704),MATCH(L704,'MPIO_SFIO Table'!$A$11:$A$65525,0)-1,"")</f>
        <v/>
      </c>
      <c r="R704" t="str">
        <f ca="1">IF(ISNUMBER(M704),OFFSET('MPIO_SFIO Table'!$AJ$11,M704,0),"")</f>
        <v>unused_SPI2_MISO</v>
      </c>
      <c r="S704" t="str">
        <f ca="1">IF(ISNUMBER(N704),OFFSET('MPIO_SFIO Table'!$AJ$11,N704,0),"")</f>
        <v/>
      </c>
      <c r="T704" t="str">
        <f ca="1">IF(ISNUMBER(O704),OFFSET('MPIO_SFIO Table'!$AJ$11,O704,0),"")</f>
        <v/>
      </c>
      <c r="U704" t="str">
        <f ca="1">IF(ISNUMBER(P704),OFFSET('MPIO_SFIO Table'!$AJ$11,P704,0),"")</f>
        <v/>
      </c>
      <c r="V704" t="str">
        <f ca="1">IF(ISNUMBER(Q704),OFFSET('MPIO_SFIO Table'!$AJ$11,Q704,0),"")</f>
        <v/>
      </c>
      <c r="W704">
        <f t="shared" ca="1" si="91"/>
        <v>0</v>
      </c>
      <c r="X704">
        <f t="shared" ca="1" si="92"/>
        <v>0</v>
      </c>
      <c r="Y704">
        <f t="shared" ca="1" si="93"/>
        <v>0</v>
      </c>
      <c r="Z704">
        <f t="shared" ca="1" si="94"/>
        <v>0</v>
      </c>
      <c r="AA704">
        <f t="shared" ca="1" si="95"/>
        <v>0</v>
      </c>
    </row>
    <row r="705" spans="1:27" x14ac:dyDescent="0.25">
      <c r="A705">
        <f t="shared" ca="1" si="88"/>
        <v>0</v>
      </c>
      <c r="B705" t="str">
        <f t="shared" ca="1" si="89"/>
        <v/>
      </c>
      <c r="C705" t="str">
        <f t="shared" si="90"/>
        <v>SPI2</v>
      </c>
      <c r="D705" t="s">
        <v>253</v>
      </c>
      <c r="E705" t="s">
        <v>253</v>
      </c>
      <c r="F705" s="3" t="s">
        <v>2907</v>
      </c>
      <c r="G705" s="11" t="s">
        <v>319</v>
      </c>
      <c r="H705" s="11" t="s">
        <v>28</v>
      </c>
      <c r="I705" s="3" t="s">
        <v>253</v>
      </c>
      <c r="J705" s="3" t="s">
        <v>253</v>
      </c>
      <c r="K705" s="3" t="s">
        <v>253</v>
      </c>
      <c r="L705" s="3" t="s">
        <v>253</v>
      </c>
      <c r="M705">
        <f>IF(LEN(H705),MATCH(H705,'MPIO_SFIO Table'!$A$11:$A$65525,0)-1,"")</f>
        <v>20</v>
      </c>
      <c r="N705" t="str">
        <f>IF(LEN(I705),MATCH(I705,'MPIO_SFIO Table'!$A$11:$A$65525,0)-1,"")</f>
        <v/>
      </c>
      <c r="O705" t="str">
        <f>IF(LEN(J705),MATCH(J705,'MPIO_SFIO Table'!$A$11:$A$65525,0)-1,"")</f>
        <v/>
      </c>
      <c r="P705" t="str">
        <f>IF(LEN(K705),MATCH(K705,'MPIO_SFIO Table'!$A$11:$A$65525,0)-1,"")</f>
        <v/>
      </c>
      <c r="Q705" t="str">
        <f>IF(LEN(L705),MATCH(L705,'MPIO_SFIO Table'!$A$11:$A$65525,0)-1,"")</f>
        <v/>
      </c>
      <c r="R705" t="str">
        <f ca="1">IF(ISNUMBER(M705),OFFSET('MPIO_SFIO Table'!$AJ$11,M705,0),"")</f>
        <v>unused_SPI2_MOSI</v>
      </c>
      <c r="S705" t="str">
        <f ca="1">IF(ISNUMBER(N705),OFFSET('MPIO_SFIO Table'!$AJ$11,N705,0),"")</f>
        <v/>
      </c>
      <c r="T705" t="str">
        <f ca="1">IF(ISNUMBER(O705),OFFSET('MPIO_SFIO Table'!$AJ$11,O705,0),"")</f>
        <v/>
      </c>
      <c r="U705" t="str">
        <f ca="1">IF(ISNUMBER(P705),OFFSET('MPIO_SFIO Table'!$AJ$11,P705,0),"")</f>
        <v/>
      </c>
      <c r="V705" t="str">
        <f ca="1">IF(ISNUMBER(Q705),OFFSET('MPIO_SFIO Table'!$AJ$11,Q705,0),"")</f>
        <v/>
      </c>
      <c r="W705">
        <f t="shared" ca="1" si="91"/>
        <v>0</v>
      </c>
      <c r="X705">
        <f t="shared" ca="1" si="92"/>
        <v>0</v>
      </c>
      <c r="Y705">
        <f t="shared" ca="1" si="93"/>
        <v>0</v>
      </c>
      <c r="Z705">
        <f t="shared" ca="1" si="94"/>
        <v>0</v>
      </c>
      <c r="AA705">
        <f t="shared" ca="1" si="95"/>
        <v>0</v>
      </c>
    </row>
    <row r="706" spans="1:27" x14ac:dyDescent="0.25">
      <c r="A706">
        <f t="shared" ca="1" si="88"/>
        <v>0</v>
      </c>
      <c r="B706" t="str">
        <f t="shared" ca="1" si="89"/>
        <v/>
      </c>
      <c r="C706" t="str">
        <f t="shared" si="90"/>
        <v>SPI2</v>
      </c>
      <c r="D706" t="s">
        <v>253</v>
      </c>
      <c r="E706" t="s">
        <v>253</v>
      </c>
      <c r="F706" s="3" t="s">
        <v>2865</v>
      </c>
      <c r="G706" s="11" t="s">
        <v>322</v>
      </c>
      <c r="H706" s="11" t="s">
        <v>29</v>
      </c>
      <c r="I706" s="3" t="s">
        <v>253</v>
      </c>
      <c r="J706" s="3" t="s">
        <v>253</v>
      </c>
      <c r="K706" s="3" t="s">
        <v>253</v>
      </c>
      <c r="L706" s="3" t="s">
        <v>253</v>
      </c>
      <c r="M706">
        <f>IF(LEN(H706),MATCH(H706,'MPIO_SFIO Table'!$A$11:$A$65525,0)-1,"")</f>
        <v>21</v>
      </c>
      <c r="N706" t="str">
        <f>IF(LEN(I706),MATCH(I706,'MPIO_SFIO Table'!$A$11:$A$65525,0)-1,"")</f>
        <v/>
      </c>
      <c r="O706" t="str">
        <f>IF(LEN(J706),MATCH(J706,'MPIO_SFIO Table'!$A$11:$A$65525,0)-1,"")</f>
        <v/>
      </c>
      <c r="P706" t="str">
        <f>IF(LEN(K706),MATCH(K706,'MPIO_SFIO Table'!$A$11:$A$65525,0)-1,"")</f>
        <v/>
      </c>
      <c r="Q706" t="str">
        <f>IF(LEN(L706),MATCH(L706,'MPIO_SFIO Table'!$A$11:$A$65525,0)-1,"")</f>
        <v/>
      </c>
      <c r="R706" t="str">
        <f ca="1">IF(ISNUMBER(M706),OFFSET('MPIO_SFIO Table'!$AJ$11,M706,0),"")</f>
        <v>unused_SPI2_SCK</v>
      </c>
      <c r="S706" t="str">
        <f ca="1">IF(ISNUMBER(N706),OFFSET('MPIO_SFIO Table'!$AJ$11,N706,0),"")</f>
        <v/>
      </c>
      <c r="T706" t="str">
        <f ca="1">IF(ISNUMBER(O706),OFFSET('MPIO_SFIO Table'!$AJ$11,O706,0),"")</f>
        <v/>
      </c>
      <c r="U706" t="str">
        <f ca="1">IF(ISNUMBER(P706),OFFSET('MPIO_SFIO Table'!$AJ$11,P706,0),"")</f>
        <v/>
      </c>
      <c r="V706" t="str">
        <f ca="1">IF(ISNUMBER(Q706),OFFSET('MPIO_SFIO Table'!$AJ$11,Q706,0),"")</f>
        <v/>
      </c>
      <c r="W706">
        <f t="shared" ca="1" si="91"/>
        <v>0</v>
      </c>
      <c r="X706">
        <f t="shared" ca="1" si="92"/>
        <v>0</v>
      </c>
      <c r="Y706">
        <f t="shared" ca="1" si="93"/>
        <v>0</v>
      </c>
      <c r="Z706">
        <f t="shared" ca="1" si="94"/>
        <v>0</v>
      </c>
      <c r="AA706">
        <f t="shared" ca="1" si="95"/>
        <v>0</v>
      </c>
    </row>
    <row r="707" spans="1:27" x14ac:dyDescent="0.25">
      <c r="A707">
        <f t="shared" ca="1" si="88"/>
        <v>0</v>
      </c>
      <c r="B707" t="str">
        <f t="shared" ca="1" si="89"/>
        <v/>
      </c>
      <c r="C707" t="str">
        <f t="shared" si="90"/>
        <v/>
      </c>
      <c r="D707" t="s">
        <v>253</v>
      </c>
      <c r="E707" t="s">
        <v>1030</v>
      </c>
      <c r="F707" s="3" t="s">
        <v>253</v>
      </c>
      <c r="G707" s="11" t="s">
        <v>253</v>
      </c>
      <c r="H707" s="11" t="s">
        <v>253</v>
      </c>
      <c r="I707" s="3" t="s">
        <v>253</v>
      </c>
      <c r="J707" s="3" t="s">
        <v>253</v>
      </c>
      <c r="K707" s="3" t="s">
        <v>253</v>
      </c>
      <c r="L707" s="3" t="s">
        <v>253</v>
      </c>
      <c r="M707" t="str">
        <f>IF(LEN(H707),MATCH(H707,'MPIO_SFIO Table'!$A$11:$A$65525,0)-1,"")</f>
        <v/>
      </c>
      <c r="N707" t="str">
        <f>IF(LEN(I707),MATCH(I707,'MPIO_SFIO Table'!$A$11:$A$65525,0)-1,"")</f>
        <v/>
      </c>
      <c r="O707" t="str">
        <f>IF(LEN(J707),MATCH(J707,'MPIO_SFIO Table'!$A$11:$A$65525,0)-1,"")</f>
        <v/>
      </c>
      <c r="P707" t="str">
        <f>IF(LEN(K707),MATCH(K707,'MPIO_SFIO Table'!$A$11:$A$65525,0)-1,"")</f>
        <v/>
      </c>
      <c r="Q707" t="str">
        <f>IF(LEN(L707),MATCH(L707,'MPIO_SFIO Table'!$A$11:$A$65525,0)-1,"")</f>
        <v/>
      </c>
      <c r="R707" t="str">
        <f ca="1">IF(ISNUMBER(M707),OFFSET('MPIO_SFIO Table'!$AJ$11,M707,0),"")</f>
        <v/>
      </c>
      <c r="S707" t="str">
        <f ca="1">IF(ISNUMBER(N707),OFFSET('MPIO_SFIO Table'!$AJ$11,N707,0),"")</f>
        <v/>
      </c>
      <c r="T707" t="str">
        <f ca="1">IF(ISNUMBER(O707),OFFSET('MPIO_SFIO Table'!$AJ$11,O707,0),"")</f>
        <v/>
      </c>
      <c r="U707" t="str">
        <f ca="1">IF(ISNUMBER(P707),OFFSET('MPIO_SFIO Table'!$AJ$11,P707,0),"")</f>
        <v/>
      </c>
      <c r="V707" t="str">
        <f ca="1">IF(ISNUMBER(Q707),OFFSET('MPIO_SFIO Table'!$AJ$11,Q707,0),"")</f>
        <v/>
      </c>
      <c r="W707">
        <f t="shared" ca="1" si="91"/>
        <v>0</v>
      </c>
      <c r="X707">
        <f t="shared" ca="1" si="92"/>
        <v>0</v>
      </c>
      <c r="Y707">
        <f t="shared" ca="1" si="93"/>
        <v>0</v>
      </c>
      <c r="Z707">
        <f t="shared" ca="1" si="94"/>
        <v>0</v>
      </c>
      <c r="AA707">
        <f t="shared" ca="1" si="95"/>
        <v>0</v>
      </c>
    </row>
    <row r="708" spans="1:27" x14ac:dyDescent="0.25">
      <c r="A708">
        <f t="shared" ca="1" si="88"/>
        <v>0</v>
      </c>
      <c r="B708" t="str">
        <f t="shared" ca="1" si="89"/>
        <v/>
      </c>
      <c r="C708" t="str">
        <f t="shared" si="90"/>
        <v>SPI2</v>
      </c>
      <c r="D708" t="s">
        <v>253</v>
      </c>
      <c r="E708" t="s">
        <v>253</v>
      </c>
      <c r="F708" s="3" t="s">
        <v>2554</v>
      </c>
      <c r="G708" s="11" t="s">
        <v>2160</v>
      </c>
      <c r="H708" s="11" t="s">
        <v>20</v>
      </c>
      <c r="I708" s="3" t="s">
        <v>253</v>
      </c>
      <c r="J708" s="3" t="s">
        <v>253</v>
      </c>
      <c r="K708" s="3" t="s">
        <v>253</v>
      </c>
      <c r="L708" s="3" t="s">
        <v>253</v>
      </c>
      <c r="M708">
        <f>IF(LEN(H708),MATCH(H708,'MPIO_SFIO Table'!$A$11:$A$65525,0)-1,"")</f>
        <v>12</v>
      </c>
      <c r="N708" t="str">
        <f>IF(LEN(I708),MATCH(I708,'MPIO_SFIO Table'!$A$11:$A$65525,0)-1,"")</f>
        <v/>
      </c>
      <c r="O708" t="str">
        <f>IF(LEN(J708),MATCH(J708,'MPIO_SFIO Table'!$A$11:$A$65525,0)-1,"")</f>
        <v/>
      </c>
      <c r="P708" t="str">
        <f>IF(LEN(K708),MATCH(K708,'MPIO_SFIO Table'!$A$11:$A$65525,0)-1,"")</f>
        <v/>
      </c>
      <c r="Q708" t="str">
        <f>IF(LEN(L708),MATCH(L708,'MPIO_SFIO Table'!$A$11:$A$65525,0)-1,"")</f>
        <v/>
      </c>
      <c r="R708" t="str">
        <f ca="1">IF(ISNUMBER(M708),OFFSET('MPIO_SFIO Table'!$AJ$11,M708,0),"")</f>
        <v>unused_SPI1_CS0_N</v>
      </c>
      <c r="S708" t="str">
        <f ca="1">IF(ISNUMBER(N708),OFFSET('MPIO_SFIO Table'!$AJ$11,N708,0),"")</f>
        <v/>
      </c>
      <c r="T708" t="str">
        <f ca="1">IF(ISNUMBER(O708),OFFSET('MPIO_SFIO Table'!$AJ$11,O708,0),"")</f>
        <v/>
      </c>
      <c r="U708" t="str">
        <f ca="1">IF(ISNUMBER(P708),OFFSET('MPIO_SFIO Table'!$AJ$11,P708,0),"")</f>
        <v/>
      </c>
      <c r="V708" t="str">
        <f ca="1">IF(ISNUMBER(Q708),OFFSET('MPIO_SFIO Table'!$AJ$11,Q708,0),"")</f>
        <v/>
      </c>
      <c r="W708">
        <f t="shared" ca="1" si="91"/>
        <v>0</v>
      </c>
      <c r="X708">
        <f t="shared" ca="1" si="92"/>
        <v>0</v>
      </c>
      <c r="Y708">
        <f t="shared" ca="1" si="93"/>
        <v>0</v>
      </c>
      <c r="Z708">
        <f t="shared" ca="1" si="94"/>
        <v>0</v>
      </c>
      <c r="AA708">
        <f t="shared" ca="1" si="95"/>
        <v>0</v>
      </c>
    </row>
    <row r="709" spans="1:27" x14ac:dyDescent="0.25">
      <c r="A709">
        <f t="shared" ca="1" si="88"/>
        <v>0</v>
      </c>
      <c r="B709" t="str">
        <f t="shared" ca="1" si="89"/>
        <v/>
      </c>
      <c r="C709" t="str">
        <f t="shared" si="90"/>
        <v>SPI2</v>
      </c>
      <c r="D709" t="s">
        <v>253</v>
      </c>
      <c r="E709" t="s">
        <v>253</v>
      </c>
      <c r="F709" s="3" t="s">
        <v>2907</v>
      </c>
      <c r="G709" s="11" t="s">
        <v>307</v>
      </c>
      <c r="H709" s="11" t="s">
        <v>22</v>
      </c>
      <c r="I709" s="3" t="s">
        <v>253</v>
      </c>
      <c r="J709" s="3" t="s">
        <v>253</v>
      </c>
      <c r="K709" s="3" t="s">
        <v>253</v>
      </c>
      <c r="L709" s="3" t="s">
        <v>253</v>
      </c>
      <c r="M709">
        <f>IF(LEN(H709),MATCH(H709,'MPIO_SFIO Table'!$A$11:$A$65525,0)-1,"")</f>
        <v>14</v>
      </c>
      <c r="N709" t="str">
        <f>IF(LEN(I709),MATCH(I709,'MPIO_SFIO Table'!$A$11:$A$65525,0)-1,"")</f>
        <v/>
      </c>
      <c r="O709" t="str">
        <f>IF(LEN(J709),MATCH(J709,'MPIO_SFIO Table'!$A$11:$A$65525,0)-1,"")</f>
        <v/>
      </c>
      <c r="P709" t="str">
        <f>IF(LEN(K709),MATCH(K709,'MPIO_SFIO Table'!$A$11:$A$65525,0)-1,"")</f>
        <v/>
      </c>
      <c r="Q709" t="str">
        <f>IF(LEN(L709),MATCH(L709,'MPIO_SFIO Table'!$A$11:$A$65525,0)-1,"")</f>
        <v/>
      </c>
      <c r="R709" t="str">
        <f ca="1">IF(ISNUMBER(M709),OFFSET('MPIO_SFIO Table'!$AJ$11,M709,0),"")</f>
        <v>unused_SPI1_MOSI</v>
      </c>
      <c r="S709" t="str">
        <f ca="1">IF(ISNUMBER(N709),OFFSET('MPIO_SFIO Table'!$AJ$11,N709,0),"")</f>
        <v/>
      </c>
      <c r="T709" t="str">
        <f ca="1">IF(ISNUMBER(O709),OFFSET('MPIO_SFIO Table'!$AJ$11,O709,0),"")</f>
        <v/>
      </c>
      <c r="U709" t="str">
        <f ca="1">IF(ISNUMBER(P709),OFFSET('MPIO_SFIO Table'!$AJ$11,P709,0),"")</f>
        <v/>
      </c>
      <c r="V709" t="str">
        <f ca="1">IF(ISNUMBER(Q709),OFFSET('MPIO_SFIO Table'!$AJ$11,Q709,0),"")</f>
        <v/>
      </c>
      <c r="W709">
        <f t="shared" ca="1" si="91"/>
        <v>0</v>
      </c>
      <c r="X709">
        <f t="shared" ca="1" si="92"/>
        <v>0</v>
      </c>
      <c r="Y709">
        <f t="shared" ca="1" si="93"/>
        <v>0</v>
      </c>
      <c r="Z709">
        <f t="shared" ca="1" si="94"/>
        <v>0</v>
      </c>
      <c r="AA709">
        <f t="shared" ca="1" si="95"/>
        <v>0</v>
      </c>
    </row>
    <row r="710" spans="1:27" x14ac:dyDescent="0.25">
      <c r="A710">
        <f t="shared" ca="1" si="88"/>
        <v>0</v>
      </c>
      <c r="B710" t="str">
        <f t="shared" ca="1" si="89"/>
        <v/>
      </c>
      <c r="C710" t="str">
        <f t="shared" si="90"/>
        <v>SPI2</v>
      </c>
      <c r="D710" t="s">
        <v>253</v>
      </c>
      <c r="E710" t="s">
        <v>253</v>
      </c>
      <c r="F710" s="3" t="s">
        <v>2865</v>
      </c>
      <c r="G710" s="11" t="s">
        <v>310</v>
      </c>
      <c r="H710" s="11" t="s">
        <v>23</v>
      </c>
      <c r="I710" s="3" t="s">
        <v>253</v>
      </c>
      <c r="J710" s="3" t="s">
        <v>253</v>
      </c>
      <c r="K710" s="3" t="s">
        <v>253</v>
      </c>
      <c r="L710" s="3" t="s">
        <v>253</v>
      </c>
      <c r="M710">
        <f>IF(LEN(H710),MATCH(H710,'MPIO_SFIO Table'!$A$11:$A$65525,0)-1,"")</f>
        <v>15</v>
      </c>
      <c r="N710" t="str">
        <f>IF(LEN(I710),MATCH(I710,'MPIO_SFIO Table'!$A$11:$A$65525,0)-1,"")</f>
        <v/>
      </c>
      <c r="O710" t="str">
        <f>IF(LEN(J710),MATCH(J710,'MPIO_SFIO Table'!$A$11:$A$65525,0)-1,"")</f>
        <v/>
      </c>
      <c r="P710" t="str">
        <f>IF(LEN(K710),MATCH(K710,'MPIO_SFIO Table'!$A$11:$A$65525,0)-1,"")</f>
        <v/>
      </c>
      <c r="Q710" t="str">
        <f>IF(LEN(L710),MATCH(L710,'MPIO_SFIO Table'!$A$11:$A$65525,0)-1,"")</f>
        <v/>
      </c>
      <c r="R710" t="str">
        <f ca="1">IF(ISNUMBER(M710),OFFSET('MPIO_SFIO Table'!$AJ$11,M710,0),"")</f>
        <v>unused_SPI1_SCK</v>
      </c>
      <c r="S710" t="str">
        <f ca="1">IF(ISNUMBER(N710),OFFSET('MPIO_SFIO Table'!$AJ$11,N710,0),"")</f>
        <v/>
      </c>
      <c r="T710" t="str">
        <f ca="1">IF(ISNUMBER(O710),OFFSET('MPIO_SFIO Table'!$AJ$11,O710,0),"")</f>
        <v/>
      </c>
      <c r="U710" t="str">
        <f ca="1">IF(ISNUMBER(P710),OFFSET('MPIO_SFIO Table'!$AJ$11,P710,0),"")</f>
        <v/>
      </c>
      <c r="V710" t="str">
        <f ca="1">IF(ISNUMBER(Q710),OFFSET('MPIO_SFIO Table'!$AJ$11,Q710,0),"")</f>
        <v/>
      </c>
      <c r="W710">
        <f t="shared" ca="1" si="91"/>
        <v>0</v>
      </c>
      <c r="X710">
        <f t="shared" ca="1" si="92"/>
        <v>0</v>
      </c>
      <c r="Y710">
        <f t="shared" ca="1" si="93"/>
        <v>0</v>
      </c>
      <c r="Z710">
        <f t="shared" ca="1" si="94"/>
        <v>0</v>
      </c>
      <c r="AA710">
        <f t="shared" ca="1" si="95"/>
        <v>0</v>
      </c>
    </row>
    <row r="711" spans="1:27" x14ac:dyDescent="0.25">
      <c r="A711">
        <f t="shared" ca="1" si="88"/>
        <v>0</v>
      </c>
      <c r="B711" t="str">
        <f t="shared" ca="1" si="89"/>
        <v/>
      </c>
      <c r="C711" t="str">
        <f t="shared" si="90"/>
        <v/>
      </c>
      <c r="D711" t="s">
        <v>2507</v>
      </c>
      <c r="E711" t="s">
        <v>1026</v>
      </c>
      <c r="F711" s="3" t="s">
        <v>253</v>
      </c>
      <c r="G711" s="11" t="s">
        <v>253</v>
      </c>
      <c r="H711" s="11" t="s">
        <v>253</v>
      </c>
      <c r="I711" s="3" t="s">
        <v>253</v>
      </c>
      <c r="J711" s="3" t="s">
        <v>253</v>
      </c>
      <c r="K711" s="3" t="s">
        <v>253</v>
      </c>
      <c r="L711" s="3" t="s">
        <v>253</v>
      </c>
      <c r="M711" t="str">
        <f>IF(LEN(H711),MATCH(H711,'MPIO_SFIO Table'!$A$11:$A$65525,0)-1,"")</f>
        <v/>
      </c>
      <c r="N711" t="str">
        <f>IF(LEN(I711),MATCH(I711,'MPIO_SFIO Table'!$A$11:$A$65525,0)-1,"")</f>
        <v/>
      </c>
      <c r="O711" t="str">
        <f>IF(LEN(J711),MATCH(J711,'MPIO_SFIO Table'!$A$11:$A$65525,0)-1,"")</f>
        <v/>
      </c>
      <c r="P711" t="str">
        <f>IF(LEN(K711),MATCH(K711,'MPIO_SFIO Table'!$A$11:$A$65525,0)-1,"")</f>
        <v/>
      </c>
      <c r="Q711" t="str">
        <f>IF(LEN(L711),MATCH(L711,'MPIO_SFIO Table'!$A$11:$A$65525,0)-1,"")</f>
        <v/>
      </c>
      <c r="R711" t="str">
        <f ca="1">IF(ISNUMBER(M711),OFFSET('MPIO_SFIO Table'!$AJ$11,M711,0),"")</f>
        <v/>
      </c>
      <c r="S711" t="str">
        <f ca="1">IF(ISNUMBER(N711),OFFSET('MPIO_SFIO Table'!$AJ$11,N711,0),"")</f>
        <v/>
      </c>
      <c r="T711" t="str">
        <f ca="1">IF(ISNUMBER(O711),OFFSET('MPIO_SFIO Table'!$AJ$11,O711,0),"")</f>
        <v/>
      </c>
      <c r="U711" t="str">
        <f ca="1">IF(ISNUMBER(P711),OFFSET('MPIO_SFIO Table'!$AJ$11,P711,0),"")</f>
        <v/>
      </c>
      <c r="V711" t="str">
        <f ca="1">IF(ISNUMBER(Q711),OFFSET('MPIO_SFIO Table'!$AJ$11,Q711,0),"")</f>
        <v/>
      </c>
      <c r="W711">
        <f t="shared" ca="1" si="91"/>
        <v>0</v>
      </c>
      <c r="X711">
        <f t="shared" ca="1" si="92"/>
        <v>0</v>
      </c>
      <c r="Y711">
        <f t="shared" ca="1" si="93"/>
        <v>0</v>
      </c>
      <c r="Z711">
        <f t="shared" ca="1" si="94"/>
        <v>0</v>
      </c>
      <c r="AA711">
        <f t="shared" ca="1" si="95"/>
        <v>0</v>
      </c>
    </row>
    <row r="712" spans="1:27" x14ac:dyDescent="0.25">
      <c r="A712">
        <f t="shared" ref="A712:A775" ca="1" si="96">SUM($W712:$AA712)</f>
        <v>0</v>
      </c>
      <c r="B712" t="str">
        <f t="shared" ref="B712:B775" ca="1" si="97">IF(A712&lt;&gt;0,REPLACE(G712,FIND("-",G712),LEN(G712),""),"")</f>
        <v/>
      </c>
      <c r="C712" t="str">
        <f t="shared" si="90"/>
        <v>SPI3</v>
      </c>
      <c r="D712" t="s">
        <v>253</v>
      </c>
      <c r="E712" t="s">
        <v>253</v>
      </c>
      <c r="F712" s="3" t="s">
        <v>2553</v>
      </c>
      <c r="G712" s="11" t="s">
        <v>2206</v>
      </c>
      <c r="H712" s="11" t="s">
        <v>177</v>
      </c>
      <c r="I712" s="3" t="s">
        <v>253</v>
      </c>
      <c r="J712" s="3" t="s">
        <v>253</v>
      </c>
      <c r="K712" s="3" t="s">
        <v>253</v>
      </c>
      <c r="L712" s="3" t="s">
        <v>253</v>
      </c>
      <c r="M712">
        <f>IF(LEN(H712),MATCH(H712,'MPIO_SFIO Table'!$A$11:$A$65525,0)-1,"")</f>
        <v>181</v>
      </c>
      <c r="N712" t="str">
        <f>IF(LEN(I712),MATCH(I712,'MPIO_SFIO Table'!$A$11:$A$65525,0)-1,"")</f>
        <v/>
      </c>
      <c r="O712" t="str">
        <f>IF(LEN(J712),MATCH(J712,'MPIO_SFIO Table'!$A$11:$A$65525,0)-1,"")</f>
        <v/>
      </c>
      <c r="P712" t="str">
        <f>IF(LEN(K712),MATCH(K712,'MPIO_SFIO Table'!$A$11:$A$65525,0)-1,"")</f>
        <v/>
      </c>
      <c r="Q712" t="str">
        <f>IF(LEN(L712),MATCH(L712,'MPIO_SFIO Table'!$A$11:$A$65525,0)-1,"")</f>
        <v/>
      </c>
      <c r="R712" t="str">
        <f ca="1">IF(ISNUMBER(M712),OFFSET('MPIO_SFIO Table'!$AJ$11,M712,0),"")</f>
        <v>unused_SDMMC4_DAT3</v>
      </c>
      <c r="S712" t="str">
        <f ca="1">IF(ISNUMBER(N712),OFFSET('MPIO_SFIO Table'!$AJ$11,N712,0),"")</f>
        <v/>
      </c>
      <c r="T712" t="str">
        <f ca="1">IF(ISNUMBER(O712),OFFSET('MPIO_SFIO Table'!$AJ$11,O712,0),"")</f>
        <v/>
      </c>
      <c r="U712" t="str">
        <f ca="1">IF(ISNUMBER(P712),OFFSET('MPIO_SFIO Table'!$AJ$11,P712,0),"")</f>
        <v/>
      </c>
      <c r="V712" t="str">
        <f ca="1">IF(ISNUMBER(Q712),OFFSET('MPIO_SFIO Table'!$AJ$11,Q712,0),"")</f>
        <v/>
      </c>
      <c r="W712">
        <f t="shared" ca="1" si="91"/>
        <v>0</v>
      </c>
      <c r="X712">
        <f t="shared" ca="1" si="92"/>
        <v>0</v>
      </c>
      <c r="Y712">
        <f t="shared" ca="1" si="93"/>
        <v>0</v>
      </c>
      <c r="Z712">
        <f t="shared" ca="1" si="94"/>
        <v>0</v>
      </c>
      <c r="AA712">
        <f t="shared" ca="1" si="95"/>
        <v>0</v>
      </c>
    </row>
    <row r="713" spans="1:27" x14ac:dyDescent="0.25">
      <c r="A713">
        <f t="shared" ca="1" si="96"/>
        <v>0</v>
      </c>
      <c r="B713" t="str">
        <f t="shared" ca="1" si="97"/>
        <v/>
      </c>
      <c r="C713" t="str">
        <f t="shared" ref="C713:C776" si="98">REPLACE(G713,FIND(".",CONCATENATE(REPLACE(G713,FIND("-",CONCATENATE(G713,"-")),LEN(G713),""),".")),LEN(G713),"")</f>
        <v>SPI3</v>
      </c>
      <c r="D713" t="s">
        <v>253</v>
      </c>
      <c r="E713" t="s">
        <v>253</v>
      </c>
      <c r="F713" s="3" t="s">
        <v>2906</v>
      </c>
      <c r="G713" s="11" t="s">
        <v>626</v>
      </c>
      <c r="H713" s="11" t="s">
        <v>176</v>
      </c>
      <c r="I713" s="3" t="s">
        <v>253</v>
      </c>
      <c r="J713" s="3" t="s">
        <v>253</v>
      </c>
      <c r="K713" s="3" t="s">
        <v>253</v>
      </c>
      <c r="L713" s="3" t="s">
        <v>253</v>
      </c>
      <c r="M713">
        <f>IF(LEN(H713),MATCH(H713,'MPIO_SFIO Table'!$A$11:$A$65525,0)-1,"")</f>
        <v>180</v>
      </c>
      <c r="N713" t="str">
        <f>IF(LEN(I713),MATCH(I713,'MPIO_SFIO Table'!$A$11:$A$65525,0)-1,"")</f>
        <v/>
      </c>
      <c r="O713" t="str">
        <f>IF(LEN(J713),MATCH(J713,'MPIO_SFIO Table'!$A$11:$A$65525,0)-1,"")</f>
        <v/>
      </c>
      <c r="P713" t="str">
        <f>IF(LEN(K713),MATCH(K713,'MPIO_SFIO Table'!$A$11:$A$65525,0)-1,"")</f>
        <v/>
      </c>
      <c r="Q713" t="str">
        <f>IF(LEN(L713),MATCH(L713,'MPIO_SFIO Table'!$A$11:$A$65525,0)-1,"")</f>
        <v/>
      </c>
      <c r="R713" t="str">
        <f ca="1">IF(ISNUMBER(M713),OFFSET('MPIO_SFIO Table'!$AJ$11,M713,0),"")</f>
        <v>unused_SDMMC4_DAT2</v>
      </c>
      <c r="S713" t="str">
        <f ca="1">IF(ISNUMBER(N713),OFFSET('MPIO_SFIO Table'!$AJ$11,N713,0),"")</f>
        <v/>
      </c>
      <c r="T713" t="str">
        <f ca="1">IF(ISNUMBER(O713),OFFSET('MPIO_SFIO Table'!$AJ$11,O713,0),"")</f>
        <v/>
      </c>
      <c r="U713" t="str">
        <f ca="1">IF(ISNUMBER(P713),OFFSET('MPIO_SFIO Table'!$AJ$11,P713,0),"")</f>
        <v/>
      </c>
      <c r="V713" t="str">
        <f ca="1">IF(ISNUMBER(Q713),OFFSET('MPIO_SFIO Table'!$AJ$11,Q713,0),"")</f>
        <v/>
      </c>
      <c r="W713">
        <f t="shared" ref="W713:W776" ca="1" si="99">1*AND(ISTEXT(R713),LEN(R713),R713=$G713)</f>
        <v>0</v>
      </c>
      <c r="X713">
        <f t="shared" ref="X713:X776" ca="1" si="100">1*AND(ISTEXT(S713),LEN(S713),S713=$G713)</f>
        <v>0</v>
      </c>
      <c r="Y713">
        <f t="shared" ref="Y713:Y776" ca="1" si="101">1*AND(ISTEXT(T713),LEN(T713),T713=$G713)</f>
        <v>0</v>
      </c>
      <c r="Z713">
        <f t="shared" ref="Z713:Z776" ca="1" si="102">1*AND(ISTEXT(U713),LEN(U713),U713=$G713)</f>
        <v>0</v>
      </c>
      <c r="AA713">
        <f t="shared" ref="AA713:AA776" ca="1" si="103">1*AND(ISTEXT(V713),LEN(V713),V713=$G713)</f>
        <v>0</v>
      </c>
    </row>
    <row r="714" spans="1:27" x14ac:dyDescent="0.25">
      <c r="A714">
        <f t="shared" ca="1" si="96"/>
        <v>0</v>
      </c>
      <c r="B714" t="str">
        <f t="shared" ca="1" si="97"/>
        <v/>
      </c>
      <c r="C714" t="str">
        <f t="shared" si="98"/>
        <v>SPI3</v>
      </c>
      <c r="D714" t="s">
        <v>253</v>
      </c>
      <c r="E714" t="s">
        <v>253</v>
      </c>
      <c r="F714" s="3" t="s">
        <v>2907</v>
      </c>
      <c r="G714" s="11" t="s">
        <v>622</v>
      </c>
      <c r="H714" s="11" t="s">
        <v>175</v>
      </c>
      <c r="I714" s="3" t="s">
        <v>253</v>
      </c>
      <c r="J714" s="3" t="s">
        <v>253</v>
      </c>
      <c r="K714" s="3" t="s">
        <v>253</v>
      </c>
      <c r="L714" s="3" t="s">
        <v>253</v>
      </c>
      <c r="M714">
        <f>IF(LEN(H714),MATCH(H714,'MPIO_SFIO Table'!$A$11:$A$65525,0)-1,"")</f>
        <v>179</v>
      </c>
      <c r="N714" t="str">
        <f>IF(LEN(I714),MATCH(I714,'MPIO_SFIO Table'!$A$11:$A$65525,0)-1,"")</f>
        <v/>
      </c>
      <c r="O714" t="str">
        <f>IF(LEN(J714),MATCH(J714,'MPIO_SFIO Table'!$A$11:$A$65525,0)-1,"")</f>
        <v/>
      </c>
      <c r="P714" t="str">
        <f>IF(LEN(K714),MATCH(K714,'MPIO_SFIO Table'!$A$11:$A$65525,0)-1,"")</f>
        <v/>
      </c>
      <c r="Q714" t="str">
        <f>IF(LEN(L714),MATCH(L714,'MPIO_SFIO Table'!$A$11:$A$65525,0)-1,"")</f>
        <v/>
      </c>
      <c r="R714" t="str">
        <f ca="1">IF(ISNUMBER(M714),OFFSET('MPIO_SFIO Table'!$AJ$11,M714,0),"")</f>
        <v>unused_SDMMC4_DAT1</v>
      </c>
      <c r="S714" t="str">
        <f ca="1">IF(ISNUMBER(N714),OFFSET('MPIO_SFIO Table'!$AJ$11,N714,0),"")</f>
        <v/>
      </c>
      <c r="T714" t="str">
        <f ca="1">IF(ISNUMBER(O714),OFFSET('MPIO_SFIO Table'!$AJ$11,O714,0),"")</f>
        <v/>
      </c>
      <c r="U714" t="str">
        <f ca="1">IF(ISNUMBER(P714),OFFSET('MPIO_SFIO Table'!$AJ$11,P714,0),"")</f>
        <v/>
      </c>
      <c r="V714" t="str">
        <f ca="1">IF(ISNUMBER(Q714),OFFSET('MPIO_SFIO Table'!$AJ$11,Q714,0),"")</f>
        <v/>
      </c>
      <c r="W714">
        <f t="shared" ca="1" si="99"/>
        <v>0</v>
      </c>
      <c r="X714">
        <f t="shared" ca="1" si="100"/>
        <v>0</v>
      </c>
      <c r="Y714">
        <f t="shared" ca="1" si="101"/>
        <v>0</v>
      </c>
      <c r="Z714">
        <f t="shared" ca="1" si="102"/>
        <v>0</v>
      </c>
      <c r="AA714">
        <f t="shared" ca="1" si="103"/>
        <v>0</v>
      </c>
    </row>
    <row r="715" spans="1:27" x14ac:dyDescent="0.25">
      <c r="A715">
        <f t="shared" ca="1" si="96"/>
        <v>0</v>
      </c>
      <c r="B715" t="str">
        <f t="shared" ca="1" si="97"/>
        <v/>
      </c>
      <c r="C715" t="str">
        <f t="shared" si="98"/>
        <v>SPI3</v>
      </c>
      <c r="D715" t="s">
        <v>253</v>
      </c>
      <c r="E715" t="s">
        <v>253</v>
      </c>
      <c r="F715" s="3" t="s">
        <v>2865</v>
      </c>
      <c r="G715" s="11" t="s">
        <v>618</v>
      </c>
      <c r="H715" s="11" t="s">
        <v>174</v>
      </c>
      <c r="I715" s="3" t="s">
        <v>253</v>
      </c>
      <c r="J715" s="3" t="s">
        <v>253</v>
      </c>
      <c r="K715" s="3" t="s">
        <v>253</v>
      </c>
      <c r="L715" s="3" t="s">
        <v>253</v>
      </c>
      <c r="M715">
        <f>IF(LEN(H715),MATCH(H715,'MPIO_SFIO Table'!$A$11:$A$65525,0)-1,"")</f>
        <v>178</v>
      </c>
      <c r="N715" t="str">
        <f>IF(LEN(I715),MATCH(I715,'MPIO_SFIO Table'!$A$11:$A$65525,0)-1,"")</f>
        <v/>
      </c>
      <c r="O715" t="str">
        <f>IF(LEN(J715),MATCH(J715,'MPIO_SFIO Table'!$A$11:$A$65525,0)-1,"")</f>
        <v/>
      </c>
      <c r="P715" t="str">
        <f>IF(LEN(K715),MATCH(K715,'MPIO_SFIO Table'!$A$11:$A$65525,0)-1,"")</f>
        <v/>
      </c>
      <c r="Q715" t="str">
        <f>IF(LEN(L715),MATCH(L715,'MPIO_SFIO Table'!$A$11:$A$65525,0)-1,"")</f>
        <v/>
      </c>
      <c r="R715" t="str">
        <f ca="1">IF(ISNUMBER(M715),OFFSET('MPIO_SFIO Table'!$AJ$11,M715,0),"")</f>
        <v>unused_SDMMC4_DAT0</v>
      </c>
      <c r="S715" t="str">
        <f ca="1">IF(ISNUMBER(N715),OFFSET('MPIO_SFIO Table'!$AJ$11,N715,0),"")</f>
        <v/>
      </c>
      <c r="T715" t="str">
        <f ca="1">IF(ISNUMBER(O715),OFFSET('MPIO_SFIO Table'!$AJ$11,O715,0),"")</f>
        <v/>
      </c>
      <c r="U715" t="str">
        <f ca="1">IF(ISNUMBER(P715),OFFSET('MPIO_SFIO Table'!$AJ$11,P715,0),"")</f>
        <v/>
      </c>
      <c r="V715" t="str">
        <f ca="1">IF(ISNUMBER(Q715),OFFSET('MPIO_SFIO Table'!$AJ$11,Q715,0),"")</f>
        <v/>
      </c>
      <c r="W715">
        <f t="shared" ca="1" si="99"/>
        <v>0</v>
      </c>
      <c r="X715">
        <f t="shared" ca="1" si="100"/>
        <v>0</v>
      </c>
      <c r="Y715">
        <f t="shared" ca="1" si="101"/>
        <v>0</v>
      </c>
      <c r="Z715">
        <f t="shared" ca="1" si="102"/>
        <v>0</v>
      </c>
      <c r="AA715">
        <f t="shared" ca="1" si="103"/>
        <v>0</v>
      </c>
    </row>
    <row r="716" spans="1:27" x14ac:dyDescent="0.25">
      <c r="A716">
        <f t="shared" ca="1" si="96"/>
        <v>0</v>
      </c>
      <c r="B716" t="str">
        <f t="shared" ca="1" si="97"/>
        <v/>
      </c>
      <c r="C716" t="str">
        <f t="shared" si="98"/>
        <v/>
      </c>
      <c r="D716" t="s">
        <v>253</v>
      </c>
      <c r="E716" t="s">
        <v>1030</v>
      </c>
      <c r="F716" s="3" t="s">
        <v>253</v>
      </c>
      <c r="G716" s="11" t="s">
        <v>253</v>
      </c>
      <c r="H716" s="11" t="s">
        <v>253</v>
      </c>
      <c r="I716" s="3" t="s">
        <v>253</v>
      </c>
      <c r="J716" s="3" t="s">
        <v>253</v>
      </c>
      <c r="K716" s="3" t="s">
        <v>253</v>
      </c>
      <c r="L716" s="3" t="s">
        <v>253</v>
      </c>
      <c r="M716" t="str">
        <f>IF(LEN(H716),MATCH(H716,'MPIO_SFIO Table'!$A$11:$A$65525,0)-1,"")</f>
        <v/>
      </c>
      <c r="N716" t="str">
        <f>IF(LEN(I716),MATCH(I716,'MPIO_SFIO Table'!$A$11:$A$65525,0)-1,"")</f>
        <v/>
      </c>
      <c r="O716" t="str">
        <f>IF(LEN(J716),MATCH(J716,'MPIO_SFIO Table'!$A$11:$A$65525,0)-1,"")</f>
        <v/>
      </c>
      <c r="P716" t="str">
        <f>IF(LEN(K716),MATCH(K716,'MPIO_SFIO Table'!$A$11:$A$65525,0)-1,"")</f>
        <v/>
      </c>
      <c r="Q716" t="str">
        <f>IF(LEN(L716),MATCH(L716,'MPIO_SFIO Table'!$A$11:$A$65525,0)-1,"")</f>
        <v/>
      </c>
      <c r="R716" t="str">
        <f ca="1">IF(ISNUMBER(M716),OFFSET('MPIO_SFIO Table'!$AJ$11,M716,0),"")</f>
        <v/>
      </c>
      <c r="S716" t="str">
        <f ca="1">IF(ISNUMBER(N716),OFFSET('MPIO_SFIO Table'!$AJ$11,N716,0),"")</f>
        <v/>
      </c>
      <c r="T716" t="str">
        <f ca="1">IF(ISNUMBER(O716),OFFSET('MPIO_SFIO Table'!$AJ$11,O716,0),"")</f>
        <v/>
      </c>
      <c r="U716" t="str">
        <f ca="1">IF(ISNUMBER(P716),OFFSET('MPIO_SFIO Table'!$AJ$11,P716,0),"")</f>
        <v/>
      </c>
      <c r="V716" t="str">
        <f ca="1">IF(ISNUMBER(Q716),OFFSET('MPIO_SFIO Table'!$AJ$11,Q716,0),"")</f>
        <v/>
      </c>
      <c r="W716">
        <f t="shared" ca="1" si="99"/>
        <v>0</v>
      </c>
      <c r="X716">
        <f t="shared" ca="1" si="100"/>
        <v>0</v>
      </c>
      <c r="Y716">
        <f t="shared" ca="1" si="101"/>
        <v>0</v>
      </c>
      <c r="Z716">
        <f t="shared" ca="1" si="102"/>
        <v>0</v>
      </c>
      <c r="AA716">
        <f t="shared" ca="1" si="103"/>
        <v>0</v>
      </c>
    </row>
    <row r="717" spans="1:27" x14ac:dyDescent="0.25">
      <c r="A717">
        <f t="shared" ca="1" si="96"/>
        <v>0</v>
      </c>
      <c r="B717" t="str">
        <f t="shared" ca="1" si="97"/>
        <v/>
      </c>
      <c r="C717" t="str">
        <f t="shared" si="98"/>
        <v>SPI3</v>
      </c>
      <c r="D717" t="s">
        <v>253</v>
      </c>
      <c r="E717" t="s">
        <v>253</v>
      </c>
      <c r="F717" s="3" t="s">
        <v>2554</v>
      </c>
      <c r="G717" s="11" t="s">
        <v>2166</v>
      </c>
      <c r="H717" s="11" t="s">
        <v>40</v>
      </c>
      <c r="I717" s="3" t="s">
        <v>253</v>
      </c>
      <c r="J717" s="3" t="s">
        <v>253</v>
      </c>
      <c r="K717" s="3" t="s">
        <v>253</v>
      </c>
      <c r="L717" s="3" t="s">
        <v>253</v>
      </c>
      <c r="M717">
        <f>IF(LEN(H717),MATCH(H717,'MPIO_SFIO Table'!$A$11:$A$65525,0)-1,"")</f>
        <v>33</v>
      </c>
      <c r="N717" t="str">
        <f>IF(LEN(I717),MATCH(I717,'MPIO_SFIO Table'!$A$11:$A$65525,0)-1,"")</f>
        <v/>
      </c>
      <c r="O717" t="str">
        <f>IF(LEN(J717),MATCH(J717,'MPIO_SFIO Table'!$A$11:$A$65525,0)-1,"")</f>
        <v/>
      </c>
      <c r="P717" t="str">
        <f>IF(LEN(K717),MATCH(K717,'MPIO_SFIO Table'!$A$11:$A$65525,0)-1,"")</f>
        <v/>
      </c>
      <c r="Q717" t="str">
        <f>IF(LEN(L717),MATCH(L717,'MPIO_SFIO Table'!$A$11:$A$65525,0)-1,"")</f>
        <v/>
      </c>
      <c r="R717" t="str">
        <f ca="1">IF(ISNUMBER(M717),OFFSET('MPIO_SFIO Table'!$AJ$11,M717,0),"")</f>
        <v>unused_ULPI_DATA3</v>
      </c>
      <c r="S717" t="str">
        <f ca="1">IF(ISNUMBER(N717),OFFSET('MPIO_SFIO Table'!$AJ$11,N717,0),"")</f>
        <v/>
      </c>
      <c r="T717" t="str">
        <f ca="1">IF(ISNUMBER(O717),OFFSET('MPIO_SFIO Table'!$AJ$11,O717,0),"")</f>
        <v/>
      </c>
      <c r="U717" t="str">
        <f ca="1">IF(ISNUMBER(P717),OFFSET('MPIO_SFIO Table'!$AJ$11,P717,0),"")</f>
        <v/>
      </c>
      <c r="V717" t="str">
        <f ca="1">IF(ISNUMBER(Q717),OFFSET('MPIO_SFIO Table'!$AJ$11,Q717,0),"")</f>
        <v/>
      </c>
      <c r="W717">
        <f t="shared" ca="1" si="99"/>
        <v>0</v>
      </c>
      <c r="X717">
        <f t="shared" ca="1" si="100"/>
        <v>0</v>
      </c>
      <c r="Y717">
        <f t="shared" ca="1" si="101"/>
        <v>0</v>
      </c>
      <c r="Z717">
        <f t="shared" ca="1" si="102"/>
        <v>0</v>
      </c>
      <c r="AA717">
        <f t="shared" ca="1" si="103"/>
        <v>0</v>
      </c>
    </row>
    <row r="718" spans="1:27" x14ac:dyDescent="0.25">
      <c r="A718">
        <f t="shared" ca="1" si="96"/>
        <v>0</v>
      </c>
      <c r="B718" t="str">
        <f t="shared" ca="1" si="97"/>
        <v/>
      </c>
      <c r="C718" t="str">
        <f t="shared" si="98"/>
        <v>SPI3</v>
      </c>
      <c r="D718" t="s">
        <v>253</v>
      </c>
      <c r="E718" t="s">
        <v>253</v>
      </c>
      <c r="F718" s="3" t="s">
        <v>2906</v>
      </c>
      <c r="G718" s="11" t="s">
        <v>347</v>
      </c>
      <c r="H718" s="11" t="s">
        <v>38</v>
      </c>
      <c r="I718" s="3" t="s">
        <v>253</v>
      </c>
      <c r="J718" s="3" t="s">
        <v>253</v>
      </c>
      <c r="K718" s="3" t="s">
        <v>253</v>
      </c>
      <c r="L718" s="3" t="s">
        <v>253</v>
      </c>
      <c r="M718">
        <f>IF(LEN(H718),MATCH(H718,'MPIO_SFIO Table'!$A$11:$A$65525,0)-1,"")</f>
        <v>31</v>
      </c>
      <c r="N718" t="str">
        <f>IF(LEN(I718),MATCH(I718,'MPIO_SFIO Table'!$A$11:$A$65525,0)-1,"")</f>
        <v/>
      </c>
      <c r="O718" t="str">
        <f>IF(LEN(J718),MATCH(J718,'MPIO_SFIO Table'!$A$11:$A$65525,0)-1,"")</f>
        <v/>
      </c>
      <c r="P718" t="str">
        <f>IF(LEN(K718),MATCH(K718,'MPIO_SFIO Table'!$A$11:$A$65525,0)-1,"")</f>
        <v/>
      </c>
      <c r="Q718" t="str">
        <f>IF(LEN(L718),MATCH(L718,'MPIO_SFIO Table'!$A$11:$A$65525,0)-1,"")</f>
        <v/>
      </c>
      <c r="R718" t="str">
        <f ca="1">IF(ISNUMBER(M718),OFFSET('MPIO_SFIO Table'!$AJ$11,M718,0),"")</f>
        <v>unused_ULPI_DATA1</v>
      </c>
      <c r="S718" t="str">
        <f ca="1">IF(ISNUMBER(N718),OFFSET('MPIO_SFIO Table'!$AJ$11,N718,0),"")</f>
        <v/>
      </c>
      <c r="T718" t="str">
        <f ca="1">IF(ISNUMBER(O718),OFFSET('MPIO_SFIO Table'!$AJ$11,O718,0),"")</f>
        <v/>
      </c>
      <c r="U718" t="str">
        <f ca="1">IF(ISNUMBER(P718),OFFSET('MPIO_SFIO Table'!$AJ$11,P718,0),"")</f>
        <v/>
      </c>
      <c r="V718" t="str">
        <f ca="1">IF(ISNUMBER(Q718),OFFSET('MPIO_SFIO Table'!$AJ$11,Q718,0),"")</f>
        <v/>
      </c>
      <c r="W718">
        <f t="shared" ca="1" si="99"/>
        <v>0</v>
      </c>
      <c r="X718">
        <f t="shared" ca="1" si="100"/>
        <v>0</v>
      </c>
      <c r="Y718">
        <f t="shared" ca="1" si="101"/>
        <v>0</v>
      </c>
      <c r="Z718">
        <f t="shared" ca="1" si="102"/>
        <v>0</v>
      </c>
      <c r="AA718">
        <f t="shared" ca="1" si="103"/>
        <v>0</v>
      </c>
    </row>
    <row r="719" spans="1:27" x14ac:dyDescent="0.25">
      <c r="A719">
        <f t="shared" ca="1" si="96"/>
        <v>0</v>
      </c>
      <c r="B719" t="str">
        <f t="shared" ca="1" si="97"/>
        <v/>
      </c>
      <c r="C719" t="str">
        <f t="shared" si="98"/>
        <v>SPI3</v>
      </c>
      <c r="D719" t="s">
        <v>253</v>
      </c>
      <c r="E719" t="s">
        <v>253</v>
      </c>
      <c r="F719" s="3" t="s">
        <v>2907</v>
      </c>
      <c r="G719" s="11" t="s">
        <v>343</v>
      </c>
      <c r="H719" s="11" t="s">
        <v>37</v>
      </c>
      <c r="I719" s="3" t="s">
        <v>253</v>
      </c>
      <c r="J719" s="3" t="s">
        <v>253</v>
      </c>
      <c r="K719" s="3" t="s">
        <v>253</v>
      </c>
      <c r="L719" s="3" t="s">
        <v>253</v>
      </c>
      <c r="M719">
        <f>IF(LEN(H719),MATCH(H719,'MPIO_SFIO Table'!$A$11:$A$65525,0)-1,"")</f>
        <v>30</v>
      </c>
      <c r="N719" t="str">
        <f>IF(LEN(I719),MATCH(I719,'MPIO_SFIO Table'!$A$11:$A$65525,0)-1,"")</f>
        <v/>
      </c>
      <c r="O719" t="str">
        <f>IF(LEN(J719),MATCH(J719,'MPIO_SFIO Table'!$A$11:$A$65525,0)-1,"")</f>
        <v/>
      </c>
      <c r="P719" t="str">
        <f>IF(LEN(K719),MATCH(K719,'MPIO_SFIO Table'!$A$11:$A$65525,0)-1,"")</f>
        <v/>
      </c>
      <c r="Q719" t="str">
        <f>IF(LEN(L719),MATCH(L719,'MPIO_SFIO Table'!$A$11:$A$65525,0)-1,"")</f>
        <v/>
      </c>
      <c r="R719" t="str">
        <f ca="1">IF(ISNUMBER(M719),OFFSET('MPIO_SFIO Table'!$AJ$11,M719,0),"")</f>
        <v>unused_ULPI_DATA0</v>
      </c>
      <c r="S719" t="str">
        <f ca="1">IF(ISNUMBER(N719),OFFSET('MPIO_SFIO Table'!$AJ$11,N719,0),"")</f>
        <v/>
      </c>
      <c r="T719" t="str">
        <f ca="1">IF(ISNUMBER(O719),OFFSET('MPIO_SFIO Table'!$AJ$11,O719,0),"")</f>
        <v/>
      </c>
      <c r="U719" t="str">
        <f ca="1">IF(ISNUMBER(P719),OFFSET('MPIO_SFIO Table'!$AJ$11,P719,0),"")</f>
        <v/>
      </c>
      <c r="V719" t="str">
        <f ca="1">IF(ISNUMBER(Q719),OFFSET('MPIO_SFIO Table'!$AJ$11,Q719,0),"")</f>
        <v/>
      </c>
      <c r="W719">
        <f t="shared" ca="1" si="99"/>
        <v>0</v>
      </c>
      <c r="X719">
        <f t="shared" ca="1" si="100"/>
        <v>0</v>
      </c>
      <c r="Y719">
        <f t="shared" ca="1" si="101"/>
        <v>0</v>
      </c>
      <c r="Z719">
        <f t="shared" ca="1" si="102"/>
        <v>0</v>
      </c>
      <c r="AA719">
        <f t="shared" ca="1" si="103"/>
        <v>0</v>
      </c>
    </row>
    <row r="720" spans="1:27" x14ac:dyDescent="0.25">
      <c r="A720">
        <f t="shared" ca="1" si="96"/>
        <v>0</v>
      </c>
      <c r="B720" t="str">
        <f t="shared" ca="1" si="97"/>
        <v/>
      </c>
      <c r="C720" t="str">
        <f t="shared" si="98"/>
        <v>SPI3</v>
      </c>
      <c r="D720" t="s">
        <v>253</v>
      </c>
      <c r="E720" t="s">
        <v>253</v>
      </c>
      <c r="F720" s="3" t="s">
        <v>2865</v>
      </c>
      <c r="G720" s="11" t="s">
        <v>350</v>
      </c>
      <c r="H720" s="11" t="s">
        <v>39</v>
      </c>
      <c r="I720" s="3" t="s">
        <v>253</v>
      </c>
      <c r="J720" s="3" t="s">
        <v>253</v>
      </c>
      <c r="K720" s="3" t="s">
        <v>253</v>
      </c>
      <c r="L720" s="3" t="s">
        <v>253</v>
      </c>
      <c r="M720">
        <f>IF(LEN(H720),MATCH(H720,'MPIO_SFIO Table'!$A$11:$A$65525,0)-1,"")</f>
        <v>32</v>
      </c>
      <c r="N720" t="str">
        <f>IF(LEN(I720),MATCH(I720,'MPIO_SFIO Table'!$A$11:$A$65525,0)-1,"")</f>
        <v/>
      </c>
      <c r="O720" t="str">
        <f>IF(LEN(J720),MATCH(J720,'MPIO_SFIO Table'!$A$11:$A$65525,0)-1,"")</f>
        <v/>
      </c>
      <c r="P720" t="str">
        <f>IF(LEN(K720),MATCH(K720,'MPIO_SFIO Table'!$A$11:$A$65525,0)-1,"")</f>
        <v/>
      </c>
      <c r="Q720" t="str">
        <f>IF(LEN(L720),MATCH(L720,'MPIO_SFIO Table'!$A$11:$A$65525,0)-1,"")</f>
        <v/>
      </c>
      <c r="R720" t="str">
        <f ca="1">IF(ISNUMBER(M720),OFFSET('MPIO_SFIO Table'!$AJ$11,M720,0),"")</f>
        <v>unused_ULPI_DATA2</v>
      </c>
      <c r="S720" t="str">
        <f ca="1">IF(ISNUMBER(N720),OFFSET('MPIO_SFIO Table'!$AJ$11,N720,0),"")</f>
        <v/>
      </c>
      <c r="T720" t="str">
        <f ca="1">IF(ISNUMBER(O720),OFFSET('MPIO_SFIO Table'!$AJ$11,O720,0),"")</f>
        <v/>
      </c>
      <c r="U720" t="str">
        <f ca="1">IF(ISNUMBER(P720),OFFSET('MPIO_SFIO Table'!$AJ$11,P720,0),"")</f>
        <v/>
      </c>
      <c r="V720" t="str">
        <f ca="1">IF(ISNUMBER(Q720),OFFSET('MPIO_SFIO Table'!$AJ$11,Q720,0),"")</f>
        <v/>
      </c>
      <c r="W720">
        <f t="shared" ca="1" si="99"/>
        <v>0</v>
      </c>
      <c r="X720">
        <f t="shared" ca="1" si="100"/>
        <v>0</v>
      </c>
      <c r="Y720">
        <f t="shared" ca="1" si="101"/>
        <v>0</v>
      </c>
      <c r="Z720">
        <f t="shared" ca="1" si="102"/>
        <v>0</v>
      </c>
      <c r="AA720">
        <f t="shared" ca="1" si="103"/>
        <v>0</v>
      </c>
    </row>
    <row r="721" spans="1:27" x14ac:dyDescent="0.25">
      <c r="A721">
        <f t="shared" ca="1" si="96"/>
        <v>0</v>
      </c>
      <c r="B721" t="str">
        <f t="shared" ca="1" si="97"/>
        <v/>
      </c>
      <c r="C721" t="str">
        <f t="shared" si="98"/>
        <v/>
      </c>
      <c r="D721" t="s">
        <v>2508</v>
      </c>
      <c r="E721" t="s">
        <v>1027</v>
      </c>
      <c r="F721" s="3" t="s">
        <v>253</v>
      </c>
      <c r="G721" s="11" t="s">
        <v>253</v>
      </c>
      <c r="H721" s="11" t="s">
        <v>253</v>
      </c>
      <c r="I721" s="3" t="s">
        <v>253</v>
      </c>
      <c r="J721" s="3" t="s">
        <v>253</v>
      </c>
      <c r="K721" s="3" t="s">
        <v>253</v>
      </c>
      <c r="L721" s="3" t="s">
        <v>253</v>
      </c>
      <c r="M721" t="str">
        <f>IF(LEN(H721),MATCH(H721,'MPIO_SFIO Table'!$A$11:$A$65525,0)-1,"")</f>
        <v/>
      </c>
      <c r="N721" t="str">
        <f>IF(LEN(I721),MATCH(I721,'MPIO_SFIO Table'!$A$11:$A$65525,0)-1,"")</f>
        <v/>
      </c>
      <c r="O721" t="str">
        <f>IF(LEN(J721),MATCH(J721,'MPIO_SFIO Table'!$A$11:$A$65525,0)-1,"")</f>
        <v/>
      </c>
      <c r="P721" t="str">
        <f>IF(LEN(K721),MATCH(K721,'MPIO_SFIO Table'!$A$11:$A$65525,0)-1,"")</f>
        <v/>
      </c>
      <c r="Q721" t="str">
        <f>IF(LEN(L721),MATCH(L721,'MPIO_SFIO Table'!$A$11:$A$65525,0)-1,"")</f>
        <v/>
      </c>
      <c r="R721" t="str">
        <f ca="1">IF(ISNUMBER(M721),OFFSET('MPIO_SFIO Table'!$AJ$11,M721,0),"")</f>
        <v/>
      </c>
      <c r="S721" t="str">
        <f ca="1">IF(ISNUMBER(N721),OFFSET('MPIO_SFIO Table'!$AJ$11,N721,0),"")</f>
        <v/>
      </c>
      <c r="T721" t="str">
        <f ca="1">IF(ISNUMBER(O721),OFFSET('MPIO_SFIO Table'!$AJ$11,O721,0),"")</f>
        <v/>
      </c>
      <c r="U721" t="str">
        <f ca="1">IF(ISNUMBER(P721),OFFSET('MPIO_SFIO Table'!$AJ$11,P721,0),"")</f>
        <v/>
      </c>
      <c r="V721" t="str">
        <f ca="1">IF(ISNUMBER(Q721),OFFSET('MPIO_SFIO Table'!$AJ$11,Q721,0),"")</f>
        <v/>
      </c>
      <c r="W721">
        <f t="shared" ca="1" si="99"/>
        <v>0</v>
      </c>
      <c r="X721">
        <f t="shared" ca="1" si="100"/>
        <v>0</v>
      </c>
      <c r="Y721">
        <f t="shared" ca="1" si="101"/>
        <v>0</v>
      </c>
      <c r="Z721">
        <f t="shared" ca="1" si="102"/>
        <v>0</v>
      </c>
      <c r="AA721">
        <f t="shared" ca="1" si="103"/>
        <v>0</v>
      </c>
    </row>
    <row r="722" spans="1:27" x14ac:dyDescent="0.25">
      <c r="A722">
        <f t="shared" ca="1" si="96"/>
        <v>0</v>
      </c>
      <c r="B722" t="str">
        <f t="shared" ca="1" si="97"/>
        <v/>
      </c>
      <c r="C722" t="str">
        <f t="shared" si="98"/>
        <v>SPI4</v>
      </c>
      <c r="D722" t="s">
        <v>253</v>
      </c>
      <c r="E722" t="s">
        <v>253</v>
      </c>
      <c r="F722" s="3" t="s">
        <v>2554</v>
      </c>
      <c r="G722" s="11" t="s">
        <v>2227</v>
      </c>
      <c r="H722" s="11" t="s">
        <v>228</v>
      </c>
      <c r="I722" s="3" t="s">
        <v>253</v>
      </c>
      <c r="J722" s="3" t="s">
        <v>253</v>
      </c>
      <c r="K722" s="3" t="s">
        <v>253</v>
      </c>
      <c r="L722" s="3" t="s">
        <v>253</v>
      </c>
      <c r="M722">
        <f>IF(LEN(H722),MATCH(H722,'MPIO_SFIO Table'!$A$11:$A$65525,0)-1,"")</f>
        <v>246</v>
      </c>
      <c r="N722" t="str">
        <f>IF(LEN(I722),MATCH(I722,'MPIO_SFIO Table'!$A$11:$A$65525,0)-1,"")</f>
        <v/>
      </c>
      <c r="O722" t="str">
        <f>IF(LEN(J722),MATCH(J722,'MPIO_SFIO Table'!$A$11:$A$65525,0)-1,"")</f>
        <v/>
      </c>
      <c r="P722" t="str">
        <f>IF(LEN(K722),MATCH(K722,'MPIO_SFIO Table'!$A$11:$A$65525,0)-1,"")</f>
        <v/>
      </c>
      <c r="Q722" t="str">
        <f>IF(LEN(L722),MATCH(L722,'MPIO_SFIO Table'!$A$11:$A$65525,0)-1,"")</f>
        <v/>
      </c>
      <c r="R722" t="str">
        <f ca="1">IF(ISNUMBER(M722),OFFSET('MPIO_SFIO Table'!$AJ$11,M722,0),"")</f>
        <v>unused_UART2_CTS_N</v>
      </c>
      <c r="S722" t="str">
        <f ca="1">IF(ISNUMBER(N722),OFFSET('MPIO_SFIO Table'!$AJ$11,N722,0),"")</f>
        <v/>
      </c>
      <c r="T722" t="str">
        <f ca="1">IF(ISNUMBER(O722),OFFSET('MPIO_SFIO Table'!$AJ$11,O722,0),"")</f>
        <v/>
      </c>
      <c r="U722" t="str">
        <f ca="1">IF(ISNUMBER(P722),OFFSET('MPIO_SFIO Table'!$AJ$11,P722,0),"")</f>
        <v/>
      </c>
      <c r="V722" t="str">
        <f ca="1">IF(ISNUMBER(Q722),OFFSET('MPIO_SFIO Table'!$AJ$11,Q722,0),"")</f>
        <v/>
      </c>
      <c r="W722">
        <f t="shared" ca="1" si="99"/>
        <v>0</v>
      </c>
      <c r="X722">
        <f t="shared" ca="1" si="100"/>
        <v>0</v>
      </c>
      <c r="Y722">
        <f t="shared" ca="1" si="101"/>
        <v>0</v>
      </c>
      <c r="Z722">
        <f t="shared" ca="1" si="102"/>
        <v>0</v>
      </c>
      <c r="AA722">
        <f t="shared" ca="1" si="103"/>
        <v>0</v>
      </c>
    </row>
    <row r="723" spans="1:27" x14ac:dyDescent="0.25">
      <c r="A723">
        <f t="shared" ca="1" si="96"/>
        <v>0</v>
      </c>
      <c r="B723" t="str">
        <f t="shared" ca="1" si="97"/>
        <v/>
      </c>
      <c r="C723" t="str">
        <f t="shared" si="98"/>
        <v>SPI4</v>
      </c>
      <c r="D723" t="s">
        <v>253</v>
      </c>
      <c r="E723" t="s">
        <v>253</v>
      </c>
      <c r="F723" s="3" t="s">
        <v>2906</v>
      </c>
      <c r="G723" s="11" t="s">
        <v>732</v>
      </c>
      <c r="H723" s="11" t="s">
        <v>229</v>
      </c>
      <c r="I723" s="3" t="s">
        <v>253</v>
      </c>
      <c r="J723" s="3" t="s">
        <v>253</v>
      </c>
      <c r="K723" s="3" t="s">
        <v>253</v>
      </c>
      <c r="L723" s="3" t="s">
        <v>253</v>
      </c>
      <c r="M723">
        <f>IF(LEN(H723),MATCH(H723,'MPIO_SFIO Table'!$A$11:$A$65525,0)-1,"")</f>
        <v>247</v>
      </c>
      <c r="N723" t="str">
        <f>IF(LEN(I723),MATCH(I723,'MPIO_SFIO Table'!$A$11:$A$65525,0)-1,"")</f>
        <v/>
      </c>
      <c r="O723" t="str">
        <f>IF(LEN(J723),MATCH(J723,'MPIO_SFIO Table'!$A$11:$A$65525,0)-1,"")</f>
        <v/>
      </c>
      <c r="P723" t="str">
        <f>IF(LEN(K723),MATCH(K723,'MPIO_SFIO Table'!$A$11:$A$65525,0)-1,"")</f>
        <v/>
      </c>
      <c r="Q723" t="str">
        <f>IF(LEN(L723),MATCH(L723,'MPIO_SFIO Table'!$A$11:$A$65525,0)-1,"")</f>
        <v/>
      </c>
      <c r="R723" t="str">
        <f ca="1">IF(ISNUMBER(M723),OFFSET('MPIO_SFIO Table'!$AJ$11,M723,0),"")</f>
        <v>unused_UART2_RTS_N</v>
      </c>
      <c r="S723" t="str">
        <f ca="1">IF(ISNUMBER(N723),OFFSET('MPIO_SFIO Table'!$AJ$11,N723,0),"")</f>
        <v/>
      </c>
      <c r="T723" t="str">
        <f ca="1">IF(ISNUMBER(O723),OFFSET('MPIO_SFIO Table'!$AJ$11,O723,0),"")</f>
        <v/>
      </c>
      <c r="U723" t="str">
        <f ca="1">IF(ISNUMBER(P723),OFFSET('MPIO_SFIO Table'!$AJ$11,P723,0),"")</f>
        <v/>
      </c>
      <c r="V723" t="str">
        <f ca="1">IF(ISNUMBER(Q723),OFFSET('MPIO_SFIO Table'!$AJ$11,Q723,0),"")</f>
        <v/>
      </c>
      <c r="W723">
        <f t="shared" ca="1" si="99"/>
        <v>0</v>
      </c>
      <c r="X723">
        <f t="shared" ca="1" si="100"/>
        <v>0</v>
      </c>
      <c r="Y723">
        <f t="shared" ca="1" si="101"/>
        <v>0</v>
      </c>
      <c r="Z723">
        <f t="shared" ca="1" si="102"/>
        <v>0</v>
      </c>
      <c r="AA723">
        <f t="shared" ca="1" si="103"/>
        <v>0</v>
      </c>
    </row>
    <row r="724" spans="1:27" x14ac:dyDescent="0.25">
      <c r="A724">
        <f t="shared" ca="1" si="96"/>
        <v>0</v>
      </c>
      <c r="B724" t="str">
        <f t="shared" ca="1" si="97"/>
        <v/>
      </c>
      <c r="C724" t="str">
        <f t="shared" si="98"/>
        <v>SPI4</v>
      </c>
      <c r="D724" t="s">
        <v>253</v>
      </c>
      <c r="E724" t="s">
        <v>253</v>
      </c>
      <c r="F724" s="3" t="s">
        <v>2907</v>
      </c>
      <c r="G724" s="11" t="s">
        <v>735</v>
      </c>
      <c r="H724" s="11" t="s">
        <v>230</v>
      </c>
      <c r="I724" s="3" t="s">
        <v>253</v>
      </c>
      <c r="J724" s="3" t="s">
        <v>253</v>
      </c>
      <c r="K724" s="3" t="s">
        <v>253</v>
      </c>
      <c r="L724" s="3" t="s">
        <v>253</v>
      </c>
      <c r="M724">
        <f>IF(LEN(H724),MATCH(H724,'MPIO_SFIO Table'!$A$11:$A$65525,0)-1,"")</f>
        <v>248</v>
      </c>
      <c r="N724" t="str">
        <f>IF(LEN(I724),MATCH(I724,'MPIO_SFIO Table'!$A$11:$A$65525,0)-1,"")</f>
        <v/>
      </c>
      <c r="O724" t="str">
        <f>IF(LEN(J724),MATCH(J724,'MPIO_SFIO Table'!$A$11:$A$65525,0)-1,"")</f>
        <v/>
      </c>
      <c r="P724" t="str">
        <f>IF(LEN(K724),MATCH(K724,'MPIO_SFIO Table'!$A$11:$A$65525,0)-1,"")</f>
        <v/>
      </c>
      <c r="Q724" t="str">
        <f>IF(LEN(L724),MATCH(L724,'MPIO_SFIO Table'!$A$11:$A$65525,0)-1,"")</f>
        <v/>
      </c>
      <c r="R724" t="str">
        <f ca="1">IF(ISNUMBER(M724),OFFSET('MPIO_SFIO Table'!$AJ$11,M724,0),"")</f>
        <v>unused_UART2_RXD</v>
      </c>
      <c r="S724" t="str">
        <f ca="1">IF(ISNUMBER(N724),OFFSET('MPIO_SFIO Table'!$AJ$11,N724,0),"")</f>
        <v/>
      </c>
      <c r="T724" t="str">
        <f ca="1">IF(ISNUMBER(O724),OFFSET('MPIO_SFIO Table'!$AJ$11,O724,0),"")</f>
        <v/>
      </c>
      <c r="U724" t="str">
        <f ca="1">IF(ISNUMBER(P724),OFFSET('MPIO_SFIO Table'!$AJ$11,P724,0),"")</f>
        <v/>
      </c>
      <c r="V724" t="str">
        <f ca="1">IF(ISNUMBER(Q724),OFFSET('MPIO_SFIO Table'!$AJ$11,Q724,0),"")</f>
        <v/>
      </c>
      <c r="W724">
        <f t="shared" ca="1" si="99"/>
        <v>0</v>
      </c>
      <c r="X724">
        <f t="shared" ca="1" si="100"/>
        <v>0</v>
      </c>
      <c r="Y724">
        <f t="shared" ca="1" si="101"/>
        <v>0</v>
      </c>
      <c r="Z724">
        <f t="shared" ca="1" si="102"/>
        <v>0</v>
      </c>
      <c r="AA724">
        <f t="shared" ca="1" si="103"/>
        <v>0</v>
      </c>
    </row>
    <row r="725" spans="1:27" x14ac:dyDescent="0.25">
      <c r="A725">
        <f t="shared" ca="1" si="96"/>
        <v>0</v>
      </c>
      <c r="B725" t="str">
        <f t="shared" ca="1" si="97"/>
        <v/>
      </c>
      <c r="C725" t="str">
        <f t="shared" si="98"/>
        <v>SPI4</v>
      </c>
      <c r="D725" t="s">
        <v>253</v>
      </c>
      <c r="E725" t="s">
        <v>253</v>
      </c>
      <c r="F725" s="3" t="s">
        <v>2865</v>
      </c>
      <c r="G725" s="11" t="s">
        <v>738</v>
      </c>
      <c r="H725" s="11" t="s">
        <v>231</v>
      </c>
      <c r="I725" s="3" t="s">
        <v>253</v>
      </c>
      <c r="J725" s="3" t="s">
        <v>253</v>
      </c>
      <c r="K725" s="3" t="s">
        <v>253</v>
      </c>
      <c r="L725" s="3" t="s">
        <v>253</v>
      </c>
      <c r="M725">
        <f>IF(LEN(H725),MATCH(H725,'MPIO_SFIO Table'!$A$11:$A$65525,0)-1,"")</f>
        <v>249</v>
      </c>
      <c r="N725" t="str">
        <f>IF(LEN(I725),MATCH(I725,'MPIO_SFIO Table'!$A$11:$A$65525,0)-1,"")</f>
        <v/>
      </c>
      <c r="O725" t="str">
        <f>IF(LEN(J725),MATCH(J725,'MPIO_SFIO Table'!$A$11:$A$65525,0)-1,"")</f>
        <v/>
      </c>
      <c r="P725" t="str">
        <f>IF(LEN(K725),MATCH(K725,'MPIO_SFIO Table'!$A$11:$A$65525,0)-1,"")</f>
        <v/>
      </c>
      <c r="Q725" t="str">
        <f>IF(LEN(L725),MATCH(L725,'MPIO_SFIO Table'!$A$11:$A$65525,0)-1,"")</f>
        <v/>
      </c>
      <c r="R725" t="str">
        <f ca="1">IF(ISNUMBER(M725),OFFSET('MPIO_SFIO Table'!$AJ$11,M725,0),"")</f>
        <v>unused_UART2_TXD</v>
      </c>
      <c r="S725" t="str">
        <f ca="1">IF(ISNUMBER(N725),OFFSET('MPIO_SFIO Table'!$AJ$11,N725,0),"")</f>
        <v/>
      </c>
      <c r="T725" t="str">
        <f ca="1">IF(ISNUMBER(O725),OFFSET('MPIO_SFIO Table'!$AJ$11,O725,0),"")</f>
        <v/>
      </c>
      <c r="U725" t="str">
        <f ca="1">IF(ISNUMBER(P725),OFFSET('MPIO_SFIO Table'!$AJ$11,P725,0),"")</f>
        <v/>
      </c>
      <c r="V725" t="str">
        <f ca="1">IF(ISNUMBER(Q725),OFFSET('MPIO_SFIO Table'!$AJ$11,Q725,0),"")</f>
        <v/>
      </c>
      <c r="W725">
        <f t="shared" ca="1" si="99"/>
        <v>0</v>
      </c>
      <c r="X725">
        <f t="shared" ca="1" si="100"/>
        <v>0</v>
      </c>
      <c r="Y725">
        <f t="shared" ca="1" si="101"/>
        <v>0</v>
      </c>
      <c r="Z725">
        <f t="shared" ca="1" si="102"/>
        <v>0</v>
      </c>
      <c r="AA725">
        <f t="shared" ca="1" si="103"/>
        <v>0</v>
      </c>
    </row>
    <row r="726" spans="1:27" x14ac:dyDescent="0.25">
      <c r="A726">
        <f t="shared" ca="1" si="96"/>
        <v>0</v>
      </c>
      <c r="B726" t="str">
        <f t="shared" ca="1" si="97"/>
        <v/>
      </c>
      <c r="C726" t="str">
        <f t="shared" si="98"/>
        <v/>
      </c>
      <c r="D726" t="s">
        <v>253</v>
      </c>
      <c r="E726" t="s">
        <v>1028</v>
      </c>
      <c r="F726" s="3" t="s">
        <v>253</v>
      </c>
      <c r="G726" s="11" t="s">
        <v>253</v>
      </c>
      <c r="H726" s="11" t="s">
        <v>253</v>
      </c>
      <c r="I726" s="3" t="s">
        <v>253</v>
      </c>
      <c r="J726" s="3" t="s">
        <v>253</v>
      </c>
      <c r="K726" s="3" t="s">
        <v>253</v>
      </c>
      <c r="L726" s="3" t="s">
        <v>253</v>
      </c>
      <c r="M726" t="str">
        <f>IF(LEN(H726),MATCH(H726,'MPIO_SFIO Table'!$A$11:$A$65525,0)-1,"")</f>
        <v/>
      </c>
      <c r="N726" t="str">
        <f>IF(LEN(I726),MATCH(I726,'MPIO_SFIO Table'!$A$11:$A$65525,0)-1,"")</f>
        <v/>
      </c>
      <c r="O726" t="str">
        <f>IF(LEN(J726),MATCH(J726,'MPIO_SFIO Table'!$A$11:$A$65525,0)-1,"")</f>
        <v/>
      </c>
      <c r="P726" t="str">
        <f>IF(LEN(K726),MATCH(K726,'MPIO_SFIO Table'!$A$11:$A$65525,0)-1,"")</f>
        <v/>
      </c>
      <c r="Q726" t="str">
        <f>IF(LEN(L726),MATCH(L726,'MPIO_SFIO Table'!$A$11:$A$65525,0)-1,"")</f>
        <v/>
      </c>
      <c r="R726" t="str">
        <f ca="1">IF(ISNUMBER(M726),OFFSET('MPIO_SFIO Table'!$AJ$11,M726,0),"")</f>
        <v/>
      </c>
      <c r="S726" t="str">
        <f ca="1">IF(ISNUMBER(N726),OFFSET('MPIO_SFIO Table'!$AJ$11,N726,0),"")</f>
        <v/>
      </c>
      <c r="T726" t="str">
        <f ca="1">IF(ISNUMBER(O726),OFFSET('MPIO_SFIO Table'!$AJ$11,O726,0),"")</f>
        <v/>
      </c>
      <c r="U726" t="str">
        <f ca="1">IF(ISNUMBER(P726),OFFSET('MPIO_SFIO Table'!$AJ$11,P726,0),"")</f>
        <v/>
      </c>
      <c r="V726" t="str">
        <f ca="1">IF(ISNUMBER(Q726),OFFSET('MPIO_SFIO Table'!$AJ$11,Q726,0),"")</f>
        <v/>
      </c>
      <c r="W726">
        <f t="shared" ca="1" si="99"/>
        <v>0</v>
      </c>
      <c r="X726">
        <f t="shared" ca="1" si="100"/>
        <v>0</v>
      </c>
      <c r="Y726">
        <f t="shared" ca="1" si="101"/>
        <v>0</v>
      </c>
      <c r="Z726">
        <f t="shared" ca="1" si="102"/>
        <v>0</v>
      </c>
      <c r="AA726">
        <f t="shared" ca="1" si="103"/>
        <v>0</v>
      </c>
    </row>
    <row r="727" spans="1:27" x14ac:dyDescent="0.25">
      <c r="A727">
        <f t="shared" ca="1" si="96"/>
        <v>0</v>
      </c>
      <c r="B727" t="str">
        <f t="shared" ca="1" si="97"/>
        <v/>
      </c>
      <c r="C727" t="str">
        <f t="shared" si="98"/>
        <v>SPI4</v>
      </c>
      <c r="D727" t="s">
        <v>253</v>
      </c>
      <c r="E727" t="s">
        <v>253</v>
      </c>
      <c r="F727" s="3" t="s">
        <v>2554</v>
      </c>
      <c r="G727" s="11" t="s">
        <v>2178</v>
      </c>
      <c r="H727" s="11" t="s">
        <v>64</v>
      </c>
      <c r="I727" s="3" t="s">
        <v>253</v>
      </c>
      <c r="J727" s="3" t="s">
        <v>253</v>
      </c>
      <c r="K727" s="3" t="s">
        <v>253</v>
      </c>
      <c r="L727" s="3" t="s">
        <v>253</v>
      </c>
      <c r="M727">
        <f>IF(LEN(H727),MATCH(H727,'MPIO_SFIO Table'!$A$11:$A$65525,0)-1,"")</f>
        <v>59</v>
      </c>
      <c r="N727" t="str">
        <f>IF(LEN(I727),MATCH(I727,'MPIO_SFIO Table'!$A$11:$A$65525,0)-1,"")</f>
        <v/>
      </c>
      <c r="O727" t="str">
        <f>IF(LEN(J727),MATCH(J727,'MPIO_SFIO Table'!$A$11:$A$65525,0)-1,"")</f>
        <v/>
      </c>
      <c r="P727" t="str">
        <f>IF(LEN(K727),MATCH(K727,'MPIO_SFIO Table'!$A$11:$A$65525,0)-1,"")</f>
        <v/>
      </c>
      <c r="Q727" t="str">
        <f>IF(LEN(L727),MATCH(L727,'MPIO_SFIO Table'!$A$11:$A$65525,0)-1,"")</f>
        <v/>
      </c>
      <c r="R727" t="str">
        <f ca="1">IF(ISNUMBER(M727),OFFSET('MPIO_SFIO Table'!$AJ$11,M727,0),"")</f>
        <v>unused_GMI_A19</v>
      </c>
      <c r="S727" t="str">
        <f ca="1">IF(ISNUMBER(N727),OFFSET('MPIO_SFIO Table'!$AJ$11,N727,0),"")</f>
        <v/>
      </c>
      <c r="T727" t="str">
        <f ca="1">IF(ISNUMBER(O727),OFFSET('MPIO_SFIO Table'!$AJ$11,O727,0),"")</f>
        <v/>
      </c>
      <c r="U727" t="str">
        <f ca="1">IF(ISNUMBER(P727),OFFSET('MPIO_SFIO Table'!$AJ$11,P727,0),"")</f>
        <v/>
      </c>
      <c r="V727" t="str">
        <f ca="1">IF(ISNUMBER(Q727),OFFSET('MPIO_SFIO Table'!$AJ$11,Q727,0),"")</f>
        <v/>
      </c>
      <c r="W727">
        <f t="shared" ca="1" si="99"/>
        <v>0</v>
      </c>
      <c r="X727">
        <f t="shared" ca="1" si="100"/>
        <v>0</v>
      </c>
      <c r="Y727">
        <f t="shared" ca="1" si="101"/>
        <v>0</v>
      </c>
      <c r="Z727">
        <f t="shared" ca="1" si="102"/>
        <v>0</v>
      </c>
      <c r="AA727">
        <f t="shared" ca="1" si="103"/>
        <v>0</v>
      </c>
    </row>
    <row r="728" spans="1:27" x14ac:dyDescent="0.25">
      <c r="A728">
        <f t="shared" ca="1" si="96"/>
        <v>0</v>
      </c>
      <c r="B728" t="str">
        <f t="shared" ca="1" si="97"/>
        <v/>
      </c>
      <c r="C728" t="str">
        <f t="shared" si="98"/>
        <v>SPI4</v>
      </c>
      <c r="D728" t="s">
        <v>253</v>
      </c>
      <c r="E728" t="s">
        <v>253</v>
      </c>
      <c r="F728" s="3" t="s">
        <v>2906</v>
      </c>
      <c r="G728" s="11" t="s">
        <v>411</v>
      </c>
      <c r="H728" s="11" t="s">
        <v>63</v>
      </c>
      <c r="I728" s="3" t="s">
        <v>253</v>
      </c>
      <c r="J728" s="3" t="s">
        <v>253</v>
      </c>
      <c r="K728" s="3" t="s">
        <v>253</v>
      </c>
      <c r="L728" s="3" t="s">
        <v>253</v>
      </c>
      <c r="M728">
        <f>IF(LEN(H728),MATCH(H728,'MPIO_SFIO Table'!$A$11:$A$65525,0)-1,"")</f>
        <v>58</v>
      </c>
      <c r="N728" t="str">
        <f>IF(LEN(I728),MATCH(I728,'MPIO_SFIO Table'!$A$11:$A$65525,0)-1,"")</f>
        <v/>
      </c>
      <c r="O728" t="str">
        <f>IF(LEN(J728),MATCH(J728,'MPIO_SFIO Table'!$A$11:$A$65525,0)-1,"")</f>
        <v/>
      </c>
      <c r="P728" t="str">
        <f>IF(LEN(K728),MATCH(K728,'MPIO_SFIO Table'!$A$11:$A$65525,0)-1,"")</f>
        <v/>
      </c>
      <c r="Q728" t="str">
        <f>IF(LEN(L728),MATCH(L728,'MPIO_SFIO Table'!$A$11:$A$65525,0)-1,"")</f>
        <v/>
      </c>
      <c r="R728" t="str">
        <f ca="1">IF(ISNUMBER(M728),OFFSET('MPIO_SFIO Table'!$AJ$11,M728,0),"")</f>
        <v>unused_GMI_A18</v>
      </c>
      <c r="S728" t="str">
        <f ca="1">IF(ISNUMBER(N728),OFFSET('MPIO_SFIO Table'!$AJ$11,N728,0),"")</f>
        <v/>
      </c>
      <c r="T728" t="str">
        <f ca="1">IF(ISNUMBER(O728),OFFSET('MPIO_SFIO Table'!$AJ$11,O728,0),"")</f>
        <v/>
      </c>
      <c r="U728" t="str">
        <f ca="1">IF(ISNUMBER(P728),OFFSET('MPIO_SFIO Table'!$AJ$11,P728,0),"")</f>
        <v/>
      </c>
      <c r="V728" t="str">
        <f ca="1">IF(ISNUMBER(Q728),OFFSET('MPIO_SFIO Table'!$AJ$11,Q728,0),"")</f>
        <v/>
      </c>
      <c r="W728">
        <f t="shared" ca="1" si="99"/>
        <v>0</v>
      </c>
      <c r="X728">
        <f t="shared" ca="1" si="100"/>
        <v>0</v>
      </c>
      <c r="Y728">
        <f t="shared" ca="1" si="101"/>
        <v>0</v>
      </c>
      <c r="Z728">
        <f t="shared" ca="1" si="102"/>
        <v>0</v>
      </c>
      <c r="AA728">
        <f t="shared" ca="1" si="103"/>
        <v>0</v>
      </c>
    </row>
    <row r="729" spans="1:27" x14ac:dyDescent="0.25">
      <c r="A729">
        <f t="shared" ca="1" si="96"/>
        <v>0</v>
      </c>
      <c r="B729" t="str">
        <f t="shared" ca="1" si="97"/>
        <v/>
      </c>
      <c r="C729" t="str">
        <f t="shared" si="98"/>
        <v>SPI4</v>
      </c>
      <c r="D729" t="s">
        <v>253</v>
      </c>
      <c r="E729" t="s">
        <v>253</v>
      </c>
      <c r="F729" s="3" t="s">
        <v>2907</v>
      </c>
      <c r="G729" s="11" t="s">
        <v>408</v>
      </c>
      <c r="H729" s="11" t="s">
        <v>62</v>
      </c>
      <c r="I729" s="3" t="s">
        <v>253</v>
      </c>
      <c r="J729" s="3" t="s">
        <v>253</v>
      </c>
      <c r="K729" s="3" t="s">
        <v>253</v>
      </c>
      <c r="L729" s="3" t="s">
        <v>253</v>
      </c>
      <c r="M729">
        <f>IF(LEN(H729),MATCH(H729,'MPIO_SFIO Table'!$A$11:$A$65525,0)-1,"")</f>
        <v>57</v>
      </c>
      <c r="N729" t="str">
        <f>IF(LEN(I729),MATCH(I729,'MPIO_SFIO Table'!$A$11:$A$65525,0)-1,"")</f>
        <v/>
      </c>
      <c r="O729" t="str">
        <f>IF(LEN(J729),MATCH(J729,'MPIO_SFIO Table'!$A$11:$A$65525,0)-1,"")</f>
        <v/>
      </c>
      <c r="P729" t="str">
        <f>IF(LEN(K729),MATCH(K729,'MPIO_SFIO Table'!$A$11:$A$65525,0)-1,"")</f>
        <v/>
      </c>
      <c r="Q729" t="str">
        <f>IF(LEN(L729),MATCH(L729,'MPIO_SFIO Table'!$A$11:$A$65525,0)-1,"")</f>
        <v/>
      </c>
      <c r="R729" t="str">
        <f ca="1">IF(ISNUMBER(M729),OFFSET('MPIO_SFIO Table'!$AJ$11,M729,0),"")</f>
        <v>unused_GMI_A17</v>
      </c>
      <c r="S729" t="str">
        <f ca="1">IF(ISNUMBER(N729),OFFSET('MPIO_SFIO Table'!$AJ$11,N729,0),"")</f>
        <v/>
      </c>
      <c r="T729" t="str">
        <f ca="1">IF(ISNUMBER(O729),OFFSET('MPIO_SFIO Table'!$AJ$11,O729,0),"")</f>
        <v/>
      </c>
      <c r="U729" t="str">
        <f ca="1">IF(ISNUMBER(P729),OFFSET('MPIO_SFIO Table'!$AJ$11,P729,0),"")</f>
        <v/>
      </c>
      <c r="V729" t="str">
        <f ca="1">IF(ISNUMBER(Q729),OFFSET('MPIO_SFIO Table'!$AJ$11,Q729,0),"")</f>
        <v/>
      </c>
      <c r="W729">
        <f t="shared" ca="1" si="99"/>
        <v>0</v>
      </c>
      <c r="X729">
        <f t="shared" ca="1" si="100"/>
        <v>0</v>
      </c>
      <c r="Y729">
        <f t="shared" ca="1" si="101"/>
        <v>0</v>
      </c>
      <c r="Z729">
        <f t="shared" ca="1" si="102"/>
        <v>0</v>
      </c>
      <c r="AA729">
        <f t="shared" ca="1" si="103"/>
        <v>0</v>
      </c>
    </row>
    <row r="730" spans="1:27" x14ac:dyDescent="0.25">
      <c r="A730">
        <f t="shared" ca="1" si="96"/>
        <v>0</v>
      </c>
      <c r="B730" t="str">
        <f t="shared" ca="1" si="97"/>
        <v/>
      </c>
      <c r="C730" t="str">
        <f t="shared" si="98"/>
        <v>SPI4</v>
      </c>
      <c r="D730" t="s">
        <v>253</v>
      </c>
      <c r="E730" t="s">
        <v>253</v>
      </c>
      <c r="F730" s="3" t="s">
        <v>2865</v>
      </c>
      <c r="G730" s="11" t="s">
        <v>404</v>
      </c>
      <c r="H730" s="11" t="s">
        <v>61</v>
      </c>
      <c r="I730" s="3" t="s">
        <v>253</v>
      </c>
      <c r="J730" s="3" t="s">
        <v>253</v>
      </c>
      <c r="K730" s="3" t="s">
        <v>253</v>
      </c>
      <c r="L730" s="3" t="s">
        <v>253</v>
      </c>
      <c r="M730">
        <f>IF(LEN(H730),MATCH(H730,'MPIO_SFIO Table'!$A$11:$A$65525,0)-1,"")</f>
        <v>56</v>
      </c>
      <c r="N730" t="str">
        <f>IF(LEN(I730),MATCH(I730,'MPIO_SFIO Table'!$A$11:$A$65525,0)-1,"")</f>
        <v/>
      </c>
      <c r="O730" t="str">
        <f>IF(LEN(J730),MATCH(J730,'MPIO_SFIO Table'!$A$11:$A$65525,0)-1,"")</f>
        <v/>
      </c>
      <c r="P730" t="str">
        <f>IF(LEN(K730),MATCH(K730,'MPIO_SFIO Table'!$A$11:$A$65525,0)-1,"")</f>
        <v/>
      </c>
      <c r="Q730" t="str">
        <f>IF(LEN(L730),MATCH(L730,'MPIO_SFIO Table'!$A$11:$A$65525,0)-1,"")</f>
        <v/>
      </c>
      <c r="R730" t="str">
        <f ca="1">IF(ISNUMBER(M730),OFFSET('MPIO_SFIO Table'!$AJ$11,M730,0),"")</f>
        <v>unused_GMI_A16</v>
      </c>
      <c r="S730" t="str">
        <f ca="1">IF(ISNUMBER(N730),OFFSET('MPIO_SFIO Table'!$AJ$11,N730,0),"")</f>
        <v/>
      </c>
      <c r="T730" t="str">
        <f ca="1">IF(ISNUMBER(O730),OFFSET('MPIO_SFIO Table'!$AJ$11,O730,0),"")</f>
        <v/>
      </c>
      <c r="U730" t="str">
        <f ca="1">IF(ISNUMBER(P730),OFFSET('MPIO_SFIO Table'!$AJ$11,P730,0),"")</f>
        <v/>
      </c>
      <c r="V730" t="str">
        <f ca="1">IF(ISNUMBER(Q730),OFFSET('MPIO_SFIO Table'!$AJ$11,Q730,0),"")</f>
        <v/>
      </c>
      <c r="W730">
        <f t="shared" ca="1" si="99"/>
        <v>0</v>
      </c>
      <c r="X730">
        <f t="shared" ca="1" si="100"/>
        <v>0</v>
      </c>
      <c r="Y730">
        <f t="shared" ca="1" si="101"/>
        <v>0</v>
      </c>
      <c r="Z730">
        <f t="shared" ca="1" si="102"/>
        <v>0</v>
      </c>
      <c r="AA730">
        <f t="shared" ca="1" si="103"/>
        <v>0</v>
      </c>
    </row>
    <row r="731" spans="1:27" x14ac:dyDescent="0.25">
      <c r="A731">
        <f t="shared" ca="1" si="96"/>
        <v>0</v>
      </c>
      <c r="B731" t="str">
        <f t="shared" ca="1" si="97"/>
        <v/>
      </c>
      <c r="C731" t="str">
        <f t="shared" si="98"/>
        <v/>
      </c>
      <c r="D731" t="s">
        <v>2509</v>
      </c>
      <c r="E731" t="s">
        <v>1026</v>
      </c>
      <c r="F731" s="3" t="s">
        <v>253</v>
      </c>
      <c r="G731" s="11" t="s">
        <v>253</v>
      </c>
      <c r="H731" s="11" t="s">
        <v>253</v>
      </c>
      <c r="I731" s="3" t="s">
        <v>253</v>
      </c>
      <c r="J731" s="3" t="s">
        <v>253</v>
      </c>
      <c r="K731" s="3" t="s">
        <v>253</v>
      </c>
      <c r="L731" s="3" t="s">
        <v>253</v>
      </c>
      <c r="M731" t="str">
        <f>IF(LEN(H731),MATCH(H731,'MPIO_SFIO Table'!$A$11:$A$65525,0)-1,"")</f>
        <v/>
      </c>
      <c r="N731" t="str">
        <f>IF(LEN(I731),MATCH(I731,'MPIO_SFIO Table'!$A$11:$A$65525,0)-1,"")</f>
        <v/>
      </c>
      <c r="O731" t="str">
        <f>IF(LEN(J731),MATCH(J731,'MPIO_SFIO Table'!$A$11:$A$65525,0)-1,"")</f>
        <v/>
      </c>
      <c r="P731" t="str">
        <f>IF(LEN(K731),MATCH(K731,'MPIO_SFIO Table'!$A$11:$A$65525,0)-1,"")</f>
        <v/>
      </c>
      <c r="Q731" t="str">
        <f>IF(LEN(L731),MATCH(L731,'MPIO_SFIO Table'!$A$11:$A$65525,0)-1,"")</f>
        <v/>
      </c>
      <c r="R731" t="str">
        <f ca="1">IF(ISNUMBER(M731),OFFSET('MPIO_SFIO Table'!$AJ$11,M731,0),"")</f>
        <v/>
      </c>
      <c r="S731" t="str">
        <f ca="1">IF(ISNUMBER(N731),OFFSET('MPIO_SFIO Table'!$AJ$11,N731,0),"")</f>
        <v/>
      </c>
      <c r="T731" t="str">
        <f ca="1">IF(ISNUMBER(O731),OFFSET('MPIO_SFIO Table'!$AJ$11,O731,0),"")</f>
        <v/>
      </c>
      <c r="U731" t="str">
        <f ca="1">IF(ISNUMBER(P731),OFFSET('MPIO_SFIO Table'!$AJ$11,P731,0),"")</f>
        <v/>
      </c>
      <c r="V731" t="str">
        <f ca="1">IF(ISNUMBER(Q731),OFFSET('MPIO_SFIO Table'!$AJ$11,Q731,0),"")</f>
        <v/>
      </c>
      <c r="W731">
        <f t="shared" ca="1" si="99"/>
        <v>0</v>
      </c>
      <c r="X731">
        <f t="shared" ca="1" si="100"/>
        <v>0</v>
      </c>
      <c r="Y731">
        <f t="shared" ca="1" si="101"/>
        <v>0</v>
      </c>
      <c r="Z731">
        <f t="shared" ca="1" si="102"/>
        <v>0</v>
      </c>
      <c r="AA731">
        <f t="shared" ca="1" si="103"/>
        <v>0</v>
      </c>
    </row>
    <row r="732" spans="1:27" x14ac:dyDescent="0.25">
      <c r="A732">
        <f t="shared" ca="1" si="96"/>
        <v>0</v>
      </c>
      <c r="B732" t="str">
        <f t="shared" ca="1" si="97"/>
        <v/>
      </c>
      <c r="C732" t="str">
        <f t="shared" si="98"/>
        <v>SPI5</v>
      </c>
      <c r="D732" t="s">
        <v>253</v>
      </c>
      <c r="E732" t="s">
        <v>253</v>
      </c>
      <c r="F732" s="3" t="s">
        <v>2555</v>
      </c>
      <c r="G732" s="11" t="s">
        <v>2188</v>
      </c>
      <c r="H732" s="11" t="s">
        <v>102</v>
      </c>
      <c r="I732" s="3" t="s">
        <v>253</v>
      </c>
      <c r="J732" s="3" t="s">
        <v>253</v>
      </c>
      <c r="K732" s="3" t="s">
        <v>253</v>
      </c>
      <c r="L732" s="3" t="s">
        <v>253</v>
      </c>
      <c r="M732">
        <f>IF(LEN(H732),MATCH(H732,'MPIO_SFIO Table'!$A$11:$A$65525,0)-1,"")</f>
        <v>98</v>
      </c>
      <c r="N732" t="str">
        <f>IF(LEN(I732),MATCH(I732,'MPIO_SFIO Table'!$A$11:$A$65525,0)-1,"")</f>
        <v/>
      </c>
      <c r="O732" t="str">
        <f>IF(LEN(J732),MATCH(J732,'MPIO_SFIO Table'!$A$11:$A$65525,0)-1,"")</f>
        <v/>
      </c>
      <c r="P732" t="str">
        <f>IF(LEN(K732),MATCH(K732,'MPIO_SFIO Table'!$A$11:$A$65525,0)-1,"")</f>
        <v/>
      </c>
      <c r="Q732" t="str">
        <f>IF(LEN(L732),MATCH(L732,'MPIO_SFIO Table'!$A$11:$A$65525,0)-1,"")</f>
        <v/>
      </c>
      <c r="R732" t="str">
        <f ca="1">IF(ISNUMBER(M732),OFFSET('MPIO_SFIO Table'!$AJ$11,M732,0),"")</f>
        <v>unused_LCD_CS0_N</v>
      </c>
      <c r="S732" t="str">
        <f ca="1">IF(ISNUMBER(N732),OFFSET('MPIO_SFIO Table'!$AJ$11,N732,0),"")</f>
        <v/>
      </c>
      <c r="T732" t="str">
        <f ca="1">IF(ISNUMBER(O732),OFFSET('MPIO_SFIO Table'!$AJ$11,O732,0),"")</f>
        <v/>
      </c>
      <c r="U732" t="str">
        <f ca="1">IF(ISNUMBER(P732),OFFSET('MPIO_SFIO Table'!$AJ$11,P732,0),"")</f>
        <v/>
      </c>
      <c r="V732" t="str">
        <f ca="1">IF(ISNUMBER(Q732),OFFSET('MPIO_SFIO Table'!$AJ$11,Q732,0),"")</f>
        <v/>
      </c>
      <c r="W732">
        <f t="shared" ca="1" si="99"/>
        <v>0</v>
      </c>
      <c r="X732">
        <f t="shared" ca="1" si="100"/>
        <v>0</v>
      </c>
      <c r="Y732">
        <f t="shared" ca="1" si="101"/>
        <v>0</v>
      </c>
      <c r="Z732">
        <f t="shared" ca="1" si="102"/>
        <v>0</v>
      </c>
      <c r="AA732">
        <f t="shared" ca="1" si="103"/>
        <v>0</v>
      </c>
    </row>
    <row r="733" spans="1:27" x14ac:dyDescent="0.25">
      <c r="A733">
        <f t="shared" ca="1" si="96"/>
        <v>0</v>
      </c>
      <c r="B733" t="str">
        <f t="shared" ca="1" si="97"/>
        <v/>
      </c>
      <c r="C733" t="str">
        <f t="shared" si="98"/>
        <v>SPI5</v>
      </c>
      <c r="D733" t="s">
        <v>253</v>
      </c>
      <c r="E733" t="s">
        <v>253</v>
      </c>
      <c r="F733" s="3" t="s">
        <v>2906</v>
      </c>
      <c r="G733" s="11" t="s">
        <v>558</v>
      </c>
      <c r="H733" s="11" t="s">
        <v>138</v>
      </c>
      <c r="I733" s="3" t="s">
        <v>253</v>
      </c>
      <c r="J733" s="3" t="s">
        <v>253</v>
      </c>
      <c r="K733" s="3" t="s">
        <v>253</v>
      </c>
      <c r="L733" s="3" t="s">
        <v>253</v>
      </c>
      <c r="M733">
        <f>IF(LEN(H733),MATCH(H733,'MPIO_SFIO Table'!$A$11:$A$65525,0)-1,"")</f>
        <v>134</v>
      </c>
      <c r="N733" t="str">
        <f>IF(LEN(I733),MATCH(I733,'MPIO_SFIO Table'!$A$11:$A$65525,0)-1,"")</f>
        <v/>
      </c>
      <c r="O733" t="str">
        <f>IF(LEN(J733),MATCH(J733,'MPIO_SFIO Table'!$A$11:$A$65525,0)-1,"")</f>
        <v/>
      </c>
      <c r="P733" t="str">
        <f>IF(LEN(K733),MATCH(K733,'MPIO_SFIO Table'!$A$11:$A$65525,0)-1,"")</f>
        <v/>
      </c>
      <c r="Q733" t="str">
        <f>IF(LEN(L733),MATCH(L733,'MPIO_SFIO Table'!$A$11:$A$65525,0)-1,"")</f>
        <v/>
      </c>
      <c r="R733" t="str">
        <f ca="1">IF(ISNUMBER(M733),OFFSET('MPIO_SFIO Table'!$AJ$11,M733,0),"")</f>
        <v>unused_LCD_SDIN</v>
      </c>
      <c r="S733" t="str">
        <f ca="1">IF(ISNUMBER(N733),OFFSET('MPIO_SFIO Table'!$AJ$11,N733,0),"")</f>
        <v/>
      </c>
      <c r="T733" t="str">
        <f ca="1">IF(ISNUMBER(O733),OFFSET('MPIO_SFIO Table'!$AJ$11,O733,0),"")</f>
        <v/>
      </c>
      <c r="U733" t="str">
        <f ca="1">IF(ISNUMBER(P733),OFFSET('MPIO_SFIO Table'!$AJ$11,P733,0),"")</f>
        <v/>
      </c>
      <c r="V733" t="str">
        <f ca="1">IF(ISNUMBER(Q733),OFFSET('MPIO_SFIO Table'!$AJ$11,Q733,0),"")</f>
        <v/>
      </c>
      <c r="W733">
        <f t="shared" ca="1" si="99"/>
        <v>0</v>
      </c>
      <c r="X733">
        <f t="shared" ca="1" si="100"/>
        <v>0</v>
      </c>
      <c r="Y733">
        <f t="shared" ca="1" si="101"/>
        <v>0</v>
      </c>
      <c r="Z733">
        <f t="shared" ca="1" si="102"/>
        <v>0</v>
      </c>
      <c r="AA733">
        <f t="shared" ca="1" si="103"/>
        <v>0</v>
      </c>
    </row>
    <row r="734" spans="1:27" x14ac:dyDescent="0.25">
      <c r="A734">
        <f t="shared" ca="1" si="96"/>
        <v>0</v>
      </c>
      <c r="B734" t="str">
        <f t="shared" ca="1" si="97"/>
        <v/>
      </c>
      <c r="C734" t="str">
        <f t="shared" si="98"/>
        <v>SPI5</v>
      </c>
      <c r="D734" t="s">
        <v>253</v>
      </c>
      <c r="E734" t="s">
        <v>253</v>
      </c>
      <c r="F734" s="3" t="s">
        <v>2907</v>
      </c>
      <c r="G734" s="11" t="s">
        <v>561</v>
      </c>
      <c r="H734" s="11" t="s">
        <v>139</v>
      </c>
      <c r="I734" s="3" t="s">
        <v>253</v>
      </c>
      <c r="J734" s="3" t="s">
        <v>253</v>
      </c>
      <c r="K734" s="3" t="s">
        <v>253</v>
      </c>
      <c r="L734" s="3" t="s">
        <v>253</v>
      </c>
      <c r="M734">
        <f>IF(LEN(H734),MATCH(H734,'MPIO_SFIO Table'!$A$11:$A$65525,0)-1,"")</f>
        <v>135</v>
      </c>
      <c r="N734" t="str">
        <f>IF(LEN(I734),MATCH(I734,'MPIO_SFIO Table'!$A$11:$A$65525,0)-1,"")</f>
        <v/>
      </c>
      <c r="O734" t="str">
        <f>IF(LEN(J734),MATCH(J734,'MPIO_SFIO Table'!$A$11:$A$65525,0)-1,"")</f>
        <v/>
      </c>
      <c r="P734" t="str">
        <f>IF(LEN(K734),MATCH(K734,'MPIO_SFIO Table'!$A$11:$A$65525,0)-1,"")</f>
        <v/>
      </c>
      <c r="Q734" t="str">
        <f>IF(LEN(L734),MATCH(L734,'MPIO_SFIO Table'!$A$11:$A$65525,0)-1,"")</f>
        <v/>
      </c>
      <c r="R734" t="str">
        <f ca="1">IF(ISNUMBER(M734),OFFSET('MPIO_SFIO Table'!$AJ$11,M734,0),"")</f>
        <v>unused_LCD_SDOUT</v>
      </c>
      <c r="S734" t="str">
        <f ca="1">IF(ISNUMBER(N734),OFFSET('MPIO_SFIO Table'!$AJ$11,N734,0),"")</f>
        <v/>
      </c>
      <c r="T734" t="str">
        <f ca="1">IF(ISNUMBER(O734),OFFSET('MPIO_SFIO Table'!$AJ$11,O734,0),"")</f>
        <v/>
      </c>
      <c r="U734" t="str">
        <f ca="1">IF(ISNUMBER(P734),OFFSET('MPIO_SFIO Table'!$AJ$11,P734,0),"")</f>
        <v/>
      </c>
      <c r="V734" t="str">
        <f ca="1">IF(ISNUMBER(Q734),OFFSET('MPIO_SFIO Table'!$AJ$11,Q734,0),"")</f>
        <v/>
      </c>
      <c r="W734">
        <f t="shared" ca="1" si="99"/>
        <v>0</v>
      </c>
      <c r="X734">
        <f t="shared" ca="1" si="100"/>
        <v>0</v>
      </c>
      <c r="Y734">
        <f t="shared" ca="1" si="101"/>
        <v>0</v>
      </c>
      <c r="Z734">
        <f t="shared" ca="1" si="102"/>
        <v>0</v>
      </c>
      <c r="AA734">
        <f t="shared" ca="1" si="103"/>
        <v>0</v>
      </c>
    </row>
    <row r="735" spans="1:27" x14ac:dyDescent="0.25">
      <c r="A735">
        <f t="shared" ca="1" si="96"/>
        <v>0</v>
      </c>
      <c r="B735" t="str">
        <f t="shared" ca="1" si="97"/>
        <v/>
      </c>
      <c r="C735" t="str">
        <f t="shared" si="98"/>
        <v>SPI5</v>
      </c>
      <c r="D735" t="s">
        <v>253</v>
      </c>
      <c r="E735" t="s">
        <v>253</v>
      </c>
      <c r="F735" s="3" t="s">
        <v>2865</v>
      </c>
      <c r="G735" s="11" t="s">
        <v>555</v>
      </c>
      <c r="H735" s="11" t="s">
        <v>137</v>
      </c>
      <c r="I735" s="3" t="s">
        <v>253</v>
      </c>
      <c r="J735" s="3" t="s">
        <v>253</v>
      </c>
      <c r="K735" s="3" t="s">
        <v>253</v>
      </c>
      <c r="L735" s="3" t="s">
        <v>253</v>
      </c>
      <c r="M735">
        <f>IF(LEN(H735),MATCH(H735,'MPIO_SFIO Table'!$A$11:$A$65525,0)-1,"")</f>
        <v>133</v>
      </c>
      <c r="N735" t="str">
        <f>IF(LEN(I735),MATCH(I735,'MPIO_SFIO Table'!$A$11:$A$65525,0)-1,"")</f>
        <v/>
      </c>
      <c r="O735" t="str">
        <f>IF(LEN(J735),MATCH(J735,'MPIO_SFIO Table'!$A$11:$A$65525,0)-1,"")</f>
        <v/>
      </c>
      <c r="P735" t="str">
        <f>IF(LEN(K735),MATCH(K735,'MPIO_SFIO Table'!$A$11:$A$65525,0)-1,"")</f>
        <v/>
      </c>
      <c r="Q735" t="str">
        <f>IF(LEN(L735),MATCH(L735,'MPIO_SFIO Table'!$A$11:$A$65525,0)-1,"")</f>
        <v/>
      </c>
      <c r="R735" t="str">
        <f ca="1">IF(ISNUMBER(M735),OFFSET('MPIO_SFIO Table'!$AJ$11,M735,0),"")</f>
        <v>unused_LCD_SCK</v>
      </c>
      <c r="S735" t="str">
        <f ca="1">IF(ISNUMBER(N735),OFFSET('MPIO_SFIO Table'!$AJ$11,N735,0),"")</f>
        <v/>
      </c>
      <c r="T735" t="str">
        <f ca="1">IF(ISNUMBER(O735),OFFSET('MPIO_SFIO Table'!$AJ$11,O735,0),"")</f>
        <v/>
      </c>
      <c r="U735" t="str">
        <f ca="1">IF(ISNUMBER(P735),OFFSET('MPIO_SFIO Table'!$AJ$11,P735,0),"")</f>
        <v/>
      </c>
      <c r="V735" t="str">
        <f ca="1">IF(ISNUMBER(Q735),OFFSET('MPIO_SFIO Table'!$AJ$11,Q735,0),"")</f>
        <v/>
      </c>
      <c r="W735">
        <f t="shared" ca="1" si="99"/>
        <v>0</v>
      </c>
      <c r="X735">
        <f t="shared" ca="1" si="100"/>
        <v>0</v>
      </c>
      <c r="Y735">
        <f t="shared" ca="1" si="101"/>
        <v>0</v>
      </c>
      <c r="Z735">
        <f t="shared" ca="1" si="102"/>
        <v>0</v>
      </c>
      <c r="AA735">
        <f t="shared" ca="1" si="103"/>
        <v>0</v>
      </c>
    </row>
    <row r="736" spans="1:27" x14ac:dyDescent="0.25">
      <c r="A736">
        <f t="shared" ca="1" si="96"/>
        <v>0</v>
      </c>
      <c r="B736" t="str">
        <f t="shared" ca="1" si="97"/>
        <v/>
      </c>
      <c r="C736" t="str">
        <f t="shared" si="98"/>
        <v/>
      </c>
      <c r="D736" t="s">
        <v>253</v>
      </c>
      <c r="E736" t="s">
        <v>1027</v>
      </c>
      <c r="F736" s="3" t="s">
        <v>253</v>
      </c>
      <c r="G736" s="11" t="s">
        <v>253</v>
      </c>
      <c r="H736" s="11" t="s">
        <v>253</v>
      </c>
      <c r="I736" s="3" t="s">
        <v>253</v>
      </c>
      <c r="J736" s="3" t="s">
        <v>253</v>
      </c>
      <c r="K736" s="3" t="s">
        <v>253</v>
      </c>
      <c r="L736" s="3" t="s">
        <v>253</v>
      </c>
      <c r="M736" t="str">
        <f>IF(LEN(H736),MATCH(H736,'MPIO_SFIO Table'!$A$11:$A$65525,0)-1,"")</f>
        <v/>
      </c>
      <c r="N736" t="str">
        <f>IF(LEN(I736),MATCH(I736,'MPIO_SFIO Table'!$A$11:$A$65525,0)-1,"")</f>
        <v/>
      </c>
      <c r="O736" t="str">
        <f>IF(LEN(J736),MATCH(J736,'MPIO_SFIO Table'!$A$11:$A$65525,0)-1,"")</f>
        <v/>
      </c>
      <c r="P736" t="str">
        <f>IF(LEN(K736),MATCH(K736,'MPIO_SFIO Table'!$A$11:$A$65525,0)-1,"")</f>
        <v/>
      </c>
      <c r="Q736" t="str">
        <f>IF(LEN(L736),MATCH(L736,'MPIO_SFIO Table'!$A$11:$A$65525,0)-1,"")</f>
        <v/>
      </c>
      <c r="R736" t="str">
        <f ca="1">IF(ISNUMBER(M736),OFFSET('MPIO_SFIO Table'!$AJ$11,M736,0),"")</f>
        <v/>
      </c>
      <c r="S736" t="str">
        <f ca="1">IF(ISNUMBER(N736),OFFSET('MPIO_SFIO Table'!$AJ$11,N736,0),"")</f>
        <v/>
      </c>
      <c r="T736" t="str">
        <f ca="1">IF(ISNUMBER(O736),OFFSET('MPIO_SFIO Table'!$AJ$11,O736,0),"")</f>
        <v/>
      </c>
      <c r="U736" t="str">
        <f ca="1">IF(ISNUMBER(P736),OFFSET('MPIO_SFIO Table'!$AJ$11,P736,0),"")</f>
        <v/>
      </c>
      <c r="V736" t="str">
        <f ca="1">IF(ISNUMBER(Q736),OFFSET('MPIO_SFIO Table'!$AJ$11,Q736,0),"")</f>
        <v/>
      </c>
      <c r="W736">
        <f t="shared" ca="1" si="99"/>
        <v>0</v>
      </c>
      <c r="X736">
        <f t="shared" ca="1" si="100"/>
        <v>0</v>
      </c>
      <c r="Y736">
        <f t="shared" ca="1" si="101"/>
        <v>0</v>
      </c>
      <c r="Z736">
        <f t="shared" ca="1" si="102"/>
        <v>0</v>
      </c>
      <c r="AA736">
        <f t="shared" ca="1" si="103"/>
        <v>0</v>
      </c>
    </row>
    <row r="737" spans="1:27" x14ac:dyDescent="0.25">
      <c r="A737">
        <f t="shared" ca="1" si="96"/>
        <v>0</v>
      </c>
      <c r="B737" t="str">
        <f t="shared" ca="1" si="97"/>
        <v/>
      </c>
      <c r="C737" t="str">
        <f t="shared" si="98"/>
        <v>SPI5</v>
      </c>
      <c r="D737" t="s">
        <v>253</v>
      </c>
      <c r="E737" t="s">
        <v>253</v>
      </c>
      <c r="F737" s="3" t="s">
        <v>2556</v>
      </c>
      <c r="G737" s="11" t="s">
        <v>2189</v>
      </c>
      <c r="H737" s="11" t="s">
        <v>103</v>
      </c>
      <c r="I737" s="3" t="s">
        <v>253</v>
      </c>
      <c r="J737" s="3" t="s">
        <v>253</v>
      </c>
      <c r="K737" s="3" t="s">
        <v>253</v>
      </c>
      <c r="L737" s="3" t="s">
        <v>253</v>
      </c>
      <c r="M737">
        <f>IF(LEN(H737),MATCH(H737,'MPIO_SFIO Table'!$A$11:$A$65525,0)-1,"")</f>
        <v>99</v>
      </c>
      <c r="N737" t="str">
        <f>IF(LEN(I737),MATCH(I737,'MPIO_SFIO Table'!$A$11:$A$65525,0)-1,"")</f>
        <v/>
      </c>
      <c r="O737" t="str">
        <f>IF(LEN(J737),MATCH(J737,'MPIO_SFIO Table'!$A$11:$A$65525,0)-1,"")</f>
        <v/>
      </c>
      <c r="P737" t="str">
        <f>IF(LEN(K737),MATCH(K737,'MPIO_SFIO Table'!$A$11:$A$65525,0)-1,"")</f>
        <v/>
      </c>
      <c r="Q737" t="str">
        <f>IF(LEN(L737),MATCH(L737,'MPIO_SFIO Table'!$A$11:$A$65525,0)-1,"")</f>
        <v/>
      </c>
      <c r="R737" t="str">
        <f ca="1">IF(ISNUMBER(M737),OFFSET('MPIO_SFIO Table'!$AJ$11,M737,0),"")</f>
        <v>unused_LCD_CS1_N</v>
      </c>
      <c r="S737" t="str">
        <f ca="1">IF(ISNUMBER(N737),OFFSET('MPIO_SFIO Table'!$AJ$11,N737,0),"")</f>
        <v/>
      </c>
      <c r="T737" t="str">
        <f ca="1">IF(ISNUMBER(O737),OFFSET('MPIO_SFIO Table'!$AJ$11,O737,0),"")</f>
        <v/>
      </c>
      <c r="U737" t="str">
        <f ca="1">IF(ISNUMBER(P737),OFFSET('MPIO_SFIO Table'!$AJ$11,P737,0),"")</f>
        <v/>
      </c>
      <c r="V737" t="str">
        <f ca="1">IF(ISNUMBER(Q737),OFFSET('MPIO_SFIO Table'!$AJ$11,Q737,0),"")</f>
        <v/>
      </c>
      <c r="W737">
        <f t="shared" ca="1" si="99"/>
        <v>0</v>
      </c>
      <c r="X737">
        <f t="shared" ca="1" si="100"/>
        <v>0</v>
      </c>
      <c r="Y737">
        <f t="shared" ca="1" si="101"/>
        <v>0</v>
      </c>
      <c r="Z737">
        <f t="shared" ca="1" si="102"/>
        <v>0</v>
      </c>
      <c r="AA737">
        <f t="shared" ca="1" si="103"/>
        <v>0</v>
      </c>
    </row>
    <row r="738" spans="1:27" x14ac:dyDescent="0.25">
      <c r="A738">
        <f t="shared" ca="1" si="96"/>
        <v>0</v>
      </c>
      <c r="B738" t="str">
        <f t="shared" ca="1" si="97"/>
        <v/>
      </c>
      <c r="C738" t="str">
        <f t="shared" si="98"/>
        <v>SPI5</v>
      </c>
      <c r="D738" t="s">
        <v>253</v>
      </c>
      <c r="E738" t="s">
        <v>253</v>
      </c>
      <c r="F738" s="3" t="s">
        <v>2906</v>
      </c>
      <c r="G738" s="11" t="s">
        <v>552</v>
      </c>
      <c r="H738" s="11" t="s">
        <v>136</v>
      </c>
      <c r="I738" s="3" t="s">
        <v>253</v>
      </c>
      <c r="J738" s="3" t="s">
        <v>253</v>
      </c>
      <c r="K738" s="3" t="s">
        <v>253</v>
      </c>
      <c r="L738" s="3" t="s">
        <v>253</v>
      </c>
      <c r="M738">
        <f>IF(LEN(H738),MATCH(H738,'MPIO_SFIO Table'!$A$11:$A$65525,0)-1,"")</f>
        <v>132</v>
      </c>
      <c r="N738" t="str">
        <f>IF(LEN(I738),MATCH(I738,'MPIO_SFIO Table'!$A$11:$A$65525,0)-1,"")</f>
        <v/>
      </c>
      <c r="O738" t="str">
        <f>IF(LEN(J738),MATCH(J738,'MPIO_SFIO Table'!$A$11:$A$65525,0)-1,"")</f>
        <v/>
      </c>
      <c r="P738" t="str">
        <f>IF(LEN(K738),MATCH(K738,'MPIO_SFIO Table'!$A$11:$A$65525,0)-1,"")</f>
        <v/>
      </c>
      <c r="Q738" t="str">
        <f>IF(LEN(L738),MATCH(L738,'MPIO_SFIO Table'!$A$11:$A$65525,0)-1,"")</f>
        <v/>
      </c>
      <c r="R738" t="str">
        <f ca="1">IF(ISNUMBER(M738),OFFSET('MPIO_SFIO Table'!$AJ$11,M738,0),"")</f>
        <v>unused_LCD_PWR2</v>
      </c>
      <c r="S738" t="str">
        <f ca="1">IF(ISNUMBER(N738),OFFSET('MPIO_SFIO Table'!$AJ$11,N738,0),"")</f>
        <v/>
      </c>
      <c r="T738" t="str">
        <f ca="1">IF(ISNUMBER(O738),OFFSET('MPIO_SFIO Table'!$AJ$11,O738,0),"")</f>
        <v/>
      </c>
      <c r="U738" t="str">
        <f ca="1">IF(ISNUMBER(P738),OFFSET('MPIO_SFIO Table'!$AJ$11,P738,0),"")</f>
        <v/>
      </c>
      <c r="V738" t="str">
        <f ca="1">IF(ISNUMBER(Q738),OFFSET('MPIO_SFIO Table'!$AJ$11,Q738,0),"")</f>
        <v/>
      </c>
      <c r="W738">
        <f t="shared" ca="1" si="99"/>
        <v>0</v>
      </c>
      <c r="X738">
        <f t="shared" ca="1" si="100"/>
        <v>0</v>
      </c>
      <c r="Y738">
        <f t="shared" ca="1" si="101"/>
        <v>0</v>
      </c>
      <c r="Z738">
        <f t="shared" ca="1" si="102"/>
        <v>0</v>
      </c>
      <c r="AA738">
        <f t="shared" ca="1" si="103"/>
        <v>0</v>
      </c>
    </row>
    <row r="739" spans="1:27" x14ac:dyDescent="0.25">
      <c r="A739">
        <f t="shared" ca="1" si="96"/>
        <v>0</v>
      </c>
      <c r="B739" t="str">
        <f t="shared" ca="1" si="97"/>
        <v/>
      </c>
      <c r="C739" t="str">
        <f t="shared" si="98"/>
        <v>SPI5</v>
      </c>
      <c r="D739" t="s">
        <v>253</v>
      </c>
      <c r="E739" t="s">
        <v>253</v>
      </c>
      <c r="F739" s="3" t="s">
        <v>2907</v>
      </c>
      <c r="G739" s="11" t="s">
        <v>547</v>
      </c>
      <c r="H739" s="11" t="s">
        <v>134</v>
      </c>
      <c r="I739" s="3" t="s">
        <v>253</v>
      </c>
      <c r="J739" s="3" t="s">
        <v>253</v>
      </c>
      <c r="K739" s="3" t="s">
        <v>253</v>
      </c>
      <c r="L739" s="3" t="s">
        <v>253</v>
      </c>
      <c r="M739">
        <f>IF(LEN(H739),MATCH(H739,'MPIO_SFIO Table'!$A$11:$A$65525,0)-1,"")</f>
        <v>130</v>
      </c>
      <c r="N739" t="str">
        <f>IF(LEN(I739),MATCH(I739,'MPIO_SFIO Table'!$A$11:$A$65525,0)-1,"")</f>
        <v/>
      </c>
      <c r="O739" t="str">
        <f>IF(LEN(J739),MATCH(J739,'MPIO_SFIO Table'!$A$11:$A$65525,0)-1,"")</f>
        <v/>
      </c>
      <c r="P739" t="str">
        <f>IF(LEN(K739),MATCH(K739,'MPIO_SFIO Table'!$A$11:$A$65525,0)-1,"")</f>
        <v/>
      </c>
      <c r="Q739" t="str">
        <f>IF(LEN(L739),MATCH(L739,'MPIO_SFIO Table'!$A$11:$A$65525,0)-1,"")</f>
        <v/>
      </c>
      <c r="R739" t="str">
        <f ca="1">IF(ISNUMBER(M739),OFFSET('MPIO_SFIO Table'!$AJ$11,M739,0),"")</f>
        <v>unused_LCD_PWR0</v>
      </c>
      <c r="S739" t="str">
        <f ca="1">IF(ISNUMBER(N739),OFFSET('MPIO_SFIO Table'!$AJ$11,N739,0),"")</f>
        <v/>
      </c>
      <c r="T739" t="str">
        <f ca="1">IF(ISNUMBER(O739),OFFSET('MPIO_SFIO Table'!$AJ$11,O739,0),"")</f>
        <v/>
      </c>
      <c r="U739" t="str">
        <f ca="1">IF(ISNUMBER(P739),OFFSET('MPIO_SFIO Table'!$AJ$11,P739,0),"")</f>
        <v/>
      </c>
      <c r="V739" t="str">
        <f ca="1">IF(ISNUMBER(Q739),OFFSET('MPIO_SFIO Table'!$AJ$11,Q739,0),"")</f>
        <v/>
      </c>
      <c r="W739">
        <f t="shared" ca="1" si="99"/>
        <v>0</v>
      </c>
      <c r="X739">
        <f t="shared" ca="1" si="100"/>
        <v>0</v>
      </c>
      <c r="Y739">
        <f t="shared" ca="1" si="101"/>
        <v>0</v>
      </c>
      <c r="Z739">
        <f t="shared" ca="1" si="102"/>
        <v>0</v>
      </c>
      <c r="AA739">
        <f t="shared" ca="1" si="103"/>
        <v>0</v>
      </c>
    </row>
    <row r="740" spans="1:27" x14ac:dyDescent="0.25">
      <c r="A740">
        <f t="shared" ca="1" si="96"/>
        <v>0</v>
      </c>
      <c r="B740" t="str">
        <f t="shared" ca="1" si="97"/>
        <v/>
      </c>
      <c r="C740" t="str">
        <f t="shared" si="98"/>
        <v>SPI5</v>
      </c>
      <c r="D740" t="s">
        <v>253</v>
      </c>
      <c r="E740" t="s">
        <v>253</v>
      </c>
      <c r="F740" s="3" t="s">
        <v>2865</v>
      </c>
      <c r="G740" s="11" t="s">
        <v>566</v>
      </c>
      <c r="H740" s="11" t="s">
        <v>141</v>
      </c>
      <c r="I740" s="3" t="s">
        <v>253</v>
      </c>
      <c r="J740" s="3" t="s">
        <v>253</v>
      </c>
      <c r="K740" s="3" t="s">
        <v>253</v>
      </c>
      <c r="L740" s="3" t="s">
        <v>253</v>
      </c>
      <c r="M740">
        <f>IF(LEN(H740),MATCH(H740,'MPIO_SFIO Table'!$A$11:$A$65525,0)-1,"")</f>
        <v>137</v>
      </c>
      <c r="N740" t="str">
        <f>IF(LEN(I740),MATCH(I740,'MPIO_SFIO Table'!$A$11:$A$65525,0)-1,"")</f>
        <v/>
      </c>
      <c r="O740" t="str">
        <f>IF(LEN(J740),MATCH(J740,'MPIO_SFIO Table'!$A$11:$A$65525,0)-1,"")</f>
        <v/>
      </c>
      <c r="P740" t="str">
        <f>IF(LEN(K740),MATCH(K740,'MPIO_SFIO Table'!$A$11:$A$65525,0)-1,"")</f>
        <v/>
      </c>
      <c r="Q740" t="str">
        <f>IF(LEN(L740),MATCH(L740,'MPIO_SFIO Table'!$A$11:$A$65525,0)-1,"")</f>
        <v/>
      </c>
      <c r="R740" t="str">
        <f ca="1">IF(ISNUMBER(M740),OFFSET('MPIO_SFIO Table'!$AJ$11,M740,0),"")</f>
        <v>unused_LCD_WR_N</v>
      </c>
      <c r="S740" t="str">
        <f ca="1">IF(ISNUMBER(N740),OFFSET('MPIO_SFIO Table'!$AJ$11,N740,0),"")</f>
        <v/>
      </c>
      <c r="T740" t="str">
        <f ca="1">IF(ISNUMBER(O740),OFFSET('MPIO_SFIO Table'!$AJ$11,O740,0),"")</f>
        <v/>
      </c>
      <c r="U740" t="str">
        <f ca="1">IF(ISNUMBER(P740),OFFSET('MPIO_SFIO Table'!$AJ$11,P740,0),"")</f>
        <v/>
      </c>
      <c r="V740" t="str">
        <f ca="1">IF(ISNUMBER(Q740),OFFSET('MPIO_SFIO Table'!$AJ$11,Q740,0),"")</f>
        <v/>
      </c>
      <c r="W740">
        <f t="shared" ca="1" si="99"/>
        <v>0</v>
      </c>
      <c r="X740">
        <f t="shared" ca="1" si="100"/>
        <v>0</v>
      </c>
      <c r="Y740">
        <f t="shared" ca="1" si="101"/>
        <v>0</v>
      </c>
      <c r="Z740">
        <f t="shared" ca="1" si="102"/>
        <v>0</v>
      </c>
      <c r="AA740">
        <f t="shared" ca="1" si="103"/>
        <v>0</v>
      </c>
    </row>
    <row r="741" spans="1:27" x14ac:dyDescent="0.25">
      <c r="A741">
        <f t="shared" ca="1" si="96"/>
        <v>0</v>
      </c>
      <c r="B741" t="str">
        <f t="shared" ca="1" si="97"/>
        <v/>
      </c>
      <c r="C741" t="str">
        <f t="shared" si="98"/>
        <v/>
      </c>
      <c r="D741" t="s">
        <v>2510</v>
      </c>
      <c r="E741" t="s">
        <v>1046</v>
      </c>
      <c r="F741" s="3" t="s">
        <v>253</v>
      </c>
      <c r="G741" s="11" t="s">
        <v>253</v>
      </c>
      <c r="H741" s="11" t="s">
        <v>253</v>
      </c>
      <c r="I741" s="3" t="s">
        <v>253</v>
      </c>
      <c r="J741" s="3" t="s">
        <v>253</v>
      </c>
      <c r="K741" s="3" t="s">
        <v>253</v>
      </c>
      <c r="L741" s="3" t="s">
        <v>253</v>
      </c>
      <c r="M741" t="str">
        <f>IF(LEN(H741),MATCH(H741,'MPIO_SFIO Table'!$A$11:$A$65525,0)-1,"")</f>
        <v/>
      </c>
      <c r="N741" t="str">
        <f>IF(LEN(I741),MATCH(I741,'MPIO_SFIO Table'!$A$11:$A$65525,0)-1,"")</f>
        <v/>
      </c>
      <c r="O741" t="str">
        <f>IF(LEN(J741),MATCH(J741,'MPIO_SFIO Table'!$A$11:$A$65525,0)-1,"")</f>
        <v/>
      </c>
      <c r="P741" t="str">
        <f>IF(LEN(K741),MATCH(K741,'MPIO_SFIO Table'!$A$11:$A$65525,0)-1,"")</f>
        <v/>
      </c>
      <c r="Q741" t="str">
        <f>IF(LEN(L741),MATCH(L741,'MPIO_SFIO Table'!$A$11:$A$65525,0)-1,"")</f>
        <v/>
      </c>
      <c r="R741" t="str">
        <f ca="1">IF(ISNUMBER(M741),OFFSET('MPIO_SFIO Table'!$AJ$11,M741,0),"")</f>
        <v/>
      </c>
      <c r="S741" t="str">
        <f ca="1">IF(ISNUMBER(N741),OFFSET('MPIO_SFIO Table'!$AJ$11,N741,0),"")</f>
        <v/>
      </c>
      <c r="T741" t="str">
        <f ca="1">IF(ISNUMBER(O741),OFFSET('MPIO_SFIO Table'!$AJ$11,O741,0),"")</f>
        <v/>
      </c>
      <c r="U741" t="str">
        <f ca="1">IF(ISNUMBER(P741),OFFSET('MPIO_SFIO Table'!$AJ$11,P741,0),"")</f>
        <v/>
      </c>
      <c r="V741" t="str">
        <f ca="1">IF(ISNUMBER(Q741),OFFSET('MPIO_SFIO Table'!$AJ$11,Q741,0),"")</f>
        <v/>
      </c>
      <c r="W741">
        <f t="shared" ca="1" si="99"/>
        <v>0</v>
      </c>
      <c r="X741">
        <f t="shared" ca="1" si="100"/>
        <v>0</v>
      </c>
      <c r="Y741">
        <f t="shared" ca="1" si="101"/>
        <v>0</v>
      </c>
      <c r="Z741">
        <f t="shared" ca="1" si="102"/>
        <v>0</v>
      </c>
      <c r="AA741">
        <f t="shared" ca="1" si="103"/>
        <v>0</v>
      </c>
    </row>
    <row r="742" spans="1:27" x14ac:dyDescent="0.25">
      <c r="A742">
        <f t="shared" ca="1" si="96"/>
        <v>0</v>
      </c>
      <c r="B742" t="str">
        <f t="shared" ca="1" si="97"/>
        <v/>
      </c>
      <c r="C742" t="str">
        <f t="shared" si="98"/>
        <v>SPI6</v>
      </c>
      <c r="D742" t="s">
        <v>253</v>
      </c>
      <c r="E742" t="s">
        <v>253</v>
      </c>
      <c r="F742" s="3" t="s">
        <v>2908</v>
      </c>
      <c r="G742" s="11" t="s">
        <v>313</v>
      </c>
      <c r="H742" s="11" t="s">
        <v>24</v>
      </c>
      <c r="I742" s="3" t="s">
        <v>253</v>
      </c>
      <c r="J742" s="3" t="s">
        <v>253</v>
      </c>
      <c r="K742" s="3" t="s">
        <v>253</v>
      </c>
      <c r="L742" s="3" t="s">
        <v>253</v>
      </c>
      <c r="M742">
        <f>IF(LEN(H742),MATCH(H742,'MPIO_SFIO Table'!$A$11:$A$65525,0)-1,"")</f>
        <v>16</v>
      </c>
      <c r="N742" t="str">
        <f>IF(LEN(I742),MATCH(I742,'MPIO_SFIO Table'!$A$11:$A$65525,0)-1,"")</f>
        <v/>
      </c>
      <c r="O742" t="str">
        <f>IF(LEN(J742),MATCH(J742,'MPIO_SFIO Table'!$A$11:$A$65525,0)-1,"")</f>
        <v/>
      </c>
      <c r="P742" t="str">
        <f>IF(LEN(K742),MATCH(K742,'MPIO_SFIO Table'!$A$11:$A$65525,0)-1,"")</f>
        <v/>
      </c>
      <c r="Q742" t="str">
        <f>IF(LEN(L742),MATCH(L742,'MPIO_SFIO Table'!$A$11:$A$65525,0)-1,"")</f>
        <v/>
      </c>
      <c r="R742" t="str">
        <f ca="1">IF(ISNUMBER(M742),OFFSET('MPIO_SFIO Table'!$AJ$11,M742,0),"")</f>
        <v>unused_SPI2_CS0_N</v>
      </c>
      <c r="S742" t="str">
        <f ca="1">IF(ISNUMBER(N742),OFFSET('MPIO_SFIO Table'!$AJ$11,N742,0),"")</f>
        <v/>
      </c>
      <c r="T742" t="str">
        <f ca="1">IF(ISNUMBER(O742),OFFSET('MPIO_SFIO Table'!$AJ$11,O742,0),"")</f>
        <v/>
      </c>
      <c r="U742" t="str">
        <f ca="1">IF(ISNUMBER(P742),OFFSET('MPIO_SFIO Table'!$AJ$11,P742,0),"")</f>
        <v/>
      </c>
      <c r="V742" t="str">
        <f ca="1">IF(ISNUMBER(Q742),OFFSET('MPIO_SFIO Table'!$AJ$11,Q742,0),"")</f>
        <v/>
      </c>
      <c r="W742">
        <f t="shared" ca="1" si="99"/>
        <v>0</v>
      </c>
      <c r="X742">
        <f t="shared" ca="1" si="100"/>
        <v>0</v>
      </c>
      <c r="Y742">
        <f t="shared" ca="1" si="101"/>
        <v>0</v>
      </c>
      <c r="Z742">
        <f t="shared" ca="1" si="102"/>
        <v>0</v>
      </c>
      <c r="AA742">
        <f t="shared" ca="1" si="103"/>
        <v>0</v>
      </c>
    </row>
    <row r="743" spans="1:27" x14ac:dyDescent="0.25">
      <c r="A743">
        <f t="shared" ca="1" si="96"/>
        <v>0</v>
      </c>
      <c r="B743" t="str">
        <f t="shared" ca="1" si="97"/>
        <v/>
      </c>
      <c r="C743" t="str">
        <f t="shared" si="98"/>
        <v>SPI6</v>
      </c>
      <c r="D743" t="s">
        <v>253</v>
      </c>
      <c r="E743" t="s">
        <v>253</v>
      </c>
      <c r="F743" s="3" t="s">
        <v>2906</v>
      </c>
      <c r="G743" s="11" t="s">
        <v>315</v>
      </c>
      <c r="H743" s="11" t="s">
        <v>27</v>
      </c>
      <c r="I743" s="3" t="s">
        <v>253</v>
      </c>
      <c r="J743" s="3" t="s">
        <v>253</v>
      </c>
      <c r="K743" s="3" t="s">
        <v>253</v>
      </c>
      <c r="L743" s="3" t="s">
        <v>253</v>
      </c>
      <c r="M743">
        <f>IF(LEN(H743),MATCH(H743,'MPIO_SFIO Table'!$A$11:$A$65525,0)-1,"")</f>
        <v>19</v>
      </c>
      <c r="N743" t="str">
        <f>IF(LEN(I743),MATCH(I743,'MPIO_SFIO Table'!$A$11:$A$65525,0)-1,"")</f>
        <v/>
      </c>
      <c r="O743" t="str">
        <f>IF(LEN(J743),MATCH(J743,'MPIO_SFIO Table'!$A$11:$A$65525,0)-1,"")</f>
        <v/>
      </c>
      <c r="P743" t="str">
        <f>IF(LEN(K743),MATCH(K743,'MPIO_SFIO Table'!$A$11:$A$65525,0)-1,"")</f>
        <v/>
      </c>
      <c r="Q743" t="str">
        <f>IF(LEN(L743),MATCH(L743,'MPIO_SFIO Table'!$A$11:$A$65525,0)-1,"")</f>
        <v/>
      </c>
      <c r="R743" t="str">
        <f ca="1">IF(ISNUMBER(M743),OFFSET('MPIO_SFIO Table'!$AJ$11,M743,0),"")</f>
        <v>unused_SPI2_MISO</v>
      </c>
      <c r="S743" t="str">
        <f ca="1">IF(ISNUMBER(N743),OFFSET('MPIO_SFIO Table'!$AJ$11,N743,0),"")</f>
        <v/>
      </c>
      <c r="T743" t="str">
        <f ca="1">IF(ISNUMBER(O743),OFFSET('MPIO_SFIO Table'!$AJ$11,O743,0),"")</f>
        <v/>
      </c>
      <c r="U743" t="str">
        <f ca="1">IF(ISNUMBER(P743),OFFSET('MPIO_SFIO Table'!$AJ$11,P743,0),"")</f>
        <v/>
      </c>
      <c r="V743" t="str">
        <f ca="1">IF(ISNUMBER(Q743),OFFSET('MPIO_SFIO Table'!$AJ$11,Q743,0),"")</f>
        <v/>
      </c>
      <c r="W743">
        <f t="shared" ca="1" si="99"/>
        <v>0</v>
      </c>
      <c r="X743">
        <f t="shared" ca="1" si="100"/>
        <v>0</v>
      </c>
      <c r="Y743">
        <f t="shared" ca="1" si="101"/>
        <v>0</v>
      </c>
      <c r="Z743">
        <f t="shared" ca="1" si="102"/>
        <v>0</v>
      </c>
      <c r="AA743">
        <f t="shared" ca="1" si="103"/>
        <v>0</v>
      </c>
    </row>
    <row r="744" spans="1:27" x14ac:dyDescent="0.25">
      <c r="A744">
        <f t="shared" ca="1" si="96"/>
        <v>0</v>
      </c>
      <c r="B744" t="str">
        <f t="shared" ca="1" si="97"/>
        <v/>
      </c>
      <c r="C744" t="str">
        <f t="shared" si="98"/>
        <v>SPI6</v>
      </c>
      <c r="D744" t="s">
        <v>253</v>
      </c>
      <c r="E744" t="s">
        <v>253</v>
      </c>
      <c r="F744" s="3" t="s">
        <v>2907</v>
      </c>
      <c r="G744" s="11" t="s">
        <v>318</v>
      </c>
      <c r="H744" s="11" t="s">
        <v>28</v>
      </c>
      <c r="I744" s="3" t="s">
        <v>253</v>
      </c>
      <c r="J744" s="3" t="s">
        <v>253</v>
      </c>
      <c r="K744" s="3" t="s">
        <v>253</v>
      </c>
      <c r="L744" s="3" t="s">
        <v>253</v>
      </c>
      <c r="M744">
        <f>IF(LEN(H744),MATCH(H744,'MPIO_SFIO Table'!$A$11:$A$65525,0)-1,"")</f>
        <v>20</v>
      </c>
      <c r="N744" t="str">
        <f>IF(LEN(I744),MATCH(I744,'MPIO_SFIO Table'!$A$11:$A$65525,0)-1,"")</f>
        <v/>
      </c>
      <c r="O744" t="str">
        <f>IF(LEN(J744),MATCH(J744,'MPIO_SFIO Table'!$A$11:$A$65525,0)-1,"")</f>
        <v/>
      </c>
      <c r="P744" t="str">
        <f>IF(LEN(K744),MATCH(K744,'MPIO_SFIO Table'!$A$11:$A$65525,0)-1,"")</f>
        <v/>
      </c>
      <c r="Q744" t="str">
        <f>IF(LEN(L744),MATCH(L744,'MPIO_SFIO Table'!$A$11:$A$65525,0)-1,"")</f>
        <v/>
      </c>
      <c r="R744" t="str">
        <f ca="1">IF(ISNUMBER(M744),OFFSET('MPIO_SFIO Table'!$AJ$11,M744,0),"")</f>
        <v>unused_SPI2_MOSI</v>
      </c>
      <c r="S744" t="str">
        <f ca="1">IF(ISNUMBER(N744),OFFSET('MPIO_SFIO Table'!$AJ$11,N744,0),"")</f>
        <v/>
      </c>
      <c r="T744" t="str">
        <f ca="1">IF(ISNUMBER(O744),OFFSET('MPIO_SFIO Table'!$AJ$11,O744,0),"")</f>
        <v/>
      </c>
      <c r="U744" t="str">
        <f ca="1">IF(ISNUMBER(P744),OFFSET('MPIO_SFIO Table'!$AJ$11,P744,0),"")</f>
        <v/>
      </c>
      <c r="V744" t="str">
        <f ca="1">IF(ISNUMBER(Q744),OFFSET('MPIO_SFIO Table'!$AJ$11,Q744,0),"")</f>
        <v/>
      </c>
      <c r="W744">
        <f t="shared" ca="1" si="99"/>
        <v>0</v>
      </c>
      <c r="X744">
        <f t="shared" ca="1" si="100"/>
        <v>0</v>
      </c>
      <c r="Y744">
        <f t="shared" ca="1" si="101"/>
        <v>0</v>
      </c>
      <c r="Z744">
        <f t="shared" ca="1" si="102"/>
        <v>0</v>
      </c>
      <c r="AA744">
        <f t="shared" ca="1" si="103"/>
        <v>0</v>
      </c>
    </row>
    <row r="745" spans="1:27" x14ac:dyDescent="0.25">
      <c r="A745">
        <f t="shared" ca="1" si="96"/>
        <v>0</v>
      </c>
      <c r="B745" t="str">
        <f t="shared" ca="1" si="97"/>
        <v/>
      </c>
      <c r="C745" t="str">
        <f t="shared" si="98"/>
        <v>SPI6</v>
      </c>
      <c r="D745" t="s">
        <v>253</v>
      </c>
      <c r="E745" t="s">
        <v>253</v>
      </c>
      <c r="F745" s="3" t="s">
        <v>2865</v>
      </c>
      <c r="G745" s="11" t="s">
        <v>321</v>
      </c>
      <c r="H745" s="11" t="s">
        <v>29</v>
      </c>
      <c r="I745" s="3" t="s">
        <v>253</v>
      </c>
      <c r="J745" s="3" t="s">
        <v>253</v>
      </c>
      <c r="K745" s="3" t="s">
        <v>253</v>
      </c>
      <c r="L745" s="3" t="s">
        <v>253</v>
      </c>
      <c r="M745">
        <f>IF(LEN(H745),MATCH(H745,'MPIO_SFIO Table'!$A$11:$A$65525,0)-1,"")</f>
        <v>21</v>
      </c>
      <c r="N745" t="str">
        <f>IF(LEN(I745),MATCH(I745,'MPIO_SFIO Table'!$A$11:$A$65525,0)-1,"")</f>
        <v/>
      </c>
      <c r="O745" t="str">
        <f>IF(LEN(J745),MATCH(J745,'MPIO_SFIO Table'!$A$11:$A$65525,0)-1,"")</f>
        <v/>
      </c>
      <c r="P745" t="str">
        <f>IF(LEN(K745),MATCH(K745,'MPIO_SFIO Table'!$A$11:$A$65525,0)-1,"")</f>
        <v/>
      </c>
      <c r="Q745" t="str">
        <f>IF(LEN(L745),MATCH(L745,'MPIO_SFIO Table'!$A$11:$A$65525,0)-1,"")</f>
        <v/>
      </c>
      <c r="R745" t="str">
        <f ca="1">IF(ISNUMBER(M745),OFFSET('MPIO_SFIO Table'!$AJ$11,M745,0),"")</f>
        <v>unused_SPI2_SCK</v>
      </c>
      <c r="S745" t="str">
        <f ca="1">IF(ISNUMBER(N745),OFFSET('MPIO_SFIO Table'!$AJ$11,N745,0),"")</f>
        <v/>
      </c>
      <c r="T745" t="str">
        <f ca="1">IF(ISNUMBER(O745),OFFSET('MPIO_SFIO Table'!$AJ$11,O745,0),"")</f>
        <v/>
      </c>
      <c r="U745" t="str">
        <f ca="1">IF(ISNUMBER(P745),OFFSET('MPIO_SFIO Table'!$AJ$11,P745,0),"")</f>
        <v/>
      </c>
      <c r="V745" t="str">
        <f ca="1">IF(ISNUMBER(Q745),OFFSET('MPIO_SFIO Table'!$AJ$11,Q745,0),"")</f>
        <v/>
      </c>
      <c r="W745">
        <f t="shared" ca="1" si="99"/>
        <v>0</v>
      </c>
      <c r="X745">
        <f t="shared" ca="1" si="100"/>
        <v>0</v>
      </c>
      <c r="Y745">
        <f t="shared" ca="1" si="101"/>
        <v>0</v>
      </c>
      <c r="Z745">
        <f t="shared" ca="1" si="102"/>
        <v>0</v>
      </c>
      <c r="AA745">
        <f t="shared" ca="1" si="103"/>
        <v>0</v>
      </c>
    </row>
    <row r="746" spans="1:27" x14ac:dyDescent="0.25">
      <c r="A746">
        <f t="shared" ca="1" si="96"/>
        <v>0</v>
      </c>
      <c r="B746" t="str">
        <f t="shared" ca="1" si="97"/>
        <v/>
      </c>
      <c r="C746" t="str">
        <f t="shared" si="98"/>
        <v/>
      </c>
      <c r="D746" t="s">
        <v>2511</v>
      </c>
      <c r="E746" t="s">
        <v>1046</v>
      </c>
      <c r="F746" s="3" t="s">
        <v>253</v>
      </c>
      <c r="G746" s="11" t="s">
        <v>253</v>
      </c>
      <c r="H746" s="11" t="s">
        <v>253</v>
      </c>
      <c r="I746" s="3" t="s">
        <v>253</v>
      </c>
      <c r="J746" s="3" t="s">
        <v>253</v>
      </c>
      <c r="K746" s="3" t="s">
        <v>253</v>
      </c>
      <c r="L746" s="3" t="s">
        <v>253</v>
      </c>
      <c r="M746" t="str">
        <f>IF(LEN(H746),MATCH(H746,'MPIO_SFIO Table'!$A$11:$A$65525,0)-1,"")</f>
        <v/>
      </c>
      <c r="N746" t="str">
        <f>IF(LEN(I746),MATCH(I746,'MPIO_SFIO Table'!$A$11:$A$65525,0)-1,"")</f>
        <v/>
      </c>
      <c r="O746" t="str">
        <f>IF(LEN(J746),MATCH(J746,'MPIO_SFIO Table'!$A$11:$A$65525,0)-1,"")</f>
        <v/>
      </c>
      <c r="P746" t="str">
        <f>IF(LEN(K746),MATCH(K746,'MPIO_SFIO Table'!$A$11:$A$65525,0)-1,"")</f>
        <v/>
      </c>
      <c r="Q746" t="str">
        <f>IF(LEN(L746),MATCH(L746,'MPIO_SFIO Table'!$A$11:$A$65525,0)-1,"")</f>
        <v/>
      </c>
      <c r="R746" t="str">
        <f ca="1">IF(ISNUMBER(M746),OFFSET('MPIO_SFIO Table'!$AJ$11,M746,0),"")</f>
        <v/>
      </c>
      <c r="S746" t="str">
        <f ca="1">IF(ISNUMBER(N746),OFFSET('MPIO_SFIO Table'!$AJ$11,N746,0),"")</f>
        <v/>
      </c>
      <c r="T746" t="str">
        <f ca="1">IF(ISNUMBER(O746),OFFSET('MPIO_SFIO Table'!$AJ$11,O746,0),"")</f>
        <v/>
      </c>
      <c r="U746" t="str">
        <f ca="1">IF(ISNUMBER(P746),OFFSET('MPIO_SFIO Table'!$AJ$11,P746,0),"")</f>
        <v/>
      </c>
      <c r="V746" t="str">
        <f ca="1">IF(ISNUMBER(Q746),OFFSET('MPIO_SFIO Table'!$AJ$11,Q746,0),"")</f>
        <v/>
      </c>
      <c r="W746">
        <f t="shared" ca="1" si="99"/>
        <v>0</v>
      </c>
      <c r="X746">
        <f t="shared" ca="1" si="100"/>
        <v>0</v>
      </c>
      <c r="Y746">
        <f t="shared" ca="1" si="101"/>
        <v>0</v>
      </c>
      <c r="Z746">
        <f t="shared" ca="1" si="102"/>
        <v>0</v>
      </c>
      <c r="AA746">
        <f t="shared" ca="1" si="103"/>
        <v>0</v>
      </c>
    </row>
    <row r="747" spans="1:27" x14ac:dyDescent="0.25">
      <c r="A747">
        <f t="shared" ca="1" si="96"/>
        <v>0</v>
      </c>
      <c r="B747" t="str">
        <f t="shared" ca="1" si="97"/>
        <v/>
      </c>
      <c r="C747" t="str">
        <f t="shared" si="98"/>
        <v>TRACE</v>
      </c>
      <c r="D747" t="s">
        <v>253</v>
      </c>
      <c r="E747" t="s">
        <v>253</v>
      </c>
      <c r="F747" s="3" t="s">
        <v>2478</v>
      </c>
      <c r="G747" s="11" t="s">
        <v>689</v>
      </c>
      <c r="H747" s="11" t="s">
        <v>203</v>
      </c>
      <c r="I747" s="3" t="s">
        <v>253</v>
      </c>
      <c r="J747" s="3" t="s">
        <v>253</v>
      </c>
      <c r="K747" s="3" t="s">
        <v>253</v>
      </c>
      <c r="L747" s="3" t="s">
        <v>253</v>
      </c>
      <c r="M747">
        <f>IF(LEN(H747),MATCH(H747,'MPIO_SFIO Table'!$A$11:$A$65525,0)-1,"")</f>
        <v>217</v>
      </c>
      <c r="N747" t="str">
        <f>IF(LEN(I747),MATCH(I747,'MPIO_SFIO Table'!$A$11:$A$65525,0)-1,"")</f>
        <v/>
      </c>
      <c r="O747" t="str">
        <f>IF(LEN(J747),MATCH(J747,'MPIO_SFIO Table'!$A$11:$A$65525,0)-1,"")</f>
        <v/>
      </c>
      <c r="P747" t="str">
        <f>IF(LEN(K747),MATCH(K747,'MPIO_SFIO Table'!$A$11:$A$65525,0)-1,"")</f>
        <v/>
      </c>
      <c r="Q747" t="str">
        <f>IF(LEN(L747),MATCH(L747,'MPIO_SFIO Table'!$A$11:$A$65525,0)-1,"")</f>
        <v/>
      </c>
      <c r="R747" t="str">
        <f ca="1">IF(ISNUMBER(M747),OFFSET('MPIO_SFIO Table'!$AJ$11,M747,0),"")</f>
        <v>unused_KB_ROW4</v>
      </c>
      <c r="S747" t="str">
        <f ca="1">IF(ISNUMBER(N747),OFFSET('MPIO_SFIO Table'!$AJ$11,N747,0),"")</f>
        <v/>
      </c>
      <c r="T747" t="str">
        <f ca="1">IF(ISNUMBER(O747),OFFSET('MPIO_SFIO Table'!$AJ$11,O747,0),"")</f>
        <v/>
      </c>
      <c r="U747" t="str">
        <f ca="1">IF(ISNUMBER(P747),OFFSET('MPIO_SFIO Table'!$AJ$11,P747,0),"")</f>
        <v/>
      </c>
      <c r="V747" t="str">
        <f ca="1">IF(ISNUMBER(Q747),OFFSET('MPIO_SFIO Table'!$AJ$11,Q747,0),"")</f>
        <v/>
      </c>
      <c r="W747">
        <f t="shared" ca="1" si="99"/>
        <v>0</v>
      </c>
      <c r="X747">
        <f t="shared" ca="1" si="100"/>
        <v>0</v>
      </c>
      <c r="Y747">
        <f t="shared" ca="1" si="101"/>
        <v>0</v>
      </c>
      <c r="Z747">
        <f t="shared" ca="1" si="102"/>
        <v>0</v>
      </c>
      <c r="AA747">
        <f t="shared" ca="1" si="103"/>
        <v>0</v>
      </c>
    </row>
    <row r="748" spans="1:27" x14ac:dyDescent="0.25">
      <c r="A748">
        <f t="shared" ca="1" si="96"/>
        <v>0</v>
      </c>
      <c r="B748" t="str">
        <f t="shared" ca="1" si="97"/>
        <v/>
      </c>
      <c r="C748" t="str">
        <f t="shared" si="98"/>
        <v>TRACE</v>
      </c>
      <c r="D748" t="s">
        <v>253</v>
      </c>
      <c r="E748" t="s">
        <v>253</v>
      </c>
      <c r="F748" s="3" t="s">
        <v>2909</v>
      </c>
      <c r="G748" s="11" t="s">
        <v>691</v>
      </c>
      <c r="H748" s="11" t="s">
        <v>204</v>
      </c>
      <c r="I748" s="3" t="s">
        <v>253</v>
      </c>
      <c r="J748" s="3" t="s">
        <v>253</v>
      </c>
      <c r="K748" s="3" t="s">
        <v>253</v>
      </c>
      <c r="L748" s="3" t="s">
        <v>253</v>
      </c>
      <c r="M748">
        <f>IF(LEN(H748),MATCH(H748,'MPIO_SFIO Table'!$A$11:$A$65525,0)-1,"")</f>
        <v>218</v>
      </c>
      <c r="N748" t="str">
        <f>IF(LEN(I748),MATCH(I748,'MPIO_SFIO Table'!$A$11:$A$65525,0)-1,"")</f>
        <v/>
      </c>
      <c r="O748" t="str">
        <f>IF(LEN(J748),MATCH(J748,'MPIO_SFIO Table'!$A$11:$A$65525,0)-1,"")</f>
        <v/>
      </c>
      <c r="P748" t="str">
        <f>IF(LEN(K748),MATCH(K748,'MPIO_SFIO Table'!$A$11:$A$65525,0)-1,"")</f>
        <v/>
      </c>
      <c r="Q748" t="str">
        <f>IF(LEN(L748),MATCH(L748,'MPIO_SFIO Table'!$A$11:$A$65525,0)-1,"")</f>
        <v/>
      </c>
      <c r="R748" t="str">
        <f ca="1">IF(ISNUMBER(M748),OFFSET('MPIO_SFIO Table'!$AJ$11,M748,0),"")</f>
        <v>unused_KB_ROW5</v>
      </c>
      <c r="S748" t="str">
        <f ca="1">IF(ISNUMBER(N748),OFFSET('MPIO_SFIO Table'!$AJ$11,N748,0),"")</f>
        <v/>
      </c>
      <c r="T748" t="str">
        <f ca="1">IF(ISNUMBER(O748),OFFSET('MPIO_SFIO Table'!$AJ$11,O748,0),"")</f>
        <v/>
      </c>
      <c r="U748" t="str">
        <f ca="1">IF(ISNUMBER(P748),OFFSET('MPIO_SFIO Table'!$AJ$11,P748,0),"")</f>
        <v/>
      </c>
      <c r="V748" t="str">
        <f ca="1">IF(ISNUMBER(Q748),OFFSET('MPIO_SFIO Table'!$AJ$11,Q748,0),"")</f>
        <v/>
      </c>
      <c r="W748">
        <f t="shared" ca="1" si="99"/>
        <v>0</v>
      </c>
      <c r="X748">
        <f t="shared" ca="1" si="100"/>
        <v>0</v>
      </c>
      <c r="Y748">
        <f t="shared" ca="1" si="101"/>
        <v>0</v>
      </c>
      <c r="Z748">
        <f t="shared" ca="1" si="102"/>
        <v>0</v>
      </c>
      <c r="AA748">
        <f t="shared" ca="1" si="103"/>
        <v>0</v>
      </c>
    </row>
    <row r="749" spans="1:27" x14ac:dyDescent="0.25">
      <c r="A749">
        <f t="shared" ca="1" si="96"/>
        <v>0</v>
      </c>
      <c r="B749" t="str">
        <f t="shared" ca="1" si="97"/>
        <v/>
      </c>
      <c r="C749" t="str">
        <f t="shared" si="98"/>
        <v>TRACE</v>
      </c>
      <c r="D749" t="s">
        <v>253</v>
      </c>
      <c r="E749" t="s">
        <v>253</v>
      </c>
      <c r="F749" s="3" t="s">
        <v>2910</v>
      </c>
      <c r="G749" s="11" t="s">
        <v>656</v>
      </c>
      <c r="H749" s="11" t="s">
        <v>185</v>
      </c>
      <c r="I749" s="3" t="s">
        <v>253</v>
      </c>
      <c r="J749" s="3" t="s">
        <v>253</v>
      </c>
      <c r="K749" s="3" t="s">
        <v>253</v>
      </c>
      <c r="L749" s="3" t="s">
        <v>253</v>
      </c>
      <c r="M749">
        <f>IF(LEN(H749),MATCH(H749,'MPIO_SFIO Table'!$A$11:$A$65525,0)-1,"")</f>
        <v>199</v>
      </c>
      <c r="N749" t="str">
        <f>IF(LEN(I749),MATCH(I749,'MPIO_SFIO Table'!$A$11:$A$65525,0)-1,"")</f>
        <v/>
      </c>
      <c r="O749" t="str">
        <f>IF(LEN(J749),MATCH(J749,'MPIO_SFIO Table'!$A$11:$A$65525,0)-1,"")</f>
        <v/>
      </c>
      <c r="P749" t="str">
        <f>IF(LEN(K749),MATCH(K749,'MPIO_SFIO Table'!$A$11:$A$65525,0)-1,"")</f>
        <v/>
      </c>
      <c r="Q749" t="str">
        <f>IF(LEN(L749),MATCH(L749,'MPIO_SFIO Table'!$A$11:$A$65525,0)-1,"")</f>
        <v/>
      </c>
      <c r="R749" t="str">
        <f ca="1">IF(ISNUMBER(M749),OFFSET('MPIO_SFIO Table'!$AJ$11,M749,0),"")</f>
        <v>unused_KB_COL0</v>
      </c>
      <c r="S749" t="str">
        <f ca="1">IF(ISNUMBER(N749),OFFSET('MPIO_SFIO Table'!$AJ$11,N749,0),"")</f>
        <v/>
      </c>
      <c r="T749" t="str">
        <f ca="1">IF(ISNUMBER(O749),OFFSET('MPIO_SFIO Table'!$AJ$11,O749,0),"")</f>
        <v/>
      </c>
      <c r="U749" t="str">
        <f ca="1">IF(ISNUMBER(P749),OFFSET('MPIO_SFIO Table'!$AJ$11,P749,0),"")</f>
        <v/>
      </c>
      <c r="V749" t="str">
        <f ca="1">IF(ISNUMBER(Q749),OFFSET('MPIO_SFIO Table'!$AJ$11,Q749,0),"")</f>
        <v/>
      </c>
      <c r="W749">
        <f t="shared" ca="1" si="99"/>
        <v>0</v>
      </c>
      <c r="X749">
        <f t="shared" ca="1" si="100"/>
        <v>0</v>
      </c>
      <c r="Y749">
        <f t="shared" ca="1" si="101"/>
        <v>0</v>
      </c>
      <c r="Z749">
        <f t="shared" ca="1" si="102"/>
        <v>0</v>
      </c>
      <c r="AA749">
        <f t="shared" ca="1" si="103"/>
        <v>0</v>
      </c>
    </row>
    <row r="750" spans="1:27" x14ac:dyDescent="0.25">
      <c r="A750">
        <f t="shared" ca="1" si="96"/>
        <v>0</v>
      </c>
      <c r="B750" t="str">
        <f t="shared" ca="1" si="97"/>
        <v/>
      </c>
      <c r="C750" t="str">
        <f t="shared" si="98"/>
        <v>TRACE</v>
      </c>
      <c r="D750" t="s">
        <v>253</v>
      </c>
      <c r="E750" t="s">
        <v>253</v>
      </c>
      <c r="F750" s="3" t="s">
        <v>2911</v>
      </c>
      <c r="G750" s="11" t="s">
        <v>658</v>
      </c>
      <c r="H750" s="11" t="s">
        <v>186</v>
      </c>
      <c r="I750" s="3" t="s">
        <v>253</v>
      </c>
      <c r="J750" s="3" t="s">
        <v>253</v>
      </c>
      <c r="K750" s="3" t="s">
        <v>253</v>
      </c>
      <c r="L750" s="3" t="s">
        <v>253</v>
      </c>
      <c r="M750">
        <f>IF(LEN(H750),MATCH(H750,'MPIO_SFIO Table'!$A$11:$A$65525,0)-1,"")</f>
        <v>200</v>
      </c>
      <c r="N750" t="str">
        <f>IF(LEN(I750),MATCH(I750,'MPIO_SFIO Table'!$A$11:$A$65525,0)-1,"")</f>
        <v/>
      </c>
      <c r="O750" t="str">
        <f>IF(LEN(J750),MATCH(J750,'MPIO_SFIO Table'!$A$11:$A$65525,0)-1,"")</f>
        <v/>
      </c>
      <c r="P750" t="str">
        <f>IF(LEN(K750),MATCH(K750,'MPIO_SFIO Table'!$A$11:$A$65525,0)-1,"")</f>
        <v/>
      </c>
      <c r="Q750" t="str">
        <f>IF(LEN(L750),MATCH(L750,'MPIO_SFIO Table'!$A$11:$A$65525,0)-1,"")</f>
        <v/>
      </c>
      <c r="R750" t="str">
        <f ca="1">IF(ISNUMBER(M750),OFFSET('MPIO_SFIO Table'!$AJ$11,M750,0),"")</f>
        <v>unused_KB_COL1</v>
      </c>
      <c r="S750" t="str">
        <f ca="1">IF(ISNUMBER(N750),OFFSET('MPIO_SFIO Table'!$AJ$11,N750,0),"")</f>
        <v/>
      </c>
      <c r="T750" t="str">
        <f ca="1">IF(ISNUMBER(O750),OFFSET('MPIO_SFIO Table'!$AJ$11,O750,0),"")</f>
        <v/>
      </c>
      <c r="U750" t="str">
        <f ca="1">IF(ISNUMBER(P750),OFFSET('MPIO_SFIO Table'!$AJ$11,P750,0),"")</f>
        <v/>
      </c>
      <c r="V750" t="str">
        <f ca="1">IF(ISNUMBER(Q750),OFFSET('MPIO_SFIO Table'!$AJ$11,Q750,0),"")</f>
        <v/>
      </c>
      <c r="W750">
        <f t="shared" ca="1" si="99"/>
        <v>0</v>
      </c>
      <c r="X750">
        <f t="shared" ca="1" si="100"/>
        <v>0</v>
      </c>
      <c r="Y750">
        <f t="shared" ca="1" si="101"/>
        <v>0</v>
      </c>
      <c r="Z750">
        <f t="shared" ca="1" si="102"/>
        <v>0</v>
      </c>
      <c r="AA750">
        <f t="shared" ca="1" si="103"/>
        <v>0</v>
      </c>
    </row>
    <row r="751" spans="1:27" x14ac:dyDescent="0.25">
      <c r="A751">
        <f t="shared" ca="1" si="96"/>
        <v>0</v>
      </c>
      <c r="B751" t="str">
        <f t="shared" ca="1" si="97"/>
        <v/>
      </c>
      <c r="C751" t="str">
        <f t="shared" si="98"/>
        <v>TRACE</v>
      </c>
      <c r="D751" t="s">
        <v>253</v>
      </c>
      <c r="E751" t="s">
        <v>253</v>
      </c>
      <c r="F751" s="3" t="s">
        <v>2912</v>
      </c>
      <c r="G751" s="11" t="s">
        <v>660</v>
      </c>
      <c r="H751" s="11" t="s">
        <v>187</v>
      </c>
      <c r="I751" s="3" t="s">
        <v>253</v>
      </c>
      <c r="J751" s="3" t="s">
        <v>253</v>
      </c>
      <c r="K751" s="3" t="s">
        <v>253</v>
      </c>
      <c r="L751" s="3" t="s">
        <v>253</v>
      </c>
      <c r="M751">
        <f>IF(LEN(H751),MATCH(H751,'MPIO_SFIO Table'!$A$11:$A$65525,0)-1,"")</f>
        <v>201</v>
      </c>
      <c r="N751" t="str">
        <f>IF(LEN(I751),MATCH(I751,'MPIO_SFIO Table'!$A$11:$A$65525,0)-1,"")</f>
        <v/>
      </c>
      <c r="O751" t="str">
        <f>IF(LEN(J751),MATCH(J751,'MPIO_SFIO Table'!$A$11:$A$65525,0)-1,"")</f>
        <v/>
      </c>
      <c r="P751" t="str">
        <f>IF(LEN(K751),MATCH(K751,'MPIO_SFIO Table'!$A$11:$A$65525,0)-1,"")</f>
        <v/>
      </c>
      <c r="Q751" t="str">
        <f>IF(LEN(L751),MATCH(L751,'MPIO_SFIO Table'!$A$11:$A$65525,0)-1,"")</f>
        <v/>
      </c>
      <c r="R751" t="str">
        <f ca="1">IF(ISNUMBER(M751),OFFSET('MPIO_SFIO Table'!$AJ$11,M751,0),"")</f>
        <v>unused_KB_COL2</v>
      </c>
      <c r="S751" t="str">
        <f ca="1">IF(ISNUMBER(N751),OFFSET('MPIO_SFIO Table'!$AJ$11,N751,0),"")</f>
        <v/>
      </c>
      <c r="T751" t="str">
        <f ca="1">IF(ISNUMBER(O751),OFFSET('MPIO_SFIO Table'!$AJ$11,O751,0),"")</f>
        <v/>
      </c>
      <c r="U751" t="str">
        <f ca="1">IF(ISNUMBER(P751),OFFSET('MPIO_SFIO Table'!$AJ$11,P751,0),"")</f>
        <v/>
      </c>
      <c r="V751" t="str">
        <f ca="1">IF(ISNUMBER(Q751),OFFSET('MPIO_SFIO Table'!$AJ$11,Q751,0),"")</f>
        <v/>
      </c>
      <c r="W751">
        <f t="shared" ca="1" si="99"/>
        <v>0</v>
      </c>
      <c r="X751">
        <f t="shared" ca="1" si="100"/>
        <v>0</v>
      </c>
      <c r="Y751">
        <f t="shared" ca="1" si="101"/>
        <v>0</v>
      </c>
      <c r="Z751">
        <f t="shared" ca="1" si="102"/>
        <v>0</v>
      </c>
      <c r="AA751">
        <f t="shared" ca="1" si="103"/>
        <v>0</v>
      </c>
    </row>
    <row r="752" spans="1:27" x14ac:dyDescent="0.25">
      <c r="A752">
        <f t="shared" ca="1" si="96"/>
        <v>0</v>
      </c>
      <c r="B752" t="str">
        <f t="shared" ca="1" si="97"/>
        <v/>
      </c>
      <c r="C752" t="str">
        <f t="shared" si="98"/>
        <v>TRACE</v>
      </c>
      <c r="D752" t="s">
        <v>253</v>
      </c>
      <c r="E752" t="s">
        <v>253</v>
      </c>
      <c r="F752" s="3" t="s">
        <v>2913</v>
      </c>
      <c r="G752" s="11" t="s">
        <v>662</v>
      </c>
      <c r="H752" s="11" t="s">
        <v>188</v>
      </c>
      <c r="I752" s="3" t="s">
        <v>253</v>
      </c>
      <c r="J752" s="3" t="s">
        <v>253</v>
      </c>
      <c r="K752" s="3" t="s">
        <v>253</v>
      </c>
      <c r="L752" s="3" t="s">
        <v>253</v>
      </c>
      <c r="M752">
        <f>IF(LEN(H752),MATCH(H752,'MPIO_SFIO Table'!$A$11:$A$65525,0)-1,"")</f>
        <v>202</v>
      </c>
      <c r="N752" t="str">
        <f>IF(LEN(I752),MATCH(I752,'MPIO_SFIO Table'!$A$11:$A$65525,0)-1,"")</f>
        <v/>
      </c>
      <c r="O752" t="str">
        <f>IF(LEN(J752),MATCH(J752,'MPIO_SFIO Table'!$A$11:$A$65525,0)-1,"")</f>
        <v/>
      </c>
      <c r="P752" t="str">
        <f>IF(LEN(K752),MATCH(K752,'MPIO_SFIO Table'!$A$11:$A$65525,0)-1,"")</f>
        <v/>
      </c>
      <c r="Q752" t="str">
        <f>IF(LEN(L752),MATCH(L752,'MPIO_SFIO Table'!$A$11:$A$65525,0)-1,"")</f>
        <v/>
      </c>
      <c r="R752" t="str">
        <f ca="1">IF(ISNUMBER(M752),OFFSET('MPIO_SFIO Table'!$AJ$11,M752,0),"")</f>
        <v>unused_KB_COL3</v>
      </c>
      <c r="S752" t="str">
        <f ca="1">IF(ISNUMBER(N752),OFFSET('MPIO_SFIO Table'!$AJ$11,N752,0),"")</f>
        <v/>
      </c>
      <c r="T752" t="str">
        <f ca="1">IF(ISNUMBER(O752),OFFSET('MPIO_SFIO Table'!$AJ$11,O752,0),"")</f>
        <v/>
      </c>
      <c r="U752" t="str">
        <f ca="1">IF(ISNUMBER(P752),OFFSET('MPIO_SFIO Table'!$AJ$11,P752,0),"")</f>
        <v/>
      </c>
      <c r="V752" t="str">
        <f ca="1">IF(ISNUMBER(Q752),OFFSET('MPIO_SFIO Table'!$AJ$11,Q752,0),"")</f>
        <v/>
      </c>
      <c r="W752">
        <f t="shared" ca="1" si="99"/>
        <v>0</v>
      </c>
      <c r="X752">
        <f t="shared" ca="1" si="100"/>
        <v>0</v>
      </c>
      <c r="Y752">
        <f t="shared" ca="1" si="101"/>
        <v>0</v>
      </c>
      <c r="Z752">
        <f t="shared" ca="1" si="102"/>
        <v>0</v>
      </c>
      <c r="AA752">
        <f t="shared" ca="1" si="103"/>
        <v>0</v>
      </c>
    </row>
    <row r="753" spans="1:27" x14ac:dyDescent="0.25">
      <c r="A753">
        <f t="shared" ca="1" si="96"/>
        <v>0</v>
      </c>
      <c r="B753" t="str">
        <f t="shared" ca="1" si="97"/>
        <v/>
      </c>
      <c r="C753" t="str">
        <f t="shared" si="98"/>
        <v>TRACE</v>
      </c>
      <c r="D753" t="s">
        <v>253</v>
      </c>
      <c r="E753" t="s">
        <v>253</v>
      </c>
      <c r="F753" s="3" t="s">
        <v>2914</v>
      </c>
      <c r="G753" s="11" t="s">
        <v>664</v>
      </c>
      <c r="H753" s="11" t="s">
        <v>189</v>
      </c>
      <c r="I753" s="3" t="s">
        <v>253</v>
      </c>
      <c r="J753" s="3" t="s">
        <v>253</v>
      </c>
      <c r="K753" s="3" t="s">
        <v>253</v>
      </c>
      <c r="L753" s="3" t="s">
        <v>253</v>
      </c>
      <c r="M753">
        <f>IF(LEN(H753),MATCH(H753,'MPIO_SFIO Table'!$A$11:$A$65525,0)-1,"")</f>
        <v>203</v>
      </c>
      <c r="N753" t="str">
        <f>IF(LEN(I753),MATCH(I753,'MPIO_SFIO Table'!$A$11:$A$65525,0)-1,"")</f>
        <v/>
      </c>
      <c r="O753" t="str">
        <f>IF(LEN(J753),MATCH(J753,'MPIO_SFIO Table'!$A$11:$A$65525,0)-1,"")</f>
        <v/>
      </c>
      <c r="P753" t="str">
        <f>IF(LEN(K753),MATCH(K753,'MPIO_SFIO Table'!$A$11:$A$65525,0)-1,"")</f>
        <v/>
      </c>
      <c r="Q753" t="str">
        <f>IF(LEN(L753),MATCH(L753,'MPIO_SFIO Table'!$A$11:$A$65525,0)-1,"")</f>
        <v/>
      </c>
      <c r="R753" t="str">
        <f ca="1">IF(ISNUMBER(M753),OFFSET('MPIO_SFIO Table'!$AJ$11,M753,0),"")</f>
        <v>unused_KB_COL4</v>
      </c>
      <c r="S753" t="str">
        <f ca="1">IF(ISNUMBER(N753),OFFSET('MPIO_SFIO Table'!$AJ$11,N753,0),"")</f>
        <v/>
      </c>
      <c r="T753" t="str">
        <f ca="1">IF(ISNUMBER(O753),OFFSET('MPIO_SFIO Table'!$AJ$11,O753,0),"")</f>
        <v/>
      </c>
      <c r="U753" t="str">
        <f ca="1">IF(ISNUMBER(P753),OFFSET('MPIO_SFIO Table'!$AJ$11,P753,0),"")</f>
        <v/>
      </c>
      <c r="V753" t="str">
        <f ca="1">IF(ISNUMBER(Q753),OFFSET('MPIO_SFIO Table'!$AJ$11,Q753,0),"")</f>
        <v/>
      </c>
      <c r="W753">
        <f t="shared" ca="1" si="99"/>
        <v>0</v>
      </c>
      <c r="X753">
        <f t="shared" ca="1" si="100"/>
        <v>0</v>
      </c>
      <c r="Y753">
        <f t="shared" ca="1" si="101"/>
        <v>0</v>
      </c>
      <c r="Z753">
        <f t="shared" ca="1" si="102"/>
        <v>0</v>
      </c>
      <c r="AA753">
        <f t="shared" ca="1" si="103"/>
        <v>0</v>
      </c>
    </row>
    <row r="754" spans="1:27" x14ac:dyDescent="0.25">
      <c r="A754">
        <f t="shared" ca="1" si="96"/>
        <v>0</v>
      </c>
      <c r="B754" t="str">
        <f t="shared" ca="1" si="97"/>
        <v/>
      </c>
      <c r="C754" t="str">
        <f t="shared" si="98"/>
        <v>TRACE</v>
      </c>
      <c r="D754" t="s">
        <v>253</v>
      </c>
      <c r="E754" t="s">
        <v>253</v>
      </c>
      <c r="F754" s="3" t="s">
        <v>2915</v>
      </c>
      <c r="G754" s="11" t="s">
        <v>666</v>
      </c>
      <c r="H754" s="11" t="s">
        <v>190</v>
      </c>
      <c r="I754" s="3" t="s">
        <v>253</v>
      </c>
      <c r="J754" s="3" t="s">
        <v>253</v>
      </c>
      <c r="K754" s="3" t="s">
        <v>253</v>
      </c>
      <c r="L754" s="3" t="s">
        <v>253</v>
      </c>
      <c r="M754">
        <f>IF(LEN(H754),MATCH(H754,'MPIO_SFIO Table'!$A$11:$A$65525,0)-1,"")</f>
        <v>204</v>
      </c>
      <c r="N754" t="str">
        <f>IF(LEN(I754),MATCH(I754,'MPIO_SFIO Table'!$A$11:$A$65525,0)-1,"")</f>
        <v/>
      </c>
      <c r="O754" t="str">
        <f>IF(LEN(J754),MATCH(J754,'MPIO_SFIO Table'!$A$11:$A$65525,0)-1,"")</f>
        <v/>
      </c>
      <c r="P754" t="str">
        <f>IF(LEN(K754),MATCH(K754,'MPIO_SFIO Table'!$A$11:$A$65525,0)-1,"")</f>
        <v/>
      </c>
      <c r="Q754" t="str">
        <f>IF(LEN(L754),MATCH(L754,'MPIO_SFIO Table'!$A$11:$A$65525,0)-1,"")</f>
        <v/>
      </c>
      <c r="R754" t="str">
        <f ca="1">IF(ISNUMBER(M754),OFFSET('MPIO_SFIO Table'!$AJ$11,M754,0),"")</f>
        <v>unused_KB_COL5</v>
      </c>
      <c r="S754" t="str">
        <f ca="1">IF(ISNUMBER(N754),OFFSET('MPIO_SFIO Table'!$AJ$11,N754,0),"")</f>
        <v/>
      </c>
      <c r="T754" t="str">
        <f ca="1">IF(ISNUMBER(O754),OFFSET('MPIO_SFIO Table'!$AJ$11,O754,0),"")</f>
        <v/>
      </c>
      <c r="U754" t="str">
        <f ca="1">IF(ISNUMBER(P754),OFFSET('MPIO_SFIO Table'!$AJ$11,P754,0),"")</f>
        <v/>
      </c>
      <c r="V754" t="str">
        <f ca="1">IF(ISNUMBER(Q754),OFFSET('MPIO_SFIO Table'!$AJ$11,Q754,0),"")</f>
        <v/>
      </c>
      <c r="W754">
        <f t="shared" ca="1" si="99"/>
        <v>0</v>
      </c>
      <c r="X754">
        <f t="shared" ca="1" si="100"/>
        <v>0</v>
      </c>
      <c r="Y754">
        <f t="shared" ca="1" si="101"/>
        <v>0</v>
      </c>
      <c r="Z754">
        <f t="shared" ca="1" si="102"/>
        <v>0</v>
      </c>
      <c r="AA754">
        <f t="shared" ca="1" si="103"/>
        <v>0</v>
      </c>
    </row>
    <row r="755" spans="1:27" x14ac:dyDescent="0.25">
      <c r="A755">
        <f t="shared" ca="1" si="96"/>
        <v>0</v>
      </c>
      <c r="B755" t="str">
        <f t="shared" ca="1" si="97"/>
        <v/>
      </c>
      <c r="C755" t="str">
        <f t="shared" si="98"/>
        <v>TRACE</v>
      </c>
      <c r="D755" t="s">
        <v>253</v>
      </c>
      <c r="E755" t="s">
        <v>253</v>
      </c>
      <c r="F755" s="3" t="s">
        <v>2916</v>
      </c>
      <c r="G755" s="11" t="s">
        <v>668</v>
      </c>
      <c r="H755" s="11" t="s">
        <v>191</v>
      </c>
      <c r="I755" s="3" t="s">
        <v>253</v>
      </c>
      <c r="J755" s="3" t="s">
        <v>253</v>
      </c>
      <c r="K755" s="3" t="s">
        <v>253</v>
      </c>
      <c r="L755" s="3" t="s">
        <v>253</v>
      </c>
      <c r="M755">
        <f>IF(LEN(H755),MATCH(H755,'MPIO_SFIO Table'!$A$11:$A$65525,0)-1,"")</f>
        <v>205</v>
      </c>
      <c r="N755" t="str">
        <f>IF(LEN(I755),MATCH(I755,'MPIO_SFIO Table'!$A$11:$A$65525,0)-1,"")</f>
        <v/>
      </c>
      <c r="O755" t="str">
        <f>IF(LEN(J755),MATCH(J755,'MPIO_SFIO Table'!$A$11:$A$65525,0)-1,"")</f>
        <v/>
      </c>
      <c r="P755" t="str">
        <f>IF(LEN(K755),MATCH(K755,'MPIO_SFIO Table'!$A$11:$A$65525,0)-1,"")</f>
        <v/>
      </c>
      <c r="Q755" t="str">
        <f>IF(LEN(L755),MATCH(L755,'MPIO_SFIO Table'!$A$11:$A$65525,0)-1,"")</f>
        <v/>
      </c>
      <c r="R755" t="str">
        <f ca="1">IF(ISNUMBER(M755),OFFSET('MPIO_SFIO Table'!$AJ$11,M755,0),"")</f>
        <v>unused_KB_COL6</v>
      </c>
      <c r="S755" t="str">
        <f ca="1">IF(ISNUMBER(N755),OFFSET('MPIO_SFIO Table'!$AJ$11,N755,0),"")</f>
        <v/>
      </c>
      <c r="T755" t="str">
        <f ca="1">IF(ISNUMBER(O755),OFFSET('MPIO_SFIO Table'!$AJ$11,O755,0),"")</f>
        <v/>
      </c>
      <c r="U755" t="str">
        <f ca="1">IF(ISNUMBER(P755),OFFSET('MPIO_SFIO Table'!$AJ$11,P755,0),"")</f>
        <v/>
      </c>
      <c r="V755" t="str">
        <f ca="1">IF(ISNUMBER(Q755),OFFSET('MPIO_SFIO Table'!$AJ$11,Q755,0),"")</f>
        <v/>
      </c>
      <c r="W755">
        <f t="shared" ca="1" si="99"/>
        <v>0</v>
      </c>
      <c r="X755">
        <f t="shared" ca="1" si="100"/>
        <v>0</v>
      </c>
      <c r="Y755">
        <f t="shared" ca="1" si="101"/>
        <v>0</v>
      </c>
      <c r="Z755">
        <f t="shared" ca="1" si="102"/>
        <v>0</v>
      </c>
      <c r="AA755">
        <f t="shared" ca="1" si="103"/>
        <v>0</v>
      </c>
    </row>
    <row r="756" spans="1:27" x14ac:dyDescent="0.25">
      <c r="A756">
        <f t="shared" ca="1" si="96"/>
        <v>0</v>
      </c>
      <c r="B756" t="str">
        <f t="shared" ca="1" si="97"/>
        <v/>
      </c>
      <c r="C756" t="str">
        <f t="shared" si="98"/>
        <v>TRACE</v>
      </c>
      <c r="D756" t="s">
        <v>253</v>
      </c>
      <c r="E756" t="s">
        <v>253</v>
      </c>
      <c r="F756" s="3" t="s">
        <v>2917</v>
      </c>
      <c r="G756" s="11" t="s">
        <v>670</v>
      </c>
      <c r="H756" s="11" t="s">
        <v>192</v>
      </c>
      <c r="I756" s="3" t="s">
        <v>253</v>
      </c>
      <c r="J756" s="3" t="s">
        <v>253</v>
      </c>
      <c r="K756" s="3" t="s">
        <v>253</v>
      </c>
      <c r="L756" s="3" t="s">
        <v>253</v>
      </c>
      <c r="M756">
        <f>IF(LEN(H756),MATCH(H756,'MPIO_SFIO Table'!$A$11:$A$65525,0)-1,"")</f>
        <v>206</v>
      </c>
      <c r="N756" t="str">
        <f>IF(LEN(I756),MATCH(I756,'MPIO_SFIO Table'!$A$11:$A$65525,0)-1,"")</f>
        <v/>
      </c>
      <c r="O756" t="str">
        <f>IF(LEN(J756),MATCH(J756,'MPIO_SFIO Table'!$A$11:$A$65525,0)-1,"")</f>
        <v/>
      </c>
      <c r="P756" t="str">
        <f>IF(LEN(K756),MATCH(K756,'MPIO_SFIO Table'!$A$11:$A$65525,0)-1,"")</f>
        <v/>
      </c>
      <c r="Q756" t="str">
        <f>IF(LEN(L756),MATCH(L756,'MPIO_SFIO Table'!$A$11:$A$65525,0)-1,"")</f>
        <v/>
      </c>
      <c r="R756" t="str">
        <f ca="1">IF(ISNUMBER(M756),OFFSET('MPIO_SFIO Table'!$AJ$11,M756,0),"")</f>
        <v>unused_KB_COL7</v>
      </c>
      <c r="S756" t="str">
        <f ca="1">IF(ISNUMBER(N756),OFFSET('MPIO_SFIO Table'!$AJ$11,N756,0),"")</f>
        <v/>
      </c>
      <c r="T756" t="str">
        <f ca="1">IF(ISNUMBER(O756),OFFSET('MPIO_SFIO Table'!$AJ$11,O756,0),"")</f>
        <v/>
      </c>
      <c r="U756" t="str">
        <f ca="1">IF(ISNUMBER(P756),OFFSET('MPIO_SFIO Table'!$AJ$11,P756,0),"")</f>
        <v/>
      </c>
      <c r="V756" t="str">
        <f ca="1">IF(ISNUMBER(Q756),OFFSET('MPIO_SFIO Table'!$AJ$11,Q756,0),"")</f>
        <v/>
      </c>
      <c r="W756">
        <f t="shared" ca="1" si="99"/>
        <v>0</v>
      </c>
      <c r="X756">
        <f t="shared" ca="1" si="100"/>
        <v>0</v>
      </c>
      <c r="Y756">
        <f t="shared" ca="1" si="101"/>
        <v>0</v>
      </c>
      <c r="Z756">
        <f t="shared" ca="1" si="102"/>
        <v>0</v>
      </c>
      <c r="AA756">
        <f t="shared" ca="1" si="103"/>
        <v>0</v>
      </c>
    </row>
    <row r="757" spans="1:27" x14ac:dyDescent="0.25">
      <c r="A757">
        <f t="shared" ca="1" si="96"/>
        <v>0</v>
      </c>
      <c r="B757" t="str">
        <f t="shared" ca="1" si="97"/>
        <v/>
      </c>
      <c r="C757" t="str">
        <f t="shared" si="98"/>
        <v/>
      </c>
      <c r="D757" t="s">
        <v>2512</v>
      </c>
      <c r="E757" t="s">
        <v>1046</v>
      </c>
      <c r="F757" s="3" t="s">
        <v>253</v>
      </c>
      <c r="G757" s="11" t="s">
        <v>253</v>
      </c>
      <c r="H757" s="11" t="s">
        <v>253</v>
      </c>
      <c r="I757" s="3" t="s">
        <v>253</v>
      </c>
      <c r="J757" s="3" t="s">
        <v>253</v>
      </c>
      <c r="K757" s="3" t="s">
        <v>253</v>
      </c>
      <c r="L757" s="3" t="s">
        <v>253</v>
      </c>
      <c r="M757" t="str">
        <f>IF(LEN(H757),MATCH(H757,'MPIO_SFIO Table'!$A$11:$A$65525,0)-1,"")</f>
        <v/>
      </c>
      <c r="N757" t="str">
        <f>IF(LEN(I757),MATCH(I757,'MPIO_SFIO Table'!$A$11:$A$65525,0)-1,"")</f>
        <v/>
      </c>
      <c r="O757" t="str">
        <f>IF(LEN(J757),MATCH(J757,'MPIO_SFIO Table'!$A$11:$A$65525,0)-1,"")</f>
        <v/>
      </c>
      <c r="P757" t="str">
        <f>IF(LEN(K757),MATCH(K757,'MPIO_SFIO Table'!$A$11:$A$65525,0)-1,"")</f>
        <v/>
      </c>
      <c r="Q757" t="str">
        <f>IF(LEN(L757),MATCH(L757,'MPIO_SFIO Table'!$A$11:$A$65525,0)-1,"")</f>
        <v/>
      </c>
      <c r="R757" t="str">
        <f ca="1">IF(ISNUMBER(M757),OFFSET('MPIO_SFIO Table'!$AJ$11,M757,0),"")</f>
        <v/>
      </c>
      <c r="S757" t="str">
        <f ca="1">IF(ISNUMBER(N757),OFFSET('MPIO_SFIO Table'!$AJ$11,N757,0),"")</f>
        <v/>
      </c>
      <c r="T757" t="str">
        <f ca="1">IF(ISNUMBER(O757),OFFSET('MPIO_SFIO Table'!$AJ$11,O757,0),"")</f>
        <v/>
      </c>
      <c r="U757" t="str">
        <f ca="1">IF(ISNUMBER(P757),OFFSET('MPIO_SFIO Table'!$AJ$11,P757,0),"")</f>
        <v/>
      </c>
      <c r="V757" t="str">
        <f ca="1">IF(ISNUMBER(Q757),OFFSET('MPIO_SFIO Table'!$AJ$11,Q757,0),"")</f>
        <v/>
      </c>
      <c r="W757">
        <f t="shared" ca="1" si="99"/>
        <v>0</v>
      </c>
      <c r="X757">
        <f t="shared" ca="1" si="100"/>
        <v>0</v>
      </c>
      <c r="Y757">
        <f t="shared" ca="1" si="101"/>
        <v>0</v>
      </c>
      <c r="Z757">
        <f t="shared" ca="1" si="102"/>
        <v>0</v>
      </c>
      <c r="AA757">
        <f t="shared" ca="1" si="103"/>
        <v>0</v>
      </c>
    </row>
    <row r="758" spans="1:27" x14ac:dyDescent="0.25">
      <c r="A758">
        <f t="shared" ca="1" si="96"/>
        <v>0</v>
      </c>
      <c r="B758" t="str">
        <f t="shared" ca="1" si="97"/>
        <v/>
      </c>
      <c r="C758" t="str">
        <f t="shared" si="98"/>
        <v>TVO</v>
      </c>
      <c r="D758" t="s">
        <v>253</v>
      </c>
      <c r="E758" t="s">
        <v>253</v>
      </c>
      <c r="F758" s="3" t="s">
        <v>2848</v>
      </c>
      <c r="G758" s="11" t="s">
        <v>472</v>
      </c>
      <c r="H758" s="11" t="s">
        <v>97</v>
      </c>
      <c r="I758" s="3" t="s">
        <v>253</v>
      </c>
      <c r="J758" s="3" t="s">
        <v>253</v>
      </c>
      <c r="K758" s="3" t="s">
        <v>253</v>
      </c>
      <c r="L758" s="3" t="s">
        <v>253</v>
      </c>
      <c r="M758">
        <f>IF(LEN(H758),MATCH(H758,'MPIO_SFIO Table'!$A$11:$A$65525,0)-1,"")</f>
        <v>93</v>
      </c>
      <c r="N758" t="str">
        <f>IF(LEN(I758),MATCH(I758,'MPIO_SFIO Table'!$A$11:$A$65525,0)-1,"")</f>
        <v/>
      </c>
      <c r="O758" t="str">
        <f>IF(LEN(J758),MATCH(J758,'MPIO_SFIO Table'!$A$11:$A$65525,0)-1,"")</f>
        <v/>
      </c>
      <c r="P758" t="str">
        <f>IF(LEN(K758),MATCH(K758,'MPIO_SFIO Table'!$A$11:$A$65525,0)-1,"")</f>
        <v/>
      </c>
      <c r="Q758" t="str">
        <f>IF(LEN(L758),MATCH(L758,'MPIO_SFIO Table'!$A$11:$A$65525,0)-1,"")</f>
        <v/>
      </c>
      <c r="R758" t="str">
        <f ca="1">IF(ISNUMBER(M758),OFFSET('MPIO_SFIO Table'!$AJ$11,M758,0),"")</f>
        <v>unused_CRT_HSYNC</v>
      </c>
      <c r="S758" t="str">
        <f ca="1">IF(ISNUMBER(N758),OFFSET('MPIO_SFIO Table'!$AJ$11,N758,0),"")</f>
        <v/>
      </c>
      <c r="T758" t="str">
        <f ca="1">IF(ISNUMBER(O758),OFFSET('MPIO_SFIO Table'!$AJ$11,O758,0),"")</f>
        <v/>
      </c>
      <c r="U758" t="str">
        <f ca="1">IF(ISNUMBER(P758),OFFSET('MPIO_SFIO Table'!$AJ$11,P758,0),"")</f>
        <v/>
      </c>
      <c r="V758" t="str">
        <f ca="1">IF(ISNUMBER(Q758),OFFSET('MPIO_SFIO Table'!$AJ$11,Q758,0),"")</f>
        <v/>
      </c>
      <c r="W758">
        <f t="shared" ca="1" si="99"/>
        <v>0</v>
      </c>
      <c r="X758">
        <f t="shared" ca="1" si="100"/>
        <v>0</v>
      </c>
      <c r="Y758">
        <f t="shared" ca="1" si="101"/>
        <v>0</v>
      </c>
      <c r="Z758">
        <f t="shared" ca="1" si="102"/>
        <v>0</v>
      </c>
      <c r="AA758">
        <f t="shared" ca="1" si="103"/>
        <v>0</v>
      </c>
    </row>
    <row r="759" spans="1:27" x14ac:dyDescent="0.25">
      <c r="A759">
        <f t="shared" ca="1" si="96"/>
        <v>0</v>
      </c>
      <c r="B759" t="str">
        <f t="shared" ca="1" si="97"/>
        <v/>
      </c>
      <c r="C759" t="str">
        <f t="shared" si="98"/>
        <v>TVO</v>
      </c>
      <c r="D759" t="s">
        <v>253</v>
      </c>
      <c r="E759" t="s">
        <v>253</v>
      </c>
      <c r="F759" s="3" t="s">
        <v>2850</v>
      </c>
      <c r="G759" s="11" t="s">
        <v>475</v>
      </c>
      <c r="H759" s="11" t="s">
        <v>98</v>
      </c>
      <c r="I759" s="3" t="s">
        <v>253</v>
      </c>
      <c r="J759" s="3" t="s">
        <v>253</v>
      </c>
      <c r="K759" s="3" t="s">
        <v>253</v>
      </c>
      <c r="L759" s="3" t="s">
        <v>253</v>
      </c>
      <c r="M759">
        <f>IF(LEN(H759),MATCH(H759,'MPIO_SFIO Table'!$A$11:$A$65525,0)-1,"")</f>
        <v>94</v>
      </c>
      <c r="N759" t="str">
        <f>IF(LEN(I759),MATCH(I759,'MPIO_SFIO Table'!$A$11:$A$65525,0)-1,"")</f>
        <v/>
      </c>
      <c r="O759" t="str">
        <f>IF(LEN(J759),MATCH(J759,'MPIO_SFIO Table'!$A$11:$A$65525,0)-1,"")</f>
        <v/>
      </c>
      <c r="P759" t="str">
        <f>IF(LEN(K759),MATCH(K759,'MPIO_SFIO Table'!$A$11:$A$65525,0)-1,"")</f>
        <v/>
      </c>
      <c r="Q759" t="str">
        <f>IF(LEN(L759),MATCH(L759,'MPIO_SFIO Table'!$A$11:$A$65525,0)-1,"")</f>
        <v/>
      </c>
      <c r="R759" t="str">
        <f ca="1">IF(ISNUMBER(M759),OFFSET('MPIO_SFIO Table'!$AJ$11,M759,0),"")</f>
        <v>unused_CRT_VSYNC</v>
      </c>
      <c r="S759" t="str">
        <f ca="1">IF(ISNUMBER(N759),OFFSET('MPIO_SFIO Table'!$AJ$11,N759,0),"")</f>
        <v/>
      </c>
      <c r="T759" t="str">
        <f ca="1">IF(ISNUMBER(O759),OFFSET('MPIO_SFIO Table'!$AJ$11,O759,0),"")</f>
        <v/>
      </c>
      <c r="U759" t="str">
        <f ca="1">IF(ISNUMBER(P759),OFFSET('MPIO_SFIO Table'!$AJ$11,P759,0),"")</f>
        <v/>
      </c>
      <c r="V759" t="str">
        <f ca="1">IF(ISNUMBER(Q759),OFFSET('MPIO_SFIO Table'!$AJ$11,Q759,0),"")</f>
        <v/>
      </c>
      <c r="W759">
        <f t="shared" ca="1" si="99"/>
        <v>0</v>
      </c>
      <c r="X759">
        <f t="shared" ca="1" si="100"/>
        <v>0</v>
      </c>
      <c r="Y759">
        <f t="shared" ca="1" si="101"/>
        <v>0</v>
      </c>
      <c r="Z759">
        <f t="shared" ca="1" si="102"/>
        <v>0</v>
      </c>
      <c r="AA759">
        <f t="shared" ca="1" si="103"/>
        <v>0</v>
      </c>
    </row>
    <row r="760" spans="1:27" x14ac:dyDescent="0.25">
      <c r="A760">
        <f t="shared" ca="1" si="96"/>
        <v>0</v>
      </c>
      <c r="B760" t="str">
        <f t="shared" ca="1" si="97"/>
        <v/>
      </c>
      <c r="C760" t="str">
        <f t="shared" si="98"/>
        <v/>
      </c>
      <c r="D760" t="s">
        <v>2513</v>
      </c>
      <c r="E760" t="s">
        <v>1026</v>
      </c>
      <c r="F760" s="3" t="s">
        <v>253</v>
      </c>
      <c r="G760" s="11" t="s">
        <v>253</v>
      </c>
      <c r="H760" s="11" t="s">
        <v>253</v>
      </c>
      <c r="I760" s="3" t="s">
        <v>253</v>
      </c>
      <c r="J760" s="3" t="s">
        <v>253</v>
      </c>
      <c r="K760" s="3" t="s">
        <v>253</v>
      </c>
      <c r="L760" s="3" t="s">
        <v>253</v>
      </c>
      <c r="M760" t="str">
        <f>IF(LEN(H760),MATCH(H760,'MPIO_SFIO Table'!$A$11:$A$65525,0)-1,"")</f>
        <v/>
      </c>
      <c r="N760" t="str">
        <f>IF(LEN(I760),MATCH(I760,'MPIO_SFIO Table'!$A$11:$A$65525,0)-1,"")</f>
        <v/>
      </c>
      <c r="O760" t="str">
        <f>IF(LEN(J760),MATCH(J760,'MPIO_SFIO Table'!$A$11:$A$65525,0)-1,"")</f>
        <v/>
      </c>
      <c r="P760" t="str">
        <f>IF(LEN(K760),MATCH(K760,'MPIO_SFIO Table'!$A$11:$A$65525,0)-1,"")</f>
        <v/>
      </c>
      <c r="Q760" t="str">
        <f>IF(LEN(L760),MATCH(L760,'MPIO_SFIO Table'!$A$11:$A$65525,0)-1,"")</f>
        <v/>
      </c>
      <c r="R760" t="str">
        <f ca="1">IF(ISNUMBER(M760),OFFSET('MPIO_SFIO Table'!$AJ$11,M760,0),"")</f>
        <v/>
      </c>
      <c r="S760" t="str">
        <f ca="1">IF(ISNUMBER(N760),OFFSET('MPIO_SFIO Table'!$AJ$11,N760,0),"")</f>
        <v/>
      </c>
      <c r="T760" t="str">
        <f ca="1">IF(ISNUMBER(O760),OFFSET('MPIO_SFIO Table'!$AJ$11,O760,0),"")</f>
        <v/>
      </c>
      <c r="U760" t="str">
        <f ca="1">IF(ISNUMBER(P760),OFFSET('MPIO_SFIO Table'!$AJ$11,P760,0),"")</f>
        <v/>
      </c>
      <c r="V760" t="str">
        <f ca="1">IF(ISNUMBER(Q760),OFFSET('MPIO_SFIO Table'!$AJ$11,Q760,0),"")</f>
        <v/>
      </c>
      <c r="W760">
        <f t="shared" ca="1" si="99"/>
        <v>0</v>
      </c>
      <c r="X760">
        <f t="shared" ca="1" si="100"/>
        <v>0</v>
      </c>
      <c r="Y760">
        <f t="shared" ca="1" si="101"/>
        <v>0</v>
      </c>
      <c r="Z760">
        <f t="shared" ca="1" si="102"/>
        <v>0</v>
      </c>
      <c r="AA760">
        <f t="shared" ca="1" si="103"/>
        <v>0</v>
      </c>
    </row>
    <row r="761" spans="1:27" x14ac:dyDescent="0.25">
      <c r="A761">
        <f t="shared" ca="1" si="96"/>
        <v>0</v>
      </c>
      <c r="B761" t="str">
        <f t="shared" ca="1" si="97"/>
        <v/>
      </c>
      <c r="C761" t="str">
        <f t="shared" si="98"/>
        <v>UART1</v>
      </c>
      <c r="D761" t="s">
        <v>253</v>
      </c>
      <c r="E761" t="s">
        <v>253</v>
      </c>
      <c r="F761" s="3" t="s">
        <v>2918</v>
      </c>
      <c r="G761" s="11" t="s">
        <v>2175</v>
      </c>
      <c r="H761" s="11" t="s">
        <v>39</v>
      </c>
      <c r="I761" s="3" t="s">
        <v>253</v>
      </c>
      <c r="J761" s="3" t="s">
        <v>253</v>
      </c>
      <c r="K761" s="3" t="s">
        <v>253</v>
      </c>
      <c r="L761" s="3" t="s">
        <v>253</v>
      </c>
      <c r="M761">
        <f>IF(LEN(H761),MATCH(H761,'MPIO_SFIO Table'!$A$11:$A$65525,0)-1,"")</f>
        <v>32</v>
      </c>
      <c r="N761" t="str">
        <f>IF(LEN(I761),MATCH(I761,'MPIO_SFIO Table'!$A$11:$A$65525,0)-1,"")</f>
        <v/>
      </c>
      <c r="O761" t="str">
        <f>IF(LEN(J761),MATCH(J761,'MPIO_SFIO Table'!$A$11:$A$65525,0)-1,"")</f>
        <v/>
      </c>
      <c r="P761" t="str">
        <f>IF(LEN(K761),MATCH(K761,'MPIO_SFIO Table'!$A$11:$A$65525,0)-1,"")</f>
        <v/>
      </c>
      <c r="Q761" t="str">
        <f>IF(LEN(L761),MATCH(L761,'MPIO_SFIO Table'!$A$11:$A$65525,0)-1,"")</f>
        <v/>
      </c>
      <c r="R761" t="str">
        <f ca="1">IF(ISNUMBER(M761),OFFSET('MPIO_SFIO Table'!$AJ$11,M761,0),"")</f>
        <v>unused_ULPI_DATA2</v>
      </c>
      <c r="S761" t="str">
        <f ca="1">IF(ISNUMBER(N761),OFFSET('MPIO_SFIO Table'!$AJ$11,N761,0),"")</f>
        <v/>
      </c>
      <c r="T761" t="str">
        <f ca="1">IF(ISNUMBER(O761),OFFSET('MPIO_SFIO Table'!$AJ$11,O761,0),"")</f>
        <v/>
      </c>
      <c r="U761" t="str">
        <f ca="1">IF(ISNUMBER(P761),OFFSET('MPIO_SFIO Table'!$AJ$11,P761,0),"")</f>
        <v/>
      </c>
      <c r="V761" t="str">
        <f ca="1">IF(ISNUMBER(Q761),OFFSET('MPIO_SFIO Table'!$AJ$11,Q761,0),"")</f>
        <v/>
      </c>
      <c r="W761">
        <f t="shared" ca="1" si="99"/>
        <v>0</v>
      </c>
      <c r="X761">
        <f t="shared" ca="1" si="100"/>
        <v>0</v>
      </c>
      <c r="Y761">
        <f t="shared" ca="1" si="101"/>
        <v>0</v>
      </c>
      <c r="Z761">
        <f t="shared" ca="1" si="102"/>
        <v>0</v>
      </c>
      <c r="AA761">
        <f t="shared" ca="1" si="103"/>
        <v>0</v>
      </c>
    </row>
    <row r="762" spans="1:27" x14ac:dyDescent="0.25">
      <c r="A762">
        <f t="shared" ca="1" si="96"/>
        <v>0</v>
      </c>
      <c r="B762" t="str">
        <f t="shared" ca="1" si="97"/>
        <v/>
      </c>
      <c r="C762" t="str">
        <f t="shared" si="98"/>
        <v>UART1</v>
      </c>
      <c r="D762" t="s">
        <v>253</v>
      </c>
      <c r="E762" t="s">
        <v>253</v>
      </c>
      <c r="F762" s="3" t="s">
        <v>2919</v>
      </c>
      <c r="G762" s="11" t="s">
        <v>2173</v>
      </c>
      <c r="H762" s="11" t="s">
        <v>42</v>
      </c>
      <c r="I762" s="3" t="s">
        <v>253</v>
      </c>
      <c r="J762" s="3" t="s">
        <v>253</v>
      </c>
      <c r="K762" s="3" t="s">
        <v>253</v>
      </c>
      <c r="L762" s="3" t="s">
        <v>253</v>
      </c>
      <c r="M762">
        <f>IF(LEN(H762),MATCH(H762,'MPIO_SFIO Table'!$A$11:$A$65525,0)-1,"")</f>
        <v>35</v>
      </c>
      <c r="N762" t="str">
        <f>IF(LEN(I762),MATCH(I762,'MPIO_SFIO Table'!$A$11:$A$65525,0)-1,"")</f>
        <v/>
      </c>
      <c r="O762" t="str">
        <f>IF(LEN(J762),MATCH(J762,'MPIO_SFIO Table'!$A$11:$A$65525,0)-1,"")</f>
        <v/>
      </c>
      <c r="P762" t="str">
        <f>IF(LEN(K762),MATCH(K762,'MPIO_SFIO Table'!$A$11:$A$65525,0)-1,"")</f>
        <v/>
      </c>
      <c r="Q762" t="str">
        <f>IF(LEN(L762),MATCH(L762,'MPIO_SFIO Table'!$A$11:$A$65525,0)-1,"")</f>
        <v/>
      </c>
      <c r="R762" t="str">
        <f ca="1">IF(ISNUMBER(M762),OFFSET('MPIO_SFIO Table'!$AJ$11,M762,0),"")</f>
        <v>unused_ULPI_DATA5</v>
      </c>
      <c r="S762" t="str">
        <f ca="1">IF(ISNUMBER(N762),OFFSET('MPIO_SFIO Table'!$AJ$11,N762,0),"")</f>
        <v/>
      </c>
      <c r="T762" t="str">
        <f ca="1">IF(ISNUMBER(O762),OFFSET('MPIO_SFIO Table'!$AJ$11,O762,0),"")</f>
        <v/>
      </c>
      <c r="U762" t="str">
        <f ca="1">IF(ISNUMBER(P762),OFFSET('MPIO_SFIO Table'!$AJ$11,P762,0),"")</f>
        <v/>
      </c>
      <c r="V762" t="str">
        <f ca="1">IF(ISNUMBER(Q762),OFFSET('MPIO_SFIO Table'!$AJ$11,Q762,0),"")</f>
        <v/>
      </c>
      <c r="W762">
        <f t="shared" ca="1" si="99"/>
        <v>0</v>
      </c>
      <c r="X762">
        <f t="shared" ca="1" si="100"/>
        <v>0</v>
      </c>
      <c r="Y762">
        <f t="shared" ca="1" si="101"/>
        <v>0</v>
      </c>
      <c r="Z762">
        <f t="shared" ca="1" si="102"/>
        <v>0</v>
      </c>
      <c r="AA762">
        <f t="shared" ca="1" si="103"/>
        <v>0</v>
      </c>
    </row>
    <row r="763" spans="1:27" x14ac:dyDescent="0.25">
      <c r="A763">
        <f t="shared" ca="1" si="96"/>
        <v>0</v>
      </c>
      <c r="B763" t="str">
        <f t="shared" ca="1" si="97"/>
        <v/>
      </c>
      <c r="C763" t="str">
        <f t="shared" si="98"/>
        <v>UART1</v>
      </c>
      <c r="D763" t="s">
        <v>253</v>
      </c>
      <c r="E763" t="s">
        <v>253</v>
      </c>
      <c r="F763" s="3" t="s">
        <v>2920</v>
      </c>
      <c r="G763" s="11" t="s">
        <v>2170</v>
      </c>
      <c r="H763" s="11" t="s">
        <v>43</v>
      </c>
      <c r="I763" s="3" t="s">
        <v>253</v>
      </c>
      <c r="J763" s="3" t="s">
        <v>253</v>
      </c>
      <c r="K763" s="3" t="s">
        <v>253</v>
      </c>
      <c r="L763" s="3" t="s">
        <v>253</v>
      </c>
      <c r="M763">
        <f>IF(LEN(H763),MATCH(H763,'MPIO_SFIO Table'!$A$11:$A$65525,0)-1,"")</f>
        <v>36</v>
      </c>
      <c r="N763" t="str">
        <f>IF(LEN(I763),MATCH(I763,'MPIO_SFIO Table'!$A$11:$A$65525,0)-1,"")</f>
        <v/>
      </c>
      <c r="O763" t="str">
        <f>IF(LEN(J763),MATCH(J763,'MPIO_SFIO Table'!$A$11:$A$65525,0)-1,"")</f>
        <v/>
      </c>
      <c r="P763" t="str">
        <f>IF(LEN(K763),MATCH(K763,'MPIO_SFIO Table'!$A$11:$A$65525,0)-1,"")</f>
        <v/>
      </c>
      <c r="Q763" t="str">
        <f>IF(LEN(L763),MATCH(L763,'MPIO_SFIO Table'!$A$11:$A$65525,0)-1,"")</f>
        <v/>
      </c>
      <c r="R763" t="str">
        <f ca="1">IF(ISNUMBER(M763),OFFSET('MPIO_SFIO Table'!$AJ$11,M763,0),"")</f>
        <v>unused_ULPI_DATA6</v>
      </c>
      <c r="S763" t="str">
        <f ca="1">IF(ISNUMBER(N763),OFFSET('MPIO_SFIO Table'!$AJ$11,N763,0),"")</f>
        <v/>
      </c>
      <c r="T763" t="str">
        <f ca="1">IF(ISNUMBER(O763),OFFSET('MPIO_SFIO Table'!$AJ$11,O763,0),"")</f>
        <v/>
      </c>
      <c r="U763" t="str">
        <f ca="1">IF(ISNUMBER(P763),OFFSET('MPIO_SFIO Table'!$AJ$11,P763,0),"")</f>
        <v/>
      </c>
      <c r="V763" t="str">
        <f ca="1">IF(ISNUMBER(Q763),OFFSET('MPIO_SFIO Table'!$AJ$11,Q763,0),"")</f>
        <v/>
      </c>
      <c r="W763">
        <f t="shared" ca="1" si="99"/>
        <v>0</v>
      </c>
      <c r="X763">
        <f t="shared" ca="1" si="100"/>
        <v>0</v>
      </c>
      <c r="Y763">
        <f t="shared" ca="1" si="101"/>
        <v>0</v>
      </c>
      <c r="Z763">
        <f t="shared" ca="1" si="102"/>
        <v>0</v>
      </c>
      <c r="AA763">
        <f t="shared" ca="1" si="103"/>
        <v>0</v>
      </c>
    </row>
    <row r="764" spans="1:27" x14ac:dyDescent="0.25">
      <c r="A764">
        <f t="shared" ca="1" si="96"/>
        <v>0</v>
      </c>
      <c r="B764" t="str">
        <f t="shared" ca="1" si="97"/>
        <v/>
      </c>
      <c r="C764" t="str">
        <f t="shared" si="98"/>
        <v>UART1</v>
      </c>
      <c r="D764" t="s">
        <v>253</v>
      </c>
      <c r="E764" t="s">
        <v>253</v>
      </c>
      <c r="F764" s="3" t="s">
        <v>2921</v>
      </c>
      <c r="G764" s="11" t="s">
        <v>2171</v>
      </c>
      <c r="H764" s="11" t="s">
        <v>44</v>
      </c>
      <c r="I764" s="3" t="s">
        <v>253</v>
      </c>
      <c r="J764" s="3" t="s">
        <v>253</v>
      </c>
      <c r="K764" s="3" t="s">
        <v>253</v>
      </c>
      <c r="L764" s="3" t="s">
        <v>253</v>
      </c>
      <c r="M764">
        <f>IF(LEN(H764),MATCH(H764,'MPIO_SFIO Table'!$A$11:$A$65525,0)-1,"")</f>
        <v>37</v>
      </c>
      <c r="N764" t="str">
        <f>IF(LEN(I764),MATCH(I764,'MPIO_SFIO Table'!$A$11:$A$65525,0)-1,"")</f>
        <v/>
      </c>
      <c r="O764" t="str">
        <f>IF(LEN(J764),MATCH(J764,'MPIO_SFIO Table'!$A$11:$A$65525,0)-1,"")</f>
        <v/>
      </c>
      <c r="P764" t="str">
        <f>IF(LEN(K764),MATCH(K764,'MPIO_SFIO Table'!$A$11:$A$65525,0)-1,"")</f>
        <v/>
      </c>
      <c r="Q764" t="str">
        <f>IF(LEN(L764),MATCH(L764,'MPIO_SFIO Table'!$A$11:$A$65525,0)-1,"")</f>
        <v/>
      </c>
      <c r="R764" t="str">
        <f ca="1">IF(ISNUMBER(M764),OFFSET('MPIO_SFIO Table'!$AJ$11,M764,0),"")</f>
        <v>unused_ULPI_DATA7</v>
      </c>
      <c r="S764" t="str">
        <f ca="1">IF(ISNUMBER(N764),OFFSET('MPIO_SFIO Table'!$AJ$11,N764,0),"")</f>
        <v/>
      </c>
      <c r="T764" t="str">
        <f ca="1">IF(ISNUMBER(O764),OFFSET('MPIO_SFIO Table'!$AJ$11,O764,0),"")</f>
        <v/>
      </c>
      <c r="U764" t="str">
        <f ca="1">IF(ISNUMBER(P764),OFFSET('MPIO_SFIO Table'!$AJ$11,P764,0),"")</f>
        <v/>
      </c>
      <c r="V764" t="str">
        <f ca="1">IF(ISNUMBER(Q764),OFFSET('MPIO_SFIO Table'!$AJ$11,Q764,0),"")</f>
        <v/>
      </c>
      <c r="W764">
        <f t="shared" ca="1" si="99"/>
        <v>0</v>
      </c>
      <c r="X764">
        <f t="shared" ca="1" si="100"/>
        <v>0</v>
      </c>
      <c r="Y764">
        <f t="shared" ca="1" si="101"/>
        <v>0</v>
      </c>
      <c r="Z764">
        <f t="shared" ca="1" si="102"/>
        <v>0</v>
      </c>
      <c r="AA764">
        <f t="shared" ca="1" si="103"/>
        <v>0</v>
      </c>
    </row>
    <row r="765" spans="1:27" x14ac:dyDescent="0.25">
      <c r="A765">
        <f t="shared" ca="1" si="96"/>
        <v>0</v>
      </c>
      <c r="B765" t="str">
        <f t="shared" ca="1" si="97"/>
        <v/>
      </c>
      <c r="C765" t="str">
        <f t="shared" si="98"/>
        <v>UART1</v>
      </c>
      <c r="D765" t="s">
        <v>253</v>
      </c>
      <c r="E765" t="s">
        <v>253</v>
      </c>
      <c r="F765" s="3" t="s">
        <v>2922</v>
      </c>
      <c r="G765" s="11" t="s">
        <v>2172</v>
      </c>
      <c r="H765" s="11" t="s">
        <v>41</v>
      </c>
      <c r="I765" s="3" t="s">
        <v>253</v>
      </c>
      <c r="J765" s="3" t="s">
        <v>253</v>
      </c>
      <c r="K765" s="3" t="s">
        <v>253</v>
      </c>
      <c r="L765" s="3" t="s">
        <v>253</v>
      </c>
      <c r="M765">
        <f>IF(LEN(H765),MATCH(H765,'MPIO_SFIO Table'!$A$11:$A$65525,0)-1,"")</f>
        <v>34</v>
      </c>
      <c r="N765" t="str">
        <f>IF(LEN(I765),MATCH(I765,'MPIO_SFIO Table'!$A$11:$A$65525,0)-1,"")</f>
        <v/>
      </c>
      <c r="O765" t="str">
        <f>IF(LEN(J765),MATCH(J765,'MPIO_SFIO Table'!$A$11:$A$65525,0)-1,"")</f>
        <v/>
      </c>
      <c r="P765" t="str">
        <f>IF(LEN(K765),MATCH(K765,'MPIO_SFIO Table'!$A$11:$A$65525,0)-1,"")</f>
        <v/>
      </c>
      <c r="Q765" t="str">
        <f>IF(LEN(L765),MATCH(L765,'MPIO_SFIO Table'!$A$11:$A$65525,0)-1,"")</f>
        <v/>
      </c>
      <c r="R765" t="str">
        <f ca="1">IF(ISNUMBER(M765),OFFSET('MPIO_SFIO Table'!$AJ$11,M765,0),"")</f>
        <v>unused_ULPI_DATA4</v>
      </c>
      <c r="S765" t="str">
        <f ca="1">IF(ISNUMBER(N765),OFFSET('MPIO_SFIO Table'!$AJ$11,N765,0),"")</f>
        <v/>
      </c>
      <c r="T765" t="str">
        <f ca="1">IF(ISNUMBER(O765),OFFSET('MPIO_SFIO Table'!$AJ$11,O765,0),"")</f>
        <v/>
      </c>
      <c r="U765" t="str">
        <f ca="1">IF(ISNUMBER(P765),OFFSET('MPIO_SFIO Table'!$AJ$11,P765,0),"")</f>
        <v/>
      </c>
      <c r="V765" t="str">
        <f ca="1">IF(ISNUMBER(Q765),OFFSET('MPIO_SFIO Table'!$AJ$11,Q765,0),"")</f>
        <v/>
      </c>
      <c r="W765">
        <f t="shared" ca="1" si="99"/>
        <v>0</v>
      </c>
      <c r="X765">
        <f t="shared" ca="1" si="100"/>
        <v>0</v>
      </c>
      <c r="Y765">
        <f t="shared" ca="1" si="101"/>
        <v>0</v>
      </c>
      <c r="Z765">
        <f t="shared" ca="1" si="102"/>
        <v>0</v>
      </c>
      <c r="AA765">
        <f t="shared" ca="1" si="103"/>
        <v>0</v>
      </c>
    </row>
    <row r="766" spans="1:27" x14ac:dyDescent="0.25">
      <c r="A766">
        <f t="shared" ca="1" si="96"/>
        <v>0</v>
      </c>
      <c r="B766" t="str">
        <f t="shared" ca="1" si="97"/>
        <v/>
      </c>
      <c r="C766" t="str">
        <f t="shared" si="98"/>
        <v>UART1</v>
      </c>
      <c r="D766" t="s">
        <v>253</v>
      </c>
      <c r="E766" t="s">
        <v>253</v>
      </c>
      <c r="F766" s="3" t="s">
        <v>2923</v>
      </c>
      <c r="G766" s="11" t="s">
        <v>2174</v>
      </c>
      <c r="H766" s="11" t="s">
        <v>40</v>
      </c>
      <c r="I766" s="3" t="s">
        <v>253</v>
      </c>
      <c r="J766" s="3" t="s">
        <v>253</v>
      </c>
      <c r="K766" s="3" t="s">
        <v>253</v>
      </c>
      <c r="L766" s="3" t="s">
        <v>253</v>
      </c>
      <c r="M766">
        <f>IF(LEN(H766),MATCH(H766,'MPIO_SFIO Table'!$A$11:$A$65525,0)-1,"")</f>
        <v>33</v>
      </c>
      <c r="N766" t="str">
        <f>IF(LEN(I766),MATCH(I766,'MPIO_SFIO Table'!$A$11:$A$65525,0)-1,"")</f>
        <v/>
      </c>
      <c r="O766" t="str">
        <f>IF(LEN(J766),MATCH(J766,'MPIO_SFIO Table'!$A$11:$A$65525,0)-1,"")</f>
        <v/>
      </c>
      <c r="P766" t="str">
        <f>IF(LEN(K766),MATCH(K766,'MPIO_SFIO Table'!$A$11:$A$65525,0)-1,"")</f>
        <v/>
      </c>
      <c r="Q766" t="str">
        <f>IF(LEN(L766),MATCH(L766,'MPIO_SFIO Table'!$A$11:$A$65525,0)-1,"")</f>
        <v/>
      </c>
      <c r="R766" t="str">
        <f ca="1">IF(ISNUMBER(M766),OFFSET('MPIO_SFIO Table'!$AJ$11,M766,0),"")</f>
        <v>unused_ULPI_DATA3</v>
      </c>
      <c r="S766" t="str">
        <f ca="1">IF(ISNUMBER(N766),OFFSET('MPIO_SFIO Table'!$AJ$11,N766,0),"")</f>
        <v/>
      </c>
      <c r="T766" t="str">
        <f ca="1">IF(ISNUMBER(O766),OFFSET('MPIO_SFIO Table'!$AJ$11,O766,0),"")</f>
        <v/>
      </c>
      <c r="U766" t="str">
        <f ca="1">IF(ISNUMBER(P766),OFFSET('MPIO_SFIO Table'!$AJ$11,P766,0),"")</f>
        <v/>
      </c>
      <c r="V766" t="str">
        <f ca="1">IF(ISNUMBER(Q766),OFFSET('MPIO_SFIO Table'!$AJ$11,Q766,0),"")</f>
        <v/>
      </c>
      <c r="W766">
        <f t="shared" ca="1" si="99"/>
        <v>0</v>
      </c>
      <c r="X766">
        <f t="shared" ca="1" si="100"/>
        <v>0</v>
      </c>
      <c r="Y766">
        <f t="shared" ca="1" si="101"/>
        <v>0</v>
      </c>
      <c r="Z766">
        <f t="shared" ca="1" si="102"/>
        <v>0</v>
      </c>
      <c r="AA766">
        <f t="shared" ca="1" si="103"/>
        <v>0</v>
      </c>
    </row>
    <row r="767" spans="1:27" x14ac:dyDescent="0.25">
      <c r="A767">
        <f t="shared" ca="1" si="96"/>
        <v>0</v>
      </c>
      <c r="B767" t="str">
        <f t="shared" ca="1" si="97"/>
        <v/>
      </c>
      <c r="C767" t="str">
        <f t="shared" si="98"/>
        <v>UART1</v>
      </c>
      <c r="D767" t="s">
        <v>253</v>
      </c>
      <c r="E767" t="s">
        <v>253</v>
      </c>
      <c r="F767" s="3" t="s">
        <v>2924</v>
      </c>
      <c r="G767" s="11" t="s">
        <v>348</v>
      </c>
      <c r="H767" s="11" t="s">
        <v>38</v>
      </c>
      <c r="I767" s="3" t="s">
        <v>253</v>
      </c>
      <c r="J767" s="3" t="s">
        <v>253</v>
      </c>
      <c r="K767" s="3" t="s">
        <v>253</v>
      </c>
      <c r="L767" s="3" t="s">
        <v>253</v>
      </c>
      <c r="M767">
        <f>IF(LEN(H767),MATCH(H767,'MPIO_SFIO Table'!$A$11:$A$65525,0)-1,"")</f>
        <v>31</v>
      </c>
      <c r="N767" t="str">
        <f>IF(LEN(I767),MATCH(I767,'MPIO_SFIO Table'!$A$11:$A$65525,0)-1,"")</f>
        <v/>
      </c>
      <c r="O767" t="str">
        <f>IF(LEN(J767),MATCH(J767,'MPIO_SFIO Table'!$A$11:$A$65525,0)-1,"")</f>
        <v/>
      </c>
      <c r="P767" t="str">
        <f>IF(LEN(K767),MATCH(K767,'MPIO_SFIO Table'!$A$11:$A$65525,0)-1,"")</f>
        <v/>
      </c>
      <c r="Q767" t="str">
        <f>IF(LEN(L767),MATCH(L767,'MPIO_SFIO Table'!$A$11:$A$65525,0)-1,"")</f>
        <v/>
      </c>
      <c r="R767" t="str">
        <f ca="1">IF(ISNUMBER(M767),OFFSET('MPIO_SFIO Table'!$AJ$11,M767,0),"")</f>
        <v>unused_ULPI_DATA1</v>
      </c>
      <c r="S767" t="str">
        <f ca="1">IF(ISNUMBER(N767),OFFSET('MPIO_SFIO Table'!$AJ$11,N767,0),"")</f>
        <v/>
      </c>
      <c r="T767" t="str">
        <f ca="1">IF(ISNUMBER(O767),OFFSET('MPIO_SFIO Table'!$AJ$11,O767,0),"")</f>
        <v/>
      </c>
      <c r="U767" t="str">
        <f ca="1">IF(ISNUMBER(P767),OFFSET('MPIO_SFIO Table'!$AJ$11,P767,0),"")</f>
        <v/>
      </c>
      <c r="V767" t="str">
        <f ca="1">IF(ISNUMBER(Q767),OFFSET('MPIO_SFIO Table'!$AJ$11,Q767,0),"")</f>
        <v/>
      </c>
      <c r="W767">
        <f t="shared" ca="1" si="99"/>
        <v>0</v>
      </c>
      <c r="X767">
        <f t="shared" ca="1" si="100"/>
        <v>0</v>
      </c>
      <c r="Y767">
        <f t="shared" ca="1" si="101"/>
        <v>0</v>
      </c>
      <c r="Z767">
        <f t="shared" ca="1" si="102"/>
        <v>0</v>
      </c>
      <c r="AA767">
        <f t="shared" ca="1" si="103"/>
        <v>0</v>
      </c>
    </row>
    <row r="768" spans="1:27" x14ac:dyDescent="0.25">
      <c r="A768">
        <f t="shared" ca="1" si="96"/>
        <v>0</v>
      </c>
      <c r="B768" t="str">
        <f t="shared" ca="1" si="97"/>
        <v/>
      </c>
      <c r="C768" t="str">
        <f t="shared" si="98"/>
        <v>UART1</v>
      </c>
      <c r="D768" t="s">
        <v>253</v>
      </c>
      <c r="E768" t="s">
        <v>253</v>
      </c>
      <c r="F768" s="3" t="s">
        <v>2925</v>
      </c>
      <c r="G768" s="11" t="s">
        <v>344</v>
      </c>
      <c r="H768" s="11" t="s">
        <v>37</v>
      </c>
      <c r="I768" s="3" t="s">
        <v>253</v>
      </c>
      <c r="J768" s="3" t="s">
        <v>253</v>
      </c>
      <c r="K768" s="3" t="s">
        <v>253</v>
      </c>
      <c r="L768" s="3" t="s">
        <v>253</v>
      </c>
      <c r="M768">
        <f>IF(LEN(H768),MATCH(H768,'MPIO_SFIO Table'!$A$11:$A$65525,0)-1,"")</f>
        <v>30</v>
      </c>
      <c r="N768" t="str">
        <f>IF(LEN(I768),MATCH(I768,'MPIO_SFIO Table'!$A$11:$A$65525,0)-1,"")</f>
        <v/>
      </c>
      <c r="O768" t="str">
        <f>IF(LEN(J768),MATCH(J768,'MPIO_SFIO Table'!$A$11:$A$65525,0)-1,"")</f>
        <v/>
      </c>
      <c r="P768" t="str">
        <f>IF(LEN(K768),MATCH(K768,'MPIO_SFIO Table'!$A$11:$A$65525,0)-1,"")</f>
        <v/>
      </c>
      <c r="Q768" t="str">
        <f>IF(LEN(L768),MATCH(L768,'MPIO_SFIO Table'!$A$11:$A$65525,0)-1,"")</f>
        <v/>
      </c>
      <c r="R768" t="str">
        <f ca="1">IF(ISNUMBER(M768),OFFSET('MPIO_SFIO Table'!$AJ$11,M768,0),"")</f>
        <v>unused_ULPI_DATA0</v>
      </c>
      <c r="S768" t="str">
        <f ca="1">IF(ISNUMBER(N768),OFFSET('MPIO_SFIO Table'!$AJ$11,N768,0),"")</f>
        <v/>
      </c>
      <c r="T768" t="str">
        <f ca="1">IF(ISNUMBER(O768),OFFSET('MPIO_SFIO Table'!$AJ$11,O768,0),"")</f>
        <v/>
      </c>
      <c r="U768" t="str">
        <f ca="1">IF(ISNUMBER(P768),OFFSET('MPIO_SFIO Table'!$AJ$11,P768,0),"")</f>
        <v/>
      </c>
      <c r="V768" t="str">
        <f ca="1">IF(ISNUMBER(Q768),OFFSET('MPIO_SFIO Table'!$AJ$11,Q768,0),"")</f>
        <v/>
      </c>
      <c r="W768">
        <f t="shared" ca="1" si="99"/>
        <v>0</v>
      </c>
      <c r="X768">
        <f t="shared" ca="1" si="100"/>
        <v>0</v>
      </c>
      <c r="Y768">
        <f t="shared" ca="1" si="101"/>
        <v>0</v>
      </c>
      <c r="Z768">
        <f t="shared" ca="1" si="102"/>
        <v>0</v>
      </c>
      <c r="AA768">
        <f t="shared" ca="1" si="103"/>
        <v>0</v>
      </c>
    </row>
    <row r="769" spans="1:27" x14ac:dyDescent="0.25">
      <c r="A769">
        <f t="shared" ca="1" si="96"/>
        <v>0</v>
      </c>
      <c r="B769" t="str">
        <f t="shared" ca="1" si="97"/>
        <v/>
      </c>
      <c r="C769" t="str">
        <f t="shared" si="98"/>
        <v/>
      </c>
      <c r="D769" t="s">
        <v>253</v>
      </c>
      <c r="E769" t="s">
        <v>1027</v>
      </c>
      <c r="F769" s="3" t="s">
        <v>253</v>
      </c>
      <c r="G769" s="11" t="s">
        <v>253</v>
      </c>
      <c r="H769" s="11" t="s">
        <v>253</v>
      </c>
      <c r="I769" s="3" t="s">
        <v>253</v>
      </c>
      <c r="J769" s="3" t="s">
        <v>253</v>
      </c>
      <c r="K769" s="3" t="s">
        <v>253</v>
      </c>
      <c r="L769" s="3" t="s">
        <v>253</v>
      </c>
      <c r="M769" t="str">
        <f>IF(LEN(H769),MATCH(H769,'MPIO_SFIO Table'!$A$11:$A$65525,0)-1,"")</f>
        <v/>
      </c>
      <c r="N769" t="str">
        <f>IF(LEN(I769),MATCH(I769,'MPIO_SFIO Table'!$A$11:$A$65525,0)-1,"")</f>
        <v/>
      </c>
      <c r="O769" t="str">
        <f>IF(LEN(J769),MATCH(J769,'MPIO_SFIO Table'!$A$11:$A$65525,0)-1,"")</f>
        <v/>
      </c>
      <c r="P769" t="str">
        <f>IF(LEN(K769),MATCH(K769,'MPIO_SFIO Table'!$A$11:$A$65525,0)-1,"")</f>
        <v/>
      </c>
      <c r="Q769" t="str">
        <f>IF(LEN(L769),MATCH(L769,'MPIO_SFIO Table'!$A$11:$A$65525,0)-1,"")</f>
        <v/>
      </c>
      <c r="R769" t="str">
        <f ca="1">IF(ISNUMBER(M769),OFFSET('MPIO_SFIO Table'!$AJ$11,M769,0),"")</f>
        <v/>
      </c>
      <c r="S769" t="str">
        <f ca="1">IF(ISNUMBER(N769),OFFSET('MPIO_SFIO Table'!$AJ$11,N769,0),"")</f>
        <v/>
      </c>
      <c r="T769" t="str">
        <f ca="1">IF(ISNUMBER(O769),OFFSET('MPIO_SFIO Table'!$AJ$11,O769,0),"")</f>
        <v/>
      </c>
      <c r="U769" t="str">
        <f ca="1">IF(ISNUMBER(P769),OFFSET('MPIO_SFIO Table'!$AJ$11,P769,0),"")</f>
        <v/>
      </c>
      <c r="V769" t="str">
        <f ca="1">IF(ISNUMBER(Q769),OFFSET('MPIO_SFIO Table'!$AJ$11,Q769,0),"")</f>
        <v/>
      </c>
      <c r="W769">
        <f t="shared" ca="1" si="99"/>
        <v>0</v>
      </c>
      <c r="X769">
        <f t="shared" ca="1" si="100"/>
        <v>0</v>
      </c>
      <c r="Y769">
        <f t="shared" ca="1" si="101"/>
        <v>0</v>
      </c>
      <c r="Z769">
        <f t="shared" ca="1" si="102"/>
        <v>0</v>
      </c>
      <c r="AA769">
        <f t="shared" ca="1" si="103"/>
        <v>0</v>
      </c>
    </row>
    <row r="770" spans="1:27" x14ac:dyDescent="0.25">
      <c r="A770">
        <f t="shared" ca="1" si="96"/>
        <v>0</v>
      </c>
      <c r="B770" t="str">
        <f t="shared" ca="1" si="97"/>
        <v/>
      </c>
      <c r="C770" t="str">
        <f t="shared" si="98"/>
        <v>UART1</v>
      </c>
      <c r="D770" t="s">
        <v>253</v>
      </c>
      <c r="E770" t="s">
        <v>253</v>
      </c>
      <c r="F770" s="3" t="s">
        <v>2918</v>
      </c>
      <c r="G770" s="11" t="s">
        <v>2216</v>
      </c>
      <c r="H770" s="11" t="s">
        <v>223</v>
      </c>
      <c r="I770" s="3" t="s">
        <v>253</v>
      </c>
      <c r="J770" s="3" t="s">
        <v>253</v>
      </c>
      <c r="K770" s="3" t="s">
        <v>253</v>
      </c>
      <c r="L770" s="3" t="s">
        <v>253</v>
      </c>
      <c r="M770">
        <f>IF(LEN(H770),MATCH(H770,'MPIO_SFIO Table'!$A$11:$A$65525,0)-1,"")</f>
        <v>241</v>
      </c>
      <c r="N770" t="str">
        <f>IF(LEN(I770),MATCH(I770,'MPIO_SFIO Table'!$A$11:$A$65525,0)-1,"")</f>
        <v/>
      </c>
      <c r="O770" t="str">
        <f>IF(LEN(J770),MATCH(J770,'MPIO_SFIO Table'!$A$11:$A$65525,0)-1,"")</f>
        <v/>
      </c>
      <c r="P770" t="str">
        <f>IF(LEN(K770),MATCH(K770,'MPIO_SFIO Table'!$A$11:$A$65525,0)-1,"")</f>
        <v/>
      </c>
      <c r="Q770" t="str">
        <f>IF(LEN(L770),MATCH(L770,'MPIO_SFIO Table'!$A$11:$A$65525,0)-1,"")</f>
        <v/>
      </c>
      <c r="R770" t="str">
        <f ca="1">IF(ISNUMBER(M770),OFFSET('MPIO_SFIO Table'!$AJ$11,M770,0),"")</f>
        <v>unused_GPIO_PU2</v>
      </c>
      <c r="S770" t="str">
        <f ca="1">IF(ISNUMBER(N770),OFFSET('MPIO_SFIO Table'!$AJ$11,N770,0),"")</f>
        <v/>
      </c>
      <c r="T770" t="str">
        <f ca="1">IF(ISNUMBER(O770),OFFSET('MPIO_SFIO Table'!$AJ$11,O770,0),"")</f>
        <v/>
      </c>
      <c r="U770" t="str">
        <f ca="1">IF(ISNUMBER(P770),OFFSET('MPIO_SFIO Table'!$AJ$11,P770,0),"")</f>
        <v/>
      </c>
      <c r="V770" t="str">
        <f ca="1">IF(ISNUMBER(Q770),OFFSET('MPIO_SFIO Table'!$AJ$11,Q770,0),"")</f>
        <v/>
      </c>
      <c r="W770">
        <f t="shared" ca="1" si="99"/>
        <v>0</v>
      </c>
      <c r="X770">
        <f t="shared" ca="1" si="100"/>
        <v>0</v>
      </c>
      <c r="Y770">
        <f t="shared" ca="1" si="101"/>
        <v>0</v>
      </c>
      <c r="Z770">
        <f t="shared" ca="1" si="102"/>
        <v>0</v>
      </c>
      <c r="AA770">
        <f t="shared" ca="1" si="103"/>
        <v>0</v>
      </c>
    </row>
    <row r="771" spans="1:27" x14ac:dyDescent="0.25">
      <c r="A771">
        <f t="shared" ca="1" si="96"/>
        <v>0</v>
      </c>
      <c r="B771" t="str">
        <f t="shared" ca="1" si="97"/>
        <v/>
      </c>
      <c r="C771" t="str">
        <f t="shared" si="98"/>
        <v>UART1</v>
      </c>
      <c r="D771" t="s">
        <v>253</v>
      </c>
      <c r="E771" t="s">
        <v>253</v>
      </c>
      <c r="F771" s="3" t="s">
        <v>2920</v>
      </c>
      <c r="G771" s="11" t="s">
        <v>2220</v>
      </c>
      <c r="H771" s="11" t="s">
        <v>227</v>
      </c>
      <c r="I771" s="3" t="s">
        <v>253</v>
      </c>
      <c r="J771" s="3" t="s">
        <v>253</v>
      </c>
      <c r="K771" s="3" t="s">
        <v>253</v>
      </c>
      <c r="L771" s="3" t="s">
        <v>253</v>
      </c>
      <c r="M771">
        <f>IF(LEN(H771),MATCH(H771,'MPIO_SFIO Table'!$A$11:$A$65525,0)-1,"")</f>
        <v>245</v>
      </c>
      <c r="N771" t="str">
        <f>IF(LEN(I771),MATCH(I771,'MPIO_SFIO Table'!$A$11:$A$65525,0)-1,"")</f>
        <v/>
      </c>
      <c r="O771" t="str">
        <f>IF(LEN(J771),MATCH(J771,'MPIO_SFIO Table'!$A$11:$A$65525,0)-1,"")</f>
        <v/>
      </c>
      <c r="P771" t="str">
        <f>IF(LEN(K771),MATCH(K771,'MPIO_SFIO Table'!$A$11:$A$65525,0)-1,"")</f>
        <v/>
      </c>
      <c r="Q771" t="str">
        <f>IF(LEN(L771),MATCH(L771,'MPIO_SFIO Table'!$A$11:$A$65525,0)-1,"")</f>
        <v/>
      </c>
      <c r="R771" t="str">
        <f ca="1">IF(ISNUMBER(M771),OFFSET('MPIO_SFIO Table'!$AJ$11,M771,0),"")</f>
        <v>unused_GPIO_PU6</v>
      </c>
      <c r="S771" t="str">
        <f ca="1">IF(ISNUMBER(N771),OFFSET('MPIO_SFIO Table'!$AJ$11,N771,0),"")</f>
        <v/>
      </c>
      <c r="T771" t="str">
        <f ca="1">IF(ISNUMBER(O771),OFFSET('MPIO_SFIO Table'!$AJ$11,O771,0),"")</f>
        <v/>
      </c>
      <c r="U771" t="str">
        <f ca="1">IF(ISNUMBER(P771),OFFSET('MPIO_SFIO Table'!$AJ$11,P771,0),"")</f>
        <v/>
      </c>
      <c r="V771" t="str">
        <f ca="1">IF(ISNUMBER(Q771),OFFSET('MPIO_SFIO Table'!$AJ$11,Q771,0),"")</f>
        <v/>
      </c>
      <c r="W771">
        <f t="shared" ca="1" si="99"/>
        <v>0</v>
      </c>
      <c r="X771">
        <f t="shared" ca="1" si="100"/>
        <v>0</v>
      </c>
      <c r="Y771">
        <f t="shared" ca="1" si="101"/>
        <v>0</v>
      </c>
      <c r="Z771">
        <f t="shared" ca="1" si="102"/>
        <v>0</v>
      </c>
      <c r="AA771">
        <f t="shared" ca="1" si="103"/>
        <v>0</v>
      </c>
    </row>
    <row r="772" spans="1:27" x14ac:dyDescent="0.25">
      <c r="A772">
        <f t="shared" ca="1" si="96"/>
        <v>0</v>
      </c>
      <c r="B772" t="str">
        <f t="shared" ca="1" si="97"/>
        <v/>
      </c>
      <c r="C772" t="str">
        <f t="shared" si="98"/>
        <v>UART1</v>
      </c>
      <c r="D772" t="s">
        <v>253</v>
      </c>
      <c r="E772" t="s">
        <v>253</v>
      </c>
      <c r="F772" s="3" t="s">
        <v>2921</v>
      </c>
      <c r="G772" s="11" t="s">
        <v>2218</v>
      </c>
      <c r="H772" s="11" t="s">
        <v>225</v>
      </c>
      <c r="I772" s="3" t="s">
        <v>253</v>
      </c>
      <c r="J772" s="3" t="s">
        <v>253</v>
      </c>
      <c r="K772" s="3" t="s">
        <v>253</v>
      </c>
      <c r="L772" s="3" t="s">
        <v>253</v>
      </c>
      <c r="M772">
        <f>IF(LEN(H772),MATCH(H772,'MPIO_SFIO Table'!$A$11:$A$65525,0)-1,"")</f>
        <v>243</v>
      </c>
      <c r="N772" t="str">
        <f>IF(LEN(I772),MATCH(I772,'MPIO_SFIO Table'!$A$11:$A$65525,0)-1,"")</f>
        <v/>
      </c>
      <c r="O772" t="str">
        <f>IF(LEN(J772),MATCH(J772,'MPIO_SFIO Table'!$A$11:$A$65525,0)-1,"")</f>
        <v/>
      </c>
      <c r="P772" t="str">
        <f>IF(LEN(K772),MATCH(K772,'MPIO_SFIO Table'!$A$11:$A$65525,0)-1,"")</f>
        <v/>
      </c>
      <c r="Q772" t="str">
        <f>IF(LEN(L772),MATCH(L772,'MPIO_SFIO Table'!$A$11:$A$65525,0)-1,"")</f>
        <v/>
      </c>
      <c r="R772" t="str">
        <f ca="1">IF(ISNUMBER(M772),OFFSET('MPIO_SFIO Table'!$AJ$11,M772,0),"")</f>
        <v>unused_GPIO_PU4</v>
      </c>
      <c r="S772" t="str">
        <f ca="1">IF(ISNUMBER(N772),OFFSET('MPIO_SFIO Table'!$AJ$11,N772,0),"")</f>
        <v/>
      </c>
      <c r="T772" t="str">
        <f ca="1">IF(ISNUMBER(O772),OFFSET('MPIO_SFIO Table'!$AJ$11,O772,0),"")</f>
        <v/>
      </c>
      <c r="U772" t="str">
        <f ca="1">IF(ISNUMBER(P772),OFFSET('MPIO_SFIO Table'!$AJ$11,P772,0),"")</f>
        <v/>
      </c>
      <c r="V772" t="str">
        <f ca="1">IF(ISNUMBER(Q772),OFFSET('MPIO_SFIO Table'!$AJ$11,Q772,0),"")</f>
        <v/>
      </c>
      <c r="W772">
        <f t="shared" ca="1" si="99"/>
        <v>0</v>
      </c>
      <c r="X772">
        <f t="shared" ca="1" si="100"/>
        <v>0</v>
      </c>
      <c r="Y772">
        <f t="shared" ca="1" si="101"/>
        <v>0</v>
      </c>
      <c r="Z772">
        <f t="shared" ca="1" si="102"/>
        <v>0</v>
      </c>
      <c r="AA772">
        <f t="shared" ca="1" si="103"/>
        <v>0</v>
      </c>
    </row>
    <row r="773" spans="1:27" x14ac:dyDescent="0.25">
      <c r="A773">
        <f t="shared" ca="1" si="96"/>
        <v>0</v>
      </c>
      <c r="B773" t="str">
        <f t="shared" ca="1" si="97"/>
        <v/>
      </c>
      <c r="C773" t="str">
        <f t="shared" si="98"/>
        <v>UART1</v>
      </c>
      <c r="D773" t="s">
        <v>253</v>
      </c>
      <c r="E773" t="s">
        <v>253</v>
      </c>
      <c r="F773" s="3" t="s">
        <v>2922</v>
      </c>
      <c r="G773" s="11" t="s">
        <v>2219</v>
      </c>
      <c r="H773" s="11" t="s">
        <v>226</v>
      </c>
      <c r="I773" s="3" t="s">
        <v>253</v>
      </c>
      <c r="J773" s="3" t="s">
        <v>253</v>
      </c>
      <c r="K773" s="3" t="s">
        <v>253</v>
      </c>
      <c r="L773" s="3" t="s">
        <v>253</v>
      </c>
      <c r="M773">
        <f>IF(LEN(H773),MATCH(H773,'MPIO_SFIO Table'!$A$11:$A$65525,0)-1,"")</f>
        <v>244</v>
      </c>
      <c r="N773" t="str">
        <f>IF(LEN(I773),MATCH(I773,'MPIO_SFIO Table'!$A$11:$A$65525,0)-1,"")</f>
        <v/>
      </c>
      <c r="O773" t="str">
        <f>IF(LEN(J773),MATCH(J773,'MPIO_SFIO Table'!$A$11:$A$65525,0)-1,"")</f>
        <v/>
      </c>
      <c r="P773" t="str">
        <f>IF(LEN(K773),MATCH(K773,'MPIO_SFIO Table'!$A$11:$A$65525,0)-1,"")</f>
        <v/>
      </c>
      <c r="Q773" t="str">
        <f>IF(LEN(L773),MATCH(L773,'MPIO_SFIO Table'!$A$11:$A$65525,0)-1,"")</f>
        <v/>
      </c>
      <c r="R773" t="str">
        <f ca="1">IF(ISNUMBER(M773),OFFSET('MPIO_SFIO Table'!$AJ$11,M773,0),"")</f>
        <v>unused_GPIO_PU5</v>
      </c>
      <c r="S773" t="str">
        <f ca="1">IF(ISNUMBER(N773),OFFSET('MPIO_SFIO Table'!$AJ$11,N773,0),"")</f>
        <v/>
      </c>
      <c r="T773" t="str">
        <f ca="1">IF(ISNUMBER(O773),OFFSET('MPIO_SFIO Table'!$AJ$11,O773,0),"")</f>
        <v/>
      </c>
      <c r="U773" t="str">
        <f ca="1">IF(ISNUMBER(P773),OFFSET('MPIO_SFIO Table'!$AJ$11,P773,0),"")</f>
        <v/>
      </c>
      <c r="V773" t="str">
        <f ca="1">IF(ISNUMBER(Q773),OFFSET('MPIO_SFIO Table'!$AJ$11,Q773,0),"")</f>
        <v/>
      </c>
      <c r="W773">
        <f t="shared" ca="1" si="99"/>
        <v>0</v>
      </c>
      <c r="X773">
        <f t="shared" ca="1" si="100"/>
        <v>0</v>
      </c>
      <c r="Y773">
        <f t="shared" ca="1" si="101"/>
        <v>0</v>
      </c>
      <c r="Z773">
        <f t="shared" ca="1" si="102"/>
        <v>0</v>
      </c>
      <c r="AA773">
        <f t="shared" ca="1" si="103"/>
        <v>0</v>
      </c>
    </row>
    <row r="774" spans="1:27" x14ac:dyDescent="0.25">
      <c r="A774">
        <f t="shared" ca="1" si="96"/>
        <v>0</v>
      </c>
      <c r="B774" t="str">
        <f t="shared" ca="1" si="97"/>
        <v/>
      </c>
      <c r="C774" t="str">
        <f t="shared" si="98"/>
        <v>UART1</v>
      </c>
      <c r="D774" t="s">
        <v>253</v>
      </c>
      <c r="E774" t="s">
        <v>253</v>
      </c>
      <c r="F774" s="3" t="s">
        <v>2923</v>
      </c>
      <c r="G774" s="11" t="s">
        <v>2217</v>
      </c>
      <c r="H774" s="11" t="s">
        <v>224</v>
      </c>
      <c r="I774" s="3" t="s">
        <v>253</v>
      </c>
      <c r="J774" s="3" t="s">
        <v>253</v>
      </c>
      <c r="K774" s="3" t="s">
        <v>253</v>
      </c>
      <c r="L774" s="3" t="s">
        <v>253</v>
      </c>
      <c r="M774">
        <f>IF(LEN(H774),MATCH(H774,'MPIO_SFIO Table'!$A$11:$A$65525,0)-1,"")</f>
        <v>242</v>
      </c>
      <c r="N774" t="str">
        <f>IF(LEN(I774),MATCH(I774,'MPIO_SFIO Table'!$A$11:$A$65525,0)-1,"")</f>
        <v/>
      </c>
      <c r="O774" t="str">
        <f>IF(LEN(J774),MATCH(J774,'MPIO_SFIO Table'!$A$11:$A$65525,0)-1,"")</f>
        <v/>
      </c>
      <c r="P774" t="str">
        <f>IF(LEN(K774),MATCH(K774,'MPIO_SFIO Table'!$A$11:$A$65525,0)-1,"")</f>
        <v/>
      </c>
      <c r="Q774" t="str">
        <f>IF(LEN(L774),MATCH(L774,'MPIO_SFIO Table'!$A$11:$A$65525,0)-1,"")</f>
        <v/>
      </c>
      <c r="R774" t="str">
        <f ca="1">IF(ISNUMBER(M774),OFFSET('MPIO_SFIO Table'!$AJ$11,M774,0),"")</f>
        <v>unused_GPIO_PU3</v>
      </c>
      <c r="S774" t="str">
        <f ca="1">IF(ISNUMBER(N774),OFFSET('MPIO_SFIO Table'!$AJ$11,N774,0),"")</f>
        <v/>
      </c>
      <c r="T774" t="str">
        <f ca="1">IF(ISNUMBER(O774),OFFSET('MPIO_SFIO Table'!$AJ$11,O774,0),"")</f>
        <v/>
      </c>
      <c r="U774" t="str">
        <f ca="1">IF(ISNUMBER(P774),OFFSET('MPIO_SFIO Table'!$AJ$11,P774,0),"")</f>
        <v/>
      </c>
      <c r="V774" t="str">
        <f ca="1">IF(ISNUMBER(Q774),OFFSET('MPIO_SFIO Table'!$AJ$11,Q774,0),"")</f>
        <v/>
      </c>
      <c r="W774">
        <f t="shared" ca="1" si="99"/>
        <v>0</v>
      </c>
      <c r="X774">
        <f t="shared" ca="1" si="100"/>
        <v>0</v>
      </c>
      <c r="Y774">
        <f t="shared" ca="1" si="101"/>
        <v>0</v>
      </c>
      <c r="Z774">
        <f t="shared" ca="1" si="102"/>
        <v>0</v>
      </c>
      <c r="AA774">
        <f t="shared" ca="1" si="103"/>
        <v>0</v>
      </c>
    </row>
    <row r="775" spans="1:27" x14ac:dyDescent="0.25">
      <c r="A775">
        <f t="shared" ca="1" si="96"/>
        <v>0</v>
      </c>
      <c r="B775" t="str">
        <f t="shared" ca="1" si="97"/>
        <v/>
      </c>
      <c r="C775" t="str">
        <f t="shared" si="98"/>
        <v>UART1</v>
      </c>
      <c r="D775" t="s">
        <v>253</v>
      </c>
      <c r="E775" t="s">
        <v>253</v>
      </c>
      <c r="F775" s="3" t="s">
        <v>2924</v>
      </c>
      <c r="G775" s="11" t="s">
        <v>720</v>
      </c>
      <c r="H775" s="11" t="s">
        <v>222</v>
      </c>
      <c r="I775" s="3" t="s">
        <v>253</v>
      </c>
      <c r="J775" s="3" t="s">
        <v>253</v>
      </c>
      <c r="K775" s="3" t="s">
        <v>253</v>
      </c>
      <c r="L775" s="3" t="s">
        <v>253</v>
      </c>
      <c r="M775">
        <f>IF(LEN(H775),MATCH(H775,'MPIO_SFIO Table'!$A$11:$A$65525,0)-1,"")</f>
        <v>240</v>
      </c>
      <c r="N775" t="str">
        <f>IF(LEN(I775),MATCH(I775,'MPIO_SFIO Table'!$A$11:$A$65525,0)-1,"")</f>
        <v/>
      </c>
      <c r="O775" t="str">
        <f>IF(LEN(J775),MATCH(J775,'MPIO_SFIO Table'!$A$11:$A$65525,0)-1,"")</f>
        <v/>
      </c>
      <c r="P775" t="str">
        <f>IF(LEN(K775),MATCH(K775,'MPIO_SFIO Table'!$A$11:$A$65525,0)-1,"")</f>
        <v/>
      </c>
      <c r="Q775" t="str">
        <f>IF(LEN(L775),MATCH(L775,'MPIO_SFIO Table'!$A$11:$A$65525,0)-1,"")</f>
        <v/>
      </c>
      <c r="R775" t="str">
        <f ca="1">IF(ISNUMBER(M775),OFFSET('MPIO_SFIO Table'!$AJ$11,M775,0),"")</f>
        <v>unused_GPIO_PU1</v>
      </c>
      <c r="S775" t="str">
        <f ca="1">IF(ISNUMBER(N775),OFFSET('MPIO_SFIO Table'!$AJ$11,N775,0),"")</f>
        <v/>
      </c>
      <c r="T775" t="str">
        <f ca="1">IF(ISNUMBER(O775),OFFSET('MPIO_SFIO Table'!$AJ$11,O775,0),"")</f>
        <v/>
      </c>
      <c r="U775" t="str">
        <f ca="1">IF(ISNUMBER(P775),OFFSET('MPIO_SFIO Table'!$AJ$11,P775,0),"")</f>
        <v/>
      </c>
      <c r="V775" t="str">
        <f ca="1">IF(ISNUMBER(Q775),OFFSET('MPIO_SFIO Table'!$AJ$11,Q775,0),"")</f>
        <v/>
      </c>
      <c r="W775">
        <f t="shared" ca="1" si="99"/>
        <v>0</v>
      </c>
      <c r="X775">
        <f t="shared" ca="1" si="100"/>
        <v>0</v>
      </c>
      <c r="Y775">
        <f t="shared" ca="1" si="101"/>
        <v>0</v>
      </c>
      <c r="Z775">
        <f t="shared" ca="1" si="102"/>
        <v>0</v>
      </c>
      <c r="AA775">
        <f t="shared" ca="1" si="103"/>
        <v>0</v>
      </c>
    </row>
    <row r="776" spans="1:27" x14ac:dyDescent="0.25">
      <c r="A776">
        <f t="shared" ref="A776:A839" ca="1" si="104">SUM($W776:$AA776)</f>
        <v>0</v>
      </c>
      <c r="B776" t="str">
        <f t="shared" ref="B776:B839" ca="1" si="105">IF(A776&lt;&gt;0,REPLACE(G776,FIND("-",G776),LEN(G776),""),"")</f>
        <v/>
      </c>
      <c r="C776" t="str">
        <f t="shared" si="98"/>
        <v>UART1</v>
      </c>
      <c r="D776" t="s">
        <v>253</v>
      </c>
      <c r="E776" t="s">
        <v>253</v>
      </c>
      <c r="F776" s="3" t="s">
        <v>2925</v>
      </c>
      <c r="G776" s="11" t="s">
        <v>718</v>
      </c>
      <c r="H776" s="11" t="s">
        <v>221</v>
      </c>
      <c r="I776" s="3" t="s">
        <v>253</v>
      </c>
      <c r="J776" s="3" t="s">
        <v>253</v>
      </c>
      <c r="K776" s="3" t="s">
        <v>253</v>
      </c>
      <c r="L776" s="3" t="s">
        <v>253</v>
      </c>
      <c r="M776">
        <f>IF(LEN(H776),MATCH(H776,'MPIO_SFIO Table'!$A$11:$A$65525,0)-1,"")</f>
        <v>239</v>
      </c>
      <c r="N776" t="str">
        <f>IF(LEN(I776),MATCH(I776,'MPIO_SFIO Table'!$A$11:$A$65525,0)-1,"")</f>
        <v/>
      </c>
      <c r="O776" t="str">
        <f>IF(LEN(J776),MATCH(J776,'MPIO_SFIO Table'!$A$11:$A$65525,0)-1,"")</f>
        <v/>
      </c>
      <c r="P776" t="str">
        <f>IF(LEN(K776),MATCH(K776,'MPIO_SFIO Table'!$A$11:$A$65525,0)-1,"")</f>
        <v/>
      </c>
      <c r="Q776" t="str">
        <f>IF(LEN(L776),MATCH(L776,'MPIO_SFIO Table'!$A$11:$A$65525,0)-1,"")</f>
        <v/>
      </c>
      <c r="R776" t="str">
        <f ca="1">IF(ISNUMBER(M776),OFFSET('MPIO_SFIO Table'!$AJ$11,M776,0),"")</f>
        <v>unused_GPIO_PU0</v>
      </c>
      <c r="S776" t="str">
        <f ca="1">IF(ISNUMBER(N776),OFFSET('MPIO_SFIO Table'!$AJ$11,N776,0),"")</f>
        <v/>
      </c>
      <c r="T776" t="str">
        <f ca="1">IF(ISNUMBER(O776),OFFSET('MPIO_SFIO Table'!$AJ$11,O776,0),"")</f>
        <v/>
      </c>
      <c r="U776" t="str">
        <f ca="1">IF(ISNUMBER(P776),OFFSET('MPIO_SFIO Table'!$AJ$11,P776,0),"")</f>
        <v/>
      </c>
      <c r="V776" t="str">
        <f ca="1">IF(ISNUMBER(Q776),OFFSET('MPIO_SFIO Table'!$AJ$11,Q776,0),"")</f>
        <v/>
      </c>
      <c r="W776">
        <f t="shared" ca="1" si="99"/>
        <v>0</v>
      </c>
      <c r="X776">
        <f t="shared" ca="1" si="100"/>
        <v>0</v>
      </c>
      <c r="Y776">
        <f t="shared" ca="1" si="101"/>
        <v>0</v>
      </c>
      <c r="Z776">
        <f t="shared" ca="1" si="102"/>
        <v>0</v>
      </c>
      <c r="AA776">
        <f t="shared" ca="1" si="103"/>
        <v>0</v>
      </c>
    </row>
    <row r="777" spans="1:27" x14ac:dyDescent="0.25">
      <c r="A777">
        <f t="shared" ca="1" si="104"/>
        <v>0</v>
      </c>
      <c r="B777" t="str">
        <f t="shared" ca="1" si="105"/>
        <v/>
      </c>
      <c r="C777" t="str">
        <f t="shared" ref="C777:C840" si="106">REPLACE(G777,FIND(".",CONCATENATE(REPLACE(G777,FIND("-",CONCATENATE(G777,"-")),LEN(G777),""),".")),LEN(G777),"")</f>
        <v/>
      </c>
      <c r="D777" t="s">
        <v>253</v>
      </c>
      <c r="E777" t="s">
        <v>1028</v>
      </c>
      <c r="F777" s="3" t="s">
        <v>253</v>
      </c>
      <c r="G777" s="11" t="s">
        <v>253</v>
      </c>
      <c r="H777" s="11" t="s">
        <v>253</v>
      </c>
      <c r="I777" s="3" t="s">
        <v>253</v>
      </c>
      <c r="J777" s="3" t="s">
        <v>253</v>
      </c>
      <c r="K777" s="3" t="s">
        <v>253</v>
      </c>
      <c r="L777" s="3" t="s">
        <v>253</v>
      </c>
      <c r="M777" t="str">
        <f>IF(LEN(H777),MATCH(H777,'MPIO_SFIO Table'!$A$11:$A$65525,0)-1,"")</f>
        <v/>
      </c>
      <c r="N777" t="str">
        <f>IF(LEN(I777),MATCH(I777,'MPIO_SFIO Table'!$A$11:$A$65525,0)-1,"")</f>
        <v/>
      </c>
      <c r="O777" t="str">
        <f>IF(LEN(J777),MATCH(J777,'MPIO_SFIO Table'!$A$11:$A$65525,0)-1,"")</f>
        <v/>
      </c>
      <c r="P777" t="str">
        <f>IF(LEN(K777),MATCH(K777,'MPIO_SFIO Table'!$A$11:$A$65525,0)-1,"")</f>
        <v/>
      </c>
      <c r="Q777" t="str">
        <f>IF(LEN(L777),MATCH(L777,'MPIO_SFIO Table'!$A$11:$A$65525,0)-1,"")</f>
        <v/>
      </c>
      <c r="R777" t="str">
        <f ca="1">IF(ISNUMBER(M777),OFFSET('MPIO_SFIO Table'!$AJ$11,M777,0),"")</f>
        <v/>
      </c>
      <c r="S777" t="str">
        <f ca="1">IF(ISNUMBER(N777),OFFSET('MPIO_SFIO Table'!$AJ$11,N777,0),"")</f>
        <v/>
      </c>
      <c r="T777" t="str">
        <f ca="1">IF(ISNUMBER(O777),OFFSET('MPIO_SFIO Table'!$AJ$11,O777,0),"")</f>
        <v/>
      </c>
      <c r="U777" t="str">
        <f ca="1">IF(ISNUMBER(P777),OFFSET('MPIO_SFIO Table'!$AJ$11,P777,0),"")</f>
        <v/>
      </c>
      <c r="V777" t="str">
        <f ca="1">IF(ISNUMBER(Q777),OFFSET('MPIO_SFIO Table'!$AJ$11,Q777,0),"")</f>
        <v/>
      </c>
      <c r="W777">
        <f t="shared" ref="W777:W840" ca="1" si="107">1*AND(ISTEXT(R777),LEN(R777),R777=$G777)</f>
        <v>0</v>
      </c>
      <c r="X777">
        <f t="shared" ref="X777:X840" ca="1" si="108">1*AND(ISTEXT(S777),LEN(S777),S777=$G777)</f>
        <v>0</v>
      </c>
      <c r="Y777">
        <f t="shared" ref="Y777:Y840" ca="1" si="109">1*AND(ISTEXT(T777),LEN(T777),T777=$G777)</f>
        <v>0</v>
      </c>
      <c r="Z777">
        <f t="shared" ref="Z777:Z840" ca="1" si="110">1*AND(ISTEXT(U777),LEN(U777),U777=$G777)</f>
        <v>0</v>
      </c>
      <c r="AA777">
        <f t="shared" ref="AA777:AA840" ca="1" si="111">1*AND(ISTEXT(V777),LEN(V777),V777=$G777)</f>
        <v>0</v>
      </c>
    </row>
    <row r="778" spans="1:27" x14ac:dyDescent="0.25">
      <c r="A778">
        <f t="shared" ca="1" si="104"/>
        <v>0</v>
      </c>
      <c r="B778" t="str">
        <f t="shared" ca="1" si="105"/>
        <v/>
      </c>
      <c r="C778" t="str">
        <f t="shared" si="106"/>
        <v>UART1</v>
      </c>
      <c r="D778" t="s">
        <v>253</v>
      </c>
      <c r="E778" t="s">
        <v>253</v>
      </c>
      <c r="F778" s="3" t="s">
        <v>2918</v>
      </c>
      <c r="G778" s="11" t="s">
        <v>2226</v>
      </c>
      <c r="H778" s="11" t="s">
        <v>230</v>
      </c>
      <c r="I778" s="3" t="s">
        <v>253</v>
      </c>
      <c r="J778" s="3" t="s">
        <v>253</v>
      </c>
      <c r="K778" s="3" t="s">
        <v>253</v>
      </c>
      <c r="L778" s="3" t="s">
        <v>253</v>
      </c>
      <c r="M778">
        <f>IF(LEN(H778),MATCH(H778,'MPIO_SFIO Table'!$A$11:$A$65525,0)-1,"")</f>
        <v>248</v>
      </c>
      <c r="N778" t="str">
        <f>IF(LEN(I778),MATCH(I778,'MPIO_SFIO Table'!$A$11:$A$65525,0)-1,"")</f>
        <v/>
      </c>
      <c r="O778" t="str">
        <f>IF(LEN(J778),MATCH(J778,'MPIO_SFIO Table'!$A$11:$A$65525,0)-1,"")</f>
        <v/>
      </c>
      <c r="P778" t="str">
        <f>IF(LEN(K778),MATCH(K778,'MPIO_SFIO Table'!$A$11:$A$65525,0)-1,"")</f>
        <v/>
      </c>
      <c r="Q778" t="str">
        <f>IF(LEN(L778),MATCH(L778,'MPIO_SFIO Table'!$A$11:$A$65525,0)-1,"")</f>
        <v/>
      </c>
      <c r="R778" t="str">
        <f ca="1">IF(ISNUMBER(M778),OFFSET('MPIO_SFIO Table'!$AJ$11,M778,0),"")</f>
        <v>unused_UART2_RXD</v>
      </c>
      <c r="S778" t="str">
        <f ca="1">IF(ISNUMBER(N778),OFFSET('MPIO_SFIO Table'!$AJ$11,N778,0),"")</f>
        <v/>
      </c>
      <c r="T778" t="str">
        <f ca="1">IF(ISNUMBER(O778),OFFSET('MPIO_SFIO Table'!$AJ$11,O778,0),"")</f>
        <v/>
      </c>
      <c r="U778" t="str">
        <f ca="1">IF(ISNUMBER(P778),OFFSET('MPIO_SFIO Table'!$AJ$11,P778,0),"")</f>
        <v/>
      </c>
      <c r="V778" t="str">
        <f ca="1">IF(ISNUMBER(Q778),OFFSET('MPIO_SFIO Table'!$AJ$11,Q778,0),"")</f>
        <v/>
      </c>
      <c r="W778">
        <f t="shared" ca="1" si="107"/>
        <v>0</v>
      </c>
      <c r="X778">
        <f t="shared" ca="1" si="108"/>
        <v>0</v>
      </c>
      <c r="Y778">
        <f t="shared" ca="1" si="109"/>
        <v>0</v>
      </c>
      <c r="Z778">
        <f t="shared" ca="1" si="110"/>
        <v>0</v>
      </c>
      <c r="AA778">
        <f t="shared" ca="1" si="111"/>
        <v>0</v>
      </c>
    </row>
    <row r="779" spans="1:27" x14ac:dyDescent="0.25">
      <c r="A779">
        <f t="shared" ca="1" si="104"/>
        <v>0</v>
      </c>
      <c r="B779" t="str">
        <f t="shared" ca="1" si="105"/>
        <v/>
      </c>
      <c r="C779" t="str">
        <f t="shared" si="106"/>
        <v>UART1</v>
      </c>
      <c r="D779" t="s">
        <v>253</v>
      </c>
      <c r="E779" t="s">
        <v>253</v>
      </c>
      <c r="F779" s="3" t="s">
        <v>2923</v>
      </c>
      <c r="G779" s="11" t="s">
        <v>2225</v>
      </c>
      <c r="H779" s="11" t="s">
        <v>231</v>
      </c>
      <c r="I779" s="3" t="s">
        <v>253</v>
      </c>
      <c r="J779" s="3" t="s">
        <v>253</v>
      </c>
      <c r="K779" s="3" t="s">
        <v>253</v>
      </c>
      <c r="L779" s="3" t="s">
        <v>253</v>
      </c>
      <c r="M779">
        <f>IF(LEN(H779),MATCH(H779,'MPIO_SFIO Table'!$A$11:$A$65525,0)-1,"")</f>
        <v>249</v>
      </c>
      <c r="N779" t="str">
        <f>IF(LEN(I779),MATCH(I779,'MPIO_SFIO Table'!$A$11:$A$65525,0)-1,"")</f>
        <v/>
      </c>
      <c r="O779" t="str">
        <f>IF(LEN(J779),MATCH(J779,'MPIO_SFIO Table'!$A$11:$A$65525,0)-1,"")</f>
        <v/>
      </c>
      <c r="P779" t="str">
        <f>IF(LEN(K779),MATCH(K779,'MPIO_SFIO Table'!$A$11:$A$65525,0)-1,"")</f>
        <v/>
      </c>
      <c r="Q779" t="str">
        <f>IF(LEN(L779),MATCH(L779,'MPIO_SFIO Table'!$A$11:$A$65525,0)-1,"")</f>
        <v/>
      </c>
      <c r="R779" t="str">
        <f ca="1">IF(ISNUMBER(M779),OFFSET('MPIO_SFIO Table'!$AJ$11,M779,0),"")</f>
        <v>unused_UART2_TXD</v>
      </c>
      <c r="S779" t="str">
        <f ca="1">IF(ISNUMBER(N779),OFFSET('MPIO_SFIO Table'!$AJ$11,N779,0),"")</f>
        <v/>
      </c>
      <c r="T779" t="str">
        <f ca="1">IF(ISNUMBER(O779),OFFSET('MPIO_SFIO Table'!$AJ$11,O779,0),"")</f>
        <v/>
      </c>
      <c r="U779" t="str">
        <f ca="1">IF(ISNUMBER(P779),OFFSET('MPIO_SFIO Table'!$AJ$11,P779,0),"")</f>
        <v/>
      </c>
      <c r="V779" t="str">
        <f ca="1">IF(ISNUMBER(Q779),OFFSET('MPIO_SFIO Table'!$AJ$11,Q779,0),"")</f>
        <v/>
      </c>
      <c r="W779">
        <f t="shared" ca="1" si="107"/>
        <v>0</v>
      </c>
      <c r="X779">
        <f t="shared" ca="1" si="108"/>
        <v>0</v>
      </c>
      <c r="Y779">
        <f t="shared" ca="1" si="109"/>
        <v>0</v>
      </c>
      <c r="Z779">
        <f t="shared" ca="1" si="110"/>
        <v>0</v>
      </c>
      <c r="AA779">
        <f t="shared" ca="1" si="111"/>
        <v>0</v>
      </c>
    </row>
    <row r="780" spans="1:27" x14ac:dyDescent="0.25">
      <c r="A780">
        <f t="shared" ca="1" si="104"/>
        <v>0</v>
      </c>
      <c r="B780" t="str">
        <f t="shared" ca="1" si="105"/>
        <v/>
      </c>
      <c r="C780" t="str">
        <f t="shared" si="106"/>
        <v>UART1</v>
      </c>
      <c r="D780" t="s">
        <v>253</v>
      </c>
      <c r="E780" t="s">
        <v>253</v>
      </c>
      <c r="F780" s="3" t="s">
        <v>2924</v>
      </c>
      <c r="G780" s="11" t="s">
        <v>727</v>
      </c>
      <c r="H780" s="11" t="s">
        <v>228</v>
      </c>
      <c r="I780" s="3" t="s">
        <v>253</v>
      </c>
      <c r="J780" s="3" t="s">
        <v>253</v>
      </c>
      <c r="K780" s="3" t="s">
        <v>253</v>
      </c>
      <c r="L780" s="3" t="s">
        <v>253</v>
      </c>
      <c r="M780">
        <f>IF(LEN(H780),MATCH(H780,'MPIO_SFIO Table'!$A$11:$A$65525,0)-1,"")</f>
        <v>246</v>
      </c>
      <c r="N780" t="str">
        <f>IF(LEN(I780),MATCH(I780,'MPIO_SFIO Table'!$A$11:$A$65525,0)-1,"")</f>
        <v/>
      </c>
      <c r="O780" t="str">
        <f>IF(LEN(J780),MATCH(J780,'MPIO_SFIO Table'!$A$11:$A$65525,0)-1,"")</f>
        <v/>
      </c>
      <c r="P780" t="str">
        <f>IF(LEN(K780),MATCH(K780,'MPIO_SFIO Table'!$A$11:$A$65525,0)-1,"")</f>
        <v/>
      </c>
      <c r="Q780" t="str">
        <f>IF(LEN(L780),MATCH(L780,'MPIO_SFIO Table'!$A$11:$A$65525,0)-1,"")</f>
        <v/>
      </c>
      <c r="R780" t="str">
        <f ca="1">IF(ISNUMBER(M780),OFFSET('MPIO_SFIO Table'!$AJ$11,M780,0),"")</f>
        <v>unused_UART2_CTS_N</v>
      </c>
      <c r="S780" t="str">
        <f ca="1">IF(ISNUMBER(N780),OFFSET('MPIO_SFIO Table'!$AJ$11,N780,0),"")</f>
        <v/>
      </c>
      <c r="T780" t="str">
        <f ca="1">IF(ISNUMBER(O780),OFFSET('MPIO_SFIO Table'!$AJ$11,O780,0),"")</f>
        <v/>
      </c>
      <c r="U780" t="str">
        <f ca="1">IF(ISNUMBER(P780),OFFSET('MPIO_SFIO Table'!$AJ$11,P780,0),"")</f>
        <v/>
      </c>
      <c r="V780" t="str">
        <f ca="1">IF(ISNUMBER(Q780),OFFSET('MPIO_SFIO Table'!$AJ$11,Q780,0),"")</f>
        <v/>
      </c>
      <c r="W780">
        <f t="shared" ca="1" si="107"/>
        <v>0</v>
      </c>
      <c r="X780">
        <f t="shared" ca="1" si="108"/>
        <v>0</v>
      </c>
      <c r="Y780">
        <f t="shared" ca="1" si="109"/>
        <v>0</v>
      </c>
      <c r="Z780">
        <f t="shared" ca="1" si="110"/>
        <v>0</v>
      </c>
      <c r="AA780">
        <f t="shared" ca="1" si="111"/>
        <v>0</v>
      </c>
    </row>
    <row r="781" spans="1:27" x14ac:dyDescent="0.25">
      <c r="A781">
        <f t="shared" ca="1" si="104"/>
        <v>0</v>
      </c>
      <c r="B781" t="str">
        <f t="shared" ca="1" si="105"/>
        <v/>
      </c>
      <c r="C781" t="str">
        <f t="shared" si="106"/>
        <v>UART1</v>
      </c>
      <c r="D781" t="s">
        <v>253</v>
      </c>
      <c r="E781" t="s">
        <v>253</v>
      </c>
      <c r="F781" s="3" t="s">
        <v>2925</v>
      </c>
      <c r="G781" s="11" t="s">
        <v>730</v>
      </c>
      <c r="H781" s="11" t="s">
        <v>229</v>
      </c>
      <c r="I781" s="3" t="s">
        <v>253</v>
      </c>
      <c r="J781" s="3" t="s">
        <v>253</v>
      </c>
      <c r="K781" s="3" t="s">
        <v>253</v>
      </c>
      <c r="L781" s="3" t="s">
        <v>253</v>
      </c>
      <c r="M781">
        <f>IF(LEN(H781),MATCH(H781,'MPIO_SFIO Table'!$A$11:$A$65525,0)-1,"")</f>
        <v>247</v>
      </c>
      <c r="N781" t="str">
        <f>IF(LEN(I781),MATCH(I781,'MPIO_SFIO Table'!$A$11:$A$65525,0)-1,"")</f>
        <v/>
      </c>
      <c r="O781" t="str">
        <f>IF(LEN(J781),MATCH(J781,'MPIO_SFIO Table'!$A$11:$A$65525,0)-1,"")</f>
        <v/>
      </c>
      <c r="P781" t="str">
        <f>IF(LEN(K781),MATCH(K781,'MPIO_SFIO Table'!$A$11:$A$65525,0)-1,"")</f>
        <v/>
      </c>
      <c r="Q781" t="str">
        <f>IF(LEN(L781),MATCH(L781,'MPIO_SFIO Table'!$A$11:$A$65525,0)-1,"")</f>
        <v/>
      </c>
      <c r="R781" t="str">
        <f ca="1">IF(ISNUMBER(M781),OFFSET('MPIO_SFIO Table'!$AJ$11,M781,0),"")</f>
        <v>unused_UART2_RTS_N</v>
      </c>
      <c r="S781" t="str">
        <f ca="1">IF(ISNUMBER(N781),OFFSET('MPIO_SFIO Table'!$AJ$11,N781,0),"")</f>
        <v/>
      </c>
      <c r="T781" t="str">
        <f ca="1">IF(ISNUMBER(O781),OFFSET('MPIO_SFIO Table'!$AJ$11,O781,0),"")</f>
        <v/>
      </c>
      <c r="U781" t="str">
        <f ca="1">IF(ISNUMBER(P781),OFFSET('MPIO_SFIO Table'!$AJ$11,P781,0),"")</f>
        <v/>
      </c>
      <c r="V781" t="str">
        <f ca="1">IF(ISNUMBER(Q781),OFFSET('MPIO_SFIO Table'!$AJ$11,Q781,0),"")</f>
        <v/>
      </c>
      <c r="W781">
        <f t="shared" ca="1" si="107"/>
        <v>0</v>
      </c>
      <c r="X781">
        <f t="shared" ca="1" si="108"/>
        <v>0</v>
      </c>
      <c r="Y781">
        <f t="shared" ca="1" si="109"/>
        <v>0</v>
      </c>
      <c r="Z781">
        <f t="shared" ca="1" si="110"/>
        <v>0</v>
      </c>
      <c r="AA781">
        <f t="shared" ca="1" si="111"/>
        <v>0</v>
      </c>
    </row>
    <row r="782" spans="1:27" x14ac:dyDescent="0.25">
      <c r="A782">
        <f t="shared" ca="1" si="104"/>
        <v>0</v>
      </c>
      <c r="B782" t="str">
        <f t="shared" ca="1" si="105"/>
        <v/>
      </c>
      <c r="C782" t="str">
        <f t="shared" si="106"/>
        <v/>
      </c>
      <c r="D782" t="s">
        <v>253</v>
      </c>
      <c r="E782" t="s">
        <v>1030</v>
      </c>
      <c r="F782" s="3" t="s">
        <v>253</v>
      </c>
      <c r="G782" s="11" t="s">
        <v>253</v>
      </c>
      <c r="H782" s="11" t="s">
        <v>253</v>
      </c>
      <c r="I782" s="3" t="s">
        <v>253</v>
      </c>
      <c r="J782" s="3" t="s">
        <v>253</v>
      </c>
      <c r="K782" s="3" t="s">
        <v>253</v>
      </c>
      <c r="L782" s="3" t="s">
        <v>253</v>
      </c>
      <c r="M782" t="str">
        <f>IF(LEN(H782),MATCH(H782,'MPIO_SFIO Table'!$A$11:$A$65525,0)-1,"")</f>
        <v/>
      </c>
      <c r="N782" t="str">
        <f>IF(LEN(I782),MATCH(I782,'MPIO_SFIO Table'!$A$11:$A$65525,0)-1,"")</f>
        <v/>
      </c>
      <c r="O782" t="str">
        <f>IF(LEN(J782),MATCH(J782,'MPIO_SFIO Table'!$A$11:$A$65525,0)-1,"")</f>
        <v/>
      </c>
      <c r="P782" t="str">
        <f>IF(LEN(K782),MATCH(K782,'MPIO_SFIO Table'!$A$11:$A$65525,0)-1,"")</f>
        <v/>
      </c>
      <c r="Q782" t="str">
        <f>IF(LEN(L782),MATCH(L782,'MPIO_SFIO Table'!$A$11:$A$65525,0)-1,"")</f>
        <v/>
      </c>
      <c r="R782" t="str">
        <f ca="1">IF(ISNUMBER(M782),OFFSET('MPIO_SFIO Table'!$AJ$11,M782,0),"")</f>
        <v/>
      </c>
      <c r="S782" t="str">
        <f ca="1">IF(ISNUMBER(N782),OFFSET('MPIO_SFIO Table'!$AJ$11,N782,0),"")</f>
        <v/>
      </c>
      <c r="T782" t="str">
        <f ca="1">IF(ISNUMBER(O782),OFFSET('MPIO_SFIO Table'!$AJ$11,O782,0),"")</f>
        <v/>
      </c>
      <c r="U782" t="str">
        <f ca="1">IF(ISNUMBER(P782),OFFSET('MPIO_SFIO Table'!$AJ$11,P782,0),"")</f>
        <v/>
      </c>
      <c r="V782" t="str">
        <f ca="1">IF(ISNUMBER(Q782),OFFSET('MPIO_SFIO Table'!$AJ$11,Q782,0),"")</f>
        <v/>
      </c>
      <c r="W782">
        <f t="shared" ca="1" si="107"/>
        <v>0</v>
      </c>
      <c r="X782">
        <f t="shared" ca="1" si="108"/>
        <v>0</v>
      </c>
      <c r="Y782">
        <f t="shared" ca="1" si="109"/>
        <v>0</v>
      </c>
      <c r="Z782">
        <f t="shared" ca="1" si="110"/>
        <v>0</v>
      </c>
      <c r="AA782">
        <f t="shared" ca="1" si="111"/>
        <v>0</v>
      </c>
    </row>
    <row r="783" spans="1:27" x14ac:dyDescent="0.25">
      <c r="A783">
        <f t="shared" ca="1" si="104"/>
        <v>0</v>
      </c>
      <c r="B783" t="str">
        <f t="shared" ca="1" si="105"/>
        <v/>
      </c>
      <c r="C783" t="str">
        <f t="shared" si="106"/>
        <v>UART1</v>
      </c>
      <c r="D783" t="s">
        <v>253</v>
      </c>
      <c r="E783" t="s">
        <v>253</v>
      </c>
      <c r="F783" s="3" t="s">
        <v>2924</v>
      </c>
      <c r="G783" s="11" t="s">
        <v>598</v>
      </c>
      <c r="H783" s="11" t="s">
        <v>163</v>
      </c>
      <c r="I783" s="3" t="s">
        <v>253</v>
      </c>
      <c r="J783" s="3" t="s">
        <v>253</v>
      </c>
      <c r="K783" s="3" t="s">
        <v>253</v>
      </c>
      <c r="L783" s="3" t="s">
        <v>253</v>
      </c>
      <c r="M783">
        <f>IF(LEN(H783),MATCH(H783,'MPIO_SFIO Table'!$A$11:$A$65525,0)-1,"")</f>
        <v>164</v>
      </c>
      <c r="N783" t="str">
        <f>IF(LEN(I783),MATCH(I783,'MPIO_SFIO Table'!$A$11:$A$65525,0)-1,"")</f>
        <v/>
      </c>
      <c r="O783" t="str">
        <f>IF(LEN(J783),MATCH(J783,'MPIO_SFIO Table'!$A$11:$A$65525,0)-1,"")</f>
        <v/>
      </c>
      <c r="P783" t="str">
        <f>IF(LEN(K783),MATCH(K783,'MPIO_SFIO Table'!$A$11:$A$65525,0)-1,"")</f>
        <v/>
      </c>
      <c r="Q783" t="str">
        <f>IF(LEN(L783),MATCH(L783,'MPIO_SFIO Table'!$A$11:$A$65525,0)-1,"")</f>
        <v/>
      </c>
      <c r="R783" t="str">
        <f ca="1">IF(ISNUMBER(M783),OFFSET('MPIO_SFIO Table'!$AJ$11,M783,0),"")</f>
        <v>unused_SDMMC3_CMD</v>
      </c>
      <c r="S783" t="str">
        <f ca="1">IF(ISNUMBER(N783),OFFSET('MPIO_SFIO Table'!$AJ$11,N783,0),"")</f>
        <v/>
      </c>
      <c r="T783" t="str">
        <f ca="1">IF(ISNUMBER(O783),OFFSET('MPIO_SFIO Table'!$AJ$11,O783,0),"")</f>
        <v/>
      </c>
      <c r="U783" t="str">
        <f ca="1">IF(ISNUMBER(P783),OFFSET('MPIO_SFIO Table'!$AJ$11,P783,0),"")</f>
        <v/>
      </c>
      <c r="V783" t="str">
        <f ca="1">IF(ISNUMBER(Q783),OFFSET('MPIO_SFIO Table'!$AJ$11,Q783,0),"")</f>
        <v/>
      </c>
      <c r="W783">
        <f t="shared" ca="1" si="107"/>
        <v>0</v>
      </c>
      <c r="X783">
        <f t="shared" ca="1" si="108"/>
        <v>0</v>
      </c>
      <c r="Y783">
        <f t="shared" ca="1" si="109"/>
        <v>0</v>
      </c>
      <c r="Z783">
        <f t="shared" ca="1" si="110"/>
        <v>0</v>
      </c>
      <c r="AA783">
        <f t="shared" ca="1" si="111"/>
        <v>0</v>
      </c>
    </row>
    <row r="784" spans="1:27" x14ac:dyDescent="0.25">
      <c r="A784">
        <f t="shared" ca="1" si="104"/>
        <v>0</v>
      </c>
      <c r="B784" t="str">
        <f t="shared" ca="1" si="105"/>
        <v/>
      </c>
      <c r="C784" t="str">
        <f t="shared" si="106"/>
        <v>UART1</v>
      </c>
      <c r="D784" t="s">
        <v>253</v>
      </c>
      <c r="E784" t="s">
        <v>253</v>
      </c>
      <c r="F784" s="3" t="s">
        <v>2925</v>
      </c>
      <c r="G784" s="11" t="s">
        <v>594</v>
      </c>
      <c r="H784" s="11" t="s">
        <v>162</v>
      </c>
      <c r="I784" s="3" t="s">
        <v>253</v>
      </c>
      <c r="J784" s="3" t="s">
        <v>253</v>
      </c>
      <c r="K784" s="3" t="s">
        <v>253</v>
      </c>
      <c r="L784" s="3" t="s">
        <v>253</v>
      </c>
      <c r="M784">
        <f>IF(LEN(H784),MATCH(H784,'MPIO_SFIO Table'!$A$11:$A$65525,0)-1,"")</f>
        <v>163</v>
      </c>
      <c r="N784" t="str">
        <f>IF(LEN(I784),MATCH(I784,'MPIO_SFIO Table'!$A$11:$A$65525,0)-1,"")</f>
        <v/>
      </c>
      <c r="O784" t="str">
        <f>IF(LEN(J784),MATCH(J784,'MPIO_SFIO Table'!$A$11:$A$65525,0)-1,"")</f>
        <v/>
      </c>
      <c r="P784" t="str">
        <f>IF(LEN(K784),MATCH(K784,'MPIO_SFIO Table'!$A$11:$A$65525,0)-1,"")</f>
        <v/>
      </c>
      <c r="Q784" t="str">
        <f>IF(LEN(L784),MATCH(L784,'MPIO_SFIO Table'!$A$11:$A$65525,0)-1,"")</f>
        <v/>
      </c>
      <c r="R784" t="str">
        <f ca="1">IF(ISNUMBER(M784),OFFSET('MPIO_SFIO Table'!$AJ$11,M784,0),"")</f>
        <v>unused_SDMMC3_CLK</v>
      </c>
      <c r="S784" t="str">
        <f ca="1">IF(ISNUMBER(N784),OFFSET('MPIO_SFIO Table'!$AJ$11,N784,0),"")</f>
        <v/>
      </c>
      <c r="T784" t="str">
        <f ca="1">IF(ISNUMBER(O784),OFFSET('MPIO_SFIO Table'!$AJ$11,O784,0),"")</f>
        <v/>
      </c>
      <c r="U784" t="str">
        <f ca="1">IF(ISNUMBER(P784),OFFSET('MPIO_SFIO Table'!$AJ$11,P784,0),"")</f>
        <v/>
      </c>
      <c r="V784" t="str">
        <f ca="1">IF(ISNUMBER(Q784),OFFSET('MPIO_SFIO Table'!$AJ$11,Q784,0),"")</f>
        <v/>
      </c>
      <c r="W784">
        <f t="shared" ca="1" si="107"/>
        <v>0</v>
      </c>
      <c r="X784">
        <f t="shared" ca="1" si="108"/>
        <v>0</v>
      </c>
      <c r="Y784">
        <f t="shared" ca="1" si="109"/>
        <v>0</v>
      </c>
      <c r="Z784">
        <f t="shared" ca="1" si="110"/>
        <v>0</v>
      </c>
      <c r="AA784">
        <f t="shared" ca="1" si="111"/>
        <v>0</v>
      </c>
    </row>
    <row r="785" spans="1:27" x14ac:dyDescent="0.25">
      <c r="A785">
        <f t="shared" ca="1" si="104"/>
        <v>0</v>
      </c>
      <c r="B785" t="str">
        <f t="shared" ca="1" si="105"/>
        <v/>
      </c>
      <c r="C785" t="str">
        <f t="shared" si="106"/>
        <v/>
      </c>
      <c r="D785" t="s">
        <v>2514</v>
      </c>
      <c r="E785" t="s">
        <v>1046</v>
      </c>
      <c r="F785" s="3" t="s">
        <v>253</v>
      </c>
      <c r="G785" s="11" t="s">
        <v>253</v>
      </c>
      <c r="H785" s="11" t="s">
        <v>253</v>
      </c>
      <c r="I785" s="3" t="s">
        <v>253</v>
      </c>
      <c r="J785" s="3" t="s">
        <v>253</v>
      </c>
      <c r="K785" s="3" t="s">
        <v>253</v>
      </c>
      <c r="L785" s="3" t="s">
        <v>253</v>
      </c>
      <c r="M785" t="str">
        <f>IF(LEN(H785),MATCH(H785,'MPIO_SFIO Table'!$A$11:$A$65525,0)-1,"")</f>
        <v/>
      </c>
      <c r="N785" t="str">
        <f>IF(LEN(I785),MATCH(I785,'MPIO_SFIO Table'!$A$11:$A$65525,0)-1,"")</f>
        <v/>
      </c>
      <c r="O785" t="str">
        <f>IF(LEN(J785),MATCH(J785,'MPIO_SFIO Table'!$A$11:$A$65525,0)-1,"")</f>
        <v/>
      </c>
      <c r="P785" t="str">
        <f>IF(LEN(K785),MATCH(K785,'MPIO_SFIO Table'!$A$11:$A$65525,0)-1,"")</f>
        <v/>
      </c>
      <c r="Q785" t="str">
        <f>IF(LEN(L785),MATCH(L785,'MPIO_SFIO Table'!$A$11:$A$65525,0)-1,"")</f>
        <v/>
      </c>
      <c r="R785" t="str">
        <f ca="1">IF(ISNUMBER(M785),OFFSET('MPIO_SFIO Table'!$AJ$11,M785,0),"")</f>
        <v/>
      </c>
      <c r="S785" t="str">
        <f ca="1">IF(ISNUMBER(N785),OFFSET('MPIO_SFIO Table'!$AJ$11,N785,0),"")</f>
        <v/>
      </c>
      <c r="T785" t="str">
        <f ca="1">IF(ISNUMBER(O785),OFFSET('MPIO_SFIO Table'!$AJ$11,O785,0),"")</f>
        <v/>
      </c>
      <c r="U785" t="str">
        <f ca="1">IF(ISNUMBER(P785),OFFSET('MPIO_SFIO Table'!$AJ$11,P785,0),"")</f>
        <v/>
      </c>
      <c r="V785" t="str">
        <f ca="1">IF(ISNUMBER(Q785),OFFSET('MPIO_SFIO Table'!$AJ$11,Q785,0),"")</f>
        <v/>
      </c>
      <c r="W785">
        <f t="shared" ca="1" si="107"/>
        <v>0</v>
      </c>
      <c r="X785">
        <f t="shared" ca="1" si="108"/>
        <v>0</v>
      </c>
      <c r="Y785">
        <f t="shared" ca="1" si="109"/>
        <v>0</v>
      </c>
      <c r="Z785">
        <f t="shared" ca="1" si="110"/>
        <v>0</v>
      </c>
      <c r="AA785">
        <f t="shared" ca="1" si="111"/>
        <v>0</v>
      </c>
    </row>
    <row r="786" spans="1:27" x14ac:dyDescent="0.25">
      <c r="A786">
        <f t="shared" ca="1" si="104"/>
        <v>0</v>
      </c>
      <c r="B786" t="str">
        <f t="shared" ca="1" si="105"/>
        <v/>
      </c>
      <c r="C786" t="str">
        <f t="shared" si="106"/>
        <v>UART2</v>
      </c>
      <c r="D786" t="s">
        <v>253</v>
      </c>
      <c r="E786" t="s">
        <v>253</v>
      </c>
      <c r="F786" s="3" t="s">
        <v>2918</v>
      </c>
      <c r="G786" s="11" t="s">
        <v>2221</v>
      </c>
      <c r="H786" s="11" t="s">
        <v>228</v>
      </c>
      <c r="I786" s="3" t="s">
        <v>253</v>
      </c>
      <c r="J786" s="3" t="s">
        <v>253</v>
      </c>
      <c r="K786" s="3" t="s">
        <v>253</v>
      </c>
      <c r="L786" s="3" t="s">
        <v>253</v>
      </c>
      <c r="M786">
        <f>IF(LEN(H786),MATCH(H786,'MPIO_SFIO Table'!$A$11:$A$65525,0)-1,"")</f>
        <v>246</v>
      </c>
      <c r="N786" t="str">
        <f>IF(LEN(I786),MATCH(I786,'MPIO_SFIO Table'!$A$11:$A$65525,0)-1,"")</f>
        <v/>
      </c>
      <c r="O786" t="str">
        <f>IF(LEN(J786),MATCH(J786,'MPIO_SFIO Table'!$A$11:$A$65525,0)-1,"")</f>
        <v/>
      </c>
      <c r="P786" t="str">
        <f>IF(LEN(K786),MATCH(K786,'MPIO_SFIO Table'!$A$11:$A$65525,0)-1,"")</f>
        <v/>
      </c>
      <c r="Q786" t="str">
        <f>IF(LEN(L786),MATCH(L786,'MPIO_SFIO Table'!$A$11:$A$65525,0)-1,"")</f>
        <v/>
      </c>
      <c r="R786" t="str">
        <f ca="1">IF(ISNUMBER(M786),OFFSET('MPIO_SFIO Table'!$AJ$11,M786,0),"")</f>
        <v>unused_UART2_CTS_N</v>
      </c>
      <c r="S786" t="str">
        <f ca="1">IF(ISNUMBER(N786),OFFSET('MPIO_SFIO Table'!$AJ$11,N786,0),"")</f>
        <v/>
      </c>
      <c r="T786" t="str">
        <f ca="1">IF(ISNUMBER(O786),OFFSET('MPIO_SFIO Table'!$AJ$11,O786,0),"")</f>
        <v/>
      </c>
      <c r="U786" t="str">
        <f ca="1">IF(ISNUMBER(P786),OFFSET('MPIO_SFIO Table'!$AJ$11,P786,0),"")</f>
        <v/>
      </c>
      <c r="V786" t="str">
        <f ca="1">IF(ISNUMBER(Q786),OFFSET('MPIO_SFIO Table'!$AJ$11,Q786,0),"")</f>
        <v/>
      </c>
      <c r="W786">
        <f t="shared" ca="1" si="107"/>
        <v>0</v>
      </c>
      <c r="X786">
        <f t="shared" ca="1" si="108"/>
        <v>0</v>
      </c>
      <c r="Y786">
        <f t="shared" ca="1" si="109"/>
        <v>0</v>
      </c>
      <c r="Z786">
        <f t="shared" ca="1" si="110"/>
        <v>0</v>
      </c>
      <c r="AA786">
        <f t="shared" ca="1" si="111"/>
        <v>0</v>
      </c>
    </row>
    <row r="787" spans="1:27" x14ac:dyDescent="0.25">
      <c r="A787">
        <f t="shared" ca="1" si="104"/>
        <v>0</v>
      </c>
      <c r="B787" t="str">
        <f t="shared" ca="1" si="105"/>
        <v/>
      </c>
      <c r="C787" t="str">
        <f t="shared" si="106"/>
        <v>UART2</v>
      </c>
      <c r="D787" t="s">
        <v>253</v>
      </c>
      <c r="E787" t="s">
        <v>253</v>
      </c>
      <c r="F787" s="3" t="s">
        <v>2923</v>
      </c>
      <c r="G787" s="11" t="s">
        <v>2222</v>
      </c>
      <c r="H787" s="11" t="s">
        <v>229</v>
      </c>
      <c r="I787" s="3" t="s">
        <v>253</v>
      </c>
      <c r="J787" s="3" t="s">
        <v>253</v>
      </c>
      <c r="K787" s="3" t="s">
        <v>253</v>
      </c>
      <c r="L787" s="3" t="s">
        <v>253</v>
      </c>
      <c r="M787">
        <f>IF(LEN(H787),MATCH(H787,'MPIO_SFIO Table'!$A$11:$A$65525,0)-1,"")</f>
        <v>247</v>
      </c>
      <c r="N787" t="str">
        <f>IF(LEN(I787),MATCH(I787,'MPIO_SFIO Table'!$A$11:$A$65525,0)-1,"")</f>
        <v/>
      </c>
      <c r="O787" t="str">
        <f>IF(LEN(J787),MATCH(J787,'MPIO_SFIO Table'!$A$11:$A$65525,0)-1,"")</f>
        <v/>
      </c>
      <c r="P787" t="str">
        <f>IF(LEN(K787),MATCH(K787,'MPIO_SFIO Table'!$A$11:$A$65525,0)-1,"")</f>
        <v/>
      </c>
      <c r="Q787" t="str">
        <f>IF(LEN(L787),MATCH(L787,'MPIO_SFIO Table'!$A$11:$A$65525,0)-1,"")</f>
        <v/>
      </c>
      <c r="R787" t="str">
        <f ca="1">IF(ISNUMBER(M787),OFFSET('MPIO_SFIO Table'!$AJ$11,M787,0),"")</f>
        <v>unused_UART2_RTS_N</v>
      </c>
      <c r="S787" t="str">
        <f ca="1">IF(ISNUMBER(N787),OFFSET('MPIO_SFIO Table'!$AJ$11,N787,0),"")</f>
        <v/>
      </c>
      <c r="T787" t="str">
        <f ca="1">IF(ISNUMBER(O787),OFFSET('MPIO_SFIO Table'!$AJ$11,O787,0),"")</f>
        <v/>
      </c>
      <c r="U787" t="str">
        <f ca="1">IF(ISNUMBER(P787),OFFSET('MPIO_SFIO Table'!$AJ$11,P787,0),"")</f>
        <v/>
      </c>
      <c r="V787" t="str">
        <f ca="1">IF(ISNUMBER(Q787),OFFSET('MPIO_SFIO Table'!$AJ$11,Q787,0),"")</f>
        <v/>
      </c>
      <c r="W787">
        <f t="shared" ca="1" si="107"/>
        <v>0</v>
      </c>
      <c r="X787">
        <f t="shared" ca="1" si="108"/>
        <v>0</v>
      </c>
      <c r="Y787">
        <f t="shared" ca="1" si="109"/>
        <v>0</v>
      </c>
      <c r="Z787">
        <f t="shared" ca="1" si="110"/>
        <v>0</v>
      </c>
      <c r="AA787">
        <f t="shared" ca="1" si="111"/>
        <v>0</v>
      </c>
    </row>
    <row r="788" spans="1:27" x14ac:dyDescent="0.25">
      <c r="A788">
        <f t="shared" ca="1" si="104"/>
        <v>0</v>
      </c>
      <c r="B788" t="str">
        <f t="shared" ca="1" si="105"/>
        <v/>
      </c>
      <c r="C788" t="str">
        <f t="shared" si="106"/>
        <v>UART2</v>
      </c>
      <c r="D788" t="s">
        <v>253</v>
      </c>
      <c r="E788" t="s">
        <v>253</v>
      </c>
      <c r="F788" s="3" t="s">
        <v>2924</v>
      </c>
      <c r="G788" s="11" t="s">
        <v>733</v>
      </c>
      <c r="H788" s="11" t="s">
        <v>230</v>
      </c>
      <c r="I788" s="3" t="s">
        <v>253</v>
      </c>
      <c r="J788" s="3" t="s">
        <v>253</v>
      </c>
      <c r="K788" s="3" t="s">
        <v>253</v>
      </c>
      <c r="L788" s="3" t="s">
        <v>253</v>
      </c>
      <c r="M788">
        <f>IF(LEN(H788),MATCH(H788,'MPIO_SFIO Table'!$A$11:$A$65525,0)-1,"")</f>
        <v>248</v>
      </c>
      <c r="N788" t="str">
        <f>IF(LEN(I788),MATCH(I788,'MPIO_SFIO Table'!$A$11:$A$65525,0)-1,"")</f>
        <v/>
      </c>
      <c r="O788" t="str">
        <f>IF(LEN(J788),MATCH(J788,'MPIO_SFIO Table'!$A$11:$A$65525,0)-1,"")</f>
        <v/>
      </c>
      <c r="P788" t="str">
        <f>IF(LEN(K788),MATCH(K788,'MPIO_SFIO Table'!$A$11:$A$65525,0)-1,"")</f>
        <v/>
      </c>
      <c r="Q788" t="str">
        <f>IF(LEN(L788),MATCH(L788,'MPIO_SFIO Table'!$A$11:$A$65525,0)-1,"")</f>
        <v/>
      </c>
      <c r="R788" t="str">
        <f ca="1">IF(ISNUMBER(M788),OFFSET('MPIO_SFIO Table'!$AJ$11,M788,0),"")</f>
        <v>unused_UART2_RXD</v>
      </c>
      <c r="S788" t="str">
        <f ca="1">IF(ISNUMBER(N788),OFFSET('MPIO_SFIO Table'!$AJ$11,N788,0),"")</f>
        <v/>
      </c>
      <c r="T788" t="str">
        <f ca="1">IF(ISNUMBER(O788),OFFSET('MPIO_SFIO Table'!$AJ$11,O788,0),"")</f>
        <v/>
      </c>
      <c r="U788" t="str">
        <f ca="1">IF(ISNUMBER(P788),OFFSET('MPIO_SFIO Table'!$AJ$11,P788,0),"")</f>
        <v/>
      </c>
      <c r="V788" t="str">
        <f ca="1">IF(ISNUMBER(Q788),OFFSET('MPIO_SFIO Table'!$AJ$11,Q788,0),"")</f>
        <v/>
      </c>
      <c r="W788">
        <f t="shared" ca="1" si="107"/>
        <v>0</v>
      </c>
      <c r="X788">
        <f t="shared" ca="1" si="108"/>
        <v>0</v>
      </c>
      <c r="Y788">
        <f t="shared" ca="1" si="109"/>
        <v>0</v>
      </c>
      <c r="Z788">
        <f t="shared" ca="1" si="110"/>
        <v>0</v>
      </c>
      <c r="AA788">
        <f t="shared" ca="1" si="111"/>
        <v>0</v>
      </c>
    </row>
    <row r="789" spans="1:27" x14ac:dyDescent="0.25">
      <c r="A789">
        <f t="shared" ca="1" si="104"/>
        <v>0</v>
      </c>
      <c r="B789" t="str">
        <f t="shared" ca="1" si="105"/>
        <v/>
      </c>
      <c r="C789" t="str">
        <f t="shared" si="106"/>
        <v>UART2</v>
      </c>
      <c r="D789" t="s">
        <v>253</v>
      </c>
      <c r="E789" t="s">
        <v>253</v>
      </c>
      <c r="F789" s="3" t="s">
        <v>2925</v>
      </c>
      <c r="G789" s="11" t="s">
        <v>736</v>
      </c>
      <c r="H789" s="11" t="s">
        <v>231</v>
      </c>
      <c r="I789" s="3" t="s">
        <v>253</v>
      </c>
      <c r="J789" s="3" t="s">
        <v>253</v>
      </c>
      <c r="K789" s="3" t="s">
        <v>253</v>
      </c>
      <c r="L789" s="3" t="s">
        <v>253</v>
      </c>
      <c r="M789">
        <f>IF(LEN(H789),MATCH(H789,'MPIO_SFIO Table'!$A$11:$A$65525,0)-1,"")</f>
        <v>249</v>
      </c>
      <c r="N789" t="str">
        <f>IF(LEN(I789),MATCH(I789,'MPIO_SFIO Table'!$A$11:$A$65525,0)-1,"")</f>
        <v/>
      </c>
      <c r="O789" t="str">
        <f>IF(LEN(J789),MATCH(J789,'MPIO_SFIO Table'!$A$11:$A$65525,0)-1,"")</f>
        <v/>
      </c>
      <c r="P789" t="str">
        <f>IF(LEN(K789),MATCH(K789,'MPIO_SFIO Table'!$A$11:$A$65525,0)-1,"")</f>
        <v/>
      </c>
      <c r="Q789" t="str">
        <f>IF(LEN(L789),MATCH(L789,'MPIO_SFIO Table'!$A$11:$A$65525,0)-1,"")</f>
        <v/>
      </c>
      <c r="R789" t="str">
        <f ca="1">IF(ISNUMBER(M789),OFFSET('MPIO_SFIO Table'!$AJ$11,M789,0),"")</f>
        <v>unused_UART2_TXD</v>
      </c>
      <c r="S789" t="str">
        <f ca="1">IF(ISNUMBER(N789),OFFSET('MPIO_SFIO Table'!$AJ$11,N789,0),"")</f>
        <v/>
      </c>
      <c r="T789" t="str">
        <f ca="1">IF(ISNUMBER(O789),OFFSET('MPIO_SFIO Table'!$AJ$11,O789,0),"")</f>
        <v/>
      </c>
      <c r="U789" t="str">
        <f ca="1">IF(ISNUMBER(P789),OFFSET('MPIO_SFIO Table'!$AJ$11,P789,0),"")</f>
        <v/>
      </c>
      <c r="V789" t="str">
        <f ca="1">IF(ISNUMBER(Q789),OFFSET('MPIO_SFIO Table'!$AJ$11,Q789,0),"")</f>
        <v/>
      </c>
      <c r="W789">
        <f t="shared" ca="1" si="107"/>
        <v>0</v>
      </c>
      <c r="X789">
        <f t="shared" ca="1" si="108"/>
        <v>0</v>
      </c>
      <c r="Y789">
        <f t="shared" ca="1" si="109"/>
        <v>0</v>
      </c>
      <c r="Z789">
        <f t="shared" ca="1" si="110"/>
        <v>0</v>
      </c>
      <c r="AA789">
        <f t="shared" ca="1" si="111"/>
        <v>0</v>
      </c>
    </row>
    <row r="790" spans="1:27" x14ac:dyDescent="0.25">
      <c r="A790">
        <f t="shared" ca="1" si="104"/>
        <v>0</v>
      </c>
      <c r="B790" t="str">
        <f t="shared" ca="1" si="105"/>
        <v/>
      </c>
      <c r="C790" t="str">
        <f t="shared" si="106"/>
        <v/>
      </c>
      <c r="D790" t="s">
        <v>2515</v>
      </c>
      <c r="E790" t="s">
        <v>1046</v>
      </c>
      <c r="F790" s="3" t="s">
        <v>253</v>
      </c>
      <c r="G790" s="11" t="s">
        <v>253</v>
      </c>
      <c r="H790" s="11" t="s">
        <v>253</v>
      </c>
      <c r="I790" s="3" t="s">
        <v>253</v>
      </c>
      <c r="J790" s="3" t="s">
        <v>253</v>
      </c>
      <c r="K790" s="3" t="s">
        <v>253</v>
      </c>
      <c r="L790" s="3" t="s">
        <v>253</v>
      </c>
      <c r="M790" t="str">
        <f>IF(LEN(H790),MATCH(H790,'MPIO_SFIO Table'!$A$11:$A$65525,0)-1,"")</f>
        <v/>
      </c>
      <c r="N790" t="str">
        <f>IF(LEN(I790),MATCH(I790,'MPIO_SFIO Table'!$A$11:$A$65525,0)-1,"")</f>
        <v/>
      </c>
      <c r="O790" t="str">
        <f>IF(LEN(J790),MATCH(J790,'MPIO_SFIO Table'!$A$11:$A$65525,0)-1,"")</f>
        <v/>
      </c>
      <c r="P790" t="str">
        <f>IF(LEN(K790),MATCH(K790,'MPIO_SFIO Table'!$A$11:$A$65525,0)-1,"")</f>
        <v/>
      </c>
      <c r="Q790" t="str">
        <f>IF(LEN(L790),MATCH(L790,'MPIO_SFIO Table'!$A$11:$A$65525,0)-1,"")</f>
        <v/>
      </c>
      <c r="R790" t="str">
        <f ca="1">IF(ISNUMBER(M790),OFFSET('MPIO_SFIO Table'!$AJ$11,M790,0),"")</f>
        <v/>
      </c>
      <c r="S790" t="str">
        <f ca="1">IF(ISNUMBER(N790),OFFSET('MPIO_SFIO Table'!$AJ$11,N790,0),"")</f>
        <v/>
      </c>
      <c r="T790" t="str">
        <f ca="1">IF(ISNUMBER(O790),OFFSET('MPIO_SFIO Table'!$AJ$11,O790,0),"")</f>
        <v/>
      </c>
      <c r="U790" t="str">
        <f ca="1">IF(ISNUMBER(P790),OFFSET('MPIO_SFIO Table'!$AJ$11,P790,0),"")</f>
        <v/>
      </c>
      <c r="V790" t="str">
        <f ca="1">IF(ISNUMBER(Q790),OFFSET('MPIO_SFIO Table'!$AJ$11,Q790,0),"")</f>
        <v/>
      </c>
      <c r="W790">
        <f t="shared" ca="1" si="107"/>
        <v>0</v>
      </c>
      <c r="X790">
        <f t="shared" ca="1" si="108"/>
        <v>0</v>
      </c>
      <c r="Y790">
        <f t="shared" ca="1" si="109"/>
        <v>0</v>
      </c>
      <c r="Z790">
        <f t="shared" ca="1" si="110"/>
        <v>0</v>
      </c>
      <c r="AA790">
        <f t="shared" ca="1" si="111"/>
        <v>0</v>
      </c>
    </row>
    <row r="791" spans="1:27" x14ac:dyDescent="0.25">
      <c r="A791">
        <f t="shared" ca="1" si="104"/>
        <v>0</v>
      </c>
      <c r="B791" t="str">
        <f t="shared" ca="1" si="105"/>
        <v/>
      </c>
      <c r="C791" t="str">
        <f t="shared" si="106"/>
        <v>UART3</v>
      </c>
      <c r="D791" t="s">
        <v>253</v>
      </c>
      <c r="E791" t="s">
        <v>253</v>
      </c>
      <c r="F791" s="3" t="s">
        <v>2918</v>
      </c>
      <c r="G791" s="11" t="s">
        <v>2223</v>
      </c>
      <c r="H791" s="11" t="s">
        <v>232</v>
      </c>
      <c r="I791" s="3" t="s">
        <v>253</v>
      </c>
      <c r="J791" s="3" t="s">
        <v>253</v>
      </c>
      <c r="K791" s="3" t="s">
        <v>253</v>
      </c>
      <c r="L791" s="3" t="s">
        <v>253</v>
      </c>
      <c r="M791">
        <f>IF(LEN(H791),MATCH(H791,'MPIO_SFIO Table'!$A$11:$A$65525,0)-1,"")</f>
        <v>250</v>
      </c>
      <c r="N791" t="str">
        <f>IF(LEN(I791),MATCH(I791,'MPIO_SFIO Table'!$A$11:$A$65525,0)-1,"")</f>
        <v/>
      </c>
      <c r="O791" t="str">
        <f>IF(LEN(J791),MATCH(J791,'MPIO_SFIO Table'!$A$11:$A$65525,0)-1,"")</f>
        <v/>
      </c>
      <c r="P791" t="str">
        <f>IF(LEN(K791),MATCH(K791,'MPIO_SFIO Table'!$A$11:$A$65525,0)-1,"")</f>
        <v/>
      </c>
      <c r="Q791" t="str">
        <f>IF(LEN(L791),MATCH(L791,'MPIO_SFIO Table'!$A$11:$A$65525,0)-1,"")</f>
        <v/>
      </c>
      <c r="R791" t="str">
        <f ca="1">IF(ISNUMBER(M791),OFFSET('MPIO_SFIO Table'!$AJ$11,M791,0),"")</f>
        <v>unused_UART3_CTS_N</v>
      </c>
      <c r="S791" t="str">
        <f ca="1">IF(ISNUMBER(N791),OFFSET('MPIO_SFIO Table'!$AJ$11,N791,0),"")</f>
        <v/>
      </c>
      <c r="T791" t="str">
        <f ca="1">IF(ISNUMBER(O791),OFFSET('MPIO_SFIO Table'!$AJ$11,O791,0),"")</f>
        <v/>
      </c>
      <c r="U791" t="str">
        <f ca="1">IF(ISNUMBER(P791),OFFSET('MPIO_SFIO Table'!$AJ$11,P791,0),"")</f>
        <v/>
      </c>
      <c r="V791" t="str">
        <f ca="1">IF(ISNUMBER(Q791),OFFSET('MPIO_SFIO Table'!$AJ$11,Q791,0),"")</f>
        <v/>
      </c>
      <c r="W791">
        <f t="shared" ca="1" si="107"/>
        <v>0</v>
      </c>
      <c r="X791">
        <f t="shared" ca="1" si="108"/>
        <v>0</v>
      </c>
      <c r="Y791">
        <f t="shared" ca="1" si="109"/>
        <v>0</v>
      </c>
      <c r="Z791">
        <f t="shared" ca="1" si="110"/>
        <v>0</v>
      </c>
      <c r="AA791">
        <f t="shared" ca="1" si="111"/>
        <v>0</v>
      </c>
    </row>
    <row r="792" spans="1:27" x14ac:dyDescent="0.25">
      <c r="A792">
        <f t="shared" ca="1" si="104"/>
        <v>0</v>
      </c>
      <c r="B792" t="str">
        <f t="shared" ca="1" si="105"/>
        <v/>
      </c>
      <c r="C792" t="str">
        <f t="shared" si="106"/>
        <v>UART3</v>
      </c>
      <c r="D792" t="s">
        <v>253</v>
      </c>
      <c r="E792" t="s">
        <v>253</v>
      </c>
      <c r="F792" s="3" t="s">
        <v>2923</v>
      </c>
      <c r="G792" s="11" t="s">
        <v>2224</v>
      </c>
      <c r="H792" s="11" t="s">
        <v>233</v>
      </c>
      <c r="I792" s="3" t="s">
        <v>253</v>
      </c>
      <c r="J792" s="3" t="s">
        <v>253</v>
      </c>
      <c r="K792" s="3" t="s">
        <v>253</v>
      </c>
      <c r="L792" s="3" t="s">
        <v>253</v>
      </c>
      <c r="M792">
        <f>IF(LEN(H792),MATCH(H792,'MPIO_SFIO Table'!$A$11:$A$65525,0)-1,"")</f>
        <v>251</v>
      </c>
      <c r="N792" t="str">
        <f>IF(LEN(I792),MATCH(I792,'MPIO_SFIO Table'!$A$11:$A$65525,0)-1,"")</f>
        <v/>
      </c>
      <c r="O792" t="str">
        <f>IF(LEN(J792),MATCH(J792,'MPIO_SFIO Table'!$A$11:$A$65525,0)-1,"")</f>
        <v/>
      </c>
      <c r="P792" t="str">
        <f>IF(LEN(K792),MATCH(K792,'MPIO_SFIO Table'!$A$11:$A$65525,0)-1,"")</f>
        <v/>
      </c>
      <c r="Q792" t="str">
        <f>IF(LEN(L792),MATCH(L792,'MPIO_SFIO Table'!$A$11:$A$65525,0)-1,"")</f>
        <v/>
      </c>
      <c r="R792" t="str">
        <f ca="1">IF(ISNUMBER(M792),OFFSET('MPIO_SFIO Table'!$AJ$11,M792,0),"")</f>
        <v>unused_UART3_RTS_N</v>
      </c>
      <c r="S792" t="str">
        <f ca="1">IF(ISNUMBER(N792),OFFSET('MPIO_SFIO Table'!$AJ$11,N792,0),"")</f>
        <v/>
      </c>
      <c r="T792" t="str">
        <f ca="1">IF(ISNUMBER(O792),OFFSET('MPIO_SFIO Table'!$AJ$11,O792,0),"")</f>
        <v/>
      </c>
      <c r="U792" t="str">
        <f ca="1">IF(ISNUMBER(P792),OFFSET('MPIO_SFIO Table'!$AJ$11,P792,0),"")</f>
        <v/>
      </c>
      <c r="V792" t="str">
        <f ca="1">IF(ISNUMBER(Q792),OFFSET('MPIO_SFIO Table'!$AJ$11,Q792,0),"")</f>
        <v/>
      </c>
      <c r="W792">
        <f t="shared" ca="1" si="107"/>
        <v>0</v>
      </c>
      <c r="X792">
        <f t="shared" ca="1" si="108"/>
        <v>0</v>
      </c>
      <c r="Y792">
        <f t="shared" ca="1" si="109"/>
        <v>0</v>
      </c>
      <c r="Z792">
        <f t="shared" ca="1" si="110"/>
        <v>0</v>
      </c>
      <c r="AA792">
        <f t="shared" ca="1" si="111"/>
        <v>0</v>
      </c>
    </row>
    <row r="793" spans="1:27" x14ac:dyDescent="0.25">
      <c r="A793">
        <f t="shared" ca="1" si="104"/>
        <v>0</v>
      </c>
      <c r="B793" t="str">
        <f t="shared" ca="1" si="105"/>
        <v/>
      </c>
      <c r="C793" t="str">
        <f t="shared" si="106"/>
        <v>UART3</v>
      </c>
      <c r="D793" t="s">
        <v>253</v>
      </c>
      <c r="E793" t="s">
        <v>253</v>
      </c>
      <c r="F793" s="3" t="s">
        <v>2924</v>
      </c>
      <c r="G793" s="11" t="s">
        <v>742</v>
      </c>
      <c r="H793" s="11" t="s">
        <v>234</v>
      </c>
      <c r="I793" s="3" t="s">
        <v>253</v>
      </c>
      <c r="J793" s="3" t="s">
        <v>253</v>
      </c>
      <c r="K793" s="3" t="s">
        <v>253</v>
      </c>
      <c r="L793" s="3" t="s">
        <v>253</v>
      </c>
      <c r="M793">
        <f>IF(LEN(H793),MATCH(H793,'MPIO_SFIO Table'!$A$11:$A$65525,0)-1,"")</f>
        <v>252</v>
      </c>
      <c r="N793" t="str">
        <f>IF(LEN(I793),MATCH(I793,'MPIO_SFIO Table'!$A$11:$A$65525,0)-1,"")</f>
        <v/>
      </c>
      <c r="O793" t="str">
        <f>IF(LEN(J793),MATCH(J793,'MPIO_SFIO Table'!$A$11:$A$65525,0)-1,"")</f>
        <v/>
      </c>
      <c r="P793" t="str">
        <f>IF(LEN(K793),MATCH(K793,'MPIO_SFIO Table'!$A$11:$A$65525,0)-1,"")</f>
        <v/>
      </c>
      <c r="Q793" t="str">
        <f>IF(LEN(L793),MATCH(L793,'MPIO_SFIO Table'!$A$11:$A$65525,0)-1,"")</f>
        <v/>
      </c>
      <c r="R793" t="str">
        <f ca="1">IF(ISNUMBER(M793),OFFSET('MPIO_SFIO Table'!$AJ$11,M793,0),"")</f>
        <v>unused_UART3_RXD</v>
      </c>
      <c r="S793" t="str">
        <f ca="1">IF(ISNUMBER(N793),OFFSET('MPIO_SFIO Table'!$AJ$11,N793,0),"")</f>
        <v/>
      </c>
      <c r="T793" t="str">
        <f ca="1">IF(ISNUMBER(O793),OFFSET('MPIO_SFIO Table'!$AJ$11,O793,0),"")</f>
        <v/>
      </c>
      <c r="U793" t="str">
        <f ca="1">IF(ISNUMBER(P793),OFFSET('MPIO_SFIO Table'!$AJ$11,P793,0),"")</f>
        <v/>
      </c>
      <c r="V793" t="str">
        <f ca="1">IF(ISNUMBER(Q793),OFFSET('MPIO_SFIO Table'!$AJ$11,Q793,0),"")</f>
        <v/>
      </c>
      <c r="W793">
        <f t="shared" ca="1" si="107"/>
        <v>0</v>
      </c>
      <c r="X793">
        <f t="shared" ca="1" si="108"/>
        <v>0</v>
      </c>
      <c r="Y793">
        <f t="shared" ca="1" si="109"/>
        <v>0</v>
      </c>
      <c r="Z793">
        <f t="shared" ca="1" si="110"/>
        <v>0</v>
      </c>
      <c r="AA793">
        <f t="shared" ca="1" si="111"/>
        <v>0</v>
      </c>
    </row>
    <row r="794" spans="1:27" x14ac:dyDescent="0.25">
      <c r="A794">
        <f t="shared" ca="1" si="104"/>
        <v>0</v>
      </c>
      <c r="B794" t="str">
        <f t="shared" ca="1" si="105"/>
        <v/>
      </c>
      <c r="C794" t="str">
        <f t="shared" si="106"/>
        <v>UART3</v>
      </c>
      <c r="D794" t="s">
        <v>253</v>
      </c>
      <c r="E794" t="s">
        <v>253</v>
      </c>
      <c r="F794" s="3" t="s">
        <v>2925</v>
      </c>
      <c r="G794" s="11" t="s">
        <v>744</v>
      </c>
      <c r="H794" s="11" t="s">
        <v>235</v>
      </c>
      <c r="I794" s="3" t="s">
        <v>253</v>
      </c>
      <c r="J794" s="3" t="s">
        <v>253</v>
      </c>
      <c r="K794" s="3" t="s">
        <v>253</v>
      </c>
      <c r="L794" s="3" t="s">
        <v>253</v>
      </c>
      <c r="M794">
        <f>IF(LEN(H794),MATCH(H794,'MPIO_SFIO Table'!$A$11:$A$65525,0)-1,"")</f>
        <v>253</v>
      </c>
      <c r="N794" t="str">
        <f>IF(LEN(I794),MATCH(I794,'MPIO_SFIO Table'!$A$11:$A$65525,0)-1,"")</f>
        <v/>
      </c>
      <c r="O794" t="str">
        <f>IF(LEN(J794),MATCH(J794,'MPIO_SFIO Table'!$A$11:$A$65525,0)-1,"")</f>
        <v/>
      </c>
      <c r="P794" t="str">
        <f>IF(LEN(K794),MATCH(K794,'MPIO_SFIO Table'!$A$11:$A$65525,0)-1,"")</f>
        <v/>
      </c>
      <c r="Q794" t="str">
        <f>IF(LEN(L794),MATCH(L794,'MPIO_SFIO Table'!$A$11:$A$65525,0)-1,"")</f>
        <v/>
      </c>
      <c r="R794" t="str">
        <f ca="1">IF(ISNUMBER(M794),OFFSET('MPIO_SFIO Table'!$AJ$11,M794,0),"")</f>
        <v>unused_UART3_TXD</v>
      </c>
      <c r="S794" t="str">
        <f ca="1">IF(ISNUMBER(N794),OFFSET('MPIO_SFIO Table'!$AJ$11,N794,0),"")</f>
        <v/>
      </c>
      <c r="T794" t="str">
        <f ca="1">IF(ISNUMBER(O794),OFFSET('MPIO_SFIO Table'!$AJ$11,O794,0),"")</f>
        <v/>
      </c>
      <c r="U794" t="str">
        <f ca="1">IF(ISNUMBER(P794),OFFSET('MPIO_SFIO Table'!$AJ$11,P794,0),"")</f>
        <v/>
      </c>
      <c r="V794" t="str">
        <f ca="1">IF(ISNUMBER(Q794),OFFSET('MPIO_SFIO Table'!$AJ$11,Q794,0),"")</f>
        <v/>
      </c>
      <c r="W794">
        <f t="shared" ca="1" si="107"/>
        <v>0</v>
      </c>
      <c r="X794">
        <f t="shared" ca="1" si="108"/>
        <v>0</v>
      </c>
      <c r="Y794">
        <f t="shared" ca="1" si="109"/>
        <v>0</v>
      </c>
      <c r="Z794">
        <f t="shared" ca="1" si="110"/>
        <v>0</v>
      </c>
      <c r="AA794">
        <f t="shared" ca="1" si="111"/>
        <v>0</v>
      </c>
    </row>
    <row r="795" spans="1:27" x14ac:dyDescent="0.25">
      <c r="A795">
        <f t="shared" ca="1" si="104"/>
        <v>0</v>
      </c>
      <c r="B795" t="str">
        <f t="shared" ca="1" si="105"/>
        <v/>
      </c>
      <c r="C795" t="str">
        <f t="shared" si="106"/>
        <v/>
      </c>
      <c r="D795" t="s">
        <v>2516</v>
      </c>
      <c r="E795" t="s">
        <v>1026</v>
      </c>
      <c r="F795" s="3" t="s">
        <v>253</v>
      </c>
      <c r="G795" s="11" t="s">
        <v>253</v>
      </c>
      <c r="H795" s="11" t="s">
        <v>253</v>
      </c>
      <c r="I795" s="3" t="s">
        <v>253</v>
      </c>
      <c r="J795" s="3" t="s">
        <v>253</v>
      </c>
      <c r="K795" s="3" t="s">
        <v>253</v>
      </c>
      <c r="L795" s="3" t="s">
        <v>253</v>
      </c>
      <c r="M795" t="str">
        <f>IF(LEN(H795),MATCH(H795,'MPIO_SFIO Table'!$A$11:$A$65525,0)-1,"")</f>
        <v/>
      </c>
      <c r="N795" t="str">
        <f>IF(LEN(I795),MATCH(I795,'MPIO_SFIO Table'!$A$11:$A$65525,0)-1,"")</f>
        <v/>
      </c>
      <c r="O795" t="str">
        <f>IF(LEN(J795),MATCH(J795,'MPIO_SFIO Table'!$A$11:$A$65525,0)-1,"")</f>
        <v/>
      </c>
      <c r="P795" t="str">
        <f>IF(LEN(K795),MATCH(K795,'MPIO_SFIO Table'!$A$11:$A$65525,0)-1,"")</f>
        <v/>
      </c>
      <c r="Q795" t="str">
        <f>IF(LEN(L795),MATCH(L795,'MPIO_SFIO Table'!$A$11:$A$65525,0)-1,"")</f>
        <v/>
      </c>
      <c r="R795" t="str">
        <f ca="1">IF(ISNUMBER(M795),OFFSET('MPIO_SFIO Table'!$AJ$11,M795,0),"")</f>
        <v/>
      </c>
      <c r="S795" t="str">
        <f ca="1">IF(ISNUMBER(N795),OFFSET('MPIO_SFIO Table'!$AJ$11,N795,0),"")</f>
        <v/>
      </c>
      <c r="T795" t="str">
        <f ca="1">IF(ISNUMBER(O795),OFFSET('MPIO_SFIO Table'!$AJ$11,O795,0),"")</f>
        <v/>
      </c>
      <c r="U795" t="str">
        <f ca="1">IF(ISNUMBER(P795),OFFSET('MPIO_SFIO Table'!$AJ$11,P795,0),"")</f>
        <v/>
      </c>
      <c r="V795" t="str">
        <f ca="1">IF(ISNUMBER(Q795),OFFSET('MPIO_SFIO Table'!$AJ$11,Q795,0),"")</f>
        <v/>
      </c>
      <c r="W795">
        <f t="shared" ca="1" si="107"/>
        <v>0</v>
      </c>
      <c r="X795">
        <f t="shared" ca="1" si="108"/>
        <v>0</v>
      </c>
      <c r="Y795">
        <f t="shared" ca="1" si="109"/>
        <v>0</v>
      </c>
      <c r="Z795">
        <f t="shared" ca="1" si="110"/>
        <v>0</v>
      </c>
      <c r="AA795">
        <f t="shared" ca="1" si="111"/>
        <v>0</v>
      </c>
    </row>
    <row r="796" spans="1:27" x14ac:dyDescent="0.25">
      <c r="A796">
        <f t="shared" ca="1" si="104"/>
        <v>0</v>
      </c>
      <c r="B796" t="str">
        <f t="shared" ca="1" si="105"/>
        <v/>
      </c>
      <c r="C796" t="str">
        <f t="shared" si="106"/>
        <v>UART4</v>
      </c>
      <c r="D796" t="s">
        <v>253</v>
      </c>
      <c r="E796" t="s">
        <v>253</v>
      </c>
      <c r="F796" s="3" t="s">
        <v>2918</v>
      </c>
      <c r="G796" s="11" t="s">
        <v>2169</v>
      </c>
      <c r="H796" s="11" t="s">
        <v>46</v>
      </c>
      <c r="I796" s="3" t="s">
        <v>253</v>
      </c>
      <c r="J796" s="3" t="s">
        <v>253</v>
      </c>
      <c r="K796" s="3" t="s">
        <v>253</v>
      </c>
      <c r="L796" s="3" t="s">
        <v>253</v>
      </c>
      <c r="M796">
        <f>IF(LEN(H796),MATCH(H796,'MPIO_SFIO Table'!$A$11:$A$65525,0)-1,"")</f>
        <v>39</v>
      </c>
      <c r="N796" t="str">
        <f>IF(LEN(I796),MATCH(I796,'MPIO_SFIO Table'!$A$11:$A$65525,0)-1,"")</f>
        <v/>
      </c>
      <c r="O796" t="str">
        <f>IF(LEN(J796),MATCH(J796,'MPIO_SFIO Table'!$A$11:$A$65525,0)-1,"")</f>
        <v/>
      </c>
      <c r="P796" t="str">
        <f>IF(LEN(K796),MATCH(K796,'MPIO_SFIO Table'!$A$11:$A$65525,0)-1,"")</f>
        <v/>
      </c>
      <c r="Q796" t="str">
        <f>IF(LEN(L796),MATCH(L796,'MPIO_SFIO Table'!$A$11:$A$65525,0)-1,"")</f>
        <v/>
      </c>
      <c r="R796" t="str">
        <f ca="1">IF(ISNUMBER(M796),OFFSET('MPIO_SFIO Table'!$AJ$11,M796,0),"")</f>
        <v>unused_ULPI_NXT</v>
      </c>
      <c r="S796" t="str">
        <f ca="1">IF(ISNUMBER(N796),OFFSET('MPIO_SFIO Table'!$AJ$11,N796,0),"")</f>
        <v/>
      </c>
      <c r="T796" t="str">
        <f ca="1">IF(ISNUMBER(O796),OFFSET('MPIO_SFIO Table'!$AJ$11,O796,0),"")</f>
        <v/>
      </c>
      <c r="U796" t="str">
        <f ca="1">IF(ISNUMBER(P796),OFFSET('MPIO_SFIO Table'!$AJ$11,P796,0),"")</f>
        <v/>
      </c>
      <c r="V796" t="str">
        <f ca="1">IF(ISNUMBER(Q796),OFFSET('MPIO_SFIO Table'!$AJ$11,Q796,0),"")</f>
        <v/>
      </c>
      <c r="W796">
        <f t="shared" ca="1" si="107"/>
        <v>0</v>
      </c>
      <c r="X796">
        <f t="shared" ca="1" si="108"/>
        <v>0</v>
      </c>
      <c r="Y796">
        <f t="shared" ca="1" si="109"/>
        <v>0</v>
      </c>
      <c r="Z796">
        <f t="shared" ca="1" si="110"/>
        <v>0</v>
      </c>
      <c r="AA796">
        <f t="shared" ca="1" si="111"/>
        <v>0</v>
      </c>
    </row>
    <row r="797" spans="1:27" x14ac:dyDescent="0.25">
      <c r="A797">
        <f t="shared" ca="1" si="104"/>
        <v>0</v>
      </c>
      <c r="B797" t="str">
        <f t="shared" ca="1" si="105"/>
        <v/>
      </c>
      <c r="C797" t="str">
        <f t="shared" si="106"/>
        <v/>
      </c>
      <c r="D797" t="s">
        <v>253</v>
      </c>
      <c r="E797" t="s">
        <v>253</v>
      </c>
      <c r="F797" s="3" t="s">
        <v>253</v>
      </c>
      <c r="G797" s="11" t="s">
        <v>253</v>
      </c>
      <c r="H797" s="11" t="s">
        <v>253</v>
      </c>
      <c r="I797" s="3" t="s">
        <v>253</v>
      </c>
      <c r="J797" s="3" t="s">
        <v>253</v>
      </c>
      <c r="K797" s="3" t="s">
        <v>253</v>
      </c>
      <c r="L797" s="3" t="s">
        <v>253</v>
      </c>
      <c r="M797" t="str">
        <f>IF(LEN(H797),MATCH(H797,'MPIO_SFIO Table'!$A$11:$A$65525,0)-1,"")</f>
        <v/>
      </c>
      <c r="N797" t="str">
        <f>IF(LEN(I797),MATCH(I797,'MPIO_SFIO Table'!$A$11:$A$65525,0)-1,"")</f>
        <v/>
      </c>
      <c r="O797" t="str">
        <f>IF(LEN(J797),MATCH(J797,'MPIO_SFIO Table'!$A$11:$A$65525,0)-1,"")</f>
        <v/>
      </c>
      <c r="P797" t="str">
        <f>IF(LEN(K797),MATCH(K797,'MPIO_SFIO Table'!$A$11:$A$65525,0)-1,"")</f>
        <v/>
      </c>
      <c r="Q797" t="str">
        <f>IF(LEN(L797),MATCH(L797,'MPIO_SFIO Table'!$A$11:$A$65525,0)-1,"")</f>
        <v/>
      </c>
      <c r="R797" t="str">
        <f ca="1">IF(ISNUMBER(M797),OFFSET('MPIO_SFIO Table'!$AJ$11,M797,0),"")</f>
        <v/>
      </c>
      <c r="S797" t="str">
        <f ca="1">IF(ISNUMBER(N797),OFFSET('MPIO_SFIO Table'!$AJ$11,N797,0),"")</f>
        <v/>
      </c>
      <c r="T797" t="str">
        <f ca="1">IF(ISNUMBER(O797),OFFSET('MPIO_SFIO Table'!$AJ$11,O797,0),"")</f>
        <v/>
      </c>
      <c r="U797" t="str">
        <f ca="1">IF(ISNUMBER(P797),OFFSET('MPIO_SFIO Table'!$AJ$11,P797,0),"")</f>
        <v/>
      </c>
      <c r="V797" t="str">
        <f ca="1">IF(ISNUMBER(Q797),OFFSET('MPIO_SFIO Table'!$AJ$11,Q797,0),"")</f>
        <v/>
      </c>
      <c r="W797">
        <f t="shared" ca="1" si="107"/>
        <v>0</v>
      </c>
      <c r="X797">
        <f t="shared" ca="1" si="108"/>
        <v>0</v>
      </c>
      <c r="Y797">
        <f t="shared" ca="1" si="109"/>
        <v>0</v>
      </c>
      <c r="Z797">
        <f t="shared" ca="1" si="110"/>
        <v>0</v>
      </c>
      <c r="AA797">
        <f t="shared" ca="1" si="111"/>
        <v>0</v>
      </c>
    </row>
    <row r="798" spans="1:27" x14ac:dyDescent="0.25">
      <c r="A798">
        <f t="shared" ca="1" si="104"/>
        <v>0</v>
      </c>
      <c r="B798" t="str">
        <f t="shared" ca="1" si="105"/>
        <v/>
      </c>
      <c r="C798" t="str">
        <f t="shared" si="106"/>
        <v/>
      </c>
      <c r="D798" t="s">
        <v>253</v>
      </c>
      <c r="E798" t="s">
        <v>253</v>
      </c>
      <c r="F798" s="3" t="s">
        <v>253</v>
      </c>
      <c r="G798" s="11" t="s">
        <v>253</v>
      </c>
      <c r="H798" s="11" t="s">
        <v>253</v>
      </c>
      <c r="I798" s="3" t="s">
        <v>253</v>
      </c>
      <c r="J798" s="3" t="s">
        <v>253</v>
      </c>
      <c r="K798" s="3" t="s">
        <v>253</v>
      </c>
      <c r="L798" s="3" t="s">
        <v>253</v>
      </c>
      <c r="M798" t="str">
        <f>IF(LEN(H798),MATCH(H798,'MPIO_SFIO Table'!$A$11:$A$65525,0)-1,"")</f>
        <v/>
      </c>
      <c r="N798" t="str">
        <f>IF(LEN(I798),MATCH(I798,'MPIO_SFIO Table'!$A$11:$A$65525,0)-1,"")</f>
        <v/>
      </c>
      <c r="O798" t="str">
        <f>IF(LEN(J798),MATCH(J798,'MPIO_SFIO Table'!$A$11:$A$65525,0)-1,"")</f>
        <v/>
      </c>
      <c r="P798" t="str">
        <f>IF(LEN(K798),MATCH(K798,'MPIO_SFIO Table'!$A$11:$A$65525,0)-1,"")</f>
        <v/>
      </c>
      <c r="Q798" t="str">
        <f>IF(LEN(L798),MATCH(L798,'MPIO_SFIO Table'!$A$11:$A$65525,0)-1,"")</f>
        <v/>
      </c>
      <c r="R798" t="str">
        <f ca="1">IF(ISNUMBER(M798),OFFSET('MPIO_SFIO Table'!$AJ$11,M798,0),"")</f>
        <v/>
      </c>
      <c r="S798" t="str">
        <f ca="1">IF(ISNUMBER(N798),OFFSET('MPIO_SFIO Table'!$AJ$11,N798,0),"")</f>
        <v/>
      </c>
      <c r="T798" t="str">
        <f ca="1">IF(ISNUMBER(O798),OFFSET('MPIO_SFIO Table'!$AJ$11,O798,0),"")</f>
        <v/>
      </c>
      <c r="U798" t="str">
        <f ca="1">IF(ISNUMBER(P798),OFFSET('MPIO_SFIO Table'!$AJ$11,P798,0),"")</f>
        <v/>
      </c>
      <c r="V798" t="str">
        <f ca="1">IF(ISNUMBER(Q798),OFFSET('MPIO_SFIO Table'!$AJ$11,Q798,0),"")</f>
        <v/>
      </c>
      <c r="W798">
        <f t="shared" ca="1" si="107"/>
        <v>0</v>
      </c>
      <c r="X798">
        <f t="shared" ca="1" si="108"/>
        <v>0</v>
      </c>
      <c r="Y798">
        <f t="shared" ca="1" si="109"/>
        <v>0</v>
      </c>
      <c r="Z798">
        <f t="shared" ca="1" si="110"/>
        <v>0</v>
      </c>
      <c r="AA798">
        <f t="shared" ca="1" si="111"/>
        <v>0</v>
      </c>
    </row>
    <row r="799" spans="1:27" x14ac:dyDescent="0.25">
      <c r="A799">
        <f t="shared" ca="1" si="104"/>
        <v>0</v>
      </c>
      <c r="B799" t="str">
        <f t="shared" ca="1" si="105"/>
        <v/>
      </c>
      <c r="C799" t="str">
        <f t="shared" si="106"/>
        <v/>
      </c>
      <c r="D799" t="s">
        <v>253</v>
      </c>
      <c r="E799" t="s">
        <v>253</v>
      </c>
      <c r="F799" s="3" t="s">
        <v>253</v>
      </c>
      <c r="G799" s="11" t="s">
        <v>253</v>
      </c>
      <c r="H799" s="11" t="s">
        <v>253</v>
      </c>
      <c r="I799" s="3" t="s">
        <v>253</v>
      </c>
      <c r="J799" s="3" t="s">
        <v>253</v>
      </c>
      <c r="K799" s="3" t="s">
        <v>253</v>
      </c>
      <c r="L799" s="3" t="s">
        <v>253</v>
      </c>
      <c r="M799" t="str">
        <f>IF(LEN(H799),MATCH(H799,'MPIO_SFIO Table'!$A$11:$A$65525,0)-1,"")</f>
        <v/>
      </c>
      <c r="N799" t="str">
        <f>IF(LEN(I799),MATCH(I799,'MPIO_SFIO Table'!$A$11:$A$65525,0)-1,"")</f>
        <v/>
      </c>
      <c r="O799" t="str">
        <f>IF(LEN(J799),MATCH(J799,'MPIO_SFIO Table'!$A$11:$A$65525,0)-1,"")</f>
        <v/>
      </c>
      <c r="P799" t="str">
        <f>IF(LEN(K799),MATCH(K799,'MPIO_SFIO Table'!$A$11:$A$65525,0)-1,"")</f>
        <v/>
      </c>
      <c r="Q799" t="str">
        <f>IF(LEN(L799),MATCH(L799,'MPIO_SFIO Table'!$A$11:$A$65525,0)-1,"")</f>
        <v/>
      </c>
      <c r="R799" t="str">
        <f ca="1">IF(ISNUMBER(M799),OFFSET('MPIO_SFIO Table'!$AJ$11,M799,0),"")</f>
        <v/>
      </c>
      <c r="S799" t="str">
        <f ca="1">IF(ISNUMBER(N799),OFFSET('MPIO_SFIO Table'!$AJ$11,N799,0),"")</f>
        <v/>
      </c>
      <c r="T799" t="str">
        <f ca="1">IF(ISNUMBER(O799),OFFSET('MPIO_SFIO Table'!$AJ$11,O799,0),"")</f>
        <v/>
      </c>
      <c r="U799" t="str">
        <f ca="1">IF(ISNUMBER(P799),OFFSET('MPIO_SFIO Table'!$AJ$11,P799,0),"")</f>
        <v/>
      </c>
      <c r="V799" t="str">
        <f ca="1">IF(ISNUMBER(Q799),OFFSET('MPIO_SFIO Table'!$AJ$11,Q799,0),"")</f>
        <v/>
      </c>
      <c r="W799">
        <f t="shared" ca="1" si="107"/>
        <v>0</v>
      </c>
      <c r="X799">
        <f t="shared" ca="1" si="108"/>
        <v>0</v>
      </c>
      <c r="Y799">
        <f t="shared" ca="1" si="109"/>
        <v>0</v>
      </c>
      <c r="Z799">
        <f t="shared" ca="1" si="110"/>
        <v>0</v>
      </c>
      <c r="AA799">
        <f t="shared" ca="1" si="111"/>
        <v>0</v>
      </c>
    </row>
    <row r="800" spans="1:27" x14ac:dyDescent="0.25">
      <c r="A800">
        <f t="shared" ca="1" si="104"/>
        <v>0</v>
      </c>
      <c r="B800" t="str">
        <f t="shared" ca="1" si="105"/>
        <v/>
      </c>
      <c r="C800" t="str">
        <f t="shared" si="106"/>
        <v/>
      </c>
      <c r="D800" t="s">
        <v>253</v>
      </c>
      <c r="E800" t="s">
        <v>253</v>
      </c>
      <c r="F800" s="3" t="s">
        <v>253</v>
      </c>
      <c r="G800" s="11" t="s">
        <v>253</v>
      </c>
      <c r="H800" s="11" t="s">
        <v>253</v>
      </c>
      <c r="I800" s="3" t="s">
        <v>253</v>
      </c>
      <c r="J800" s="3" t="s">
        <v>253</v>
      </c>
      <c r="K800" s="3" t="s">
        <v>253</v>
      </c>
      <c r="L800" s="3" t="s">
        <v>253</v>
      </c>
      <c r="M800" t="str">
        <f>IF(LEN(H800),MATCH(H800,'MPIO_SFIO Table'!$A$11:$A$65525,0)-1,"")</f>
        <v/>
      </c>
      <c r="N800" t="str">
        <f>IF(LEN(I800),MATCH(I800,'MPIO_SFIO Table'!$A$11:$A$65525,0)-1,"")</f>
        <v/>
      </c>
      <c r="O800" t="str">
        <f>IF(LEN(J800),MATCH(J800,'MPIO_SFIO Table'!$A$11:$A$65525,0)-1,"")</f>
        <v/>
      </c>
      <c r="P800" t="str">
        <f>IF(LEN(K800),MATCH(K800,'MPIO_SFIO Table'!$A$11:$A$65525,0)-1,"")</f>
        <v/>
      </c>
      <c r="Q800" t="str">
        <f>IF(LEN(L800),MATCH(L800,'MPIO_SFIO Table'!$A$11:$A$65525,0)-1,"")</f>
        <v/>
      </c>
      <c r="R800" t="str">
        <f ca="1">IF(ISNUMBER(M800),OFFSET('MPIO_SFIO Table'!$AJ$11,M800,0),"")</f>
        <v/>
      </c>
      <c r="S800" t="str">
        <f ca="1">IF(ISNUMBER(N800),OFFSET('MPIO_SFIO Table'!$AJ$11,N800,0),"")</f>
        <v/>
      </c>
      <c r="T800" t="str">
        <f ca="1">IF(ISNUMBER(O800),OFFSET('MPIO_SFIO Table'!$AJ$11,O800,0),"")</f>
        <v/>
      </c>
      <c r="U800" t="str">
        <f ca="1">IF(ISNUMBER(P800),OFFSET('MPIO_SFIO Table'!$AJ$11,P800,0),"")</f>
        <v/>
      </c>
      <c r="V800" t="str">
        <f ca="1">IF(ISNUMBER(Q800),OFFSET('MPIO_SFIO Table'!$AJ$11,Q800,0),"")</f>
        <v/>
      </c>
      <c r="W800">
        <f t="shared" ca="1" si="107"/>
        <v>0</v>
      </c>
      <c r="X800">
        <f t="shared" ca="1" si="108"/>
        <v>0</v>
      </c>
      <c r="Y800">
        <f t="shared" ca="1" si="109"/>
        <v>0</v>
      </c>
      <c r="Z800">
        <f t="shared" ca="1" si="110"/>
        <v>0</v>
      </c>
      <c r="AA800">
        <f t="shared" ca="1" si="111"/>
        <v>0</v>
      </c>
    </row>
    <row r="801" spans="1:27" x14ac:dyDescent="0.25">
      <c r="A801">
        <f t="shared" ca="1" si="104"/>
        <v>0</v>
      </c>
      <c r="B801" t="str">
        <f t="shared" ca="1" si="105"/>
        <v/>
      </c>
      <c r="C801" t="str">
        <f t="shared" si="106"/>
        <v/>
      </c>
      <c r="D801" t="s">
        <v>253</v>
      </c>
      <c r="E801" t="s">
        <v>253</v>
      </c>
      <c r="F801" s="3" t="s">
        <v>253</v>
      </c>
      <c r="G801" s="11" t="s">
        <v>253</v>
      </c>
      <c r="H801" s="11" t="s">
        <v>253</v>
      </c>
      <c r="I801" s="3" t="s">
        <v>253</v>
      </c>
      <c r="J801" s="3" t="s">
        <v>253</v>
      </c>
      <c r="K801" s="3" t="s">
        <v>253</v>
      </c>
      <c r="L801" s="3" t="s">
        <v>253</v>
      </c>
      <c r="M801" t="str">
        <f>IF(LEN(H801),MATCH(H801,'MPIO_SFIO Table'!$A$11:$A$65525,0)-1,"")</f>
        <v/>
      </c>
      <c r="N801" t="str">
        <f>IF(LEN(I801),MATCH(I801,'MPIO_SFIO Table'!$A$11:$A$65525,0)-1,"")</f>
        <v/>
      </c>
      <c r="O801" t="str">
        <f>IF(LEN(J801),MATCH(J801,'MPIO_SFIO Table'!$A$11:$A$65525,0)-1,"")</f>
        <v/>
      </c>
      <c r="P801" t="str">
        <f>IF(LEN(K801),MATCH(K801,'MPIO_SFIO Table'!$A$11:$A$65525,0)-1,"")</f>
        <v/>
      </c>
      <c r="Q801" t="str">
        <f>IF(LEN(L801),MATCH(L801,'MPIO_SFIO Table'!$A$11:$A$65525,0)-1,"")</f>
        <v/>
      </c>
      <c r="R801" t="str">
        <f ca="1">IF(ISNUMBER(M801),OFFSET('MPIO_SFIO Table'!$AJ$11,M801,0),"")</f>
        <v/>
      </c>
      <c r="S801" t="str">
        <f ca="1">IF(ISNUMBER(N801),OFFSET('MPIO_SFIO Table'!$AJ$11,N801,0),"")</f>
        <v/>
      </c>
      <c r="T801" t="str">
        <f ca="1">IF(ISNUMBER(O801),OFFSET('MPIO_SFIO Table'!$AJ$11,O801,0),"")</f>
        <v/>
      </c>
      <c r="U801" t="str">
        <f ca="1">IF(ISNUMBER(P801),OFFSET('MPIO_SFIO Table'!$AJ$11,P801,0),"")</f>
        <v/>
      </c>
      <c r="V801" t="str">
        <f ca="1">IF(ISNUMBER(Q801),OFFSET('MPIO_SFIO Table'!$AJ$11,Q801,0),"")</f>
        <v/>
      </c>
      <c r="W801">
        <f t="shared" ca="1" si="107"/>
        <v>0</v>
      </c>
      <c r="X801">
        <f t="shared" ca="1" si="108"/>
        <v>0</v>
      </c>
      <c r="Y801">
        <f t="shared" ca="1" si="109"/>
        <v>0</v>
      </c>
      <c r="Z801">
        <f t="shared" ca="1" si="110"/>
        <v>0</v>
      </c>
      <c r="AA801">
        <f t="shared" ca="1" si="111"/>
        <v>0</v>
      </c>
    </row>
    <row r="802" spans="1:27" x14ac:dyDescent="0.25">
      <c r="A802">
        <f t="shared" ca="1" si="104"/>
        <v>0</v>
      </c>
      <c r="B802" t="str">
        <f t="shared" ca="1" si="105"/>
        <v/>
      </c>
      <c r="C802" t="str">
        <f t="shared" si="106"/>
        <v/>
      </c>
      <c r="D802" t="s">
        <v>253</v>
      </c>
      <c r="E802" t="s">
        <v>253</v>
      </c>
      <c r="F802" s="3" t="s">
        <v>253</v>
      </c>
      <c r="G802" s="11" t="s">
        <v>253</v>
      </c>
      <c r="H802" s="11" t="s">
        <v>253</v>
      </c>
      <c r="I802" s="3" t="s">
        <v>253</v>
      </c>
      <c r="J802" s="3" t="s">
        <v>253</v>
      </c>
      <c r="K802" s="3" t="s">
        <v>253</v>
      </c>
      <c r="L802" s="3" t="s">
        <v>253</v>
      </c>
      <c r="M802" t="str">
        <f>IF(LEN(H802),MATCH(H802,'MPIO_SFIO Table'!$A$11:$A$65525,0)-1,"")</f>
        <v/>
      </c>
      <c r="N802" t="str">
        <f>IF(LEN(I802),MATCH(I802,'MPIO_SFIO Table'!$A$11:$A$65525,0)-1,"")</f>
        <v/>
      </c>
      <c r="O802" t="str">
        <f>IF(LEN(J802),MATCH(J802,'MPIO_SFIO Table'!$A$11:$A$65525,0)-1,"")</f>
        <v/>
      </c>
      <c r="P802" t="str">
        <f>IF(LEN(K802),MATCH(K802,'MPIO_SFIO Table'!$A$11:$A$65525,0)-1,"")</f>
        <v/>
      </c>
      <c r="Q802" t="str">
        <f>IF(LEN(L802),MATCH(L802,'MPIO_SFIO Table'!$A$11:$A$65525,0)-1,"")</f>
        <v/>
      </c>
      <c r="R802" t="str">
        <f ca="1">IF(ISNUMBER(M802),OFFSET('MPIO_SFIO Table'!$AJ$11,M802,0),"")</f>
        <v/>
      </c>
      <c r="S802" t="str">
        <f ca="1">IF(ISNUMBER(N802),OFFSET('MPIO_SFIO Table'!$AJ$11,N802,0),"")</f>
        <v/>
      </c>
      <c r="T802" t="str">
        <f ca="1">IF(ISNUMBER(O802),OFFSET('MPIO_SFIO Table'!$AJ$11,O802,0),"")</f>
        <v/>
      </c>
      <c r="U802" t="str">
        <f ca="1">IF(ISNUMBER(P802),OFFSET('MPIO_SFIO Table'!$AJ$11,P802,0),"")</f>
        <v/>
      </c>
      <c r="V802" t="str">
        <f ca="1">IF(ISNUMBER(Q802),OFFSET('MPIO_SFIO Table'!$AJ$11,Q802,0),"")</f>
        <v/>
      </c>
      <c r="W802">
        <f t="shared" ca="1" si="107"/>
        <v>0</v>
      </c>
      <c r="X802">
        <f t="shared" ca="1" si="108"/>
        <v>0</v>
      </c>
      <c r="Y802">
        <f t="shared" ca="1" si="109"/>
        <v>0</v>
      </c>
      <c r="Z802">
        <f t="shared" ca="1" si="110"/>
        <v>0</v>
      </c>
      <c r="AA802">
        <f t="shared" ca="1" si="111"/>
        <v>0</v>
      </c>
    </row>
    <row r="803" spans="1:27" x14ac:dyDescent="0.25">
      <c r="A803">
        <f t="shared" ca="1" si="104"/>
        <v>0</v>
      </c>
      <c r="B803" t="str">
        <f t="shared" ca="1" si="105"/>
        <v/>
      </c>
      <c r="C803" t="str">
        <f t="shared" si="106"/>
        <v/>
      </c>
      <c r="D803" t="s">
        <v>253</v>
      </c>
      <c r="E803" t="s">
        <v>253</v>
      </c>
      <c r="F803" s="3" t="s">
        <v>253</v>
      </c>
      <c r="G803" s="11" t="s">
        <v>253</v>
      </c>
      <c r="H803" s="11" t="s">
        <v>253</v>
      </c>
      <c r="I803" s="3" t="s">
        <v>253</v>
      </c>
      <c r="J803" s="3" t="s">
        <v>253</v>
      </c>
      <c r="K803" s="3" t="s">
        <v>253</v>
      </c>
      <c r="L803" s="3" t="s">
        <v>253</v>
      </c>
      <c r="M803" t="str">
        <f>IF(LEN(H803),MATCH(H803,'MPIO_SFIO Table'!$A$11:$A$65525,0)-1,"")</f>
        <v/>
      </c>
      <c r="N803" t="str">
        <f>IF(LEN(I803),MATCH(I803,'MPIO_SFIO Table'!$A$11:$A$65525,0)-1,"")</f>
        <v/>
      </c>
      <c r="O803" t="str">
        <f>IF(LEN(J803),MATCH(J803,'MPIO_SFIO Table'!$A$11:$A$65525,0)-1,"")</f>
        <v/>
      </c>
      <c r="P803" t="str">
        <f>IF(LEN(K803),MATCH(K803,'MPIO_SFIO Table'!$A$11:$A$65525,0)-1,"")</f>
        <v/>
      </c>
      <c r="Q803" t="str">
        <f>IF(LEN(L803),MATCH(L803,'MPIO_SFIO Table'!$A$11:$A$65525,0)-1,"")</f>
        <v/>
      </c>
      <c r="R803" t="str">
        <f ca="1">IF(ISNUMBER(M803),OFFSET('MPIO_SFIO Table'!$AJ$11,M803,0),"")</f>
        <v/>
      </c>
      <c r="S803" t="str">
        <f ca="1">IF(ISNUMBER(N803),OFFSET('MPIO_SFIO Table'!$AJ$11,N803,0),"")</f>
        <v/>
      </c>
      <c r="T803" t="str">
        <f ca="1">IF(ISNUMBER(O803),OFFSET('MPIO_SFIO Table'!$AJ$11,O803,0),"")</f>
        <v/>
      </c>
      <c r="U803" t="str">
        <f ca="1">IF(ISNUMBER(P803),OFFSET('MPIO_SFIO Table'!$AJ$11,P803,0),"")</f>
        <v/>
      </c>
      <c r="V803" t="str">
        <f ca="1">IF(ISNUMBER(Q803),OFFSET('MPIO_SFIO Table'!$AJ$11,Q803,0),"")</f>
        <v/>
      </c>
      <c r="W803">
        <f t="shared" ca="1" si="107"/>
        <v>0</v>
      </c>
      <c r="X803">
        <f t="shared" ca="1" si="108"/>
        <v>0</v>
      </c>
      <c r="Y803">
        <f t="shared" ca="1" si="109"/>
        <v>0</v>
      </c>
      <c r="Z803">
        <f t="shared" ca="1" si="110"/>
        <v>0</v>
      </c>
      <c r="AA803">
        <f t="shared" ca="1" si="111"/>
        <v>0</v>
      </c>
    </row>
    <row r="804" spans="1:27" x14ac:dyDescent="0.25">
      <c r="A804">
        <f t="shared" ca="1" si="104"/>
        <v>0</v>
      </c>
      <c r="B804" t="str">
        <f t="shared" ca="1" si="105"/>
        <v/>
      </c>
      <c r="C804" t="str">
        <f t="shared" si="106"/>
        <v/>
      </c>
      <c r="D804" t="s">
        <v>253</v>
      </c>
      <c r="E804" t="s">
        <v>253</v>
      </c>
      <c r="F804" s="3" t="s">
        <v>253</v>
      </c>
      <c r="G804" s="11" t="s">
        <v>253</v>
      </c>
      <c r="H804" s="11" t="s">
        <v>253</v>
      </c>
      <c r="I804" s="3" t="s">
        <v>253</v>
      </c>
      <c r="J804" s="3" t="s">
        <v>253</v>
      </c>
      <c r="K804" s="3" t="s">
        <v>253</v>
      </c>
      <c r="L804" s="3" t="s">
        <v>253</v>
      </c>
      <c r="M804" t="str">
        <f>IF(LEN(H804),MATCH(H804,'MPIO_SFIO Table'!$A$11:$A$65525,0)-1,"")</f>
        <v/>
      </c>
      <c r="N804" t="str">
        <f>IF(LEN(I804),MATCH(I804,'MPIO_SFIO Table'!$A$11:$A$65525,0)-1,"")</f>
        <v/>
      </c>
      <c r="O804" t="str">
        <f>IF(LEN(J804),MATCH(J804,'MPIO_SFIO Table'!$A$11:$A$65525,0)-1,"")</f>
        <v/>
      </c>
      <c r="P804" t="str">
        <f>IF(LEN(K804),MATCH(K804,'MPIO_SFIO Table'!$A$11:$A$65525,0)-1,"")</f>
        <v/>
      </c>
      <c r="Q804" t="str">
        <f>IF(LEN(L804),MATCH(L804,'MPIO_SFIO Table'!$A$11:$A$65525,0)-1,"")</f>
        <v/>
      </c>
      <c r="R804" t="str">
        <f ca="1">IF(ISNUMBER(M804),OFFSET('MPIO_SFIO Table'!$AJ$11,M804,0),"")</f>
        <v/>
      </c>
      <c r="S804" t="str">
        <f ca="1">IF(ISNUMBER(N804),OFFSET('MPIO_SFIO Table'!$AJ$11,N804,0),"")</f>
        <v/>
      </c>
      <c r="T804" t="str">
        <f ca="1">IF(ISNUMBER(O804),OFFSET('MPIO_SFIO Table'!$AJ$11,O804,0),"")</f>
        <v/>
      </c>
      <c r="U804" t="str">
        <f ca="1">IF(ISNUMBER(P804),OFFSET('MPIO_SFIO Table'!$AJ$11,P804,0),"")</f>
        <v/>
      </c>
      <c r="V804" t="str">
        <f ca="1">IF(ISNUMBER(Q804),OFFSET('MPIO_SFIO Table'!$AJ$11,Q804,0),"")</f>
        <v/>
      </c>
      <c r="W804">
        <f t="shared" ca="1" si="107"/>
        <v>0</v>
      </c>
      <c r="X804">
        <f t="shared" ca="1" si="108"/>
        <v>0</v>
      </c>
      <c r="Y804">
        <f t="shared" ca="1" si="109"/>
        <v>0</v>
      </c>
      <c r="Z804">
        <f t="shared" ca="1" si="110"/>
        <v>0</v>
      </c>
      <c r="AA804">
        <f t="shared" ca="1" si="111"/>
        <v>0</v>
      </c>
    </row>
    <row r="805" spans="1:27" x14ac:dyDescent="0.25">
      <c r="A805">
        <f t="shared" ca="1" si="104"/>
        <v>0</v>
      </c>
      <c r="B805" t="str">
        <f t="shared" ca="1" si="105"/>
        <v/>
      </c>
      <c r="C805" t="str">
        <f t="shared" si="106"/>
        <v/>
      </c>
      <c r="D805" t="s">
        <v>253</v>
      </c>
      <c r="E805" t="s">
        <v>253</v>
      </c>
      <c r="F805" s="3" t="s">
        <v>253</v>
      </c>
      <c r="G805" s="11" t="s">
        <v>253</v>
      </c>
      <c r="H805" s="11" t="s">
        <v>253</v>
      </c>
      <c r="I805" s="3" t="s">
        <v>253</v>
      </c>
      <c r="J805" s="3" t="s">
        <v>253</v>
      </c>
      <c r="K805" s="3" t="s">
        <v>253</v>
      </c>
      <c r="L805" s="3" t="s">
        <v>253</v>
      </c>
      <c r="M805" t="str">
        <f>IF(LEN(H805),MATCH(H805,'MPIO_SFIO Table'!$A$11:$A$65525,0)-1,"")</f>
        <v/>
      </c>
      <c r="N805" t="str">
        <f>IF(LEN(I805),MATCH(I805,'MPIO_SFIO Table'!$A$11:$A$65525,0)-1,"")</f>
        <v/>
      </c>
      <c r="O805" t="str">
        <f>IF(LEN(J805),MATCH(J805,'MPIO_SFIO Table'!$A$11:$A$65525,0)-1,"")</f>
        <v/>
      </c>
      <c r="P805" t="str">
        <f>IF(LEN(K805),MATCH(K805,'MPIO_SFIO Table'!$A$11:$A$65525,0)-1,"")</f>
        <v/>
      </c>
      <c r="Q805" t="str">
        <f>IF(LEN(L805),MATCH(L805,'MPIO_SFIO Table'!$A$11:$A$65525,0)-1,"")</f>
        <v/>
      </c>
      <c r="R805" t="str">
        <f ca="1">IF(ISNUMBER(M805),OFFSET('MPIO_SFIO Table'!$AJ$11,M805,0),"")</f>
        <v/>
      </c>
      <c r="S805" t="str">
        <f ca="1">IF(ISNUMBER(N805),OFFSET('MPIO_SFIO Table'!$AJ$11,N805,0),"")</f>
        <v/>
      </c>
      <c r="T805" t="str">
        <f ca="1">IF(ISNUMBER(O805),OFFSET('MPIO_SFIO Table'!$AJ$11,O805,0),"")</f>
        <v/>
      </c>
      <c r="U805" t="str">
        <f ca="1">IF(ISNUMBER(P805),OFFSET('MPIO_SFIO Table'!$AJ$11,P805,0),"")</f>
        <v/>
      </c>
      <c r="V805" t="str">
        <f ca="1">IF(ISNUMBER(Q805),OFFSET('MPIO_SFIO Table'!$AJ$11,Q805,0),"")</f>
        <v/>
      </c>
      <c r="W805">
        <f t="shared" ca="1" si="107"/>
        <v>0</v>
      </c>
      <c r="X805">
        <f t="shared" ca="1" si="108"/>
        <v>0</v>
      </c>
      <c r="Y805">
        <f t="shared" ca="1" si="109"/>
        <v>0</v>
      </c>
      <c r="Z805">
        <f t="shared" ca="1" si="110"/>
        <v>0</v>
      </c>
      <c r="AA805">
        <f t="shared" ca="1" si="111"/>
        <v>0</v>
      </c>
    </row>
    <row r="806" spans="1:27" x14ac:dyDescent="0.25">
      <c r="A806">
        <f t="shared" ca="1" si="104"/>
        <v>0</v>
      </c>
      <c r="B806" t="str">
        <f t="shared" ca="1" si="105"/>
        <v/>
      </c>
      <c r="C806" t="str">
        <f t="shared" si="106"/>
        <v/>
      </c>
      <c r="D806" t="s">
        <v>253</v>
      </c>
      <c r="E806" t="s">
        <v>253</v>
      </c>
      <c r="F806" s="3" t="s">
        <v>253</v>
      </c>
      <c r="G806" s="11" t="s">
        <v>253</v>
      </c>
      <c r="H806" s="11" t="s">
        <v>253</v>
      </c>
      <c r="I806" s="3" t="s">
        <v>253</v>
      </c>
      <c r="J806" s="3" t="s">
        <v>253</v>
      </c>
      <c r="K806" s="3" t="s">
        <v>253</v>
      </c>
      <c r="L806" s="3" t="s">
        <v>253</v>
      </c>
      <c r="M806" t="str">
        <f>IF(LEN(H806),MATCH(H806,'MPIO_SFIO Table'!$A$11:$A$65525,0)-1,"")</f>
        <v/>
      </c>
      <c r="N806" t="str">
        <f>IF(LEN(I806),MATCH(I806,'MPIO_SFIO Table'!$A$11:$A$65525,0)-1,"")</f>
        <v/>
      </c>
      <c r="O806" t="str">
        <f>IF(LEN(J806),MATCH(J806,'MPIO_SFIO Table'!$A$11:$A$65525,0)-1,"")</f>
        <v/>
      </c>
      <c r="P806" t="str">
        <f>IF(LEN(K806),MATCH(K806,'MPIO_SFIO Table'!$A$11:$A$65525,0)-1,"")</f>
        <v/>
      </c>
      <c r="Q806" t="str">
        <f>IF(LEN(L806),MATCH(L806,'MPIO_SFIO Table'!$A$11:$A$65525,0)-1,"")</f>
        <v/>
      </c>
      <c r="R806" t="str">
        <f ca="1">IF(ISNUMBER(M806),OFFSET('MPIO_SFIO Table'!$AJ$11,M806,0),"")</f>
        <v/>
      </c>
      <c r="S806" t="str">
        <f ca="1">IF(ISNUMBER(N806),OFFSET('MPIO_SFIO Table'!$AJ$11,N806,0),"")</f>
        <v/>
      </c>
      <c r="T806" t="str">
        <f ca="1">IF(ISNUMBER(O806),OFFSET('MPIO_SFIO Table'!$AJ$11,O806,0),"")</f>
        <v/>
      </c>
      <c r="U806" t="str">
        <f ca="1">IF(ISNUMBER(P806),OFFSET('MPIO_SFIO Table'!$AJ$11,P806,0),"")</f>
        <v/>
      </c>
      <c r="V806" t="str">
        <f ca="1">IF(ISNUMBER(Q806),OFFSET('MPIO_SFIO Table'!$AJ$11,Q806,0),"")</f>
        <v/>
      </c>
      <c r="W806">
        <f t="shared" ca="1" si="107"/>
        <v>0</v>
      </c>
      <c r="X806">
        <f t="shared" ca="1" si="108"/>
        <v>0</v>
      </c>
      <c r="Y806">
        <f t="shared" ca="1" si="109"/>
        <v>0</v>
      </c>
      <c r="Z806">
        <f t="shared" ca="1" si="110"/>
        <v>0</v>
      </c>
      <c r="AA806">
        <f t="shared" ca="1" si="111"/>
        <v>0</v>
      </c>
    </row>
    <row r="807" spans="1:27" x14ac:dyDescent="0.25">
      <c r="A807">
        <f t="shared" ca="1" si="104"/>
        <v>0</v>
      </c>
      <c r="B807" t="str">
        <f t="shared" ca="1" si="105"/>
        <v/>
      </c>
      <c r="C807" t="str">
        <f t="shared" si="106"/>
        <v/>
      </c>
      <c r="D807" t="s">
        <v>253</v>
      </c>
      <c r="E807" t="s">
        <v>253</v>
      </c>
      <c r="F807" s="3" t="s">
        <v>253</v>
      </c>
      <c r="G807" s="11" t="s">
        <v>253</v>
      </c>
      <c r="H807" s="11" t="s">
        <v>253</v>
      </c>
      <c r="I807" s="3" t="s">
        <v>253</v>
      </c>
      <c r="J807" s="3" t="s">
        <v>253</v>
      </c>
      <c r="K807" s="3" t="s">
        <v>253</v>
      </c>
      <c r="L807" s="3" t="s">
        <v>253</v>
      </c>
      <c r="M807" t="str">
        <f>IF(LEN(H807),MATCH(H807,'MPIO_SFIO Table'!$A$11:$A$65525,0)-1,"")</f>
        <v/>
      </c>
      <c r="N807" t="str">
        <f>IF(LEN(I807),MATCH(I807,'MPIO_SFIO Table'!$A$11:$A$65525,0)-1,"")</f>
        <v/>
      </c>
      <c r="O807" t="str">
        <f>IF(LEN(J807),MATCH(J807,'MPIO_SFIO Table'!$A$11:$A$65525,0)-1,"")</f>
        <v/>
      </c>
      <c r="P807" t="str">
        <f>IF(LEN(K807),MATCH(K807,'MPIO_SFIO Table'!$A$11:$A$65525,0)-1,"")</f>
        <v/>
      </c>
      <c r="Q807" t="str">
        <f>IF(LEN(L807),MATCH(L807,'MPIO_SFIO Table'!$A$11:$A$65525,0)-1,"")</f>
        <v/>
      </c>
      <c r="R807" t="str">
        <f ca="1">IF(ISNUMBER(M807),OFFSET('MPIO_SFIO Table'!$AJ$11,M807,0),"")</f>
        <v/>
      </c>
      <c r="S807" t="str">
        <f ca="1">IF(ISNUMBER(N807),OFFSET('MPIO_SFIO Table'!$AJ$11,N807,0),"")</f>
        <v/>
      </c>
      <c r="T807" t="str">
        <f ca="1">IF(ISNUMBER(O807),OFFSET('MPIO_SFIO Table'!$AJ$11,O807,0),"")</f>
        <v/>
      </c>
      <c r="U807" t="str">
        <f ca="1">IF(ISNUMBER(P807),OFFSET('MPIO_SFIO Table'!$AJ$11,P807,0),"")</f>
        <v/>
      </c>
      <c r="V807" t="str">
        <f ca="1">IF(ISNUMBER(Q807),OFFSET('MPIO_SFIO Table'!$AJ$11,Q807,0),"")</f>
        <v/>
      </c>
      <c r="W807">
        <f t="shared" ca="1" si="107"/>
        <v>0</v>
      </c>
      <c r="X807">
        <f t="shared" ca="1" si="108"/>
        <v>0</v>
      </c>
      <c r="Y807">
        <f t="shared" ca="1" si="109"/>
        <v>0</v>
      </c>
      <c r="Z807">
        <f t="shared" ca="1" si="110"/>
        <v>0</v>
      </c>
      <c r="AA807">
        <f t="shared" ca="1" si="111"/>
        <v>0</v>
      </c>
    </row>
    <row r="808" spans="1:27" x14ac:dyDescent="0.25">
      <c r="A808">
        <f t="shared" ca="1" si="104"/>
        <v>0</v>
      </c>
      <c r="B808" t="str">
        <f t="shared" ca="1" si="105"/>
        <v/>
      </c>
      <c r="C808" t="str">
        <f t="shared" si="106"/>
        <v/>
      </c>
      <c r="D808" t="s">
        <v>253</v>
      </c>
      <c r="E808" t="s">
        <v>253</v>
      </c>
      <c r="F808" s="3" t="s">
        <v>253</v>
      </c>
      <c r="G808" s="11" t="s">
        <v>253</v>
      </c>
      <c r="H808" s="11" t="s">
        <v>253</v>
      </c>
      <c r="I808" s="3" t="s">
        <v>253</v>
      </c>
      <c r="J808" s="3" t="s">
        <v>253</v>
      </c>
      <c r="K808" s="3" t="s">
        <v>253</v>
      </c>
      <c r="L808" s="3" t="s">
        <v>253</v>
      </c>
      <c r="M808" t="str">
        <f>IF(LEN(H808),MATCH(H808,'MPIO_SFIO Table'!$A$11:$A$65525,0)-1,"")</f>
        <v/>
      </c>
      <c r="N808" t="str">
        <f>IF(LEN(I808),MATCH(I808,'MPIO_SFIO Table'!$A$11:$A$65525,0)-1,"")</f>
        <v/>
      </c>
      <c r="O808" t="str">
        <f>IF(LEN(J808),MATCH(J808,'MPIO_SFIO Table'!$A$11:$A$65525,0)-1,"")</f>
        <v/>
      </c>
      <c r="P808" t="str">
        <f>IF(LEN(K808),MATCH(K808,'MPIO_SFIO Table'!$A$11:$A$65525,0)-1,"")</f>
        <v/>
      </c>
      <c r="Q808" t="str">
        <f>IF(LEN(L808),MATCH(L808,'MPIO_SFIO Table'!$A$11:$A$65525,0)-1,"")</f>
        <v/>
      </c>
      <c r="R808" t="str">
        <f ca="1">IF(ISNUMBER(M808),OFFSET('MPIO_SFIO Table'!$AJ$11,M808,0),"")</f>
        <v/>
      </c>
      <c r="S808" t="str">
        <f ca="1">IF(ISNUMBER(N808),OFFSET('MPIO_SFIO Table'!$AJ$11,N808,0),"")</f>
        <v/>
      </c>
      <c r="T808" t="str">
        <f ca="1">IF(ISNUMBER(O808),OFFSET('MPIO_SFIO Table'!$AJ$11,O808,0),"")</f>
        <v/>
      </c>
      <c r="U808" t="str">
        <f ca="1">IF(ISNUMBER(P808),OFFSET('MPIO_SFIO Table'!$AJ$11,P808,0),"")</f>
        <v/>
      </c>
      <c r="V808" t="str">
        <f ca="1">IF(ISNUMBER(Q808),OFFSET('MPIO_SFIO Table'!$AJ$11,Q808,0),"")</f>
        <v/>
      </c>
      <c r="W808">
        <f t="shared" ca="1" si="107"/>
        <v>0</v>
      </c>
      <c r="X808">
        <f t="shared" ca="1" si="108"/>
        <v>0</v>
      </c>
      <c r="Y808">
        <f t="shared" ca="1" si="109"/>
        <v>0</v>
      </c>
      <c r="Z808">
        <f t="shared" ca="1" si="110"/>
        <v>0</v>
      </c>
      <c r="AA808">
        <f t="shared" ca="1" si="111"/>
        <v>0</v>
      </c>
    </row>
    <row r="809" spans="1:27" x14ac:dyDescent="0.25">
      <c r="A809">
        <f t="shared" ca="1" si="104"/>
        <v>0</v>
      </c>
      <c r="B809" t="str">
        <f t="shared" ca="1" si="105"/>
        <v/>
      </c>
      <c r="C809" t="str">
        <f t="shared" si="106"/>
        <v/>
      </c>
      <c r="D809" t="s">
        <v>253</v>
      </c>
      <c r="E809" t="s">
        <v>253</v>
      </c>
      <c r="F809" s="3" t="s">
        <v>253</v>
      </c>
      <c r="G809" s="11" t="s">
        <v>253</v>
      </c>
      <c r="H809" s="11" t="s">
        <v>253</v>
      </c>
      <c r="I809" s="3" t="s">
        <v>253</v>
      </c>
      <c r="J809" s="3" t="s">
        <v>253</v>
      </c>
      <c r="K809" s="3" t="s">
        <v>253</v>
      </c>
      <c r="L809" s="3" t="s">
        <v>253</v>
      </c>
      <c r="M809" t="str">
        <f>IF(LEN(H809),MATCH(H809,'MPIO_SFIO Table'!$A$11:$A$65525,0)-1,"")</f>
        <v/>
      </c>
      <c r="N809" t="str">
        <f>IF(LEN(I809),MATCH(I809,'MPIO_SFIO Table'!$A$11:$A$65525,0)-1,"")</f>
        <v/>
      </c>
      <c r="O809" t="str">
        <f>IF(LEN(J809),MATCH(J809,'MPIO_SFIO Table'!$A$11:$A$65525,0)-1,"")</f>
        <v/>
      </c>
      <c r="P809" t="str">
        <f>IF(LEN(K809),MATCH(K809,'MPIO_SFIO Table'!$A$11:$A$65525,0)-1,"")</f>
        <v/>
      </c>
      <c r="Q809" t="str">
        <f>IF(LEN(L809),MATCH(L809,'MPIO_SFIO Table'!$A$11:$A$65525,0)-1,"")</f>
        <v/>
      </c>
      <c r="R809" t="str">
        <f ca="1">IF(ISNUMBER(M809),OFFSET('MPIO_SFIO Table'!$AJ$11,M809,0),"")</f>
        <v/>
      </c>
      <c r="S809" t="str">
        <f ca="1">IF(ISNUMBER(N809),OFFSET('MPIO_SFIO Table'!$AJ$11,N809,0),"")</f>
        <v/>
      </c>
      <c r="T809" t="str">
        <f ca="1">IF(ISNUMBER(O809),OFFSET('MPIO_SFIO Table'!$AJ$11,O809,0),"")</f>
        <v/>
      </c>
      <c r="U809" t="str">
        <f ca="1">IF(ISNUMBER(P809),OFFSET('MPIO_SFIO Table'!$AJ$11,P809,0),"")</f>
        <v/>
      </c>
      <c r="V809" t="str">
        <f ca="1">IF(ISNUMBER(Q809),OFFSET('MPIO_SFIO Table'!$AJ$11,Q809,0),"")</f>
        <v/>
      </c>
      <c r="W809">
        <f t="shared" ca="1" si="107"/>
        <v>0</v>
      </c>
      <c r="X809">
        <f t="shared" ca="1" si="108"/>
        <v>0</v>
      </c>
      <c r="Y809">
        <f t="shared" ca="1" si="109"/>
        <v>0</v>
      </c>
      <c r="Z809">
        <f t="shared" ca="1" si="110"/>
        <v>0</v>
      </c>
      <c r="AA809">
        <f t="shared" ca="1" si="111"/>
        <v>0</v>
      </c>
    </row>
    <row r="810" spans="1:27" x14ac:dyDescent="0.25">
      <c r="A810">
        <f t="shared" ca="1" si="104"/>
        <v>0</v>
      </c>
      <c r="B810" t="str">
        <f t="shared" ca="1" si="105"/>
        <v/>
      </c>
      <c r="C810" t="str">
        <f t="shared" si="106"/>
        <v/>
      </c>
      <c r="D810" t="s">
        <v>253</v>
      </c>
      <c r="E810" t="s">
        <v>253</v>
      </c>
      <c r="F810" s="3" t="s">
        <v>253</v>
      </c>
      <c r="G810" s="11" t="s">
        <v>253</v>
      </c>
      <c r="H810" s="11" t="s">
        <v>253</v>
      </c>
      <c r="I810" s="3" t="s">
        <v>253</v>
      </c>
      <c r="J810" s="3" t="s">
        <v>253</v>
      </c>
      <c r="K810" s="3" t="s">
        <v>253</v>
      </c>
      <c r="L810" s="3" t="s">
        <v>253</v>
      </c>
      <c r="M810" t="str">
        <f>IF(LEN(H810),MATCH(H810,'MPIO_SFIO Table'!$A$11:$A$65525,0)-1,"")</f>
        <v/>
      </c>
      <c r="N810" t="str">
        <f>IF(LEN(I810),MATCH(I810,'MPIO_SFIO Table'!$A$11:$A$65525,0)-1,"")</f>
        <v/>
      </c>
      <c r="O810" t="str">
        <f>IF(LEN(J810),MATCH(J810,'MPIO_SFIO Table'!$A$11:$A$65525,0)-1,"")</f>
        <v/>
      </c>
      <c r="P810" t="str">
        <f>IF(LEN(K810),MATCH(K810,'MPIO_SFIO Table'!$A$11:$A$65525,0)-1,"")</f>
        <v/>
      </c>
      <c r="Q810" t="str">
        <f>IF(LEN(L810),MATCH(L810,'MPIO_SFIO Table'!$A$11:$A$65525,0)-1,"")</f>
        <v/>
      </c>
      <c r="R810" t="str">
        <f ca="1">IF(ISNUMBER(M810),OFFSET('MPIO_SFIO Table'!$AJ$11,M810,0),"")</f>
        <v/>
      </c>
      <c r="S810" t="str">
        <f ca="1">IF(ISNUMBER(N810),OFFSET('MPIO_SFIO Table'!$AJ$11,N810,0),"")</f>
        <v/>
      </c>
      <c r="T810" t="str">
        <f ca="1">IF(ISNUMBER(O810),OFFSET('MPIO_SFIO Table'!$AJ$11,O810,0),"")</f>
        <v/>
      </c>
      <c r="U810" t="str">
        <f ca="1">IF(ISNUMBER(P810),OFFSET('MPIO_SFIO Table'!$AJ$11,P810,0),"")</f>
        <v/>
      </c>
      <c r="V810" t="str">
        <f ca="1">IF(ISNUMBER(Q810),OFFSET('MPIO_SFIO Table'!$AJ$11,Q810,0),"")</f>
        <v/>
      </c>
      <c r="W810">
        <f t="shared" ca="1" si="107"/>
        <v>0</v>
      </c>
      <c r="X810">
        <f t="shared" ca="1" si="108"/>
        <v>0</v>
      </c>
      <c r="Y810">
        <f t="shared" ca="1" si="109"/>
        <v>0</v>
      </c>
      <c r="Z810">
        <f t="shared" ca="1" si="110"/>
        <v>0</v>
      </c>
      <c r="AA810">
        <f t="shared" ca="1" si="111"/>
        <v>0</v>
      </c>
    </row>
    <row r="811" spans="1:27" x14ac:dyDescent="0.25">
      <c r="A811">
        <f t="shared" ca="1" si="104"/>
        <v>0</v>
      </c>
      <c r="B811" t="str">
        <f t="shared" ca="1" si="105"/>
        <v/>
      </c>
      <c r="C811" t="str">
        <f t="shared" si="106"/>
        <v/>
      </c>
      <c r="D811" t="s">
        <v>253</v>
      </c>
      <c r="E811" t="s">
        <v>253</v>
      </c>
      <c r="F811" s="3" t="s">
        <v>253</v>
      </c>
      <c r="G811" s="11" t="s">
        <v>253</v>
      </c>
      <c r="H811" s="11" t="s">
        <v>253</v>
      </c>
      <c r="I811" s="3" t="s">
        <v>253</v>
      </c>
      <c r="J811" s="3" t="s">
        <v>253</v>
      </c>
      <c r="K811" s="3" t="s">
        <v>253</v>
      </c>
      <c r="L811" s="3" t="s">
        <v>253</v>
      </c>
      <c r="M811" t="str">
        <f>IF(LEN(H811),MATCH(H811,'MPIO_SFIO Table'!$A$11:$A$65525,0)-1,"")</f>
        <v/>
      </c>
      <c r="N811" t="str">
        <f>IF(LEN(I811),MATCH(I811,'MPIO_SFIO Table'!$A$11:$A$65525,0)-1,"")</f>
        <v/>
      </c>
      <c r="O811" t="str">
        <f>IF(LEN(J811),MATCH(J811,'MPIO_SFIO Table'!$A$11:$A$65525,0)-1,"")</f>
        <v/>
      </c>
      <c r="P811" t="str">
        <f>IF(LEN(K811),MATCH(K811,'MPIO_SFIO Table'!$A$11:$A$65525,0)-1,"")</f>
        <v/>
      </c>
      <c r="Q811" t="str">
        <f>IF(LEN(L811),MATCH(L811,'MPIO_SFIO Table'!$A$11:$A$65525,0)-1,"")</f>
        <v/>
      </c>
      <c r="R811" t="str">
        <f ca="1">IF(ISNUMBER(M811),OFFSET('MPIO_SFIO Table'!$AJ$11,M811,0),"")</f>
        <v/>
      </c>
      <c r="S811" t="str">
        <f ca="1">IF(ISNUMBER(N811),OFFSET('MPIO_SFIO Table'!$AJ$11,N811,0),"")</f>
        <v/>
      </c>
      <c r="T811" t="str">
        <f ca="1">IF(ISNUMBER(O811),OFFSET('MPIO_SFIO Table'!$AJ$11,O811,0),"")</f>
        <v/>
      </c>
      <c r="U811" t="str">
        <f ca="1">IF(ISNUMBER(P811),OFFSET('MPIO_SFIO Table'!$AJ$11,P811,0),"")</f>
        <v/>
      </c>
      <c r="V811" t="str">
        <f ca="1">IF(ISNUMBER(Q811),OFFSET('MPIO_SFIO Table'!$AJ$11,Q811,0),"")</f>
        <v/>
      </c>
      <c r="W811">
        <f t="shared" ca="1" si="107"/>
        <v>0</v>
      </c>
      <c r="X811">
        <f t="shared" ca="1" si="108"/>
        <v>0</v>
      </c>
      <c r="Y811">
        <f t="shared" ca="1" si="109"/>
        <v>0</v>
      </c>
      <c r="Z811">
        <f t="shared" ca="1" si="110"/>
        <v>0</v>
      </c>
      <c r="AA811">
        <f t="shared" ca="1" si="111"/>
        <v>0</v>
      </c>
    </row>
    <row r="812" spans="1:27" x14ac:dyDescent="0.25">
      <c r="A812">
        <f t="shared" ca="1" si="104"/>
        <v>0</v>
      </c>
      <c r="B812" t="str">
        <f t="shared" ca="1" si="105"/>
        <v/>
      </c>
      <c r="C812" t="str">
        <f t="shared" si="106"/>
        <v/>
      </c>
      <c r="D812" t="s">
        <v>253</v>
      </c>
      <c r="E812" t="s">
        <v>253</v>
      </c>
      <c r="F812" s="3" t="s">
        <v>253</v>
      </c>
      <c r="G812" s="11" t="s">
        <v>253</v>
      </c>
      <c r="H812" s="11" t="s">
        <v>253</v>
      </c>
      <c r="I812" s="3" t="s">
        <v>253</v>
      </c>
      <c r="J812" s="3" t="s">
        <v>253</v>
      </c>
      <c r="K812" s="3" t="s">
        <v>253</v>
      </c>
      <c r="L812" s="3" t="s">
        <v>253</v>
      </c>
      <c r="M812" t="str">
        <f>IF(LEN(H812),MATCH(H812,'MPIO_SFIO Table'!$A$11:$A$65525,0)-1,"")</f>
        <v/>
      </c>
      <c r="N812" t="str">
        <f>IF(LEN(I812),MATCH(I812,'MPIO_SFIO Table'!$A$11:$A$65525,0)-1,"")</f>
        <v/>
      </c>
      <c r="O812" t="str">
        <f>IF(LEN(J812),MATCH(J812,'MPIO_SFIO Table'!$A$11:$A$65525,0)-1,"")</f>
        <v/>
      </c>
      <c r="P812" t="str">
        <f>IF(LEN(K812),MATCH(K812,'MPIO_SFIO Table'!$A$11:$A$65525,0)-1,"")</f>
        <v/>
      </c>
      <c r="Q812" t="str">
        <f>IF(LEN(L812),MATCH(L812,'MPIO_SFIO Table'!$A$11:$A$65525,0)-1,"")</f>
        <v/>
      </c>
      <c r="R812" t="str">
        <f ca="1">IF(ISNUMBER(M812),OFFSET('MPIO_SFIO Table'!$AJ$11,M812,0),"")</f>
        <v/>
      </c>
      <c r="S812" t="str">
        <f ca="1">IF(ISNUMBER(N812),OFFSET('MPIO_SFIO Table'!$AJ$11,N812,0),"")</f>
        <v/>
      </c>
      <c r="T812" t="str">
        <f ca="1">IF(ISNUMBER(O812),OFFSET('MPIO_SFIO Table'!$AJ$11,O812,0),"")</f>
        <v/>
      </c>
      <c r="U812" t="str">
        <f ca="1">IF(ISNUMBER(P812),OFFSET('MPIO_SFIO Table'!$AJ$11,P812,0),"")</f>
        <v/>
      </c>
      <c r="V812" t="str">
        <f ca="1">IF(ISNUMBER(Q812),OFFSET('MPIO_SFIO Table'!$AJ$11,Q812,0),"")</f>
        <v/>
      </c>
      <c r="W812">
        <f t="shared" ca="1" si="107"/>
        <v>0</v>
      </c>
      <c r="X812">
        <f t="shared" ca="1" si="108"/>
        <v>0</v>
      </c>
      <c r="Y812">
        <f t="shared" ca="1" si="109"/>
        <v>0</v>
      </c>
      <c r="Z812">
        <f t="shared" ca="1" si="110"/>
        <v>0</v>
      </c>
      <c r="AA812">
        <f t="shared" ca="1" si="111"/>
        <v>0</v>
      </c>
    </row>
    <row r="813" spans="1:27" x14ac:dyDescent="0.25">
      <c r="A813">
        <f t="shared" ca="1" si="104"/>
        <v>0</v>
      </c>
      <c r="B813" t="str">
        <f t="shared" ca="1" si="105"/>
        <v/>
      </c>
      <c r="C813" t="str">
        <f t="shared" si="106"/>
        <v/>
      </c>
      <c r="D813" t="s">
        <v>253</v>
      </c>
      <c r="E813" t="s">
        <v>253</v>
      </c>
      <c r="F813" s="3" t="s">
        <v>253</v>
      </c>
      <c r="G813" s="11" t="s">
        <v>253</v>
      </c>
      <c r="H813" s="11" t="s">
        <v>253</v>
      </c>
      <c r="I813" s="3" t="s">
        <v>253</v>
      </c>
      <c r="J813" s="3" t="s">
        <v>253</v>
      </c>
      <c r="K813" s="3" t="s">
        <v>253</v>
      </c>
      <c r="L813" s="3" t="s">
        <v>253</v>
      </c>
      <c r="M813" t="str">
        <f>IF(LEN(H813),MATCH(H813,'MPIO_SFIO Table'!$A$11:$A$65525,0)-1,"")</f>
        <v/>
      </c>
      <c r="N813" t="str">
        <f>IF(LEN(I813),MATCH(I813,'MPIO_SFIO Table'!$A$11:$A$65525,0)-1,"")</f>
        <v/>
      </c>
      <c r="O813" t="str">
        <f>IF(LEN(J813),MATCH(J813,'MPIO_SFIO Table'!$A$11:$A$65525,0)-1,"")</f>
        <v/>
      </c>
      <c r="P813" t="str">
        <f>IF(LEN(K813),MATCH(K813,'MPIO_SFIO Table'!$A$11:$A$65525,0)-1,"")</f>
        <v/>
      </c>
      <c r="Q813" t="str">
        <f>IF(LEN(L813),MATCH(L813,'MPIO_SFIO Table'!$A$11:$A$65525,0)-1,"")</f>
        <v/>
      </c>
      <c r="R813" t="str">
        <f ca="1">IF(ISNUMBER(M813),OFFSET('MPIO_SFIO Table'!$AJ$11,M813,0),"")</f>
        <v/>
      </c>
      <c r="S813" t="str">
        <f ca="1">IF(ISNUMBER(N813),OFFSET('MPIO_SFIO Table'!$AJ$11,N813,0),"")</f>
        <v/>
      </c>
      <c r="T813" t="str">
        <f ca="1">IF(ISNUMBER(O813),OFFSET('MPIO_SFIO Table'!$AJ$11,O813,0),"")</f>
        <v/>
      </c>
      <c r="U813" t="str">
        <f ca="1">IF(ISNUMBER(P813),OFFSET('MPIO_SFIO Table'!$AJ$11,P813,0),"")</f>
        <v/>
      </c>
      <c r="V813" t="str">
        <f ca="1">IF(ISNUMBER(Q813),OFFSET('MPIO_SFIO Table'!$AJ$11,Q813,0),"")</f>
        <v/>
      </c>
      <c r="W813">
        <f t="shared" ca="1" si="107"/>
        <v>0</v>
      </c>
      <c r="X813">
        <f t="shared" ca="1" si="108"/>
        <v>0</v>
      </c>
      <c r="Y813">
        <f t="shared" ca="1" si="109"/>
        <v>0</v>
      </c>
      <c r="Z813">
        <f t="shared" ca="1" si="110"/>
        <v>0</v>
      </c>
      <c r="AA813">
        <f t="shared" ca="1" si="111"/>
        <v>0</v>
      </c>
    </row>
    <row r="814" spans="1:27" x14ac:dyDescent="0.25">
      <c r="A814">
        <f t="shared" ca="1" si="104"/>
        <v>0</v>
      </c>
      <c r="B814" t="str">
        <f t="shared" ca="1" si="105"/>
        <v/>
      </c>
      <c r="C814" t="str">
        <f t="shared" si="106"/>
        <v/>
      </c>
      <c r="D814" t="s">
        <v>253</v>
      </c>
      <c r="E814" t="s">
        <v>253</v>
      </c>
      <c r="F814" s="3" t="s">
        <v>253</v>
      </c>
      <c r="G814" s="11" t="s">
        <v>253</v>
      </c>
      <c r="H814" s="11" t="s">
        <v>253</v>
      </c>
      <c r="I814" s="3" t="s">
        <v>253</v>
      </c>
      <c r="J814" s="3" t="s">
        <v>253</v>
      </c>
      <c r="K814" s="3" t="s">
        <v>253</v>
      </c>
      <c r="L814" s="3" t="s">
        <v>253</v>
      </c>
      <c r="M814" t="str">
        <f>IF(LEN(H814),MATCH(H814,'MPIO_SFIO Table'!$A$11:$A$65525,0)-1,"")</f>
        <v/>
      </c>
      <c r="N814" t="str">
        <f>IF(LEN(I814),MATCH(I814,'MPIO_SFIO Table'!$A$11:$A$65525,0)-1,"")</f>
        <v/>
      </c>
      <c r="O814" t="str">
        <f>IF(LEN(J814),MATCH(J814,'MPIO_SFIO Table'!$A$11:$A$65525,0)-1,"")</f>
        <v/>
      </c>
      <c r="P814" t="str">
        <f>IF(LEN(K814),MATCH(K814,'MPIO_SFIO Table'!$A$11:$A$65525,0)-1,"")</f>
        <v/>
      </c>
      <c r="Q814" t="str">
        <f>IF(LEN(L814),MATCH(L814,'MPIO_SFIO Table'!$A$11:$A$65525,0)-1,"")</f>
        <v/>
      </c>
      <c r="R814" t="str">
        <f ca="1">IF(ISNUMBER(M814),OFFSET('MPIO_SFIO Table'!$AJ$11,M814,0),"")</f>
        <v/>
      </c>
      <c r="S814" t="str">
        <f ca="1">IF(ISNUMBER(N814),OFFSET('MPIO_SFIO Table'!$AJ$11,N814,0),"")</f>
        <v/>
      </c>
      <c r="T814" t="str">
        <f ca="1">IF(ISNUMBER(O814),OFFSET('MPIO_SFIO Table'!$AJ$11,O814,0),"")</f>
        <v/>
      </c>
      <c r="U814" t="str">
        <f ca="1">IF(ISNUMBER(P814),OFFSET('MPIO_SFIO Table'!$AJ$11,P814,0),"")</f>
        <v/>
      </c>
      <c r="V814" t="str">
        <f ca="1">IF(ISNUMBER(Q814),OFFSET('MPIO_SFIO Table'!$AJ$11,Q814,0),"")</f>
        <v/>
      </c>
      <c r="W814">
        <f t="shared" ca="1" si="107"/>
        <v>0</v>
      </c>
      <c r="X814">
        <f t="shared" ca="1" si="108"/>
        <v>0</v>
      </c>
      <c r="Y814">
        <f t="shared" ca="1" si="109"/>
        <v>0</v>
      </c>
      <c r="Z814">
        <f t="shared" ca="1" si="110"/>
        <v>0</v>
      </c>
      <c r="AA814">
        <f t="shared" ca="1" si="111"/>
        <v>0</v>
      </c>
    </row>
    <row r="815" spans="1:27" x14ac:dyDescent="0.25">
      <c r="A815">
        <f t="shared" ca="1" si="104"/>
        <v>0</v>
      </c>
      <c r="B815" t="str">
        <f t="shared" ca="1" si="105"/>
        <v/>
      </c>
      <c r="C815" t="str">
        <f t="shared" si="106"/>
        <v/>
      </c>
      <c r="D815" t="s">
        <v>253</v>
      </c>
      <c r="E815" t="s">
        <v>253</v>
      </c>
      <c r="F815" s="3" t="s">
        <v>253</v>
      </c>
      <c r="G815" s="11" t="s">
        <v>253</v>
      </c>
      <c r="H815" s="11" t="s">
        <v>253</v>
      </c>
      <c r="I815" s="3" t="s">
        <v>253</v>
      </c>
      <c r="J815" s="3" t="s">
        <v>253</v>
      </c>
      <c r="K815" s="3" t="s">
        <v>253</v>
      </c>
      <c r="L815" s="3" t="s">
        <v>253</v>
      </c>
      <c r="M815" t="str">
        <f>IF(LEN(H815),MATCH(H815,'MPIO_SFIO Table'!$A$11:$A$65525,0)-1,"")</f>
        <v/>
      </c>
      <c r="N815" t="str">
        <f>IF(LEN(I815),MATCH(I815,'MPIO_SFIO Table'!$A$11:$A$65525,0)-1,"")</f>
        <v/>
      </c>
      <c r="O815" t="str">
        <f>IF(LEN(J815),MATCH(J815,'MPIO_SFIO Table'!$A$11:$A$65525,0)-1,"")</f>
        <v/>
      </c>
      <c r="P815" t="str">
        <f>IF(LEN(K815),MATCH(K815,'MPIO_SFIO Table'!$A$11:$A$65525,0)-1,"")</f>
        <v/>
      </c>
      <c r="Q815" t="str">
        <f>IF(LEN(L815),MATCH(L815,'MPIO_SFIO Table'!$A$11:$A$65525,0)-1,"")</f>
        <v/>
      </c>
      <c r="R815" t="str">
        <f ca="1">IF(ISNUMBER(M815),OFFSET('MPIO_SFIO Table'!$AJ$11,M815,0),"")</f>
        <v/>
      </c>
      <c r="S815" t="str">
        <f ca="1">IF(ISNUMBER(N815),OFFSET('MPIO_SFIO Table'!$AJ$11,N815,0),"")</f>
        <v/>
      </c>
      <c r="T815" t="str">
        <f ca="1">IF(ISNUMBER(O815),OFFSET('MPIO_SFIO Table'!$AJ$11,O815,0),"")</f>
        <v/>
      </c>
      <c r="U815" t="str">
        <f ca="1">IF(ISNUMBER(P815),OFFSET('MPIO_SFIO Table'!$AJ$11,P815,0),"")</f>
        <v/>
      </c>
      <c r="V815" t="str">
        <f ca="1">IF(ISNUMBER(Q815),OFFSET('MPIO_SFIO Table'!$AJ$11,Q815,0),"")</f>
        <v/>
      </c>
      <c r="W815">
        <f t="shared" ca="1" si="107"/>
        <v>0</v>
      </c>
      <c r="X815">
        <f t="shared" ca="1" si="108"/>
        <v>0</v>
      </c>
      <c r="Y815">
        <f t="shared" ca="1" si="109"/>
        <v>0</v>
      </c>
      <c r="Z815">
        <f t="shared" ca="1" si="110"/>
        <v>0</v>
      </c>
      <c r="AA815">
        <f t="shared" ca="1" si="111"/>
        <v>0</v>
      </c>
    </row>
    <row r="816" spans="1:27" x14ac:dyDescent="0.25">
      <c r="A816">
        <f t="shared" ca="1" si="104"/>
        <v>0</v>
      </c>
      <c r="B816" t="str">
        <f t="shared" ca="1" si="105"/>
        <v/>
      </c>
      <c r="C816" t="str">
        <f t="shared" si="106"/>
        <v/>
      </c>
      <c r="D816" t="s">
        <v>253</v>
      </c>
      <c r="E816" t="s">
        <v>253</v>
      </c>
      <c r="F816" s="3" t="s">
        <v>253</v>
      </c>
      <c r="G816" s="11" t="s">
        <v>253</v>
      </c>
      <c r="H816" s="11" t="s">
        <v>253</v>
      </c>
      <c r="I816" s="3" t="s">
        <v>253</v>
      </c>
      <c r="J816" s="3" t="s">
        <v>253</v>
      </c>
      <c r="K816" s="3" t="s">
        <v>253</v>
      </c>
      <c r="L816" s="3" t="s">
        <v>253</v>
      </c>
      <c r="M816" t="str">
        <f>IF(LEN(H816),MATCH(H816,'MPIO_SFIO Table'!$A$11:$A$65525,0)-1,"")</f>
        <v/>
      </c>
      <c r="N816" t="str">
        <f>IF(LEN(I816),MATCH(I816,'MPIO_SFIO Table'!$A$11:$A$65525,0)-1,"")</f>
        <v/>
      </c>
      <c r="O816" t="str">
        <f>IF(LEN(J816),MATCH(J816,'MPIO_SFIO Table'!$A$11:$A$65525,0)-1,"")</f>
        <v/>
      </c>
      <c r="P816" t="str">
        <f>IF(LEN(K816),MATCH(K816,'MPIO_SFIO Table'!$A$11:$A$65525,0)-1,"")</f>
        <v/>
      </c>
      <c r="Q816" t="str">
        <f>IF(LEN(L816),MATCH(L816,'MPIO_SFIO Table'!$A$11:$A$65525,0)-1,"")</f>
        <v/>
      </c>
      <c r="R816" t="str">
        <f ca="1">IF(ISNUMBER(M816),OFFSET('MPIO_SFIO Table'!$AJ$11,M816,0),"")</f>
        <v/>
      </c>
      <c r="S816" t="str">
        <f ca="1">IF(ISNUMBER(N816),OFFSET('MPIO_SFIO Table'!$AJ$11,N816,0),"")</f>
        <v/>
      </c>
      <c r="T816" t="str">
        <f ca="1">IF(ISNUMBER(O816),OFFSET('MPIO_SFIO Table'!$AJ$11,O816,0),"")</f>
        <v/>
      </c>
      <c r="U816" t="str">
        <f ca="1">IF(ISNUMBER(P816),OFFSET('MPIO_SFIO Table'!$AJ$11,P816,0),"")</f>
        <v/>
      </c>
      <c r="V816" t="str">
        <f ca="1">IF(ISNUMBER(Q816),OFFSET('MPIO_SFIO Table'!$AJ$11,Q816,0),"")</f>
        <v/>
      </c>
      <c r="W816">
        <f t="shared" ca="1" si="107"/>
        <v>0</v>
      </c>
      <c r="X816">
        <f t="shared" ca="1" si="108"/>
        <v>0</v>
      </c>
      <c r="Y816">
        <f t="shared" ca="1" si="109"/>
        <v>0</v>
      </c>
      <c r="Z816">
        <f t="shared" ca="1" si="110"/>
        <v>0</v>
      </c>
      <c r="AA816">
        <f t="shared" ca="1" si="111"/>
        <v>0</v>
      </c>
    </row>
    <row r="817" spans="1:27" x14ac:dyDescent="0.25">
      <c r="A817">
        <f t="shared" ca="1" si="104"/>
        <v>0</v>
      </c>
      <c r="B817" t="str">
        <f t="shared" ca="1" si="105"/>
        <v/>
      </c>
      <c r="C817" t="str">
        <f t="shared" si="106"/>
        <v/>
      </c>
      <c r="D817" t="s">
        <v>253</v>
      </c>
      <c r="E817" t="s">
        <v>253</v>
      </c>
      <c r="F817" s="3" t="s">
        <v>253</v>
      </c>
      <c r="G817" s="11" t="s">
        <v>253</v>
      </c>
      <c r="H817" s="11" t="s">
        <v>253</v>
      </c>
      <c r="I817" s="3" t="s">
        <v>253</v>
      </c>
      <c r="J817" s="3" t="s">
        <v>253</v>
      </c>
      <c r="K817" s="3" t="s">
        <v>253</v>
      </c>
      <c r="L817" s="3" t="s">
        <v>253</v>
      </c>
      <c r="M817" t="str">
        <f>IF(LEN(H817),MATCH(H817,'MPIO_SFIO Table'!$A$11:$A$65525,0)-1,"")</f>
        <v/>
      </c>
      <c r="N817" t="str">
        <f>IF(LEN(I817),MATCH(I817,'MPIO_SFIO Table'!$A$11:$A$65525,0)-1,"")</f>
        <v/>
      </c>
      <c r="O817" t="str">
        <f>IF(LEN(J817),MATCH(J817,'MPIO_SFIO Table'!$A$11:$A$65525,0)-1,"")</f>
        <v/>
      </c>
      <c r="P817" t="str">
        <f>IF(LEN(K817),MATCH(K817,'MPIO_SFIO Table'!$A$11:$A$65525,0)-1,"")</f>
        <v/>
      </c>
      <c r="Q817" t="str">
        <f>IF(LEN(L817),MATCH(L817,'MPIO_SFIO Table'!$A$11:$A$65525,0)-1,"")</f>
        <v/>
      </c>
      <c r="R817" t="str">
        <f ca="1">IF(ISNUMBER(M817),OFFSET('MPIO_SFIO Table'!$AJ$11,M817,0),"")</f>
        <v/>
      </c>
      <c r="S817" t="str">
        <f ca="1">IF(ISNUMBER(N817),OFFSET('MPIO_SFIO Table'!$AJ$11,N817,0),"")</f>
        <v/>
      </c>
      <c r="T817" t="str">
        <f ca="1">IF(ISNUMBER(O817),OFFSET('MPIO_SFIO Table'!$AJ$11,O817,0),"")</f>
        <v/>
      </c>
      <c r="U817" t="str">
        <f ca="1">IF(ISNUMBER(P817),OFFSET('MPIO_SFIO Table'!$AJ$11,P817,0),"")</f>
        <v/>
      </c>
      <c r="V817" t="str">
        <f ca="1">IF(ISNUMBER(Q817),OFFSET('MPIO_SFIO Table'!$AJ$11,Q817,0),"")</f>
        <v/>
      </c>
      <c r="W817">
        <f t="shared" ca="1" si="107"/>
        <v>0</v>
      </c>
      <c r="X817">
        <f t="shared" ca="1" si="108"/>
        <v>0</v>
      </c>
      <c r="Y817">
        <f t="shared" ca="1" si="109"/>
        <v>0</v>
      </c>
      <c r="Z817">
        <f t="shared" ca="1" si="110"/>
        <v>0</v>
      </c>
      <c r="AA817">
        <f t="shared" ca="1" si="111"/>
        <v>0</v>
      </c>
    </row>
    <row r="818" spans="1:27" x14ac:dyDescent="0.25">
      <c r="A818">
        <f t="shared" ca="1" si="104"/>
        <v>0</v>
      </c>
      <c r="B818" t="str">
        <f t="shared" ca="1" si="105"/>
        <v/>
      </c>
      <c r="C818" t="str">
        <f t="shared" si="106"/>
        <v/>
      </c>
      <c r="D818" t="s">
        <v>253</v>
      </c>
      <c r="E818" t="s">
        <v>253</v>
      </c>
      <c r="F818" s="3" t="s">
        <v>253</v>
      </c>
      <c r="G818" s="11" t="s">
        <v>253</v>
      </c>
      <c r="H818" s="11" t="s">
        <v>253</v>
      </c>
      <c r="I818" s="3" t="s">
        <v>253</v>
      </c>
      <c r="J818" s="3" t="s">
        <v>253</v>
      </c>
      <c r="K818" s="3" t="s">
        <v>253</v>
      </c>
      <c r="L818" s="3" t="s">
        <v>253</v>
      </c>
      <c r="M818" t="str">
        <f>IF(LEN(H818),MATCH(H818,'MPIO_SFIO Table'!$A$11:$A$65525,0)-1,"")</f>
        <v/>
      </c>
      <c r="N818" t="str">
        <f>IF(LEN(I818),MATCH(I818,'MPIO_SFIO Table'!$A$11:$A$65525,0)-1,"")</f>
        <v/>
      </c>
      <c r="O818" t="str">
        <f>IF(LEN(J818),MATCH(J818,'MPIO_SFIO Table'!$A$11:$A$65525,0)-1,"")</f>
        <v/>
      </c>
      <c r="P818" t="str">
        <f>IF(LEN(K818),MATCH(K818,'MPIO_SFIO Table'!$A$11:$A$65525,0)-1,"")</f>
        <v/>
      </c>
      <c r="Q818" t="str">
        <f>IF(LEN(L818),MATCH(L818,'MPIO_SFIO Table'!$A$11:$A$65525,0)-1,"")</f>
        <v/>
      </c>
      <c r="R818" t="str">
        <f ca="1">IF(ISNUMBER(M818),OFFSET('MPIO_SFIO Table'!$AJ$11,M818,0),"")</f>
        <v/>
      </c>
      <c r="S818" t="str">
        <f ca="1">IF(ISNUMBER(N818),OFFSET('MPIO_SFIO Table'!$AJ$11,N818,0),"")</f>
        <v/>
      </c>
      <c r="T818" t="str">
        <f ca="1">IF(ISNUMBER(O818),OFFSET('MPIO_SFIO Table'!$AJ$11,O818,0),"")</f>
        <v/>
      </c>
      <c r="U818" t="str">
        <f ca="1">IF(ISNUMBER(P818),OFFSET('MPIO_SFIO Table'!$AJ$11,P818,0),"")</f>
        <v/>
      </c>
      <c r="V818" t="str">
        <f ca="1">IF(ISNUMBER(Q818),OFFSET('MPIO_SFIO Table'!$AJ$11,Q818,0),"")</f>
        <v/>
      </c>
      <c r="W818">
        <f t="shared" ca="1" si="107"/>
        <v>0</v>
      </c>
      <c r="X818">
        <f t="shared" ca="1" si="108"/>
        <v>0</v>
      </c>
      <c r="Y818">
        <f t="shared" ca="1" si="109"/>
        <v>0</v>
      </c>
      <c r="Z818">
        <f t="shared" ca="1" si="110"/>
        <v>0</v>
      </c>
      <c r="AA818">
        <f t="shared" ca="1" si="111"/>
        <v>0</v>
      </c>
    </row>
    <row r="819" spans="1:27" x14ac:dyDescent="0.25">
      <c r="A819">
        <f t="shared" ca="1" si="104"/>
        <v>0</v>
      </c>
      <c r="B819" t="str">
        <f t="shared" ca="1" si="105"/>
        <v/>
      </c>
      <c r="C819" t="str">
        <f t="shared" si="106"/>
        <v/>
      </c>
      <c r="D819" t="s">
        <v>253</v>
      </c>
      <c r="E819" t="s">
        <v>253</v>
      </c>
      <c r="F819" s="3" t="s">
        <v>253</v>
      </c>
      <c r="G819" s="11" t="s">
        <v>253</v>
      </c>
      <c r="H819" s="11" t="s">
        <v>253</v>
      </c>
      <c r="I819" s="3" t="s">
        <v>253</v>
      </c>
      <c r="J819" s="3" t="s">
        <v>253</v>
      </c>
      <c r="K819" s="3" t="s">
        <v>253</v>
      </c>
      <c r="L819" s="3" t="s">
        <v>253</v>
      </c>
      <c r="M819" t="str">
        <f>IF(LEN(H819),MATCH(H819,'MPIO_SFIO Table'!$A$11:$A$65525,0)-1,"")</f>
        <v/>
      </c>
      <c r="N819" t="str">
        <f>IF(LEN(I819),MATCH(I819,'MPIO_SFIO Table'!$A$11:$A$65525,0)-1,"")</f>
        <v/>
      </c>
      <c r="O819" t="str">
        <f>IF(LEN(J819),MATCH(J819,'MPIO_SFIO Table'!$A$11:$A$65525,0)-1,"")</f>
        <v/>
      </c>
      <c r="P819" t="str">
        <f>IF(LEN(K819),MATCH(K819,'MPIO_SFIO Table'!$A$11:$A$65525,0)-1,"")</f>
        <v/>
      </c>
      <c r="Q819" t="str">
        <f>IF(LEN(L819),MATCH(L819,'MPIO_SFIO Table'!$A$11:$A$65525,0)-1,"")</f>
        <v/>
      </c>
      <c r="R819" t="str">
        <f ca="1">IF(ISNUMBER(M819),OFFSET('MPIO_SFIO Table'!$AJ$11,M819,0),"")</f>
        <v/>
      </c>
      <c r="S819" t="str">
        <f ca="1">IF(ISNUMBER(N819),OFFSET('MPIO_SFIO Table'!$AJ$11,N819,0),"")</f>
        <v/>
      </c>
      <c r="T819" t="str">
        <f ca="1">IF(ISNUMBER(O819),OFFSET('MPIO_SFIO Table'!$AJ$11,O819,0),"")</f>
        <v/>
      </c>
      <c r="U819" t="str">
        <f ca="1">IF(ISNUMBER(P819),OFFSET('MPIO_SFIO Table'!$AJ$11,P819,0),"")</f>
        <v/>
      </c>
      <c r="V819" t="str">
        <f ca="1">IF(ISNUMBER(Q819),OFFSET('MPIO_SFIO Table'!$AJ$11,Q819,0),"")</f>
        <v/>
      </c>
      <c r="W819">
        <f t="shared" ca="1" si="107"/>
        <v>0</v>
      </c>
      <c r="X819">
        <f t="shared" ca="1" si="108"/>
        <v>0</v>
      </c>
      <c r="Y819">
        <f t="shared" ca="1" si="109"/>
        <v>0</v>
      </c>
      <c r="Z819">
        <f t="shared" ca="1" si="110"/>
        <v>0</v>
      </c>
      <c r="AA819">
        <f t="shared" ca="1" si="111"/>
        <v>0</v>
      </c>
    </row>
    <row r="820" spans="1:27" x14ac:dyDescent="0.25">
      <c r="A820">
        <f t="shared" ca="1" si="104"/>
        <v>0</v>
      </c>
      <c r="B820" t="str">
        <f t="shared" ca="1" si="105"/>
        <v/>
      </c>
      <c r="C820" t="str">
        <f t="shared" si="106"/>
        <v/>
      </c>
      <c r="D820" t="s">
        <v>253</v>
      </c>
      <c r="E820" t="s">
        <v>253</v>
      </c>
      <c r="F820" s="3" t="s">
        <v>253</v>
      </c>
      <c r="G820" s="11" t="s">
        <v>253</v>
      </c>
      <c r="H820" s="11" t="s">
        <v>253</v>
      </c>
      <c r="I820" s="3" t="s">
        <v>253</v>
      </c>
      <c r="J820" s="3" t="s">
        <v>253</v>
      </c>
      <c r="K820" s="3" t="s">
        <v>253</v>
      </c>
      <c r="L820" s="3" t="s">
        <v>253</v>
      </c>
      <c r="M820" t="str">
        <f>IF(LEN(H820),MATCH(H820,'MPIO_SFIO Table'!$A$11:$A$65525,0)-1,"")</f>
        <v/>
      </c>
      <c r="N820" t="str">
        <f>IF(LEN(I820),MATCH(I820,'MPIO_SFIO Table'!$A$11:$A$65525,0)-1,"")</f>
        <v/>
      </c>
      <c r="O820" t="str">
        <f>IF(LEN(J820),MATCH(J820,'MPIO_SFIO Table'!$A$11:$A$65525,0)-1,"")</f>
        <v/>
      </c>
      <c r="P820" t="str">
        <f>IF(LEN(K820),MATCH(K820,'MPIO_SFIO Table'!$A$11:$A$65525,0)-1,"")</f>
        <v/>
      </c>
      <c r="Q820" t="str">
        <f>IF(LEN(L820),MATCH(L820,'MPIO_SFIO Table'!$A$11:$A$65525,0)-1,"")</f>
        <v/>
      </c>
      <c r="R820" t="str">
        <f ca="1">IF(ISNUMBER(M820),OFFSET('MPIO_SFIO Table'!$AJ$11,M820,0),"")</f>
        <v/>
      </c>
      <c r="S820" t="str">
        <f ca="1">IF(ISNUMBER(N820),OFFSET('MPIO_SFIO Table'!$AJ$11,N820,0),"")</f>
        <v/>
      </c>
      <c r="T820" t="str">
        <f ca="1">IF(ISNUMBER(O820),OFFSET('MPIO_SFIO Table'!$AJ$11,O820,0),"")</f>
        <v/>
      </c>
      <c r="U820" t="str">
        <f ca="1">IF(ISNUMBER(P820),OFFSET('MPIO_SFIO Table'!$AJ$11,P820,0),"")</f>
        <v/>
      </c>
      <c r="V820" t="str">
        <f ca="1">IF(ISNUMBER(Q820),OFFSET('MPIO_SFIO Table'!$AJ$11,Q820,0),"")</f>
        <v/>
      </c>
      <c r="W820">
        <f t="shared" ca="1" si="107"/>
        <v>0</v>
      </c>
      <c r="X820">
        <f t="shared" ca="1" si="108"/>
        <v>0</v>
      </c>
      <c r="Y820">
        <f t="shared" ca="1" si="109"/>
        <v>0</v>
      </c>
      <c r="Z820">
        <f t="shared" ca="1" si="110"/>
        <v>0</v>
      </c>
      <c r="AA820">
        <f t="shared" ca="1" si="111"/>
        <v>0</v>
      </c>
    </row>
    <row r="821" spans="1:27" x14ac:dyDescent="0.25">
      <c r="A821">
        <f t="shared" ca="1" si="104"/>
        <v>0</v>
      </c>
      <c r="B821" t="str">
        <f t="shared" ca="1" si="105"/>
        <v/>
      </c>
      <c r="C821" t="str">
        <f t="shared" si="106"/>
        <v/>
      </c>
      <c r="D821" t="s">
        <v>253</v>
      </c>
      <c r="E821" t="s">
        <v>253</v>
      </c>
      <c r="F821" s="3" t="s">
        <v>253</v>
      </c>
      <c r="G821" s="11" t="s">
        <v>253</v>
      </c>
      <c r="H821" s="11" t="s">
        <v>253</v>
      </c>
      <c r="I821" s="3" t="s">
        <v>253</v>
      </c>
      <c r="J821" s="3" t="s">
        <v>253</v>
      </c>
      <c r="K821" s="3" t="s">
        <v>253</v>
      </c>
      <c r="L821" s="3" t="s">
        <v>253</v>
      </c>
      <c r="M821" t="str">
        <f>IF(LEN(H821),MATCH(H821,'MPIO_SFIO Table'!$A$11:$A$65525,0)-1,"")</f>
        <v/>
      </c>
      <c r="N821" t="str">
        <f>IF(LEN(I821),MATCH(I821,'MPIO_SFIO Table'!$A$11:$A$65525,0)-1,"")</f>
        <v/>
      </c>
      <c r="O821" t="str">
        <f>IF(LEN(J821),MATCH(J821,'MPIO_SFIO Table'!$A$11:$A$65525,0)-1,"")</f>
        <v/>
      </c>
      <c r="P821" t="str">
        <f>IF(LEN(K821),MATCH(K821,'MPIO_SFIO Table'!$A$11:$A$65525,0)-1,"")</f>
        <v/>
      </c>
      <c r="Q821" t="str">
        <f>IF(LEN(L821),MATCH(L821,'MPIO_SFIO Table'!$A$11:$A$65525,0)-1,"")</f>
        <v/>
      </c>
      <c r="R821" t="str">
        <f ca="1">IF(ISNUMBER(M821),OFFSET('MPIO_SFIO Table'!$AJ$11,M821,0),"")</f>
        <v/>
      </c>
      <c r="S821" t="str">
        <f ca="1">IF(ISNUMBER(N821),OFFSET('MPIO_SFIO Table'!$AJ$11,N821,0),"")</f>
        <v/>
      </c>
      <c r="T821" t="str">
        <f ca="1">IF(ISNUMBER(O821),OFFSET('MPIO_SFIO Table'!$AJ$11,O821,0),"")</f>
        <v/>
      </c>
      <c r="U821" t="str">
        <f ca="1">IF(ISNUMBER(P821),OFFSET('MPIO_SFIO Table'!$AJ$11,P821,0),"")</f>
        <v/>
      </c>
      <c r="V821" t="str">
        <f ca="1">IF(ISNUMBER(Q821),OFFSET('MPIO_SFIO Table'!$AJ$11,Q821,0),"")</f>
        <v/>
      </c>
      <c r="W821">
        <f t="shared" ca="1" si="107"/>
        <v>0</v>
      </c>
      <c r="X821">
        <f t="shared" ca="1" si="108"/>
        <v>0</v>
      </c>
      <c r="Y821">
        <f t="shared" ca="1" si="109"/>
        <v>0</v>
      </c>
      <c r="Z821">
        <f t="shared" ca="1" si="110"/>
        <v>0</v>
      </c>
      <c r="AA821">
        <f t="shared" ca="1" si="111"/>
        <v>0</v>
      </c>
    </row>
    <row r="822" spans="1:27" x14ac:dyDescent="0.25">
      <c r="A822">
        <f t="shared" ca="1" si="104"/>
        <v>0</v>
      </c>
      <c r="B822" t="str">
        <f t="shared" ca="1" si="105"/>
        <v/>
      </c>
      <c r="C822" t="str">
        <f t="shared" si="106"/>
        <v/>
      </c>
      <c r="D822" t="s">
        <v>253</v>
      </c>
      <c r="E822" t="s">
        <v>253</v>
      </c>
      <c r="F822" s="3" t="s">
        <v>253</v>
      </c>
      <c r="G822" s="11" t="s">
        <v>253</v>
      </c>
      <c r="H822" s="11" t="s">
        <v>253</v>
      </c>
      <c r="I822" s="3" t="s">
        <v>253</v>
      </c>
      <c r="J822" s="3" t="s">
        <v>253</v>
      </c>
      <c r="K822" s="3" t="s">
        <v>253</v>
      </c>
      <c r="L822" s="3" t="s">
        <v>253</v>
      </c>
      <c r="M822" t="str">
        <f>IF(LEN(H822),MATCH(H822,'MPIO_SFIO Table'!$A$11:$A$65525,0)-1,"")</f>
        <v/>
      </c>
      <c r="N822" t="str">
        <f>IF(LEN(I822),MATCH(I822,'MPIO_SFIO Table'!$A$11:$A$65525,0)-1,"")</f>
        <v/>
      </c>
      <c r="O822" t="str">
        <f>IF(LEN(J822),MATCH(J822,'MPIO_SFIO Table'!$A$11:$A$65525,0)-1,"")</f>
        <v/>
      </c>
      <c r="P822" t="str">
        <f>IF(LEN(K822),MATCH(K822,'MPIO_SFIO Table'!$A$11:$A$65525,0)-1,"")</f>
        <v/>
      </c>
      <c r="Q822" t="str">
        <f>IF(LEN(L822),MATCH(L822,'MPIO_SFIO Table'!$A$11:$A$65525,0)-1,"")</f>
        <v/>
      </c>
      <c r="R822" t="str">
        <f ca="1">IF(ISNUMBER(M822),OFFSET('MPIO_SFIO Table'!$AJ$11,M822,0),"")</f>
        <v/>
      </c>
      <c r="S822" t="str">
        <f ca="1">IF(ISNUMBER(N822),OFFSET('MPIO_SFIO Table'!$AJ$11,N822,0),"")</f>
        <v/>
      </c>
      <c r="T822" t="str">
        <f ca="1">IF(ISNUMBER(O822),OFFSET('MPIO_SFIO Table'!$AJ$11,O822,0),"")</f>
        <v/>
      </c>
      <c r="U822" t="str">
        <f ca="1">IF(ISNUMBER(P822),OFFSET('MPIO_SFIO Table'!$AJ$11,P822,0),"")</f>
        <v/>
      </c>
      <c r="V822" t="str">
        <f ca="1">IF(ISNUMBER(Q822),OFFSET('MPIO_SFIO Table'!$AJ$11,Q822,0),"")</f>
        <v/>
      </c>
      <c r="W822">
        <f t="shared" ca="1" si="107"/>
        <v>0</v>
      </c>
      <c r="X822">
        <f t="shared" ca="1" si="108"/>
        <v>0</v>
      </c>
      <c r="Y822">
        <f t="shared" ca="1" si="109"/>
        <v>0</v>
      </c>
      <c r="Z822">
        <f t="shared" ca="1" si="110"/>
        <v>0</v>
      </c>
      <c r="AA822">
        <f t="shared" ca="1" si="111"/>
        <v>0</v>
      </c>
    </row>
    <row r="823" spans="1:27" x14ac:dyDescent="0.25">
      <c r="A823">
        <f t="shared" ca="1" si="104"/>
        <v>0</v>
      </c>
      <c r="B823" t="str">
        <f t="shared" ca="1" si="105"/>
        <v/>
      </c>
      <c r="C823" t="str">
        <f t="shared" si="106"/>
        <v/>
      </c>
      <c r="D823" t="s">
        <v>253</v>
      </c>
      <c r="E823" t="s">
        <v>253</v>
      </c>
      <c r="F823" s="3" t="s">
        <v>253</v>
      </c>
      <c r="G823" s="11" t="s">
        <v>253</v>
      </c>
      <c r="H823" s="11" t="s">
        <v>253</v>
      </c>
      <c r="I823" s="3" t="s">
        <v>253</v>
      </c>
      <c r="J823" s="3" t="s">
        <v>253</v>
      </c>
      <c r="K823" s="3" t="s">
        <v>253</v>
      </c>
      <c r="L823" s="3" t="s">
        <v>253</v>
      </c>
      <c r="M823" t="str">
        <f>IF(LEN(H823),MATCH(H823,'MPIO_SFIO Table'!$A$11:$A$65525,0)-1,"")</f>
        <v/>
      </c>
      <c r="N823" t="str">
        <f>IF(LEN(I823),MATCH(I823,'MPIO_SFIO Table'!$A$11:$A$65525,0)-1,"")</f>
        <v/>
      </c>
      <c r="O823" t="str">
        <f>IF(LEN(J823),MATCH(J823,'MPIO_SFIO Table'!$A$11:$A$65525,0)-1,"")</f>
        <v/>
      </c>
      <c r="P823" t="str">
        <f>IF(LEN(K823),MATCH(K823,'MPIO_SFIO Table'!$A$11:$A$65525,0)-1,"")</f>
        <v/>
      </c>
      <c r="Q823" t="str">
        <f>IF(LEN(L823),MATCH(L823,'MPIO_SFIO Table'!$A$11:$A$65525,0)-1,"")</f>
        <v/>
      </c>
      <c r="R823" t="str">
        <f ca="1">IF(ISNUMBER(M823),OFFSET('MPIO_SFIO Table'!$AJ$11,M823,0),"")</f>
        <v/>
      </c>
      <c r="S823" t="str">
        <f ca="1">IF(ISNUMBER(N823),OFFSET('MPIO_SFIO Table'!$AJ$11,N823,0),"")</f>
        <v/>
      </c>
      <c r="T823" t="str">
        <f ca="1">IF(ISNUMBER(O823),OFFSET('MPIO_SFIO Table'!$AJ$11,O823,0),"")</f>
        <v/>
      </c>
      <c r="U823" t="str">
        <f ca="1">IF(ISNUMBER(P823),OFFSET('MPIO_SFIO Table'!$AJ$11,P823,0),"")</f>
        <v/>
      </c>
      <c r="V823" t="str">
        <f ca="1">IF(ISNUMBER(Q823),OFFSET('MPIO_SFIO Table'!$AJ$11,Q823,0),"")</f>
        <v/>
      </c>
      <c r="W823">
        <f t="shared" ca="1" si="107"/>
        <v>0</v>
      </c>
      <c r="X823">
        <f t="shared" ca="1" si="108"/>
        <v>0</v>
      </c>
      <c r="Y823">
        <f t="shared" ca="1" si="109"/>
        <v>0</v>
      </c>
      <c r="Z823">
        <f t="shared" ca="1" si="110"/>
        <v>0</v>
      </c>
      <c r="AA823">
        <f t="shared" ca="1" si="111"/>
        <v>0</v>
      </c>
    </row>
    <row r="824" spans="1:27" x14ac:dyDescent="0.25">
      <c r="A824">
        <f t="shared" ca="1" si="104"/>
        <v>0</v>
      </c>
      <c r="B824" t="str">
        <f t="shared" ca="1" si="105"/>
        <v/>
      </c>
      <c r="C824" t="str">
        <f t="shared" si="106"/>
        <v/>
      </c>
      <c r="D824" t="s">
        <v>253</v>
      </c>
      <c r="E824" t="s">
        <v>253</v>
      </c>
      <c r="F824" s="3" t="s">
        <v>253</v>
      </c>
      <c r="G824" s="11" t="s">
        <v>253</v>
      </c>
      <c r="H824" s="11" t="s">
        <v>253</v>
      </c>
      <c r="I824" s="3" t="s">
        <v>253</v>
      </c>
      <c r="J824" s="3" t="s">
        <v>253</v>
      </c>
      <c r="K824" s="3" t="s">
        <v>253</v>
      </c>
      <c r="L824" s="3" t="s">
        <v>253</v>
      </c>
      <c r="M824" t="str">
        <f>IF(LEN(H824),MATCH(H824,'MPIO_SFIO Table'!$A$11:$A$65525,0)-1,"")</f>
        <v/>
      </c>
      <c r="N824" t="str">
        <f>IF(LEN(I824),MATCH(I824,'MPIO_SFIO Table'!$A$11:$A$65525,0)-1,"")</f>
        <v/>
      </c>
      <c r="O824" t="str">
        <f>IF(LEN(J824),MATCH(J824,'MPIO_SFIO Table'!$A$11:$A$65525,0)-1,"")</f>
        <v/>
      </c>
      <c r="P824" t="str">
        <f>IF(LEN(K824),MATCH(K824,'MPIO_SFIO Table'!$A$11:$A$65525,0)-1,"")</f>
        <v/>
      </c>
      <c r="Q824" t="str">
        <f>IF(LEN(L824),MATCH(L824,'MPIO_SFIO Table'!$A$11:$A$65525,0)-1,"")</f>
        <v/>
      </c>
      <c r="R824" t="str">
        <f ca="1">IF(ISNUMBER(M824),OFFSET('MPIO_SFIO Table'!$AJ$11,M824,0),"")</f>
        <v/>
      </c>
      <c r="S824" t="str">
        <f ca="1">IF(ISNUMBER(N824),OFFSET('MPIO_SFIO Table'!$AJ$11,N824,0),"")</f>
        <v/>
      </c>
      <c r="T824" t="str">
        <f ca="1">IF(ISNUMBER(O824),OFFSET('MPIO_SFIO Table'!$AJ$11,O824,0),"")</f>
        <v/>
      </c>
      <c r="U824" t="str">
        <f ca="1">IF(ISNUMBER(P824),OFFSET('MPIO_SFIO Table'!$AJ$11,P824,0),"")</f>
        <v/>
      </c>
      <c r="V824" t="str">
        <f ca="1">IF(ISNUMBER(Q824),OFFSET('MPIO_SFIO Table'!$AJ$11,Q824,0),"")</f>
        <v/>
      </c>
      <c r="W824">
        <f t="shared" ca="1" si="107"/>
        <v>0</v>
      </c>
      <c r="X824">
        <f t="shared" ca="1" si="108"/>
        <v>0</v>
      </c>
      <c r="Y824">
        <f t="shared" ca="1" si="109"/>
        <v>0</v>
      </c>
      <c r="Z824">
        <f t="shared" ca="1" si="110"/>
        <v>0</v>
      </c>
      <c r="AA824">
        <f t="shared" ca="1" si="111"/>
        <v>0</v>
      </c>
    </row>
    <row r="825" spans="1:27" x14ac:dyDescent="0.25">
      <c r="A825">
        <f t="shared" ca="1" si="104"/>
        <v>0</v>
      </c>
      <c r="B825" t="str">
        <f t="shared" ca="1" si="105"/>
        <v/>
      </c>
      <c r="C825" t="str">
        <f t="shared" si="106"/>
        <v/>
      </c>
      <c r="D825" t="s">
        <v>253</v>
      </c>
      <c r="E825" t="s">
        <v>253</v>
      </c>
      <c r="F825" s="3" t="s">
        <v>253</v>
      </c>
      <c r="G825" s="11" t="s">
        <v>253</v>
      </c>
      <c r="H825" s="11" t="s">
        <v>253</v>
      </c>
      <c r="I825" s="3" t="s">
        <v>253</v>
      </c>
      <c r="J825" s="3" t="s">
        <v>253</v>
      </c>
      <c r="K825" s="3" t="s">
        <v>253</v>
      </c>
      <c r="L825" s="3" t="s">
        <v>253</v>
      </c>
      <c r="M825" t="str">
        <f>IF(LEN(H825),MATCH(H825,'MPIO_SFIO Table'!$A$11:$A$65525,0)-1,"")</f>
        <v/>
      </c>
      <c r="N825" t="str">
        <f>IF(LEN(I825),MATCH(I825,'MPIO_SFIO Table'!$A$11:$A$65525,0)-1,"")</f>
        <v/>
      </c>
      <c r="O825" t="str">
        <f>IF(LEN(J825),MATCH(J825,'MPIO_SFIO Table'!$A$11:$A$65525,0)-1,"")</f>
        <v/>
      </c>
      <c r="P825" t="str">
        <f>IF(LEN(K825),MATCH(K825,'MPIO_SFIO Table'!$A$11:$A$65525,0)-1,"")</f>
        <v/>
      </c>
      <c r="Q825" t="str">
        <f>IF(LEN(L825),MATCH(L825,'MPIO_SFIO Table'!$A$11:$A$65525,0)-1,"")</f>
        <v/>
      </c>
      <c r="R825" t="str">
        <f ca="1">IF(ISNUMBER(M825),OFFSET('MPIO_SFIO Table'!$AJ$11,M825,0),"")</f>
        <v/>
      </c>
      <c r="S825" t="str">
        <f ca="1">IF(ISNUMBER(N825),OFFSET('MPIO_SFIO Table'!$AJ$11,N825,0),"")</f>
        <v/>
      </c>
      <c r="T825" t="str">
        <f ca="1">IF(ISNUMBER(O825),OFFSET('MPIO_SFIO Table'!$AJ$11,O825,0),"")</f>
        <v/>
      </c>
      <c r="U825" t="str">
        <f ca="1">IF(ISNUMBER(P825),OFFSET('MPIO_SFIO Table'!$AJ$11,P825,0),"")</f>
        <v/>
      </c>
      <c r="V825" t="str">
        <f ca="1">IF(ISNUMBER(Q825),OFFSET('MPIO_SFIO Table'!$AJ$11,Q825,0),"")</f>
        <v/>
      </c>
      <c r="W825">
        <f t="shared" ca="1" si="107"/>
        <v>0</v>
      </c>
      <c r="X825">
        <f t="shared" ca="1" si="108"/>
        <v>0</v>
      </c>
      <c r="Y825">
        <f t="shared" ca="1" si="109"/>
        <v>0</v>
      </c>
      <c r="Z825">
        <f t="shared" ca="1" si="110"/>
        <v>0</v>
      </c>
      <c r="AA825">
        <f t="shared" ca="1" si="111"/>
        <v>0</v>
      </c>
    </row>
    <row r="826" spans="1:27" x14ac:dyDescent="0.25">
      <c r="A826">
        <f t="shared" ca="1" si="104"/>
        <v>0</v>
      </c>
      <c r="B826" t="str">
        <f t="shared" ca="1" si="105"/>
        <v/>
      </c>
      <c r="C826" t="str">
        <f t="shared" si="106"/>
        <v/>
      </c>
      <c r="D826" t="s">
        <v>253</v>
      </c>
      <c r="E826" t="s">
        <v>253</v>
      </c>
      <c r="F826" s="3" t="s">
        <v>253</v>
      </c>
      <c r="G826" s="11" t="s">
        <v>253</v>
      </c>
      <c r="H826" s="11" t="s">
        <v>253</v>
      </c>
      <c r="I826" s="3" t="s">
        <v>253</v>
      </c>
      <c r="J826" s="3" t="s">
        <v>253</v>
      </c>
      <c r="K826" s="3" t="s">
        <v>253</v>
      </c>
      <c r="L826" s="3" t="s">
        <v>253</v>
      </c>
      <c r="M826" t="str">
        <f>IF(LEN(H826),MATCH(H826,'MPIO_SFIO Table'!$A$11:$A$65525,0)-1,"")</f>
        <v/>
      </c>
      <c r="N826" t="str">
        <f>IF(LEN(I826),MATCH(I826,'MPIO_SFIO Table'!$A$11:$A$65525,0)-1,"")</f>
        <v/>
      </c>
      <c r="O826" t="str">
        <f>IF(LEN(J826),MATCH(J826,'MPIO_SFIO Table'!$A$11:$A$65525,0)-1,"")</f>
        <v/>
      </c>
      <c r="P826" t="str">
        <f>IF(LEN(K826),MATCH(K826,'MPIO_SFIO Table'!$A$11:$A$65525,0)-1,"")</f>
        <v/>
      </c>
      <c r="Q826" t="str">
        <f>IF(LEN(L826),MATCH(L826,'MPIO_SFIO Table'!$A$11:$A$65525,0)-1,"")</f>
        <v/>
      </c>
      <c r="R826" t="str">
        <f ca="1">IF(ISNUMBER(M826),OFFSET('MPIO_SFIO Table'!$AJ$11,M826,0),"")</f>
        <v/>
      </c>
      <c r="S826" t="str">
        <f ca="1">IF(ISNUMBER(N826),OFFSET('MPIO_SFIO Table'!$AJ$11,N826,0),"")</f>
        <v/>
      </c>
      <c r="T826" t="str">
        <f ca="1">IF(ISNUMBER(O826),OFFSET('MPIO_SFIO Table'!$AJ$11,O826,0),"")</f>
        <v/>
      </c>
      <c r="U826" t="str">
        <f ca="1">IF(ISNUMBER(P826),OFFSET('MPIO_SFIO Table'!$AJ$11,P826,0),"")</f>
        <v/>
      </c>
      <c r="V826" t="str">
        <f ca="1">IF(ISNUMBER(Q826),OFFSET('MPIO_SFIO Table'!$AJ$11,Q826,0),"")</f>
        <v/>
      </c>
      <c r="W826">
        <f t="shared" ca="1" si="107"/>
        <v>0</v>
      </c>
      <c r="X826">
        <f t="shared" ca="1" si="108"/>
        <v>0</v>
      </c>
      <c r="Y826">
        <f t="shared" ca="1" si="109"/>
        <v>0</v>
      </c>
      <c r="Z826">
        <f t="shared" ca="1" si="110"/>
        <v>0</v>
      </c>
      <c r="AA826">
        <f t="shared" ca="1" si="111"/>
        <v>0</v>
      </c>
    </row>
    <row r="827" spans="1:27" x14ac:dyDescent="0.25">
      <c r="A827">
        <f t="shared" ca="1" si="104"/>
        <v>0</v>
      </c>
      <c r="B827" t="str">
        <f t="shared" ca="1" si="105"/>
        <v/>
      </c>
      <c r="C827" t="str">
        <f t="shared" si="106"/>
        <v/>
      </c>
      <c r="D827" t="s">
        <v>253</v>
      </c>
      <c r="E827" t="s">
        <v>253</v>
      </c>
      <c r="F827" s="3" t="s">
        <v>253</v>
      </c>
      <c r="G827" s="11" t="s">
        <v>253</v>
      </c>
      <c r="H827" s="11" t="s">
        <v>253</v>
      </c>
      <c r="I827" s="3" t="s">
        <v>253</v>
      </c>
      <c r="J827" s="3" t="s">
        <v>253</v>
      </c>
      <c r="K827" s="3" t="s">
        <v>253</v>
      </c>
      <c r="L827" s="3" t="s">
        <v>253</v>
      </c>
      <c r="M827" t="str">
        <f>IF(LEN(H827),MATCH(H827,'MPIO_SFIO Table'!$A$11:$A$65525,0)-1,"")</f>
        <v/>
      </c>
      <c r="N827" t="str">
        <f>IF(LEN(I827),MATCH(I827,'MPIO_SFIO Table'!$A$11:$A$65525,0)-1,"")</f>
        <v/>
      </c>
      <c r="O827" t="str">
        <f>IF(LEN(J827),MATCH(J827,'MPIO_SFIO Table'!$A$11:$A$65525,0)-1,"")</f>
        <v/>
      </c>
      <c r="P827" t="str">
        <f>IF(LEN(K827),MATCH(K827,'MPIO_SFIO Table'!$A$11:$A$65525,0)-1,"")</f>
        <v/>
      </c>
      <c r="Q827" t="str">
        <f>IF(LEN(L827),MATCH(L827,'MPIO_SFIO Table'!$A$11:$A$65525,0)-1,"")</f>
        <v/>
      </c>
      <c r="R827" t="str">
        <f ca="1">IF(ISNUMBER(M827),OFFSET('MPIO_SFIO Table'!$AJ$11,M827,0),"")</f>
        <v/>
      </c>
      <c r="S827" t="str">
        <f ca="1">IF(ISNUMBER(N827),OFFSET('MPIO_SFIO Table'!$AJ$11,N827,0),"")</f>
        <v/>
      </c>
      <c r="T827" t="str">
        <f ca="1">IF(ISNUMBER(O827),OFFSET('MPIO_SFIO Table'!$AJ$11,O827,0),"")</f>
        <v/>
      </c>
      <c r="U827" t="str">
        <f ca="1">IF(ISNUMBER(P827),OFFSET('MPIO_SFIO Table'!$AJ$11,P827,0),"")</f>
        <v/>
      </c>
      <c r="V827" t="str">
        <f ca="1">IF(ISNUMBER(Q827),OFFSET('MPIO_SFIO Table'!$AJ$11,Q827,0),"")</f>
        <v/>
      </c>
      <c r="W827">
        <f t="shared" ca="1" si="107"/>
        <v>0</v>
      </c>
      <c r="X827">
        <f t="shared" ca="1" si="108"/>
        <v>0</v>
      </c>
      <c r="Y827">
        <f t="shared" ca="1" si="109"/>
        <v>0</v>
      </c>
      <c r="Z827">
        <f t="shared" ca="1" si="110"/>
        <v>0</v>
      </c>
      <c r="AA827">
        <f t="shared" ca="1" si="111"/>
        <v>0</v>
      </c>
    </row>
    <row r="828" spans="1:27" x14ac:dyDescent="0.25">
      <c r="A828">
        <f t="shared" ca="1" si="104"/>
        <v>0</v>
      </c>
      <c r="B828" t="str">
        <f t="shared" ca="1" si="105"/>
        <v/>
      </c>
      <c r="C828" t="str">
        <f t="shared" si="106"/>
        <v/>
      </c>
      <c r="D828" t="s">
        <v>253</v>
      </c>
      <c r="E828" t="s">
        <v>253</v>
      </c>
      <c r="F828" s="3" t="s">
        <v>253</v>
      </c>
      <c r="G828" s="11" t="s">
        <v>253</v>
      </c>
      <c r="H828" s="11" t="s">
        <v>253</v>
      </c>
      <c r="I828" s="3" t="s">
        <v>253</v>
      </c>
      <c r="J828" s="3" t="s">
        <v>253</v>
      </c>
      <c r="K828" s="3" t="s">
        <v>253</v>
      </c>
      <c r="L828" s="3" t="s">
        <v>253</v>
      </c>
      <c r="M828" t="str">
        <f>IF(LEN(H828),MATCH(H828,'MPIO_SFIO Table'!$A$11:$A$65525,0)-1,"")</f>
        <v/>
      </c>
      <c r="N828" t="str">
        <f>IF(LEN(I828),MATCH(I828,'MPIO_SFIO Table'!$A$11:$A$65525,0)-1,"")</f>
        <v/>
      </c>
      <c r="O828" t="str">
        <f>IF(LEN(J828),MATCH(J828,'MPIO_SFIO Table'!$A$11:$A$65525,0)-1,"")</f>
        <v/>
      </c>
      <c r="P828" t="str">
        <f>IF(LEN(K828),MATCH(K828,'MPIO_SFIO Table'!$A$11:$A$65525,0)-1,"")</f>
        <v/>
      </c>
      <c r="Q828" t="str">
        <f>IF(LEN(L828),MATCH(L828,'MPIO_SFIO Table'!$A$11:$A$65525,0)-1,"")</f>
        <v/>
      </c>
      <c r="R828" t="str">
        <f ca="1">IF(ISNUMBER(M828),OFFSET('MPIO_SFIO Table'!$AJ$11,M828,0),"")</f>
        <v/>
      </c>
      <c r="S828" t="str">
        <f ca="1">IF(ISNUMBER(N828),OFFSET('MPIO_SFIO Table'!$AJ$11,N828,0),"")</f>
        <v/>
      </c>
      <c r="T828" t="str">
        <f ca="1">IF(ISNUMBER(O828),OFFSET('MPIO_SFIO Table'!$AJ$11,O828,0),"")</f>
        <v/>
      </c>
      <c r="U828" t="str">
        <f ca="1">IF(ISNUMBER(P828),OFFSET('MPIO_SFIO Table'!$AJ$11,P828,0),"")</f>
        <v/>
      </c>
      <c r="V828" t="str">
        <f ca="1">IF(ISNUMBER(Q828),OFFSET('MPIO_SFIO Table'!$AJ$11,Q828,0),"")</f>
        <v/>
      </c>
      <c r="W828">
        <f t="shared" ca="1" si="107"/>
        <v>0</v>
      </c>
      <c r="X828">
        <f t="shared" ca="1" si="108"/>
        <v>0</v>
      </c>
      <c r="Y828">
        <f t="shared" ca="1" si="109"/>
        <v>0</v>
      </c>
      <c r="Z828">
        <f t="shared" ca="1" si="110"/>
        <v>0</v>
      </c>
      <c r="AA828">
        <f t="shared" ca="1" si="111"/>
        <v>0</v>
      </c>
    </row>
    <row r="829" spans="1:27" x14ac:dyDescent="0.25">
      <c r="A829">
        <f t="shared" ca="1" si="104"/>
        <v>0</v>
      </c>
      <c r="B829" t="str">
        <f t="shared" ca="1" si="105"/>
        <v/>
      </c>
      <c r="C829" t="str">
        <f t="shared" si="106"/>
        <v/>
      </c>
      <c r="D829" t="s">
        <v>253</v>
      </c>
      <c r="E829" t="s">
        <v>253</v>
      </c>
      <c r="F829" s="3" t="s">
        <v>253</v>
      </c>
      <c r="G829" s="11" t="s">
        <v>253</v>
      </c>
      <c r="H829" s="11" t="s">
        <v>253</v>
      </c>
      <c r="I829" s="3" t="s">
        <v>253</v>
      </c>
      <c r="J829" s="3" t="s">
        <v>253</v>
      </c>
      <c r="K829" s="3" t="s">
        <v>253</v>
      </c>
      <c r="L829" s="3" t="s">
        <v>253</v>
      </c>
      <c r="M829" t="str">
        <f>IF(LEN(H829),MATCH(H829,'MPIO_SFIO Table'!$A$11:$A$65525,0)-1,"")</f>
        <v/>
      </c>
      <c r="N829" t="str">
        <f>IF(LEN(I829),MATCH(I829,'MPIO_SFIO Table'!$A$11:$A$65525,0)-1,"")</f>
        <v/>
      </c>
      <c r="O829" t="str">
        <f>IF(LEN(J829),MATCH(J829,'MPIO_SFIO Table'!$A$11:$A$65525,0)-1,"")</f>
        <v/>
      </c>
      <c r="P829" t="str">
        <f>IF(LEN(K829),MATCH(K829,'MPIO_SFIO Table'!$A$11:$A$65525,0)-1,"")</f>
        <v/>
      </c>
      <c r="Q829" t="str">
        <f>IF(LEN(L829),MATCH(L829,'MPIO_SFIO Table'!$A$11:$A$65525,0)-1,"")</f>
        <v/>
      </c>
      <c r="R829" t="str">
        <f ca="1">IF(ISNUMBER(M829),OFFSET('MPIO_SFIO Table'!$AJ$11,M829,0),"")</f>
        <v/>
      </c>
      <c r="S829" t="str">
        <f ca="1">IF(ISNUMBER(N829),OFFSET('MPIO_SFIO Table'!$AJ$11,N829,0),"")</f>
        <v/>
      </c>
      <c r="T829" t="str">
        <f ca="1">IF(ISNUMBER(O829),OFFSET('MPIO_SFIO Table'!$AJ$11,O829,0),"")</f>
        <v/>
      </c>
      <c r="U829" t="str">
        <f ca="1">IF(ISNUMBER(P829),OFFSET('MPIO_SFIO Table'!$AJ$11,P829,0),"")</f>
        <v/>
      </c>
      <c r="V829" t="str">
        <f ca="1">IF(ISNUMBER(Q829),OFFSET('MPIO_SFIO Table'!$AJ$11,Q829,0),"")</f>
        <v/>
      </c>
      <c r="W829">
        <f t="shared" ca="1" si="107"/>
        <v>0</v>
      </c>
      <c r="X829">
        <f t="shared" ca="1" si="108"/>
        <v>0</v>
      </c>
      <c r="Y829">
        <f t="shared" ca="1" si="109"/>
        <v>0</v>
      </c>
      <c r="Z829">
        <f t="shared" ca="1" si="110"/>
        <v>0</v>
      </c>
      <c r="AA829">
        <f t="shared" ca="1" si="111"/>
        <v>0</v>
      </c>
    </row>
    <row r="830" spans="1:27" x14ac:dyDescent="0.25">
      <c r="A830">
        <f t="shared" ca="1" si="104"/>
        <v>0</v>
      </c>
      <c r="B830" t="str">
        <f t="shared" ca="1" si="105"/>
        <v/>
      </c>
      <c r="C830" t="str">
        <f t="shared" si="106"/>
        <v/>
      </c>
      <c r="D830" t="s">
        <v>253</v>
      </c>
      <c r="E830" t="s">
        <v>253</v>
      </c>
      <c r="F830" s="3" t="s">
        <v>253</v>
      </c>
      <c r="G830" s="11" t="s">
        <v>253</v>
      </c>
      <c r="H830" s="11" t="s">
        <v>253</v>
      </c>
      <c r="I830" s="3" t="s">
        <v>253</v>
      </c>
      <c r="J830" s="3" t="s">
        <v>253</v>
      </c>
      <c r="K830" s="3" t="s">
        <v>253</v>
      </c>
      <c r="L830" s="3" t="s">
        <v>253</v>
      </c>
      <c r="M830" t="str">
        <f>IF(LEN(H830),MATCH(H830,'MPIO_SFIO Table'!$A$11:$A$65525,0)-1,"")</f>
        <v/>
      </c>
      <c r="N830" t="str">
        <f>IF(LEN(I830),MATCH(I830,'MPIO_SFIO Table'!$A$11:$A$65525,0)-1,"")</f>
        <v/>
      </c>
      <c r="O830" t="str">
        <f>IF(LEN(J830),MATCH(J830,'MPIO_SFIO Table'!$A$11:$A$65525,0)-1,"")</f>
        <v/>
      </c>
      <c r="P830" t="str">
        <f>IF(LEN(K830),MATCH(K830,'MPIO_SFIO Table'!$A$11:$A$65525,0)-1,"")</f>
        <v/>
      </c>
      <c r="Q830" t="str">
        <f>IF(LEN(L830),MATCH(L830,'MPIO_SFIO Table'!$A$11:$A$65525,0)-1,"")</f>
        <v/>
      </c>
      <c r="R830" t="str">
        <f ca="1">IF(ISNUMBER(M830),OFFSET('MPIO_SFIO Table'!$AJ$11,M830,0),"")</f>
        <v/>
      </c>
      <c r="S830" t="str">
        <f ca="1">IF(ISNUMBER(N830),OFFSET('MPIO_SFIO Table'!$AJ$11,N830,0),"")</f>
        <v/>
      </c>
      <c r="T830" t="str">
        <f ca="1">IF(ISNUMBER(O830),OFFSET('MPIO_SFIO Table'!$AJ$11,O830,0),"")</f>
        <v/>
      </c>
      <c r="U830" t="str">
        <f ca="1">IF(ISNUMBER(P830),OFFSET('MPIO_SFIO Table'!$AJ$11,P830,0),"")</f>
        <v/>
      </c>
      <c r="V830" t="str">
        <f ca="1">IF(ISNUMBER(Q830),OFFSET('MPIO_SFIO Table'!$AJ$11,Q830,0),"")</f>
        <v/>
      </c>
      <c r="W830">
        <f t="shared" ca="1" si="107"/>
        <v>0</v>
      </c>
      <c r="X830">
        <f t="shared" ca="1" si="108"/>
        <v>0</v>
      </c>
      <c r="Y830">
        <f t="shared" ca="1" si="109"/>
        <v>0</v>
      </c>
      <c r="Z830">
        <f t="shared" ca="1" si="110"/>
        <v>0</v>
      </c>
      <c r="AA830">
        <f t="shared" ca="1" si="111"/>
        <v>0</v>
      </c>
    </row>
    <row r="831" spans="1:27" x14ac:dyDescent="0.25">
      <c r="A831">
        <f t="shared" ca="1" si="104"/>
        <v>0</v>
      </c>
      <c r="B831" t="str">
        <f t="shared" ca="1" si="105"/>
        <v/>
      </c>
      <c r="C831" t="str">
        <f t="shared" si="106"/>
        <v/>
      </c>
      <c r="D831" t="s">
        <v>253</v>
      </c>
      <c r="E831" t="s">
        <v>253</v>
      </c>
      <c r="F831" s="3" t="s">
        <v>253</v>
      </c>
      <c r="G831" s="11" t="s">
        <v>253</v>
      </c>
      <c r="H831" s="11" t="s">
        <v>253</v>
      </c>
      <c r="I831" s="3" t="s">
        <v>253</v>
      </c>
      <c r="J831" s="3" t="s">
        <v>253</v>
      </c>
      <c r="K831" s="3" t="s">
        <v>253</v>
      </c>
      <c r="L831" s="3" t="s">
        <v>253</v>
      </c>
      <c r="M831" t="str">
        <f>IF(LEN(H831),MATCH(H831,'MPIO_SFIO Table'!$A$11:$A$65525,0)-1,"")</f>
        <v/>
      </c>
      <c r="N831" t="str">
        <f>IF(LEN(I831),MATCH(I831,'MPIO_SFIO Table'!$A$11:$A$65525,0)-1,"")</f>
        <v/>
      </c>
      <c r="O831" t="str">
        <f>IF(LEN(J831),MATCH(J831,'MPIO_SFIO Table'!$A$11:$A$65525,0)-1,"")</f>
        <v/>
      </c>
      <c r="P831" t="str">
        <f>IF(LEN(K831),MATCH(K831,'MPIO_SFIO Table'!$A$11:$A$65525,0)-1,"")</f>
        <v/>
      </c>
      <c r="Q831" t="str">
        <f>IF(LEN(L831),MATCH(L831,'MPIO_SFIO Table'!$A$11:$A$65525,0)-1,"")</f>
        <v/>
      </c>
      <c r="R831" t="str">
        <f ca="1">IF(ISNUMBER(M831),OFFSET('MPIO_SFIO Table'!$AJ$11,M831,0),"")</f>
        <v/>
      </c>
      <c r="S831" t="str">
        <f ca="1">IF(ISNUMBER(N831),OFFSET('MPIO_SFIO Table'!$AJ$11,N831,0),"")</f>
        <v/>
      </c>
      <c r="T831" t="str">
        <f ca="1">IF(ISNUMBER(O831),OFFSET('MPIO_SFIO Table'!$AJ$11,O831,0),"")</f>
        <v/>
      </c>
      <c r="U831" t="str">
        <f ca="1">IF(ISNUMBER(P831),OFFSET('MPIO_SFIO Table'!$AJ$11,P831,0),"")</f>
        <v/>
      </c>
      <c r="V831" t="str">
        <f ca="1">IF(ISNUMBER(Q831),OFFSET('MPIO_SFIO Table'!$AJ$11,Q831,0),"")</f>
        <v/>
      </c>
      <c r="W831">
        <f t="shared" ca="1" si="107"/>
        <v>0</v>
      </c>
      <c r="X831">
        <f t="shared" ca="1" si="108"/>
        <v>0</v>
      </c>
      <c r="Y831">
        <f t="shared" ca="1" si="109"/>
        <v>0</v>
      </c>
      <c r="Z831">
        <f t="shared" ca="1" si="110"/>
        <v>0</v>
      </c>
      <c r="AA831">
        <f t="shared" ca="1" si="111"/>
        <v>0</v>
      </c>
    </row>
    <row r="832" spans="1:27" x14ac:dyDescent="0.25">
      <c r="A832">
        <f t="shared" ca="1" si="104"/>
        <v>0</v>
      </c>
      <c r="B832" t="str">
        <f t="shared" ca="1" si="105"/>
        <v/>
      </c>
      <c r="C832" t="str">
        <f t="shared" si="106"/>
        <v/>
      </c>
      <c r="D832" t="s">
        <v>253</v>
      </c>
      <c r="E832" t="s">
        <v>253</v>
      </c>
      <c r="F832" s="3" t="s">
        <v>253</v>
      </c>
      <c r="G832" s="11" t="s">
        <v>253</v>
      </c>
      <c r="H832" s="11" t="s">
        <v>253</v>
      </c>
      <c r="I832" s="3" t="s">
        <v>253</v>
      </c>
      <c r="J832" s="3" t="s">
        <v>253</v>
      </c>
      <c r="K832" s="3" t="s">
        <v>253</v>
      </c>
      <c r="L832" s="3" t="s">
        <v>253</v>
      </c>
      <c r="M832" t="str">
        <f>IF(LEN(H832),MATCH(H832,'MPIO_SFIO Table'!$A$11:$A$65525,0)-1,"")</f>
        <v/>
      </c>
      <c r="N832" t="str">
        <f>IF(LEN(I832),MATCH(I832,'MPIO_SFIO Table'!$A$11:$A$65525,0)-1,"")</f>
        <v/>
      </c>
      <c r="O832" t="str">
        <f>IF(LEN(J832),MATCH(J832,'MPIO_SFIO Table'!$A$11:$A$65525,0)-1,"")</f>
        <v/>
      </c>
      <c r="P832" t="str">
        <f>IF(LEN(K832),MATCH(K832,'MPIO_SFIO Table'!$A$11:$A$65525,0)-1,"")</f>
        <v/>
      </c>
      <c r="Q832" t="str">
        <f>IF(LEN(L832),MATCH(L832,'MPIO_SFIO Table'!$A$11:$A$65525,0)-1,"")</f>
        <v/>
      </c>
      <c r="R832" t="str">
        <f ca="1">IF(ISNUMBER(M832),OFFSET('MPIO_SFIO Table'!$AJ$11,M832,0),"")</f>
        <v/>
      </c>
      <c r="S832" t="str">
        <f ca="1">IF(ISNUMBER(N832),OFFSET('MPIO_SFIO Table'!$AJ$11,N832,0),"")</f>
        <v/>
      </c>
      <c r="T832" t="str">
        <f ca="1">IF(ISNUMBER(O832),OFFSET('MPIO_SFIO Table'!$AJ$11,O832,0),"")</f>
        <v/>
      </c>
      <c r="U832" t="str">
        <f ca="1">IF(ISNUMBER(P832),OFFSET('MPIO_SFIO Table'!$AJ$11,P832,0),"")</f>
        <v/>
      </c>
      <c r="V832" t="str">
        <f ca="1">IF(ISNUMBER(Q832),OFFSET('MPIO_SFIO Table'!$AJ$11,Q832,0),"")</f>
        <v/>
      </c>
      <c r="W832">
        <f t="shared" ca="1" si="107"/>
        <v>0</v>
      </c>
      <c r="X832">
        <f t="shared" ca="1" si="108"/>
        <v>0</v>
      </c>
      <c r="Y832">
        <f t="shared" ca="1" si="109"/>
        <v>0</v>
      </c>
      <c r="Z832">
        <f t="shared" ca="1" si="110"/>
        <v>0</v>
      </c>
      <c r="AA832">
        <f t="shared" ca="1" si="111"/>
        <v>0</v>
      </c>
    </row>
    <row r="833" spans="1:27" x14ac:dyDescent="0.25">
      <c r="A833">
        <f t="shared" ca="1" si="104"/>
        <v>0</v>
      </c>
      <c r="B833" t="str">
        <f t="shared" ca="1" si="105"/>
        <v/>
      </c>
      <c r="C833" t="str">
        <f t="shared" si="106"/>
        <v/>
      </c>
      <c r="D833" t="s">
        <v>253</v>
      </c>
      <c r="E833" t="s">
        <v>253</v>
      </c>
      <c r="F833" s="3" t="s">
        <v>253</v>
      </c>
      <c r="G833" s="11" t="s">
        <v>253</v>
      </c>
      <c r="H833" s="11" t="s">
        <v>253</v>
      </c>
      <c r="I833" s="3" t="s">
        <v>253</v>
      </c>
      <c r="J833" s="3" t="s">
        <v>253</v>
      </c>
      <c r="K833" s="3" t="s">
        <v>253</v>
      </c>
      <c r="L833" s="3" t="s">
        <v>253</v>
      </c>
      <c r="M833" t="str">
        <f>IF(LEN(H833),MATCH(H833,'MPIO_SFIO Table'!$A$11:$A$65525,0)-1,"")</f>
        <v/>
      </c>
      <c r="N833" t="str">
        <f>IF(LEN(I833),MATCH(I833,'MPIO_SFIO Table'!$A$11:$A$65525,0)-1,"")</f>
        <v/>
      </c>
      <c r="O833" t="str">
        <f>IF(LEN(J833),MATCH(J833,'MPIO_SFIO Table'!$A$11:$A$65525,0)-1,"")</f>
        <v/>
      </c>
      <c r="P833" t="str">
        <f>IF(LEN(K833),MATCH(K833,'MPIO_SFIO Table'!$A$11:$A$65525,0)-1,"")</f>
        <v/>
      </c>
      <c r="Q833" t="str">
        <f>IF(LEN(L833),MATCH(L833,'MPIO_SFIO Table'!$A$11:$A$65525,0)-1,"")</f>
        <v/>
      </c>
      <c r="R833" t="str">
        <f ca="1">IF(ISNUMBER(M833),OFFSET('MPIO_SFIO Table'!$AJ$11,M833,0),"")</f>
        <v/>
      </c>
      <c r="S833" t="str">
        <f ca="1">IF(ISNUMBER(N833),OFFSET('MPIO_SFIO Table'!$AJ$11,N833,0),"")</f>
        <v/>
      </c>
      <c r="T833" t="str">
        <f ca="1">IF(ISNUMBER(O833),OFFSET('MPIO_SFIO Table'!$AJ$11,O833,0),"")</f>
        <v/>
      </c>
      <c r="U833" t="str">
        <f ca="1">IF(ISNUMBER(P833),OFFSET('MPIO_SFIO Table'!$AJ$11,P833,0),"")</f>
        <v/>
      </c>
      <c r="V833" t="str">
        <f ca="1">IF(ISNUMBER(Q833),OFFSET('MPIO_SFIO Table'!$AJ$11,Q833,0),"")</f>
        <v/>
      </c>
      <c r="W833">
        <f t="shared" ca="1" si="107"/>
        <v>0</v>
      </c>
      <c r="X833">
        <f t="shared" ca="1" si="108"/>
        <v>0</v>
      </c>
      <c r="Y833">
        <f t="shared" ca="1" si="109"/>
        <v>0</v>
      </c>
      <c r="Z833">
        <f t="shared" ca="1" si="110"/>
        <v>0</v>
      </c>
      <c r="AA833">
        <f t="shared" ca="1" si="111"/>
        <v>0</v>
      </c>
    </row>
    <row r="834" spans="1:27" x14ac:dyDescent="0.25">
      <c r="A834">
        <f t="shared" ca="1" si="104"/>
        <v>0</v>
      </c>
      <c r="B834" t="str">
        <f t="shared" ca="1" si="105"/>
        <v/>
      </c>
      <c r="C834" t="str">
        <f t="shared" si="106"/>
        <v/>
      </c>
      <c r="D834" t="s">
        <v>253</v>
      </c>
      <c r="E834" t="s">
        <v>253</v>
      </c>
      <c r="F834" s="3" t="s">
        <v>253</v>
      </c>
      <c r="G834" s="11" t="s">
        <v>253</v>
      </c>
      <c r="H834" s="11" t="s">
        <v>253</v>
      </c>
      <c r="I834" s="3" t="s">
        <v>253</v>
      </c>
      <c r="J834" s="3" t="s">
        <v>253</v>
      </c>
      <c r="K834" s="3" t="s">
        <v>253</v>
      </c>
      <c r="L834" s="3" t="s">
        <v>253</v>
      </c>
      <c r="M834" t="str">
        <f>IF(LEN(H834),MATCH(H834,'MPIO_SFIO Table'!$A$11:$A$65525,0)-1,"")</f>
        <v/>
      </c>
      <c r="N834" t="str">
        <f>IF(LEN(I834),MATCH(I834,'MPIO_SFIO Table'!$A$11:$A$65525,0)-1,"")</f>
        <v/>
      </c>
      <c r="O834" t="str">
        <f>IF(LEN(J834),MATCH(J834,'MPIO_SFIO Table'!$A$11:$A$65525,0)-1,"")</f>
        <v/>
      </c>
      <c r="P834" t="str">
        <f>IF(LEN(K834),MATCH(K834,'MPIO_SFIO Table'!$A$11:$A$65525,0)-1,"")</f>
        <v/>
      </c>
      <c r="Q834" t="str">
        <f>IF(LEN(L834),MATCH(L834,'MPIO_SFIO Table'!$A$11:$A$65525,0)-1,"")</f>
        <v/>
      </c>
      <c r="R834" t="str">
        <f ca="1">IF(ISNUMBER(M834),OFFSET('MPIO_SFIO Table'!$AJ$11,M834,0),"")</f>
        <v/>
      </c>
      <c r="S834" t="str">
        <f ca="1">IF(ISNUMBER(N834),OFFSET('MPIO_SFIO Table'!$AJ$11,N834,0),"")</f>
        <v/>
      </c>
      <c r="T834" t="str">
        <f ca="1">IF(ISNUMBER(O834),OFFSET('MPIO_SFIO Table'!$AJ$11,O834,0),"")</f>
        <v/>
      </c>
      <c r="U834" t="str">
        <f ca="1">IF(ISNUMBER(P834),OFFSET('MPIO_SFIO Table'!$AJ$11,P834,0),"")</f>
        <v/>
      </c>
      <c r="V834" t="str">
        <f ca="1">IF(ISNUMBER(Q834),OFFSET('MPIO_SFIO Table'!$AJ$11,Q834,0),"")</f>
        <v/>
      </c>
      <c r="W834">
        <f t="shared" ca="1" si="107"/>
        <v>0</v>
      </c>
      <c r="X834">
        <f t="shared" ca="1" si="108"/>
        <v>0</v>
      </c>
      <c r="Y834">
        <f t="shared" ca="1" si="109"/>
        <v>0</v>
      </c>
      <c r="Z834">
        <f t="shared" ca="1" si="110"/>
        <v>0</v>
      </c>
      <c r="AA834">
        <f t="shared" ca="1" si="111"/>
        <v>0</v>
      </c>
    </row>
    <row r="835" spans="1:27" x14ac:dyDescent="0.25">
      <c r="A835">
        <f t="shared" ca="1" si="104"/>
        <v>0</v>
      </c>
      <c r="B835" t="str">
        <f t="shared" ca="1" si="105"/>
        <v/>
      </c>
      <c r="C835" t="str">
        <f t="shared" si="106"/>
        <v/>
      </c>
      <c r="D835" t="s">
        <v>253</v>
      </c>
      <c r="E835" t="s">
        <v>253</v>
      </c>
      <c r="F835" s="3" t="s">
        <v>253</v>
      </c>
      <c r="G835" s="11" t="s">
        <v>253</v>
      </c>
      <c r="H835" s="11" t="s">
        <v>253</v>
      </c>
      <c r="I835" s="3" t="s">
        <v>253</v>
      </c>
      <c r="J835" s="3" t="s">
        <v>253</v>
      </c>
      <c r="K835" s="3" t="s">
        <v>253</v>
      </c>
      <c r="L835" s="3" t="s">
        <v>253</v>
      </c>
      <c r="M835" t="str">
        <f>IF(LEN(H835),MATCH(H835,'MPIO_SFIO Table'!$A$11:$A$65525,0)-1,"")</f>
        <v/>
      </c>
      <c r="N835" t="str">
        <f>IF(LEN(I835),MATCH(I835,'MPIO_SFIO Table'!$A$11:$A$65525,0)-1,"")</f>
        <v/>
      </c>
      <c r="O835" t="str">
        <f>IF(LEN(J835),MATCH(J835,'MPIO_SFIO Table'!$A$11:$A$65525,0)-1,"")</f>
        <v/>
      </c>
      <c r="P835" t="str">
        <f>IF(LEN(K835),MATCH(K835,'MPIO_SFIO Table'!$A$11:$A$65525,0)-1,"")</f>
        <v/>
      </c>
      <c r="Q835" t="str">
        <f>IF(LEN(L835),MATCH(L835,'MPIO_SFIO Table'!$A$11:$A$65525,0)-1,"")</f>
        <v/>
      </c>
      <c r="R835" t="str">
        <f ca="1">IF(ISNUMBER(M835),OFFSET('MPIO_SFIO Table'!$AJ$11,M835,0),"")</f>
        <v/>
      </c>
      <c r="S835" t="str">
        <f ca="1">IF(ISNUMBER(N835),OFFSET('MPIO_SFIO Table'!$AJ$11,N835,0),"")</f>
        <v/>
      </c>
      <c r="T835" t="str">
        <f ca="1">IF(ISNUMBER(O835),OFFSET('MPIO_SFIO Table'!$AJ$11,O835,0),"")</f>
        <v/>
      </c>
      <c r="U835" t="str">
        <f ca="1">IF(ISNUMBER(P835),OFFSET('MPIO_SFIO Table'!$AJ$11,P835,0),"")</f>
        <v/>
      </c>
      <c r="V835" t="str">
        <f ca="1">IF(ISNUMBER(Q835),OFFSET('MPIO_SFIO Table'!$AJ$11,Q835,0),"")</f>
        <v/>
      </c>
      <c r="W835">
        <f t="shared" ca="1" si="107"/>
        <v>0</v>
      </c>
      <c r="X835">
        <f t="shared" ca="1" si="108"/>
        <v>0</v>
      </c>
      <c r="Y835">
        <f t="shared" ca="1" si="109"/>
        <v>0</v>
      </c>
      <c r="Z835">
        <f t="shared" ca="1" si="110"/>
        <v>0</v>
      </c>
      <c r="AA835">
        <f t="shared" ca="1" si="111"/>
        <v>0</v>
      </c>
    </row>
    <row r="836" spans="1:27" x14ac:dyDescent="0.25">
      <c r="A836">
        <f t="shared" ca="1" si="104"/>
        <v>0</v>
      </c>
      <c r="B836" t="str">
        <f t="shared" ca="1" si="105"/>
        <v/>
      </c>
      <c r="C836" t="str">
        <f t="shared" si="106"/>
        <v/>
      </c>
      <c r="D836" t="s">
        <v>253</v>
      </c>
      <c r="E836" t="s">
        <v>253</v>
      </c>
      <c r="F836" s="3" t="s">
        <v>253</v>
      </c>
      <c r="G836" s="11" t="s">
        <v>253</v>
      </c>
      <c r="H836" s="11" t="s">
        <v>253</v>
      </c>
      <c r="I836" s="3" t="s">
        <v>253</v>
      </c>
      <c r="J836" s="3" t="s">
        <v>253</v>
      </c>
      <c r="K836" s="3" t="s">
        <v>253</v>
      </c>
      <c r="L836" s="3" t="s">
        <v>253</v>
      </c>
      <c r="M836" t="str">
        <f>IF(LEN(H836),MATCH(H836,'MPIO_SFIO Table'!$A$11:$A$65525,0)-1,"")</f>
        <v/>
      </c>
      <c r="N836" t="str">
        <f>IF(LEN(I836),MATCH(I836,'MPIO_SFIO Table'!$A$11:$A$65525,0)-1,"")</f>
        <v/>
      </c>
      <c r="O836" t="str">
        <f>IF(LEN(J836),MATCH(J836,'MPIO_SFIO Table'!$A$11:$A$65525,0)-1,"")</f>
        <v/>
      </c>
      <c r="P836" t="str">
        <f>IF(LEN(K836),MATCH(K836,'MPIO_SFIO Table'!$A$11:$A$65525,0)-1,"")</f>
        <v/>
      </c>
      <c r="Q836" t="str">
        <f>IF(LEN(L836),MATCH(L836,'MPIO_SFIO Table'!$A$11:$A$65525,0)-1,"")</f>
        <v/>
      </c>
      <c r="R836" t="str">
        <f ca="1">IF(ISNUMBER(M836),OFFSET('MPIO_SFIO Table'!$AJ$11,M836,0),"")</f>
        <v/>
      </c>
      <c r="S836" t="str">
        <f ca="1">IF(ISNUMBER(N836),OFFSET('MPIO_SFIO Table'!$AJ$11,N836,0),"")</f>
        <v/>
      </c>
      <c r="T836" t="str">
        <f ca="1">IF(ISNUMBER(O836),OFFSET('MPIO_SFIO Table'!$AJ$11,O836,0),"")</f>
        <v/>
      </c>
      <c r="U836" t="str">
        <f ca="1">IF(ISNUMBER(P836),OFFSET('MPIO_SFIO Table'!$AJ$11,P836,0),"")</f>
        <v/>
      </c>
      <c r="V836" t="str">
        <f ca="1">IF(ISNUMBER(Q836),OFFSET('MPIO_SFIO Table'!$AJ$11,Q836,0),"")</f>
        <v/>
      </c>
      <c r="W836">
        <f t="shared" ca="1" si="107"/>
        <v>0</v>
      </c>
      <c r="X836">
        <f t="shared" ca="1" si="108"/>
        <v>0</v>
      </c>
      <c r="Y836">
        <f t="shared" ca="1" si="109"/>
        <v>0</v>
      </c>
      <c r="Z836">
        <f t="shared" ca="1" si="110"/>
        <v>0</v>
      </c>
      <c r="AA836">
        <f t="shared" ca="1" si="111"/>
        <v>0</v>
      </c>
    </row>
    <row r="837" spans="1:27" x14ac:dyDescent="0.25">
      <c r="A837">
        <f t="shared" ca="1" si="104"/>
        <v>0</v>
      </c>
      <c r="B837" t="str">
        <f t="shared" ca="1" si="105"/>
        <v/>
      </c>
      <c r="C837" t="str">
        <f t="shared" si="106"/>
        <v/>
      </c>
      <c r="D837" t="s">
        <v>253</v>
      </c>
      <c r="E837" t="s">
        <v>253</v>
      </c>
      <c r="F837" s="3" t="s">
        <v>253</v>
      </c>
      <c r="G837" s="11" t="s">
        <v>253</v>
      </c>
      <c r="H837" s="11" t="s">
        <v>253</v>
      </c>
      <c r="I837" s="3" t="s">
        <v>253</v>
      </c>
      <c r="J837" s="3" t="s">
        <v>253</v>
      </c>
      <c r="K837" s="3" t="s">
        <v>253</v>
      </c>
      <c r="L837" s="3" t="s">
        <v>253</v>
      </c>
      <c r="M837" t="str">
        <f>IF(LEN(H837),MATCH(H837,'MPIO_SFIO Table'!$A$11:$A$65525,0)-1,"")</f>
        <v/>
      </c>
      <c r="N837" t="str">
        <f>IF(LEN(I837),MATCH(I837,'MPIO_SFIO Table'!$A$11:$A$65525,0)-1,"")</f>
        <v/>
      </c>
      <c r="O837" t="str">
        <f>IF(LEN(J837),MATCH(J837,'MPIO_SFIO Table'!$A$11:$A$65525,0)-1,"")</f>
        <v/>
      </c>
      <c r="P837" t="str">
        <f>IF(LEN(K837),MATCH(K837,'MPIO_SFIO Table'!$A$11:$A$65525,0)-1,"")</f>
        <v/>
      </c>
      <c r="Q837" t="str">
        <f>IF(LEN(L837),MATCH(L837,'MPIO_SFIO Table'!$A$11:$A$65525,0)-1,"")</f>
        <v/>
      </c>
      <c r="R837" t="str">
        <f ca="1">IF(ISNUMBER(M837),OFFSET('MPIO_SFIO Table'!$AJ$11,M837,0),"")</f>
        <v/>
      </c>
      <c r="S837" t="str">
        <f ca="1">IF(ISNUMBER(N837),OFFSET('MPIO_SFIO Table'!$AJ$11,N837,0),"")</f>
        <v/>
      </c>
      <c r="T837" t="str">
        <f ca="1">IF(ISNUMBER(O837),OFFSET('MPIO_SFIO Table'!$AJ$11,O837,0),"")</f>
        <v/>
      </c>
      <c r="U837" t="str">
        <f ca="1">IF(ISNUMBER(P837),OFFSET('MPIO_SFIO Table'!$AJ$11,P837,0),"")</f>
        <v/>
      </c>
      <c r="V837" t="str">
        <f ca="1">IF(ISNUMBER(Q837),OFFSET('MPIO_SFIO Table'!$AJ$11,Q837,0),"")</f>
        <v/>
      </c>
      <c r="W837">
        <f t="shared" ca="1" si="107"/>
        <v>0</v>
      </c>
      <c r="X837">
        <f t="shared" ca="1" si="108"/>
        <v>0</v>
      </c>
      <c r="Y837">
        <f t="shared" ca="1" si="109"/>
        <v>0</v>
      </c>
      <c r="Z837">
        <f t="shared" ca="1" si="110"/>
        <v>0</v>
      </c>
      <c r="AA837">
        <f t="shared" ca="1" si="111"/>
        <v>0</v>
      </c>
    </row>
    <row r="838" spans="1:27" x14ac:dyDescent="0.25">
      <c r="A838">
        <f t="shared" ca="1" si="104"/>
        <v>0</v>
      </c>
      <c r="B838" t="str">
        <f t="shared" ca="1" si="105"/>
        <v/>
      </c>
      <c r="C838" t="str">
        <f t="shared" si="106"/>
        <v/>
      </c>
      <c r="D838" t="s">
        <v>253</v>
      </c>
      <c r="E838" t="s">
        <v>253</v>
      </c>
      <c r="F838" s="3" t="s">
        <v>253</v>
      </c>
      <c r="G838" s="11" t="s">
        <v>253</v>
      </c>
      <c r="H838" s="11" t="s">
        <v>253</v>
      </c>
      <c r="I838" s="3" t="s">
        <v>253</v>
      </c>
      <c r="J838" s="3" t="s">
        <v>253</v>
      </c>
      <c r="K838" s="3" t="s">
        <v>253</v>
      </c>
      <c r="L838" s="3" t="s">
        <v>253</v>
      </c>
      <c r="M838" t="str">
        <f>IF(LEN(H838),MATCH(H838,'MPIO_SFIO Table'!$A$11:$A$65525,0)-1,"")</f>
        <v/>
      </c>
      <c r="N838" t="str">
        <f>IF(LEN(I838),MATCH(I838,'MPIO_SFIO Table'!$A$11:$A$65525,0)-1,"")</f>
        <v/>
      </c>
      <c r="O838" t="str">
        <f>IF(LEN(J838),MATCH(J838,'MPIO_SFIO Table'!$A$11:$A$65525,0)-1,"")</f>
        <v/>
      </c>
      <c r="P838" t="str">
        <f>IF(LEN(K838),MATCH(K838,'MPIO_SFIO Table'!$A$11:$A$65525,0)-1,"")</f>
        <v/>
      </c>
      <c r="Q838" t="str">
        <f>IF(LEN(L838),MATCH(L838,'MPIO_SFIO Table'!$A$11:$A$65525,0)-1,"")</f>
        <v/>
      </c>
      <c r="R838" t="str">
        <f ca="1">IF(ISNUMBER(M838),OFFSET('MPIO_SFIO Table'!$AJ$11,M838,0),"")</f>
        <v/>
      </c>
      <c r="S838" t="str">
        <f ca="1">IF(ISNUMBER(N838),OFFSET('MPIO_SFIO Table'!$AJ$11,N838,0),"")</f>
        <v/>
      </c>
      <c r="T838" t="str">
        <f ca="1">IF(ISNUMBER(O838),OFFSET('MPIO_SFIO Table'!$AJ$11,O838,0),"")</f>
        <v/>
      </c>
      <c r="U838" t="str">
        <f ca="1">IF(ISNUMBER(P838),OFFSET('MPIO_SFIO Table'!$AJ$11,P838,0),"")</f>
        <v/>
      </c>
      <c r="V838" t="str">
        <f ca="1">IF(ISNUMBER(Q838),OFFSET('MPIO_SFIO Table'!$AJ$11,Q838,0),"")</f>
        <v/>
      </c>
      <c r="W838">
        <f t="shared" ca="1" si="107"/>
        <v>0</v>
      </c>
      <c r="X838">
        <f t="shared" ca="1" si="108"/>
        <v>0</v>
      </c>
      <c r="Y838">
        <f t="shared" ca="1" si="109"/>
        <v>0</v>
      </c>
      <c r="Z838">
        <f t="shared" ca="1" si="110"/>
        <v>0</v>
      </c>
      <c r="AA838">
        <f t="shared" ca="1" si="111"/>
        <v>0</v>
      </c>
    </row>
    <row r="839" spans="1:27" x14ac:dyDescent="0.25">
      <c r="A839">
        <f t="shared" ca="1" si="104"/>
        <v>0</v>
      </c>
      <c r="B839" t="str">
        <f t="shared" ca="1" si="105"/>
        <v/>
      </c>
      <c r="C839" t="str">
        <f t="shared" si="106"/>
        <v/>
      </c>
      <c r="D839" t="s">
        <v>253</v>
      </c>
      <c r="E839" t="s">
        <v>253</v>
      </c>
      <c r="F839" s="3" t="s">
        <v>253</v>
      </c>
      <c r="G839" s="11" t="s">
        <v>253</v>
      </c>
      <c r="H839" s="11" t="s">
        <v>253</v>
      </c>
      <c r="I839" s="3" t="s">
        <v>253</v>
      </c>
      <c r="J839" s="3" t="s">
        <v>253</v>
      </c>
      <c r="K839" s="3" t="s">
        <v>253</v>
      </c>
      <c r="L839" s="3" t="s">
        <v>253</v>
      </c>
      <c r="M839" t="str">
        <f>IF(LEN(H839),MATCH(H839,'MPIO_SFIO Table'!$A$11:$A$65525,0)-1,"")</f>
        <v/>
      </c>
      <c r="N839" t="str">
        <f>IF(LEN(I839),MATCH(I839,'MPIO_SFIO Table'!$A$11:$A$65525,0)-1,"")</f>
        <v/>
      </c>
      <c r="O839" t="str">
        <f>IF(LEN(J839),MATCH(J839,'MPIO_SFIO Table'!$A$11:$A$65525,0)-1,"")</f>
        <v/>
      </c>
      <c r="P839" t="str">
        <f>IF(LEN(K839),MATCH(K839,'MPIO_SFIO Table'!$A$11:$A$65525,0)-1,"")</f>
        <v/>
      </c>
      <c r="Q839" t="str">
        <f>IF(LEN(L839),MATCH(L839,'MPIO_SFIO Table'!$A$11:$A$65525,0)-1,"")</f>
        <v/>
      </c>
      <c r="R839" t="str">
        <f ca="1">IF(ISNUMBER(M839),OFFSET('MPIO_SFIO Table'!$AJ$11,M839,0),"")</f>
        <v/>
      </c>
      <c r="S839" t="str">
        <f ca="1">IF(ISNUMBER(N839),OFFSET('MPIO_SFIO Table'!$AJ$11,N839,0),"")</f>
        <v/>
      </c>
      <c r="T839" t="str">
        <f ca="1">IF(ISNUMBER(O839),OFFSET('MPIO_SFIO Table'!$AJ$11,O839,0),"")</f>
        <v/>
      </c>
      <c r="U839" t="str">
        <f ca="1">IF(ISNUMBER(P839),OFFSET('MPIO_SFIO Table'!$AJ$11,P839,0),"")</f>
        <v/>
      </c>
      <c r="V839" t="str">
        <f ca="1">IF(ISNUMBER(Q839),OFFSET('MPIO_SFIO Table'!$AJ$11,Q839,0),"")</f>
        <v/>
      </c>
      <c r="W839">
        <f t="shared" ca="1" si="107"/>
        <v>0</v>
      </c>
      <c r="X839">
        <f t="shared" ca="1" si="108"/>
        <v>0</v>
      </c>
      <c r="Y839">
        <f t="shared" ca="1" si="109"/>
        <v>0</v>
      </c>
      <c r="Z839">
        <f t="shared" ca="1" si="110"/>
        <v>0</v>
      </c>
      <c r="AA839">
        <f t="shared" ca="1" si="111"/>
        <v>0</v>
      </c>
    </row>
    <row r="840" spans="1:27" x14ac:dyDescent="0.25">
      <c r="A840">
        <f t="shared" ref="A840:A903" ca="1" si="112">SUM($W840:$AA840)</f>
        <v>0</v>
      </c>
      <c r="B840" t="str">
        <f t="shared" ref="B840:B903" ca="1" si="113">IF(A840&lt;&gt;0,REPLACE(G840,FIND("-",G840),LEN(G840),""),"")</f>
        <v/>
      </c>
      <c r="C840" t="str">
        <f t="shared" si="106"/>
        <v/>
      </c>
      <c r="D840" t="s">
        <v>253</v>
      </c>
      <c r="E840" t="s">
        <v>253</v>
      </c>
      <c r="F840" s="3" t="s">
        <v>253</v>
      </c>
      <c r="G840" s="11" t="s">
        <v>253</v>
      </c>
      <c r="H840" s="11" t="s">
        <v>253</v>
      </c>
      <c r="I840" s="3" t="s">
        <v>253</v>
      </c>
      <c r="J840" s="3" t="s">
        <v>253</v>
      </c>
      <c r="K840" s="3" t="s">
        <v>253</v>
      </c>
      <c r="L840" s="3" t="s">
        <v>253</v>
      </c>
      <c r="M840" t="str">
        <f>IF(LEN(H840),MATCH(H840,'MPIO_SFIO Table'!$A$11:$A$65525,0)-1,"")</f>
        <v/>
      </c>
      <c r="N840" t="str">
        <f>IF(LEN(I840),MATCH(I840,'MPIO_SFIO Table'!$A$11:$A$65525,0)-1,"")</f>
        <v/>
      </c>
      <c r="O840" t="str">
        <f>IF(LEN(J840),MATCH(J840,'MPIO_SFIO Table'!$A$11:$A$65525,0)-1,"")</f>
        <v/>
      </c>
      <c r="P840" t="str">
        <f>IF(LEN(K840),MATCH(K840,'MPIO_SFIO Table'!$A$11:$A$65525,0)-1,"")</f>
        <v/>
      </c>
      <c r="Q840" t="str">
        <f>IF(LEN(L840),MATCH(L840,'MPIO_SFIO Table'!$A$11:$A$65525,0)-1,"")</f>
        <v/>
      </c>
      <c r="R840" t="str">
        <f ca="1">IF(ISNUMBER(M840),OFFSET('MPIO_SFIO Table'!$AJ$11,M840,0),"")</f>
        <v/>
      </c>
      <c r="S840" t="str">
        <f ca="1">IF(ISNUMBER(N840),OFFSET('MPIO_SFIO Table'!$AJ$11,N840,0),"")</f>
        <v/>
      </c>
      <c r="T840" t="str">
        <f ca="1">IF(ISNUMBER(O840),OFFSET('MPIO_SFIO Table'!$AJ$11,O840,0),"")</f>
        <v/>
      </c>
      <c r="U840" t="str">
        <f ca="1">IF(ISNUMBER(P840),OFFSET('MPIO_SFIO Table'!$AJ$11,P840,0),"")</f>
        <v/>
      </c>
      <c r="V840" t="str">
        <f ca="1">IF(ISNUMBER(Q840),OFFSET('MPIO_SFIO Table'!$AJ$11,Q840,0),"")</f>
        <v/>
      </c>
      <c r="W840">
        <f t="shared" ca="1" si="107"/>
        <v>0</v>
      </c>
      <c r="X840">
        <f t="shared" ca="1" si="108"/>
        <v>0</v>
      </c>
      <c r="Y840">
        <f t="shared" ca="1" si="109"/>
        <v>0</v>
      </c>
      <c r="Z840">
        <f t="shared" ca="1" si="110"/>
        <v>0</v>
      </c>
      <c r="AA840">
        <f t="shared" ca="1" si="111"/>
        <v>0</v>
      </c>
    </row>
    <row r="841" spans="1:27" x14ac:dyDescent="0.25">
      <c r="A841">
        <f t="shared" ca="1" si="112"/>
        <v>0</v>
      </c>
      <c r="B841" t="str">
        <f t="shared" ca="1" si="113"/>
        <v/>
      </c>
      <c r="C841" t="str">
        <f t="shared" ref="C841:C904" si="114">REPLACE(G841,FIND(".",CONCATENATE(REPLACE(G841,FIND("-",CONCATENATE(G841,"-")),LEN(G841),""),".")),LEN(G841),"")</f>
        <v/>
      </c>
      <c r="D841" t="s">
        <v>253</v>
      </c>
      <c r="E841" t="s">
        <v>253</v>
      </c>
      <c r="F841" s="3" t="s">
        <v>253</v>
      </c>
      <c r="G841" s="11" t="s">
        <v>253</v>
      </c>
      <c r="H841" s="11" t="s">
        <v>253</v>
      </c>
      <c r="I841" s="3" t="s">
        <v>253</v>
      </c>
      <c r="J841" s="3" t="s">
        <v>253</v>
      </c>
      <c r="K841" s="3" t="s">
        <v>253</v>
      </c>
      <c r="L841" s="3" t="s">
        <v>253</v>
      </c>
      <c r="M841" t="str">
        <f>IF(LEN(H841),MATCH(H841,'MPIO_SFIO Table'!$A$11:$A$65525,0)-1,"")</f>
        <v/>
      </c>
      <c r="N841" t="str">
        <f>IF(LEN(I841),MATCH(I841,'MPIO_SFIO Table'!$A$11:$A$65525,0)-1,"")</f>
        <v/>
      </c>
      <c r="O841" t="str">
        <f>IF(LEN(J841),MATCH(J841,'MPIO_SFIO Table'!$A$11:$A$65525,0)-1,"")</f>
        <v/>
      </c>
      <c r="P841" t="str">
        <f>IF(LEN(K841),MATCH(K841,'MPIO_SFIO Table'!$A$11:$A$65525,0)-1,"")</f>
        <v/>
      </c>
      <c r="Q841" t="str">
        <f>IF(LEN(L841),MATCH(L841,'MPIO_SFIO Table'!$A$11:$A$65525,0)-1,"")</f>
        <v/>
      </c>
      <c r="R841" t="str">
        <f ca="1">IF(ISNUMBER(M841),OFFSET('MPIO_SFIO Table'!$AJ$11,M841,0),"")</f>
        <v/>
      </c>
      <c r="S841" t="str">
        <f ca="1">IF(ISNUMBER(N841),OFFSET('MPIO_SFIO Table'!$AJ$11,N841,0),"")</f>
        <v/>
      </c>
      <c r="T841" t="str">
        <f ca="1">IF(ISNUMBER(O841),OFFSET('MPIO_SFIO Table'!$AJ$11,O841,0),"")</f>
        <v/>
      </c>
      <c r="U841" t="str">
        <f ca="1">IF(ISNUMBER(P841),OFFSET('MPIO_SFIO Table'!$AJ$11,P841,0),"")</f>
        <v/>
      </c>
      <c r="V841" t="str">
        <f ca="1">IF(ISNUMBER(Q841),OFFSET('MPIO_SFIO Table'!$AJ$11,Q841,0),"")</f>
        <v/>
      </c>
      <c r="W841">
        <f t="shared" ref="W841:W904" ca="1" si="115">1*AND(ISTEXT(R841),LEN(R841),R841=$G841)</f>
        <v>0</v>
      </c>
      <c r="X841">
        <f t="shared" ref="X841:X904" ca="1" si="116">1*AND(ISTEXT(S841),LEN(S841),S841=$G841)</f>
        <v>0</v>
      </c>
      <c r="Y841">
        <f t="shared" ref="Y841:Y904" ca="1" si="117">1*AND(ISTEXT(T841),LEN(T841),T841=$G841)</f>
        <v>0</v>
      </c>
      <c r="Z841">
        <f t="shared" ref="Z841:Z904" ca="1" si="118">1*AND(ISTEXT(U841),LEN(U841),U841=$G841)</f>
        <v>0</v>
      </c>
      <c r="AA841">
        <f t="shared" ref="AA841:AA904" ca="1" si="119">1*AND(ISTEXT(V841),LEN(V841),V841=$G841)</f>
        <v>0</v>
      </c>
    </row>
    <row r="842" spans="1:27" x14ac:dyDescent="0.25">
      <c r="A842">
        <f t="shared" ca="1" si="112"/>
        <v>0</v>
      </c>
      <c r="B842" t="str">
        <f t="shared" ca="1" si="113"/>
        <v/>
      </c>
      <c r="C842" t="str">
        <f t="shared" si="114"/>
        <v/>
      </c>
      <c r="D842" t="s">
        <v>253</v>
      </c>
      <c r="E842" t="s">
        <v>253</v>
      </c>
      <c r="F842" s="3" t="s">
        <v>253</v>
      </c>
      <c r="G842" s="11" t="s">
        <v>253</v>
      </c>
      <c r="H842" s="11" t="s">
        <v>253</v>
      </c>
      <c r="I842" s="3" t="s">
        <v>253</v>
      </c>
      <c r="J842" s="3" t="s">
        <v>253</v>
      </c>
      <c r="K842" s="3" t="s">
        <v>253</v>
      </c>
      <c r="L842" s="3" t="s">
        <v>253</v>
      </c>
      <c r="M842" t="str">
        <f>IF(LEN(H842),MATCH(H842,'MPIO_SFIO Table'!$A$11:$A$65525,0)-1,"")</f>
        <v/>
      </c>
      <c r="N842" t="str">
        <f>IF(LEN(I842),MATCH(I842,'MPIO_SFIO Table'!$A$11:$A$65525,0)-1,"")</f>
        <v/>
      </c>
      <c r="O842" t="str">
        <f>IF(LEN(J842),MATCH(J842,'MPIO_SFIO Table'!$A$11:$A$65525,0)-1,"")</f>
        <v/>
      </c>
      <c r="P842" t="str">
        <f>IF(LEN(K842),MATCH(K842,'MPIO_SFIO Table'!$A$11:$A$65525,0)-1,"")</f>
        <v/>
      </c>
      <c r="Q842" t="str">
        <f>IF(LEN(L842),MATCH(L842,'MPIO_SFIO Table'!$A$11:$A$65525,0)-1,"")</f>
        <v/>
      </c>
      <c r="R842" t="str">
        <f ca="1">IF(ISNUMBER(M842),OFFSET('MPIO_SFIO Table'!$AJ$11,M842,0),"")</f>
        <v/>
      </c>
      <c r="S842" t="str">
        <f ca="1">IF(ISNUMBER(N842),OFFSET('MPIO_SFIO Table'!$AJ$11,N842,0),"")</f>
        <v/>
      </c>
      <c r="T842" t="str">
        <f ca="1">IF(ISNUMBER(O842),OFFSET('MPIO_SFIO Table'!$AJ$11,O842,0),"")</f>
        <v/>
      </c>
      <c r="U842" t="str">
        <f ca="1">IF(ISNUMBER(P842),OFFSET('MPIO_SFIO Table'!$AJ$11,P842,0),"")</f>
        <v/>
      </c>
      <c r="V842" t="str">
        <f ca="1">IF(ISNUMBER(Q842),OFFSET('MPIO_SFIO Table'!$AJ$11,Q842,0),"")</f>
        <v/>
      </c>
      <c r="W842">
        <f t="shared" ca="1" si="115"/>
        <v>0</v>
      </c>
      <c r="X842">
        <f t="shared" ca="1" si="116"/>
        <v>0</v>
      </c>
      <c r="Y842">
        <f t="shared" ca="1" si="117"/>
        <v>0</v>
      </c>
      <c r="Z842">
        <f t="shared" ca="1" si="118"/>
        <v>0</v>
      </c>
      <c r="AA842">
        <f t="shared" ca="1" si="119"/>
        <v>0</v>
      </c>
    </row>
    <row r="843" spans="1:27" x14ac:dyDescent="0.25">
      <c r="A843">
        <f t="shared" ca="1" si="112"/>
        <v>0</v>
      </c>
      <c r="B843" t="str">
        <f t="shared" ca="1" si="113"/>
        <v/>
      </c>
      <c r="C843" t="str">
        <f t="shared" si="114"/>
        <v/>
      </c>
      <c r="D843" t="s">
        <v>253</v>
      </c>
      <c r="E843" t="s">
        <v>253</v>
      </c>
      <c r="F843" s="3" t="s">
        <v>253</v>
      </c>
      <c r="G843" s="11" t="s">
        <v>253</v>
      </c>
      <c r="H843" s="11" t="s">
        <v>253</v>
      </c>
      <c r="I843" s="3" t="s">
        <v>253</v>
      </c>
      <c r="J843" s="3" t="s">
        <v>253</v>
      </c>
      <c r="K843" s="3" t="s">
        <v>253</v>
      </c>
      <c r="L843" s="3" t="s">
        <v>253</v>
      </c>
      <c r="M843" t="str">
        <f>IF(LEN(H843),MATCH(H843,'MPIO_SFIO Table'!$A$11:$A$65525,0)-1,"")</f>
        <v/>
      </c>
      <c r="N843" t="str">
        <f>IF(LEN(I843),MATCH(I843,'MPIO_SFIO Table'!$A$11:$A$65525,0)-1,"")</f>
        <v/>
      </c>
      <c r="O843" t="str">
        <f>IF(LEN(J843),MATCH(J843,'MPIO_SFIO Table'!$A$11:$A$65525,0)-1,"")</f>
        <v/>
      </c>
      <c r="P843" t="str">
        <f>IF(LEN(K843),MATCH(K843,'MPIO_SFIO Table'!$A$11:$A$65525,0)-1,"")</f>
        <v/>
      </c>
      <c r="Q843" t="str">
        <f>IF(LEN(L843),MATCH(L843,'MPIO_SFIO Table'!$A$11:$A$65525,0)-1,"")</f>
        <v/>
      </c>
      <c r="R843" t="str">
        <f ca="1">IF(ISNUMBER(M843),OFFSET('MPIO_SFIO Table'!$AJ$11,M843,0),"")</f>
        <v/>
      </c>
      <c r="S843" t="str">
        <f ca="1">IF(ISNUMBER(N843),OFFSET('MPIO_SFIO Table'!$AJ$11,N843,0),"")</f>
        <v/>
      </c>
      <c r="T843" t="str">
        <f ca="1">IF(ISNUMBER(O843),OFFSET('MPIO_SFIO Table'!$AJ$11,O843,0),"")</f>
        <v/>
      </c>
      <c r="U843" t="str">
        <f ca="1">IF(ISNUMBER(P843),OFFSET('MPIO_SFIO Table'!$AJ$11,P843,0),"")</f>
        <v/>
      </c>
      <c r="V843" t="str">
        <f ca="1">IF(ISNUMBER(Q843),OFFSET('MPIO_SFIO Table'!$AJ$11,Q843,0),"")</f>
        <v/>
      </c>
      <c r="W843">
        <f t="shared" ca="1" si="115"/>
        <v>0</v>
      </c>
      <c r="X843">
        <f t="shared" ca="1" si="116"/>
        <v>0</v>
      </c>
      <c r="Y843">
        <f t="shared" ca="1" si="117"/>
        <v>0</v>
      </c>
      <c r="Z843">
        <f t="shared" ca="1" si="118"/>
        <v>0</v>
      </c>
      <c r="AA843">
        <f t="shared" ca="1" si="119"/>
        <v>0</v>
      </c>
    </row>
    <row r="844" spans="1:27" x14ac:dyDescent="0.25">
      <c r="A844">
        <f t="shared" ca="1" si="112"/>
        <v>0</v>
      </c>
      <c r="B844" t="str">
        <f t="shared" ca="1" si="113"/>
        <v/>
      </c>
      <c r="C844" t="str">
        <f t="shared" si="114"/>
        <v/>
      </c>
      <c r="D844" t="s">
        <v>253</v>
      </c>
      <c r="E844" t="s">
        <v>253</v>
      </c>
      <c r="F844" s="3" t="s">
        <v>253</v>
      </c>
      <c r="G844" s="11" t="s">
        <v>253</v>
      </c>
      <c r="H844" s="11" t="s">
        <v>253</v>
      </c>
      <c r="I844" s="3" t="s">
        <v>253</v>
      </c>
      <c r="J844" s="3" t="s">
        <v>253</v>
      </c>
      <c r="K844" s="3" t="s">
        <v>253</v>
      </c>
      <c r="L844" s="3" t="s">
        <v>253</v>
      </c>
      <c r="M844" t="str">
        <f>IF(LEN(H844),MATCH(H844,'MPIO_SFIO Table'!$A$11:$A$65525,0)-1,"")</f>
        <v/>
      </c>
      <c r="N844" t="str">
        <f>IF(LEN(I844),MATCH(I844,'MPIO_SFIO Table'!$A$11:$A$65525,0)-1,"")</f>
        <v/>
      </c>
      <c r="O844" t="str">
        <f>IF(LEN(J844),MATCH(J844,'MPIO_SFIO Table'!$A$11:$A$65525,0)-1,"")</f>
        <v/>
      </c>
      <c r="P844" t="str">
        <f>IF(LEN(K844),MATCH(K844,'MPIO_SFIO Table'!$A$11:$A$65525,0)-1,"")</f>
        <v/>
      </c>
      <c r="Q844" t="str">
        <f>IF(LEN(L844),MATCH(L844,'MPIO_SFIO Table'!$A$11:$A$65525,0)-1,"")</f>
        <v/>
      </c>
      <c r="R844" t="str">
        <f ca="1">IF(ISNUMBER(M844),OFFSET('MPIO_SFIO Table'!$AJ$11,M844,0),"")</f>
        <v/>
      </c>
      <c r="S844" t="str">
        <f ca="1">IF(ISNUMBER(N844),OFFSET('MPIO_SFIO Table'!$AJ$11,N844,0),"")</f>
        <v/>
      </c>
      <c r="T844" t="str">
        <f ca="1">IF(ISNUMBER(O844),OFFSET('MPIO_SFIO Table'!$AJ$11,O844,0),"")</f>
        <v/>
      </c>
      <c r="U844" t="str">
        <f ca="1">IF(ISNUMBER(P844),OFFSET('MPIO_SFIO Table'!$AJ$11,P844,0),"")</f>
        <v/>
      </c>
      <c r="V844" t="str">
        <f ca="1">IF(ISNUMBER(Q844),OFFSET('MPIO_SFIO Table'!$AJ$11,Q844,0),"")</f>
        <v/>
      </c>
      <c r="W844">
        <f t="shared" ca="1" si="115"/>
        <v>0</v>
      </c>
      <c r="X844">
        <f t="shared" ca="1" si="116"/>
        <v>0</v>
      </c>
      <c r="Y844">
        <f t="shared" ca="1" si="117"/>
        <v>0</v>
      </c>
      <c r="Z844">
        <f t="shared" ca="1" si="118"/>
        <v>0</v>
      </c>
      <c r="AA844">
        <f t="shared" ca="1" si="119"/>
        <v>0</v>
      </c>
    </row>
    <row r="845" spans="1:27" x14ac:dyDescent="0.25">
      <c r="A845">
        <f t="shared" ca="1" si="112"/>
        <v>0</v>
      </c>
      <c r="B845" t="str">
        <f t="shared" ca="1" si="113"/>
        <v/>
      </c>
      <c r="C845" t="str">
        <f t="shared" si="114"/>
        <v/>
      </c>
      <c r="D845" t="s">
        <v>253</v>
      </c>
      <c r="E845" t="s">
        <v>253</v>
      </c>
      <c r="F845" s="3" t="s">
        <v>253</v>
      </c>
      <c r="G845" s="11" t="s">
        <v>253</v>
      </c>
      <c r="H845" s="11" t="s">
        <v>253</v>
      </c>
      <c r="I845" s="3" t="s">
        <v>253</v>
      </c>
      <c r="J845" s="3" t="s">
        <v>253</v>
      </c>
      <c r="K845" s="3" t="s">
        <v>253</v>
      </c>
      <c r="L845" s="3" t="s">
        <v>253</v>
      </c>
      <c r="M845" t="str">
        <f>IF(LEN(H845),MATCH(H845,'MPIO_SFIO Table'!$A$11:$A$65525,0)-1,"")</f>
        <v/>
      </c>
      <c r="N845" t="str">
        <f>IF(LEN(I845),MATCH(I845,'MPIO_SFIO Table'!$A$11:$A$65525,0)-1,"")</f>
        <v/>
      </c>
      <c r="O845" t="str">
        <f>IF(LEN(J845),MATCH(J845,'MPIO_SFIO Table'!$A$11:$A$65525,0)-1,"")</f>
        <v/>
      </c>
      <c r="P845" t="str">
        <f>IF(LEN(K845),MATCH(K845,'MPIO_SFIO Table'!$A$11:$A$65525,0)-1,"")</f>
        <v/>
      </c>
      <c r="Q845" t="str">
        <f>IF(LEN(L845),MATCH(L845,'MPIO_SFIO Table'!$A$11:$A$65525,0)-1,"")</f>
        <v/>
      </c>
      <c r="R845" t="str">
        <f ca="1">IF(ISNUMBER(M845),OFFSET('MPIO_SFIO Table'!$AJ$11,M845,0),"")</f>
        <v/>
      </c>
      <c r="S845" t="str">
        <f ca="1">IF(ISNUMBER(N845),OFFSET('MPIO_SFIO Table'!$AJ$11,N845,0),"")</f>
        <v/>
      </c>
      <c r="T845" t="str">
        <f ca="1">IF(ISNUMBER(O845),OFFSET('MPIO_SFIO Table'!$AJ$11,O845,0),"")</f>
        <v/>
      </c>
      <c r="U845" t="str">
        <f ca="1">IF(ISNUMBER(P845),OFFSET('MPIO_SFIO Table'!$AJ$11,P845,0),"")</f>
        <v/>
      </c>
      <c r="V845" t="str">
        <f ca="1">IF(ISNUMBER(Q845),OFFSET('MPIO_SFIO Table'!$AJ$11,Q845,0),"")</f>
        <v/>
      </c>
      <c r="W845">
        <f t="shared" ca="1" si="115"/>
        <v>0</v>
      </c>
      <c r="X845">
        <f t="shared" ca="1" si="116"/>
        <v>0</v>
      </c>
      <c r="Y845">
        <f t="shared" ca="1" si="117"/>
        <v>0</v>
      </c>
      <c r="Z845">
        <f t="shared" ca="1" si="118"/>
        <v>0</v>
      </c>
      <c r="AA845">
        <f t="shared" ca="1" si="119"/>
        <v>0</v>
      </c>
    </row>
    <row r="846" spans="1:27" x14ac:dyDescent="0.25">
      <c r="A846">
        <f t="shared" ca="1" si="112"/>
        <v>0</v>
      </c>
      <c r="B846" t="str">
        <f t="shared" ca="1" si="113"/>
        <v/>
      </c>
      <c r="C846" t="str">
        <f t="shared" si="114"/>
        <v/>
      </c>
      <c r="D846" t="s">
        <v>253</v>
      </c>
      <c r="E846" t="s">
        <v>253</v>
      </c>
      <c r="F846" s="3" t="s">
        <v>253</v>
      </c>
      <c r="G846" s="11" t="s">
        <v>253</v>
      </c>
      <c r="H846" s="11" t="s">
        <v>253</v>
      </c>
      <c r="I846" s="3" t="s">
        <v>253</v>
      </c>
      <c r="J846" s="3" t="s">
        <v>253</v>
      </c>
      <c r="K846" s="3" t="s">
        <v>253</v>
      </c>
      <c r="L846" s="3" t="s">
        <v>253</v>
      </c>
      <c r="M846" t="str">
        <f>IF(LEN(H846),MATCH(H846,'MPIO_SFIO Table'!$A$11:$A$65525,0)-1,"")</f>
        <v/>
      </c>
      <c r="N846" t="str">
        <f>IF(LEN(I846),MATCH(I846,'MPIO_SFIO Table'!$A$11:$A$65525,0)-1,"")</f>
        <v/>
      </c>
      <c r="O846" t="str">
        <f>IF(LEN(J846),MATCH(J846,'MPIO_SFIO Table'!$A$11:$A$65525,0)-1,"")</f>
        <v/>
      </c>
      <c r="P846" t="str">
        <f>IF(LEN(K846),MATCH(K846,'MPIO_SFIO Table'!$A$11:$A$65525,0)-1,"")</f>
        <v/>
      </c>
      <c r="Q846" t="str">
        <f>IF(LEN(L846),MATCH(L846,'MPIO_SFIO Table'!$A$11:$A$65525,0)-1,"")</f>
        <v/>
      </c>
      <c r="R846" t="str">
        <f ca="1">IF(ISNUMBER(M846),OFFSET('MPIO_SFIO Table'!$AJ$11,M846,0),"")</f>
        <v/>
      </c>
      <c r="S846" t="str">
        <f ca="1">IF(ISNUMBER(N846),OFFSET('MPIO_SFIO Table'!$AJ$11,N846,0),"")</f>
        <v/>
      </c>
      <c r="T846" t="str">
        <f ca="1">IF(ISNUMBER(O846),OFFSET('MPIO_SFIO Table'!$AJ$11,O846,0),"")</f>
        <v/>
      </c>
      <c r="U846" t="str">
        <f ca="1">IF(ISNUMBER(P846),OFFSET('MPIO_SFIO Table'!$AJ$11,P846,0),"")</f>
        <v/>
      </c>
      <c r="V846" t="str">
        <f ca="1">IF(ISNUMBER(Q846),OFFSET('MPIO_SFIO Table'!$AJ$11,Q846,0),"")</f>
        <v/>
      </c>
      <c r="W846">
        <f t="shared" ca="1" si="115"/>
        <v>0</v>
      </c>
      <c r="X846">
        <f t="shared" ca="1" si="116"/>
        <v>0</v>
      </c>
      <c r="Y846">
        <f t="shared" ca="1" si="117"/>
        <v>0</v>
      </c>
      <c r="Z846">
        <f t="shared" ca="1" si="118"/>
        <v>0</v>
      </c>
      <c r="AA846">
        <f t="shared" ca="1" si="119"/>
        <v>0</v>
      </c>
    </row>
    <row r="847" spans="1:27" x14ac:dyDescent="0.25">
      <c r="A847">
        <f t="shared" ca="1" si="112"/>
        <v>0</v>
      </c>
      <c r="B847" t="str">
        <f t="shared" ca="1" si="113"/>
        <v/>
      </c>
      <c r="C847" t="str">
        <f t="shared" si="114"/>
        <v/>
      </c>
      <c r="D847" t="s">
        <v>253</v>
      </c>
      <c r="E847" t="s">
        <v>253</v>
      </c>
      <c r="F847" s="3" t="s">
        <v>253</v>
      </c>
      <c r="G847" s="11" t="s">
        <v>253</v>
      </c>
      <c r="H847" s="11" t="s">
        <v>253</v>
      </c>
      <c r="I847" s="3" t="s">
        <v>253</v>
      </c>
      <c r="J847" s="3" t="s">
        <v>253</v>
      </c>
      <c r="K847" s="3" t="s">
        <v>253</v>
      </c>
      <c r="L847" s="3" t="s">
        <v>253</v>
      </c>
      <c r="M847" t="str">
        <f>IF(LEN(H847),MATCH(H847,'MPIO_SFIO Table'!$A$11:$A$65525,0)-1,"")</f>
        <v/>
      </c>
      <c r="N847" t="str">
        <f>IF(LEN(I847),MATCH(I847,'MPIO_SFIO Table'!$A$11:$A$65525,0)-1,"")</f>
        <v/>
      </c>
      <c r="O847" t="str">
        <f>IF(LEN(J847),MATCH(J847,'MPIO_SFIO Table'!$A$11:$A$65525,0)-1,"")</f>
        <v/>
      </c>
      <c r="P847" t="str">
        <f>IF(LEN(K847),MATCH(K847,'MPIO_SFIO Table'!$A$11:$A$65525,0)-1,"")</f>
        <v/>
      </c>
      <c r="Q847" t="str">
        <f>IF(LEN(L847),MATCH(L847,'MPIO_SFIO Table'!$A$11:$A$65525,0)-1,"")</f>
        <v/>
      </c>
      <c r="R847" t="str">
        <f ca="1">IF(ISNUMBER(M847),OFFSET('MPIO_SFIO Table'!$AJ$11,M847,0),"")</f>
        <v/>
      </c>
      <c r="S847" t="str">
        <f ca="1">IF(ISNUMBER(N847),OFFSET('MPIO_SFIO Table'!$AJ$11,N847,0),"")</f>
        <v/>
      </c>
      <c r="T847" t="str">
        <f ca="1">IF(ISNUMBER(O847),OFFSET('MPIO_SFIO Table'!$AJ$11,O847,0),"")</f>
        <v/>
      </c>
      <c r="U847" t="str">
        <f ca="1">IF(ISNUMBER(P847),OFFSET('MPIO_SFIO Table'!$AJ$11,P847,0),"")</f>
        <v/>
      </c>
      <c r="V847" t="str">
        <f ca="1">IF(ISNUMBER(Q847),OFFSET('MPIO_SFIO Table'!$AJ$11,Q847,0),"")</f>
        <v/>
      </c>
      <c r="W847">
        <f t="shared" ca="1" si="115"/>
        <v>0</v>
      </c>
      <c r="X847">
        <f t="shared" ca="1" si="116"/>
        <v>0</v>
      </c>
      <c r="Y847">
        <f t="shared" ca="1" si="117"/>
        <v>0</v>
      </c>
      <c r="Z847">
        <f t="shared" ca="1" si="118"/>
        <v>0</v>
      </c>
      <c r="AA847">
        <f t="shared" ca="1" si="119"/>
        <v>0</v>
      </c>
    </row>
    <row r="848" spans="1:27" x14ac:dyDescent="0.25">
      <c r="A848">
        <f t="shared" ca="1" si="112"/>
        <v>0</v>
      </c>
      <c r="B848" t="str">
        <f t="shared" ca="1" si="113"/>
        <v/>
      </c>
      <c r="C848" t="str">
        <f t="shared" si="114"/>
        <v/>
      </c>
      <c r="D848" t="s">
        <v>253</v>
      </c>
      <c r="E848" t="s">
        <v>253</v>
      </c>
      <c r="F848" s="3" t="s">
        <v>253</v>
      </c>
      <c r="G848" s="11" t="s">
        <v>253</v>
      </c>
      <c r="H848" s="11" t="s">
        <v>253</v>
      </c>
      <c r="I848" s="3" t="s">
        <v>253</v>
      </c>
      <c r="J848" s="3" t="s">
        <v>253</v>
      </c>
      <c r="K848" s="3" t="s">
        <v>253</v>
      </c>
      <c r="L848" s="3" t="s">
        <v>253</v>
      </c>
      <c r="M848" t="str">
        <f>IF(LEN(H848),MATCH(H848,'MPIO_SFIO Table'!$A$11:$A$65525,0)-1,"")</f>
        <v/>
      </c>
      <c r="N848" t="str">
        <f>IF(LEN(I848),MATCH(I848,'MPIO_SFIO Table'!$A$11:$A$65525,0)-1,"")</f>
        <v/>
      </c>
      <c r="O848" t="str">
        <f>IF(LEN(J848),MATCH(J848,'MPIO_SFIO Table'!$A$11:$A$65525,0)-1,"")</f>
        <v/>
      </c>
      <c r="P848" t="str">
        <f>IF(LEN(K848),MATCH(K848,'MPIO_SFIO Table'!$A$11:$A$65525,0)-1,"")</f>
        <v/>
      </c>
      <c r="Q848" t="str">
        <f>IF(LEN(L848),MATCH(L848,'MPIO_SFIO Table'!$A$11:$A$65525,0)-1,"")</f>
        <v/>
      </c>
      <c r="R848" t="str">
        <f ca="1">IF(ISNUMBER(M848),OFFSET('MPIO_SFIO Table'!$AJ$11,M848,0),"")</f>
        <v/>
      </c>
      <c r="S848" t="str">
        <f ca="1">IF(ISNUMBER(N848),OFFSET('MPIO_SFIO Table'!$AJ$11,N848,0),"")</f>
        <v/>
      </c>
      <c r="T848" t="str">
        <f ca="1">IF(ISNUMBER(O848),OFFSET('MPIO_SFIO Table'!$AJ$11,O848,0),"")</f>
        <v/>
      </c>
      <c r="U848" t="str">
        <f ca="1">IF(ISNUMBER(P848),OFFSET('MPIO_SFIO Table'!$AJ$11,P848,0),"")</f>
        <v/>
      </c>
      <c r="V848" t="str">
        <f ca="1">IF(ISNUMBER(Q848),OFFSET('MPIO_SFIO Table'!$AJ$11,Q848,0),"")</f>
        <v/>
      </c>
      <c r="W848">
        <f t="shared" ca="1" si="115"/>
        <v>0</v>
      </c>
      <c r="X848">
        <f t="shared" ca="1" si="116"/>
        <v>0</v>
      </c>
      <c r="Y848">
        <f t="shared" ca="1" si="117"/>
        <v>0</v>
      </c>
      <c r="Z848">
        <f t="shared" ca="1" si="118"/>
        <v>0</v>
      </c>
      <c r="AA848">
        <f t="shared" ca="1" si="119"/>
        <v>0</v>
      </c>
    </row>
    <row r="849" spans="1:27" x14ac:dyDescent="0.25">
      <c r="A849">
        <f t="shared" ca="1" si="112"/>
        <v>0</v>
      </c>
      <c r="B849" t="str">
        <f t="shared" ca="1" si="113"/>
        <v/>
      </c>
      <c r="C849" t="str">
        <f t="shared" si="114"/>
        <v/>
      </c>
      <c r="D849" t="s">
        <v>253</v>
      </c>
      <c r="E849" t="s">
        <v>253</v>
      </c>
      <c r="F849" s="3" t="s">
        <v>253</v>
      </c>
      <c r="G849" s="11" t="s">
        <v>253</v>
      </c>
      <c r="H849" s="11" t="s">
        <v>253</v>
      </c>
      <c r="I849" s="3" t="s">
        <v>253</v>
      </c>
      <c r="J849" s="3" t="s">
        <v>253</v>
      </c>
      <c r="K849" s="3" t="s">
        <v>253</v>
      </c>
      <c r="L849" s="3" t="s">
        <v>253</v>
      </c>
      <c r="M849" t="str">
        <f>IF(LEN(H849),MATCH(H849,'MPIO_SFIO Table'!$A$11:$A$65525,0)-1,"")</f>
        <v/>
      </c>
      <c r="N849" t="str">
        <f>IF(LEN(I849),MATCH(I849,'MPIO_SFIO Table'!$A$11:$A$65525,0)-1,"")</f>
        <v/>
      </c>
      <c r="O849" t="str">
        <f>IF(LEN(J849),MATCH(J849,'MPIO_SFIO Table'!$A$11:$A$65525,0)-1,"")</f>
        <v/>
      </c>
      <c r="P849" t="str">
        <f>IF(LEN(K849),MATCH(K849,'MPIO_SFIO Table'!$A$11:$A$65525,0)-1,"")</f>
        <v/>
      </c>
      <c r="Q849" t="str">
        <f>IF(LEN(L849),MATCH(L849,'MPIO_SFIO Table'!$A$11:$A$65525,0)-1,"")</f>
        <v/>
      </c>
      <c r="R849" t="str">
        <f ca="1">IF(ISNUMBER(M849),OFFSET('MPIO_SFIO Table'!$AJ$11,M849,0),"")</f>
        <v/>
      </c>
      <c r="S849" t="str">
        <f ca="1">IF(ISNUMBER(N849),OFFSET('MPIO_SFIO Table'!$AJ$11,N849,0),"")</f>
        <v/>
      </c>
      <c r="T849" t="str">
        <f ca="1">IF(ISNUMBER(O849),OFFSET('MPIO_SFIO Table'!$AJ$11,O849,0),"")</f>
        <v/>
      </c>
      <c r="U849" t="str">
        <f ca="1">IF(ISNUMBER(P849),OFFSET('MPIO_SFIO Table'!$AJ$11,P849,0),"")</f>
        <v/>
      </c>
      <c r="V849" t="str">
        <f ca="1">IF(ISNUMBER(Q849),OFFSET('MPIO_SFIO Table'!$AJ$11,Q849,0),"")</f>
        <v/>
      </c>
      <c r="W849">
        <f t="shared" ca="1" si="115"/>
        <v>0</v>
      </c>
      <c r="X849">
        <f t="shared" ca="1" si="116"/>
        <v>0</v>
      </c>
      <c r="Y849">
        <f t="shared" ca="1" si="117"/>
        <v>0</v>
      </c>
      <c r="Z849">
        <f t="shared" ca="1" si="118"/>
        <v>0</v>
      </c>
      <c r="AA849">
        <f t="shared" ca="1" si="119"/>
        <v>0</v>
      </c>
    </row>
    <row r="850" spans="1:27" x14ac:dyDescent="0.25">
      <c r="A850">
        <f t="shared" ca="1" si="112"/>
        <v>0</v>
      </c>
      <c r="B850" t="str">
        <f t="shared" ca="1" si="113"/>
        <v/>
      </c>
      <c r="C850" t="str">
        <f t="shared" si="114"/>
        <v/>
      </c>
      <c r="D850" t="s">
        <v>253</v>
      </c>
      <c r="E850" t="s">
        <v>253</v>
      </c>
      <c r="F850" s="3" t="s">
        <v>253</v>
      </c>
      <c r="G850" s="11" t="s">
        <v>253</v>
      </c>
      <c r="H850" s="11" t="s">
        <v>253</v>
      </c>
      <c r="I850" s="3" t="s">
        <v>253</v>
      </c>
      <c r="J850" s="3" t="s">
        <v>253</v>
      </c>
      <c r="K850" s="3" t="s">
        <v>253</v>
      </c>
      <c r="L850" s="3" t="s">
        <v>253</v>
      </c>
      <c r="M850" t="str">
        <f>IF(LEN(H850),MATCH(H850,'MPIO_SFIO Table'!$A$11:$A$65525,0)-1,"")</f>
        <v/>
      </c>
      <c r="N850" t="str">
        <f>IF(LEN(I850),MATCH(I850,'MPIO_SFIO Table'!$A$11:$A$65525,0)-1,"")</f>
        <v/>
      </c>
      <c r="O850" t="str">
        <f>IF(LEN(J850),MATCH(J850,'MPIO_SFIO Table'!$A$11:$A$65525,0)-1,"")</f>
        <v/>
      </c>
      <c r="P850" t="str">
        <f>IF(LEN(K850),MATCH(K850,'MPIO_SFIO Table'!$A$11:$A$65525,0)-1,"")</f>
        <v/>
      </c>
      <c r="Q850" t="str">
        <f>IF(LEN(L850),MATCH(L850,'MPIO_SFIO Table'!$A$11:$A$65525,0)-1,"")</f>
        <v/>
      </c>
      <c r="R850" t="str">
        <f ca="1">IF(ISNUMBER(M850),OFFSET('MPIO_SFIO Table'!$AJ$11,M850,0),"")</f>
        <v/>
      </c>
      <c r="S850" t="str">
        <f ca="1">IF(ISNUMBER(N850),OFFSET('MPIO_SFIO Table'!$AJ$11,N850,0),"")</f>
        <v/>
      </c>
      <c r="T850" t="str">
        <f ca="1">IF(ISNUMBER(O850),OFFSET('MPIO_SFIO Table'!$AJ$11,O850,0),"")</f>
        <v/>
      </c>
      <c r="U850" t="str">
        <f ca="1">IF(ISNUMBER(P850),OFFSET('MPIO_SFIO Table'!$AJ$11,P850,0),"")</f>
        <v/>
      </c>
      <c r="V850" t="str">
        <f ca="1">IF(ISNUMBER(Q850),OFFSET('MPIO_SFIO Table'!$AJ$11,Q850,0),"")</f>
        <v/>
      </c>
      <c r="W850">
        <f t="shared" ca="1" si="115"/>
        <v>0</v>
      </c>
      <c r="X850">
        <f t="shared" ca="1" si="116"/>
        <v>0</v>
      </c>
      <c r="Y850">
        <f t="shared" ca="1" si="117"/>
        <v>0</v>
      </c>
      <c r="Z850">
        <f t="shared" ca="1" si="118"/>
        <v>0</v>
      </c>
      <c r="AA850">
        <f t="shared" ca="1" si="119"/>
        <v>0</v>
      </c>
    </row>
    <row r="851" spans="1:27" x14ac:dyDescent="0.25">
      <c r="A851">
        <f t="shared" ca="1" si="112"/>
        <v>0</v>
      </c>
      <c r="B851" t="str">
        <f t="shared" ca="1" si="113"/>
        <v/>
      </c>
      <c r="C851" t="str">
        <f t="shared" si="114"/>
        <v/>
      </c>
      <c r="D851" t="s">
        <v>253</v>
      </c>
      <c r="E851" t="s">
        <v>253</v>
      </c>
      <c r="F851" s="3" t="s">
        <v>253</v>
      </c>
      <c r="G851" s="11" t="s">
        <v>253</v>
      </c>
      <c r="H851" s="11" t="s">
        <v>253</v>
      </c>
      <c r="I851" s="3" t="s">
        <v>253</v>
      </c>
      <c r="J851" s="3" t="s">
        <v>253</v>
      </c>
      <c r="K851" s="3" t="s">
        <v>253</v>
      </c>
      <c r="L851" s="3" t="s">
        <v>253</v>
      </c>
      <c r="M851" t="str">
        <f>IF(LEN(H851),MATCH(H851,'MPIO_SFIO Table'!$A$11:$A$65525,0)-1,"")</f>
        <v/>
      </c>
      <c r="N851" t="str">
        <f>IF(LEN(I851),MATCH(I851,'MPIO_SFIO Table'!$A$11:$A$65525,0)-1,"")</f>
        <v/>
      </c>
      <c r="O851" t="str">
        <f>IF(LEN(J851),MATCH(J851,'MPIO_SFIO Table'!$A$11:$A$65525,0)-1,"")</f>
        <v/>
      </c>
      <c r="P851" t="str">
        <f>IF(LEN(K851),MATCH(K851,'MPIO_SFIO Table'!$A$11:$A$65525,0)-1,"")</f>
        <v/>
      </c>
      <c r="Q851" t="str">
        <f>IF(LEN(L851),MATCH(L851,'MPIO_SFIO Table'!$A$11:$A$65525,0)-1,"")</f>
        <v/>
      </c>
      <c r="R851" t="str">
        <f ca="1">IF(ISNUMBER(M851),OFFSET('MPIO_SFIO Table'!$AJ$11,M851,0),"")</f>
        <v/>
      </c>
      <c r="S851" t="str">
        <f ca="1">IF(ISNUMBER(N851),OFFSET('MPIO_SFIO Table'!$AJ$11,N851,0),"")</f>
        <v/>
      </c>
      <c r="T851" t="str">
        <f ca="1">IF(ISNUMBER(O851),OFFSET('MPIO_SFIO Table'!$AJ$11,O851,0),"")</f>
        <v/>
      </c>
      <c r="U851" t="str">
        <f ca="1">IF(ISNUMBER(P851),OFFSET('MPIO_SFIO Table'!$AJ$11,P851,0),"")</f>
        <v/>
      </c>
      <c r="V851" t="str">
        <f ca="1">IF(ISNUMBER(Q851),OFFSET('MPIO_SFIO Table'!$AJ$11,Q851,0),"")</f>
        <v/>
      </c>
      <c r="W851">
        <f t="shared" ca="1" si="115"/>
        <v>0</v>
      </c>
      <c r="X851">
        <f t="shared" ca="1" si="116"/>
        <v>0</v>
      </c>
      <c r="Y851">
        <f t="shared" ca="1" si="117"/>
        <v>0</v>
      </c>
      <c r="Z851">
        <f t="shared" ca="1" si="118"/>
        <v>0</v>
      </c>
      <c r="AA851">
        <f t="shared" ca="1" si="119"/>
        <v>0</v>
      </c>
    </row>
    <row r="852" spans="1:27" x14ac:dyDescent="0.25">
      <c r="A852">
        <f t="shared" ca="1" si="112"/>
        <v>0</v>
      </c>
      <c r="B852" t="str">
        <f t="shared" ca="1" si="113"/>
        <v/>
      </c>
      <c r="C852" t="str">
        <f t="shared" si="114"/>
        <v/>
      </c>
      <c r="D852" t="s">
        <v>253</v>
      </c>
      <c r="E852" t="s">
        <v>253</v>
      </c>
      <c r="F852" s="3" t="s">
        <v>253</v>
      </c>
      <c r="G852" s="11" t="s">
        <v>253</v>
      </c>
      <c r="H852" s="11" t="s">
        <v>253</v>
      </c>
      <c r="I852" s="3" t="s">
        <v>253</v>
      </c>
      <c r="J852" s="3" t="s">
        <v>253</v>
      </c>
      <c r="K852" s="3" t="s">
        <v>253</v>
      </c>
      <c r="L852" s="3" t="s">
        <v>253</v>
      </c>
      <c r="M852" t="str">
        <f>IF(LEN(H852),MATCH(H852,'MPIO_SFIO Table'!$A$11:$A$65525,0)-1,"")</f>
        <v/>
      </c>
      <c r="N852" t="str">
        <f>IF(LEN(I852),MATCH(I852,'MPIO_SFIO Table'!$A$11:$A$65525,0)-1,"")</f>
        <v/>
      </c>
      <c r="O852" t="str">
        <f>IF(LEN(J852),MATCH(J852,'MPIO_SFIO Table'!$A$11:$A$65525,0)-1,"")</f>
        <v/>
      </c>
      <c r="P852" t="str">
        <f>IF(LEN(K852),MATCH(K852,'MPIO_SFIO Table'!$A$11:$A$65525,0)-1,"")</f>
        <v/>
      </c>
      <c r="Q852" t="str">
        <f>IF(LEN(L852),MATCH(L852,'MPIO_SFIO Table'!$A$11:$A$65525,0)-1,"")</f>
        <v/>
      </c>
      <c r="R852" t="str">
        <f ca="1">IF(ISNUMBER(M852),OFFSET('MPIO_SFIO Table'!$AJ$11,M852,0),"")</f>
        <v/>
      </c>
      <c r="S852" t="str">
        <f ca="1">IF(ISNUMBER(N852),OFFSET('MPIO_SFIO Table'!$AJ$11,N852,0),"")</f>
        <v/>
      </c>
      <c r="T852" t="str">
        <f ca="1">IF(ISNUMBER(O852),OFFSET('MPIO_SFIO Table'!$AJ$11,O852,0),"")</f>
        <v/>
      </c>
      <c r="U852" t="str">
        <f ca="1">IF(ISNUMBER(P852),OFFSET('MPIO_SFIO Table'!$AJ$11,P852,0),"")</f>
        <v/>
      </c>
      <c r="V852" t="str">
        <f ca="1">IF(ISNUMBER(Q852),OFFSET('MPIO_SFIO Table'!$AJ$11,Q852,0),"")</f>
        <v/>
      </c>
      <c r="W852">
        <f t="shared" ca="1" si="115"/>
        <v>0</v>
      </c>
      <c r="X852">
        <f t="shared" ca="1" si="116"/>
        <v>0</v>
      </c>
      <c r="Y852">
        <f t="shared" ca="1" si="117"/>
        <v>0</v>
      </c>
      <c r="Z852">
        <f t="shared" ca="1" si="118"/>
        <v>0</v>
      </c>
      <c r="AA852">
        <f t="shared" ca="1" si="119"/>
        <v>0</v>
      </c>
    </row>
    <row r="853" spans="1:27" x14ac:dyDescent="0.25">
      <c r="A853">
        <f t="shared" ca="1" si="112"/>
        <v>0</v>
      </c>
      <c r="B853" t="str">
        <f t="shared" ca="1" si="113"/>
        <v/>
      </c>
      <c r="C853" t="str">
        <f t="shared" si="114"/>
        <v/>
      </c>
      <c r="D853" t="s">
        <v>253</v>
      </c>
      <c r="E853" t="s">
        <v>253</v>
      </c>
      <c r="F853" s="3" t="s">
        <v>253</v>
      </c>
      <c r="G853" s="11" t="s">
        <v>253</v>
      </c>
      <c r="H853" s="11" t="s">
        <v>253</v>
      </c>
      <c r="I853" s="3" t="s">
        <v>253</v>
      </c>
      <c r="J853" s="3" t="s">
        <v>253</v>
      </c>
      <c r="K853" s="3" t="s">
        <v>253</v>
      </c>
      <c r="L853" s="3" t="s">
        <v>253</v>
      </c>
      <c r="M853" t="str">
        <f>IF(LEN(H853),MATCH(H853,'MPIO_SFIO Table'!$A$11:$A$65525,0)-1,"")</f>
        <v/>
      </c>
      <c r="N853" t="str">
        <f>IF(LEN(I853),MATCH(I853,'MPIO_SFIO Table'!$A$11:$A$65525,0)-1,"")</f>
        <v/>
      </c>
      <c r="O853" t="str">
        <f>IF(LEN(J853),MATCH(J853,'MPIO_SFIO Table'!$A$11:$A$65525,0)-1,"")</f>
        <v/>
      </c>
      <c r="P853" t="str">
        <f>IF(LEN(K853),MATCH(K853,'MPIO_SFIO Table'!$A$11:$A$65525,0)-1,"")</f>
        <v/>
      </c>
      <c r="Q853" t="str">
        <f>IF(LEN(L853),MATCH(L853,'MPIO_SFIO Table'!$A$11:$A$65525,0)-1,"")</f>
        <v/>
      </c>
      <c r="R853" t="str">
        <f ca="1">IF(ISNUMBER(M853),OFFSET('MPIO_SFIO Table'!$AJ$11,M853,0),"")</f>
        <v/>
      </c>
      <c r="S853" t="str">
        <f ca="1">IF(ISNUMBER(N853),OFFSET('MPIO_SFIO Table'!$AJ$11,N853,0),"")</f>
        <v/>
      </c>
      <c r="T853" t="str">
        <f ca="1">IF(ISNUMBER(O853),OFFSET('MPIO_SFIO Table'!$AJ$11,O853,0),"")</f>
        <v/>
      </c>
      <c r="U853" t="str">
        <f ca="1">IF(ISNUMBER(P853),OFFSET('MPIO_SFIO Table'!$AJ$11,P853,0),"")</f>
        <v/>
      </c>
      <c r="V853" t="str">
        <f ca="1">IF(ISNUMBER(Q853),OFFSET('MPIO_SFIO Table'!$AJ$11,Q853,0),"")</f>
        <v/>
      </c>
      <c r="W853">
        <f t="shared" ca="1" si="115"/>
        <v>0</v>
      </c>
      <c r="X853">
        <f t="shared" ca="1" si="116"/>
        <v>0</v>
      </c>
      <c r="Y853">
        <f t="shared" ca="1" si="117"/>
        <v>0</v>
      </c>
      <c r="Z853">
        <f t="shared" ca="1" si="118"/>
        <v>0</v>
      </c>
      <c r="AA853">
        <f t="shared" ca="1" si="119"/>
        <v>0</v>
      </c>
    </row>
    <row r="854" spans="1:27" x14ac:dyDescent="0.25">
      <c r="A854">
        <f t="shared" ca="1" si="112"/>
        <v>0</v>
      </c>
      <c r="B854" t="str">
        <f t="shared" ca="1" si="113"/>
        <v/>
      </c>
      <c r="C854" t="str">
        <f t="shared" si="114"/>
        <v/>
      </c>
      <c r="D854" t="s">
        <v>253</v>
      </c>
      <c r="E854" t="s">
        <v>253</v>
      </c>
      <c r="F854" s="3" t="s">
        <v>253</v>
      </c>
      <c r="G854" s="11" t="s">
        <v>253</v>
      </c>
      <c r="H854" s="11" t="s">
        <v>253</v>
      </c>
      <c r="I854" s="3" t="s">
        <v>253</v>
      </c>
      <c r="J854" s="3" t="s">
        <v>253</v>
      </c>
      <c r="K854" s="3" t="s">
        <v>253</v>
      </c>
      <c r="L854" s="3" t="s">
        <v>253</v>
      </c>
      <c r="M854" t="str">
        <f>IF(LEN(H854),MATCH(H854,'MPIO_SFIO Table'!$A$11:$A$65525,0)-1,"")</f>
        <v/>
      </c>
      <c r="N854" t="str">
        <f>IF(LEN(I854),MATCH(I854,'MPIO_SFIO Table'!$A$11:$A$65525,0)-1,"")</f>
        <v/>
      </c>
      <c r="O854" t="str">
        <f>IF(LEN(J854),MATCH(J854,'MPIO_SFIO Table'!$A$11:$A$65525,0)-1,"")</f>
        <v/>
      </c>
      <c r="P854" t="str">
        <f>IF(LEN(K854),MATCH(K854,'MPIO_SFIO Table'!$A$11:$A$65525,0)-1,"")</f>
        <v/>
      </c>
      <c r="Q854" t="str">
        <f>IF(LEN(L854),MATCH(L854,'MPIO_SFIO Table'!$A$11:$A$65525,0)-1,"")</f>
        <v/>
      </c>
      <c r="R854" t="str">
        <f ca="1">IF(ISNUMBER(M854),OFFSET('MPIO_SFIO Table'!$AJ$11,M854,0),"")</f>
        <v/>
      </c>
      <c r="S854" t="str">
        <f ca="1">IF(ISNUMBER(N854),OFFSET('MPIO_SFIO Table'!$AJ$11,N854,0),"")</f>
        <v/>
      </c>
      <c r="T854" t="str">
        <f ca="1">IF(ISNUMBER(O854),OFFSET('MPIO_SFIO Table'!$AJ$11,O854,0),"")</f>
        <v/>
      </c>
      <c r="U854" t="str">
        <f ca="1">IF(ISNUMBER(P854),OFFSET('MPIO_SFIO Table'!$AJ$11,P854,0),"")</f>
        <v/>
      </c>
      <c r="V854" t="str">
        <f ca="1">IF(ISNUMBER(Q854),OFFSET('MPIO_SFIO Table'!$AJ$11,Q854,0),"")</f>
        <v/>
      </c>
      <c r="W854">
        <f t="shared" ca="1" si="115"/>
        <v>0</v>
      </c>
      <c r="X854">
        <f t="shared" ca="1" si="116"/>
        <v>0</v>
      </c>
      <c r="Y854">
        <f t="shared" ca="1" si="117"/>
        <v>0</v>
      </c>
      <c r="Z854">
        <f t="shared" ca="1" si="118"/>
        <v>0</v>
      </c>
      <c r="AA854">
        <f t="shared" ca="1" si="119"/>
        <v>0</v>
      </c>
    </row>
    <row r="855" spans="1:27" x14ac:dyDescent="0.25">
      <c r="A855">
        <f t="shared" ca="1" si="112"/>
        <v>0</v>
      </c>
      <c r="B855" t="str">
        <f t="shared" ca="1" si="113"/>
        <v/>
      </c>
      <c r="C855" t="str">
        <f t="shared" si="114"/>
        <v/>
      </c>
      <c r="D855" t="s">
        <v>253</v>
      </c>
      <c r="E855" t="s">
        <v>253</v>
      </c>
      <c r="F855" s="3" t="s">
        <v>253</v>
      </c>
      <c r="G855" s="11" t="s">
        <v>253</v>
      </c>
      <c r="H855" s="11" t="s">
        <v>253</v>
      </c>
      <c r="I855" s="3" t="s">
        <v>253</v>
      </c>
      <c r="J855" s="3" t="s">
        <v>253</v>
      </c>
      <c r="K855" s="3" t="s">
        <v>253</v>
      </c>
      <c r="L855" s="3" t="s">
        <v>253</v>
      </c>
      <c r="M855" t="str">
        <f>IF(LEN(H855),MATCH(H855,'MPIO_SFIO Table'!$A$11:$A$65525,0)-1,"")</f>
        <v/>
      </c>
      <c r="N855" t="str">
        <f>IF(LEN(I855),MATCH(I855,'MPIO_SFIO Table'!$A$11:$A$65525,0)-1,"")</f>
        <v/>
      </c>
      <c r="O855" t="str">
        <f>IF(LEN(J855),MATCH(J855,'MPIO_SFIO Table'!$A$11:$A$65525,0)-1,"")</f>
        <v/>
      </c>
      <c r="P855" t="str">
        <f>IF(LEN(K855),MATCH(K855,'MPIO_SFIO Table'!$A$11:$A$65525,0)-1,"")</f>
        <v/>
      </c>
      <c r="Q855" t="str">
        <f>IF(LEN(L855),MATCH(L855,'MPIO_SFIO Table'!$A$11:$A$65525,0)-1,"")</f>
        <v/>
      </c>
      <c r="R855" t="str">
        <f ca="1">IF(ISNUMBER(M855),OFFSET('MPIO_SFIO Table'!$AJ$11,M855,0),"")</f>
        <v/>
      </c>
      <c r="S855" t="str">
        <f ca="1">IF(ISNUMBER(N855),OFFSET('MPIO_SFIO Table'!$AJ$11,N855,0),"")</f>
        <v/>
      </c>
      <c r="T855" t="str">
        <f ca="1">IF(ISNUMBER(O855),OFFSET('MPIO_SFIO Table'!$AJ$11,O855,0),"")</f>
        <v/>
      </c>
      <c r="U855" t="str">
        <f ca="1">IF(ISNUMBER(P855),OFFSET('MPIO_SFIO Table'!$AJ$11,P855,0),"")</f>
        <v/>
      </c>
      <c r="V855" t="str">
        <f ca="1">IF(ISNUMBER(Q855),OFFSET('MPIO_SFIO Table'!$AJ$11,Q855,0),"")</f>
        <v/>
      </c>
      <c r="W855">
        <f t="shared" ca="1" si="115"/>
        <v>0</v>
      </c>
      <c r="X855">
        <f t="shared" ca="1" si="116"/>
        <v>0</v>
      </c>
      <c r="Y855">
        <f t="shared" ca="1" si="117"/>
        <v>0</v>
      </c>
      <c r="Z855">
        <f t="shared" ca="1" si="118"/>
        <v>0</v>
      </c>
      <c r="AA855">
        <f t="shared" ca="1" si="119"/>
        <v>0</v>
      </c>
    </row>
    <row r="856" spans="1:27" x14ac:dyDescent="0.25">
      <c r="A856">
        <f t="shared" ca="1" si="112"/>
        <v>0</v>
      </c>
      <c r="B856" t="str">
        <f t="shared" ca="1" si="113"/>
        <v/>
      </c>
      <c r="C856" t="str">
        <f t="shared" si="114"/>
        <v/>
      </c>
      <c r="D856" t="s">
        <v>253</v>
      </c>
      <c r="E856" t="s">
        <v>253</v>
      </c>
      <c r="F856" s="3" t="s">
        <v>253</v>
      </c>
      <c r="G856" s="11" t="s">
        <v>253</v>
      </c>
      <c r="H856" s="11" t="s">
        <v>253</v>
      </c>
      <c r="I856" s="3" t="s">
        <v>253</v>
      </c>
      <c r="J856" s="3" t="s">
        <v>253</v>
      </c>
      <c r="K856" s="3" t="s">
        <v>253</v>
      </c>
      <c r="L856" s="3" t="s">
        <v>253</v>
      </c>
      <c r="M856" t="str">
        <f>IF(LEN(H856),MATCH(H856,'MPIO_SFIO Table'!$A$11:$A$65525,0)-1,"")</f>
        <v/>
      </c>
      <c r="N856" t="str">
        <f>IF(LEN(I856),MATCH(I856,'MPIO_SFIO Table'!$A$11:$A$65525,0)-1,"")</f>
        <v/>
      </c>
      <c r="O856" t="str">
        <f>IF(LEN(J856),MATCH(J856,'MPIO_SFIO Table'!$A$11:$A$65525,0)-1,"")</f>
        <v/>
      </c>
      <c r="P856" t="str">
        <f>IF(LEN(K856),MATCH(K856,'MPIO_SFIO Table'!$A$11:$A$65525,0)-1,"")</f>
        <v/>
      </c>
      <c r="Q856" t="str">
        <f>IF(LEN(L856),MATCH(L856,'MPIO_SFIO Table'!$A$11:$A$65525,0)-1,"")</f>
        <v/>
      </c>
      <c r="R856" t="str">
        <f ca="1">IF(ISNUMBER(M856),OFFSET('MPIO_SFIO Table'!$AJ$11,M856,0),"")</f>
        <v/>
      </c>
      <c r="S856" t="str">
        <f ca="1">IF(ISNUMBER(N856),OFFSET('MPIO_SFIO Table'!$AJ$11,N856,0),"")</f>
        <v/>
      </c>
      <c r="T856" t="str">
        <f ca="1">IF(ISNUMBER(O856),OFFSET('MPIO_SFIO Table'!$AJ$11,O856,0),"")</f>
        <v/>
      </c>
      <c r="U856" t="str">
        <f ca="1">IF(ISNUMBER(P856),OFFSET('MPIO_SFIO Table'!$AJ$11,P856,0),"")</f>
        <v/>
      </c>
      <c r="V856" t="str">
        <f ca="1">IF(ISNUMBER(Q856),OFFSET('MPIO_SFIO Table'!$AJ$11,Q856,0),"")</f>
        <v/>
      </c>
      <c r="W856">
        <f t="shared" ca="1" si="115"/>
        <v>0</v>
      </c>
      <c r="X856">
        <f t="shared" ca="1" si="116"/>
        <v>0</v>
      </c>
      <c r="Y856">
        <f t="shared" ca="1" si="117"/>
        <v>0</v>
      </c>
      <c r="Z856">
        <f t="shared" ca="1" si="118"/>
        <v>0</v>
      </c>
      <c r="AA856">
        <f t="shared" ca="1" si="119"/>
        <v>0</v>
      </c>
    </row>
    <row r="857" spans="1:27" x14ac:dyDescent="0.25">
      <c r="A857">
        <f t="shared" ca="1" si="112"/>
        <v>0</v>
      </c>
      <c r="B857" t="str">
        <f t="shared" ca="1" si="113"/>
        <v/>
      </c>
      <c r="C857" t="str">
        <f t="shared" si="114"/>
        <v/>
      </c>
      <c r="D857" t="s">
        <v>253</v>
      </c>
      <c r="E857" t="s">
        <v>253</v>
      </c>
      <c r="F857" s="3" t="s">
        <v>253</v>
      </c>
      <c r="G857" s="11" t="s">
        <v>253</v>
      </c>
      <c r="H857" s="11" t="s">
        <v>253</v>
      </c>
      <c r="I857" s="3" t="s">
        <v>253</v>
      </c>
      <c r="J857" s="3" t="s">
        <v>253</v>
      </c>
      <c r="K857" s="3" t="s">
        <v>253</v>
      </c>
      <c r="L857" s="3" t="s">
        <v>253</v>
      </c>
      <c r="M857" t="str">
        <f>IF(LEN(H857),MATCH(H857,'MPIO_SFIO Table'!$A$11:$A$65525,0)-1,"")</f>
        <v/>
      </c>
      <c r="N857" t="str">
        <f>IF(LEN(I857),MATCH(I857,'MPIO_SFIO Table'!$A$11:$A$65525,0)-1,"")</f>
        <v/>
      </c>
      <c r="O857" t="str">
        <f>IF(LEN(J857),MATCH(J857,'MPIO_SFIO Table'!$A$11:$A$65525,0)-1,"")</f>
        <v/>
      </c>
      <c r="P857" t="str">
        <f>IF(LEN(K857),MATCH(K857,'MPIO_SFIO Table'!$A$11:$A$65525,0)-1,"")</f>
        <v/>
      </c>
      <c r="Q857" t="str">
        <f>IF(LEN(L857),MATCH(L857,'MPIO_SFIO Table'!$A$11:$A$65525,0)-1,"")</f>
        <v/>
      </c>
      <c r="R857" t="str">
        <f ca="1">IF(ISNUMBER(M857),OFFSET('MPIO_SFIO Table'!$AJ$11,M857,0),"")</f>
        <v/>
      </c>
      <c r="S857" t="str">
        <f ca="1">IF(ISNUMBER(N857),OFFSET('MPIO_SFIO Table'!$AJ$11,N857,0),"")</f>
        <v/>
      </c>
      <c r="T857" t="str">
        <f ca="1">IF(ISNUMBER(O857),OFFSET('MPIO_SFIO Table'!$AJ$11,O857,0),"")</f>
        <v/>
      </c>
      <c r="U857" t="str">
        <f ca="1">IF(ISNUMBER(P857),OFFSET('MPIO_SFIO Table'!$AJ$11,P857,0),"")</f>
        <v/>
      </c>
      <c r="V857" t="str">
        <f ca="1">IF(ISNUMBER(Q857),OFFSET('MPIO_SFIO Table'!$AJ$11,Q857,0),"")</f>
        <v/>
      </c>
      <c r="W857">
        <f t="shared" ca="1" si="115"/>
        <v>0</v>
      </c>
      <c r="X857">
        <f t="shared" ca="1" si="116"/>
        <v>0</v>
      </c>
      <c r="Y857">
        <f t="shared" ca="1" si="117"/>
        <v>0</v>
      </c>
      <c r="Z857">
        <f t="shared" ca="1" si="118"/>
        <v>0</v>
      </c>
      <c r="AA857">
        <f t="shared" ca="1" si="119"/>
        <v>0</v>
      </c>
    </row>
    <row r="858" spans="1:27" x14ac:dyDescent="0.25">
      <c r="A858">
        <f t="shared" ca="1" si="112"/>
        <v>0</v>
      </c>
      <c r="B858" t="str">
        <f t="shared" ca="1" si="113"/>
        <v/>
      </c>
      <c r="C858" t="str">
        <f t="shared" si="114"/>
        <v/>
      </c>
      <c r="D858" t="s">
        <v>253</v>
      </c>
      <c r="E858" t="s">
        <v>253</v>
      </c>
      <c r="F858" s="3" t="s">
        <v>253</v>
      </c>
      <c r="G858" s="11" t="s">
        <v>253</v>
      </c>
      <c r="H858" s="11" t="s">
        <v>253</v>
      </c>
      <c r="I858" s="3" t="s">
        <v>253</v>
      </c>
      <c r="J858" s="3" t="s">
        <v>253</v>
      </c>
      <c r="K858" s="3" t="s">
        <v>253</v>
      </c>
      <c r="L858" s="3" t="s">
        <v>253</v>
      </c>
      <c r="M858" t="str">
        <f>IF(LEN(H858),MATCH(H858,'MPIO_SFIO Table'!$A$11:$A$65525,0)-1,"")</f>
        <v/>
      </c>
      <c r="N858" t="str">
        <f>IF(LEN(I858),MATCH(I858,'MPIO_SFIO Table'!$A$11:$A$65525,0)-1,"")</f>
        <v/>
      </c>
      <c r="O858" t="str">
        <f>IF(LEN(J858),MATCH(J858,'MPIO_SFIO Table'!$A$11:$A$65525,0)-1,"")</f>
        <v/>
      </c>
      <c r="P858" t="str">
        <f>IF(LEN(K858),MATCH(K858,'MPIO_SFIO Table'!$A$11:$A$65525,0)-1,"")</f>
        <v/>
      </c>
      <c r="Q858" t="str">
        <f>IF(LEN(L858),MATCH(L858,'MPIO_SFIO Table'!$A$11:$A$65525,0)-1,"")</f>
        <v/>
      </c>
      <c r="R858" t="str">
        <f ca="1">IF(ISNUMBER(M858),OFFSET('MPIO_SFIO Table'!$AJ$11,M858,0),"")</f>
        <v/>
      </c>
      <c r="S858" t="str">
        <f ca="1">IF(ISNUMBER(N858),OFFSET('MPIO_SFIO Table'!$AJ$11,N858,0),"")</f>
        <v/>
      </c>
      <c r="T858" t="str">
        <f ca="1">IF(ISNUMBER(O858),OFFSET('MPIO_SFIO Table'!$AJ$11,O858,0),"")</f>
        <v/>
      </c>
      <c r="U858" t="str">
        <f ca="1">IF(ISNUMBER(P858),OFFSET('MPIO_SFIO Table'!$AJ$11,P858,0),"")</f>
        <v/>
      </c>
      <c r="V858" t="str">
        <f ca="1">IF(ISNUMBER(Q858),OFFSET('MPIO_SFIO Table'!$AJ$11,Q858,0),"")</f>
        <v/>
      </c>
      <c r="W858">
        <f t="shared" ca="1" si="115"/>
        <v>0</v>
      </c>
      <c r="X858">
        <f t="shared" ca="1" si="116"/>
        <v>0</v>
      </c>
      <c r="Y858">
        <f t="shared" ca="1" si="117"/>
        <v>0</v>
      </c>
      <c r="Z858">
        <f t="shared" ca="1" si="118"/>
        <v>0</v>
      </c>
      <c r="AA858">
        <f t="shared" ca="1" si="119"/>
        <v>0</v>
      </c>
    </row>
    <row r="859" spans="1:27" x14ac:dyDescent="0.25">
      <c r="A859">
        <f t="shared" ca="1" si="112"/>
        <v>0</v>
      </c>
      <c r="B859" t="str">
        <f t="shared" ca="1" si="113"/>
        <v/>
      </c>
      <c r="C859" t="str">
        <f t="shared" si="114"/>
        <v/>
      </c>
      <c r="D859" t="s">
        <v>253</v>
      </c>
      <c r="E859" t="s">
        <v>253</v>
      </c>
      <c r="F859" s="3" t="s">
        <v>253</v>
      </c>
      <c r="G859" s="11" t="s">
        <v>253</v>
      </c>
      <c r="H859" s="11" t="s">
        <v>253</v>
      </c>
      <c r="I859" s="3" t="s">
        <v>253</v>
      </c>
      <c r="J859" s="3" t="s">
        <v>253</v>
      </c>
      <c r="K859" s="3" t="s">
        <v>253</v>
      </c>
      <c r="L859" s="3" t="s">
        <v>253</v>
      </c>
      <c r="M859" t="str">
        <f>IF(LEN(H859),MATCH(H859,'MPIO_SFIO Table'!$A$11:$A$65525,0)-1,"")</f>
        <v/>
      </c>
      <c r="N859" t="str">
        <f>IF(LEN(I859),MATCH(I859,'MPIO_SFIO Table'!$A$11:$A$65525,0)-1,"")</f>
        <v/>
      </c>
      <c r="O859" t="str">
        <f>IF(LEN(J859),MATCH(J859,'MPIO_SFIO Table'!$A$11:$A$65525,0)-1,"")</f>
        <v/>
      </c>
      <c r="P859" t="str">
        <f>IF(LEN(K859),MATCH(K859,'MPIO_SFIO Table'!$A$11:$A$65525,0)-1,"")</f>
        <v/>
      </c>
      <c r="Q859" t="str">
        <f>IF(LEN(L859),MATCH(L859,'MPIO_SFIO Table'!$A$11:$A$65525,0)-1,"")</f>
        <v/>
      </c>
      <c r="R859" t="str">
        <f ca="1">IF(ISNUMBER(M859),OFFSET('MPIO_SFIO Table'!$AJ$11,M859,0),"")</f>
        <v/>
      </c>
      <c r="S859" t="str">
        <f ca="1">IF(ISNUMBER(N859),OFFSET('MPIO_SFIO Table'!$AJ$11,N859,0),"")</f>
        <v/>
      </c>
      <c r="T859" t="str">
        <f ca="1">IF(ISNUMBER(O859),OFFSET('MPIO_SFIO Table'!$AJ$11,O859,0),"")</f>
        <v/>
      </c>
      <c r="U859" t="str">
        <f ca="1">IF(ISNUMBER(P859),OFFSET('MPIO_SFIO Table'!$AJ$11,P859,0),"")</f>
        <v/>
      </c>
      <c r="V859" t="str">
        <f ca="1">IF(ISNUMBER(Q859),OFFSET('MPIO_SFIO Table'!$AJ$11,Q859,0),"")</f>
        <v/>
      </c>
      <c r="W859">
        <f t="shared" ca="1" si="115"/>
        <v>0</v>
      </c>
      <c r="X859">
        <f t="shared" ca="1" si="116"/>
        <v>0</v>
      </c>
      <c r="Y859">
        <f t="shared" ca="1" si="117"/>
        <v>0</v>
      </c>
      <c r="Z859">
        <f t="shared" ca="1" si="118"/>
        <v>0</v>
      </c>
      <c r="AA859">
        <f t="shared" ca="1" si="119"/>
        <v>0</v>
      </c>
    </row>
    <row r="860" spans="1:27" x14ac:dyDescent="0.25">
      <c r="A860">
        <f t="shared" ca="1" si="112"/>
        <v>0</v>
      </c>
      <c r="B860" t="str">
        <f t="shared" ca="1" si="113"/>
        <v/>
      </c>
      <c r="C860" t="str">
        <f t="shared" si="114"/>
        <v/>
      </c>
      <c r="D860" t="s">
        <v>253</v>
      </c>
      <c r="E860" t="s">
        <v>253</v>
      </c>
      <c r="F860" s="3" t="s">
        <v>253</v>
      </c>
      <c r="G860" s="11" t="s">
        <v>253</v>
      </c>
      <c r="H860" s="11" t="s">
        <v>253</v>
      </c>
      <c r="I860" s="3" t="s">
        <v>253</v>
      </c>
      <c r="J860" s="3" t="s">
        <v>253</v>
      </c>
      <c r="K860" s="3" t="s">
        <v>253</v>
      </c>
      <c r="L860" s="3" t="s">
        <v>253</v>
      </c>
      <c r="M860" t="str">
        <f>IF(LEN(H860),MATCH(H860,'MPIO_SFIO Table'!$A$11:$A$65525,0)-1,"")</f>
        <v/>
      </c>
      <c r="N860" t="str">
        <f>IF(LEN(I860),MATCH(I860,'MPIO_SFIO Table'!$A$11:$A$65525,0)-1,"")</f>
        <v/>
      </c>
      <c r="O860" t="str">
        <f>IF(LEN(J860),MATCH(J860,'MPIO_SFIO Table'!$A$11:$A$65525,0)-1,"")</f>
        <v/>
      </c>
      <c r="P860" t="str">
        <f>IF(LEN(K860),MATCH(K860,'MPIO_SFIO Table'!$A$11:$A$65525,0)-1,"")</f>
        <v/>
      </c>
      <c r="Q860" t="str">
        <f>IF(LEN(L860),MATCH(L860,'MPIO_SFIO Table'!$A$11:$A$65525,0)-1,"")</f>
        <v/>
      </c>
      <c r="R860" t="str">
        <f ca="1">IF(ISNUMBER(M860),OFFSET('MPIO_SFIO Table'!$AJ$11,M860,0),"")</f>
        <v/>
      </c>
      <c r="S860" t="str">
        <f ca="1">IF(ISNUMBER(N860),OFFSET('MPIO_SFIO Table'!$AJ$11,N860,0),"")</f>
        <v/>
      </c>
      <c r="T860" t="str">
        <f ca="1">IF(ISNUMBER(O860),OFFSET('MPIO_SFIO Table'!$AJ$11,O860,0),"")</f>
        <v/>
      </c>
      <c r="U860" t="str">
        <f ca="1">IF(ISNUMBER(P860),OFFSET('MPIO_SFIO Table'!$AJ$11,P860,0),"")</f>
        <v/>
      </c>
      <c r="V860" t="str">
        <f ca="1">IF(ISNUMBER(Q860),OFFSET('MPIO_SFIO Table'!$AJ$11,Q860,0),"")</f>
        <v/>
      </c>
      <c r="W860">
        <f t="shared" ca="1" si="115"/>
        <v>0</v>
      </c>
      <c r="X860">
        <f t="shared" ca="1" si="116"/>
        <v>0</v>
      </c>
      <c r="Y860">
        <f t="shared" ca="1" si="117"/>
        <v>0</v>
      </c>
      <c r="Z860">
        <f t="shared" ca="1" si="118"/>
        <v>0</v>
      </c>
      <c r="AA860">
        <f t="shared" ca="1" si="119"/>
        <v>0</v>
      </c>
    </row>
    <row r="861" spans="1:27" x14ac:dyDescent="0.25">
      <c r="A861">
        <f t="shared" ca="1" si="112"/>
        <v>0</v>
      </c>
      <c r="B861" t="str">
        <f t="shared" ca="1" si="113"/>
        <v/>
      </c>
      <c r="C861" t="str">
        <f t="shared" si="114"/>
        <v/>
      </c>
      <c r="D861" t="s">
        <v>253</v>
      </c>
      <c r="E861" t="s">
        <v>253</v>
      </c>
      <c r="F861" s="3" t="s">
        <v>253</v>
      </c>
      <c r="G861" s="11" t="s">
        <v>253</v>
      </c>
      <c r="H861" s="11" t="s">
        <v>253</v>
      </c>
      <c r="I861" s="3" t="s">
        <v>253</v>
      </c>
      <c r="J861" s="3" t="s">
        <v>253</v>
      </c>
      <c r="K861" s="3" t="s">
        <v>253</v>
      </c>
      <c r="L861" s="3" t="s">
        <v>253</v>
      </c>
      <c r="M861" t="str">
        <f>IF(LEN(H861),MATCH(H861,'MPIO_SFIO Table'!$A$11:$A$65525,0)-1,"")</f>
        <v/>
      </c>
      <c r="N861" t="str">
        <f>IF(LEN(I861),MATCH(I861,'MPIO_SFIO Table'!$A$11:$A$65525,0)-1,"")</f>
        <v/>
      </c>
      <c r="O861" t="str">
        <f>IF(LEN(J861),MATCH(J861,'MPIO_SFIO Table'!$A$11:$A$65525,0)-1,"")</f>
        <v/>
      </c>
      <c r="P861" t="str">
        <f>IF(LEN(K861),MATCH(K861,'MPIO_SFIO Table'!$A$11:$A$65525,0)-1,"")</f>
        <v/>
      </c>
      <c r="Q861" t="str">
        <f>IF(LEN(L861),MATCH(L861,'MPIO_SFIO Table'!$A$11:$A$65525,0)-1,"")</f>
        <v/>
      </c>
      <c r="R861" t="str">
        <f ca="1">IF(ISNUMBER(M861),OFFSET('MPIO_SFIO Table'!$AJ$11,M861,0),"")</f>
        <v/>
      </c>
      <c r="S861" t="str">
        <f ca="1">IF(ISNUMBER(N861),OFFSET('MPIO_SFIO Table'!$AJ$11,N861,0),"")</f>
        <v/>
      </c>
      <c r="T861" t="str">
        <f ca="1">IF(ISNUMBER(O861),OFFSET('MPIO_SFIO Table'!$AJ$11,O861,0),"")</f>
        <v/>
      </c>
      <c r="U861" t="str">
        <f ca="1">IF(ISNUMBER(P861),OFFSET('MPIO_SFIO Table'!$AJ$11,P861,0),"")</f>
        <v/>
      </c>
      <c r="V861" t="str">
        <f ca="1">IF(ISNUMBER(Q861),OFFSET('MPIO_SFIO Table'!$AJ$11,Q861,0),"")</f>
        <v/>
      </c>
      <c r="W861">
        <f t="shared" ca="1" si="115"/>
        <v>0</v>
      </c>
      <c r="X861">
        <f t="shared" ca="1" si="116"/>
        <v>0</v>
      </c>
      <c r="Y861">
        <f t="shared" ca="1" si="117"/>
        <v>0</v>
      </c>
      <c r="Z861">
        <f t="shared" ca="1" si="118"/>
        <v>0</v>
      </c>
      <c r="AA861">
        <f t="shared" ca="1" si="119"/>
        <v>0</v>
      </c>
    </row>
    <row r="862" spans="1:27" x14ac:dyDescent="0.25">
      <c r="A862">
        <f t="shared" ca="1" si="112"/>
        <v>0</v>
      </c>
      <c r="B862" t="str">
        <f t="shared" ca="1" si="113"/>
        <v/>
      </c>
      <c r="C862" t="str">
        <f t="shared" si="114"/>
        <v/>
      </c>
      <c r="D862" t="s">
        <v>253</v>
      </c>
      <c r="E862" t="s">
        <v>253</v>
      </c>
      <c r="F862" s="3" t="s">
        <v>253</v>
      </c>
      <c r="G862" s="11" t="s">
        <v>253</v>
      </c>
      <c r="H862" s="11" t="s">
        <v>253</v>
      </c>
      <c r="I862" s="3" t="s">
        <v>253</v>
      </c>
      <c r="J862" s="3" t="s">
        <v>253</v>
      </c>
      <c r="K862" s="3" t="s">
        <v>253</v>
      </c>
      <c r="L862" s="3" t="s">
        <v>253</v>
      </c>
      <c r="M862" t="str">
        <f>IF(LEN(H862),MATCH(H862,'MPIO_SFIO Table'!$A$11:$A$65525,0)-1,"")</f>
        <v/>
      </c>
      <c r="N862" t="str">
        <f>IF(LEN(I862),MATCH(I862,'MPIO_SFIO Table'!$A$11:$A$65525,0)-1,"")</f>
        <v/>
      </c>
      <c r="O862" t="str">
        <f>IF(LEN(J862),MATCH(J862,'MPIO_SFIO Table'!$A$11:$A$65525,0)-1,"")</f>
        <v/>
      </c>
      <c r="P862" t="str">
        <f>IF(LEN(K862),MATCH(K862,'MPIO_SFIO Table'!$A$11:$A$65525,0)-1,"")</f>
        <v/>
      </c>
      <c r="Q862" t="str">
        <f>IF(LEN(L862),MATCH(L862,'MPIO_SFIO Table'!$A$11:$A$65525,0)-1,"")</f>
        <v/>
      </c>
      <c r="R862" t="str">
        <f ca="1">IF(ISNUMBER(M862),OFFSET('MPIO_SFIO Table'!$AJ$11,M862,0),"")</f>
        <v/>
      </c>
      <c r="S862" t="str">
        <f ca="1">IF(ISNUMBER(N862),OFFSET('MPIO_SFIO Table'!$AJ$11,N862,0),"")</f>
        <v/>
      </c>
      <c r="T862" t="str">
        <f ca="1">IF(ISNUMBER(O862),OFFSET('MPIO_SFIO Table'!$AJ$11,O862,0),"")</f>
        <v/>
      </c>
      <c r="U862" t="str">
        <f ca="1">IF(ISNUMBER(P862),OFFSET('MPIO_SFIO Table'!$AJ$11,P862,0),"")</f>
        <v/>
      </c>
      <c r="V862" t="str">
        <f ca="1">IF(ISNUMBER(Q862),OFFSET('MPIO_SFIO Table'!$AJ$11,Q862,0),"")</f>
        <v/>
      </c>
      <c r="W862">
        <f t="shared" ca="1" si="115"/>
        <v>0</v>
      </c>
      <c r="X862">
        <f t="shared" ca="1" si="116"/>
        <v>0</v>
      </c>
      <c r="Y862">
        <f t="shared" ca="1" si="117"/>
        <v>0</v>
      </c>
      <c r="Z862">
        <f t="shared" ca="1" si="118"/>
        <v>0</v>
      </c>
      <c r="AA862">
        <f t="shared" ca="1" si="119"/>
        <v>0</v>
      </c>
    </row>
    <row r="863" spans="1:27" x14ac:dyDescent="0.25">
      <c r="A863">
        <f t="shared" ca="1" si="112"/>
        <v>0</v>
      </c>
      <c r="B863" t="str">
        <f t="shared" ca="1" si="113"/>
        <v/>
      </c>
      <c r="C863" t="str">
        <f t="shared" si="114"/>
        <v/>
      </c>
      <c r="D863" t="s">
        <v>253</v>
      </c>
      <c r="E863" t="s">
        <v>253</v>
      </c>
      <c r="F863" s="3" t="s">
        <v>253</v>
      </c>
      <c r="G863" s="11" t="s">
        <v>253</v>
      </c>
      <c r="H863" s="11" t="s">
        <v>253</v>
      </c>
      <c r="I863" s="3" t="s">
        <v>253</v>
      </c>
      <c r="J863" s="3" t="s">
        <v>253</v>
      </c>
      <c r="K863" s="3" t="s">
        <v>253</v>
      </c>
      <c r="L863" s="3" t="s">
        <v>253</v>
      </c>
      <c r="M863" t="str">
        <f>IF(LEN(H863),MATCH(H863,'MPIO_SFIO Table'!$A$11:$A$65525,0)-1,"")</f>
        <v/>
      </c>
      <c r="N863" t="str">
        <f>IF(LEN(I863),MATCH(I863,'MPIO_SFIO Table'!$A$11:$A$65525,0)-1,"")</f>
        <v/>
      </c>
      <c r="O863" t="str">
        <f>IF(LEN(J863),MATCH(J863,'MPIO_SFIO Table'!$A$11:$A$65525,0)-1,"")</f>
        <v/>
      </c>
      <c r="P863" t="str">
        <f>IF(LEN(K863),MATCH(K863,'MPIO_SFIO Table'!$A$11:$A$65525,0)-1,"")</f>
        <v/>
      </c>
      <c r="Q863" t="str">
        <f>IF(LEN(L863),MATCH(L863,'MPIO_SFIO Table'!$A$11:$A$65525,0)-1,"")</f>
        <v/>
      </c>
      <c r="R863" t="str">
        <f ca="1">IF(ISNUMBER(M863),OFFSET('MPIO_SFIO Table'!$AJ$11,M863,0),"")</f>
        <v/>
      </c>
      <c r="S863" t="str">
        <f ca="1">IF(ISNUMBER(N863),OFFSET('MPIO_SFIO Table'!$AJ$11,N863,0),"")</f>
        <v/>
      </c>
      <c r="T863" t="str">
        <f ca="1">IF(ISNUMBER(O863),OFFSET('MPIO_SFIO Table'!$AJ$11,O863,0),"")</f>
        <v/>
      </c>
      <c r="U863" t="str">
        <f ca="1">IF(ISNUMBER(P863),OFFSET('MPIO_SFIO Table'!$AJ$11,P863,0),"")</f>
        <v/>
      </c>
      <c r="V863" t="str">
        <f ca="1">IF(ISNUMBER(Q863),OFFSET('MPIO_SFIO Table'!$AJ$11,Q863,0),"")</f>
        <v/>
      </c>
      <c r="W863">
        <f t="shared" ca="1" si="115"/>
        <v>0</v>
      </c>
      <c r="X863">
        <f t="shared" ca="1" si="116"/>
        <v>0</v>
      </c>
      <c r="Y863">
        <f t="shared" ca="1" si="117"/>
        <v>0</v>
      </c>
      <c r="Z863">
        <f t="shared" ca="1" si="118"/>
        <v>0</v>
      </c>
      <c r="AA863">
        <f t="shared" ca="1" si="119"/>
        <v>0</v>
      </c>
    </row>
    <row r="864" spans="1:27" x14ac:dyDescent="0.25">
      <c r="A864">
        <f t="shared" ca="1" si="112"/>
        <v>0</v>
      </c>
      <c r="B864" t="str">
        <f t="shared" ca="1" si="113"/>
        <v/>
      </c>
      <c r="C864" t="str">
        <f t="shared" si="114"/>
        <v/>
      </c>
      <c r="D864" t="s">
        <v>253</v>
      </c>
      <c r="E864" t="s">
        <v>253</v>
      </c>
      <c r="F864" s="3" t="s">
        <v>253</v>
      </c>
      <c r="G864" s="11" t="s">
        <v>253</v>
      </c>
      <c r="H864" s="11" t="s">
        <v>253</v>
      </c>
      <c r="I864" s="3" t="s">
        <v>253</v>
      </c>
      <c r="J864" s="3" t="s">
        <v>253</v>
      </c>
      <c r="K864" s="3" t="s">
        <v>253</v>
      </c>
      <c r="L864" s="3" t="s">
        <v>253</v>
      </c>
      <c r="M864" t="str">
        <f>IF(LEN(H864),MATCH(H864,'MPIO_SFIO Table'!$A$11:$A$65525,0)-1,"")</f>
        <v/>
      </c>
      <c r="N864" t="str">
        <f>IF(LEN(I864),MATCH(I864,'MPIO_SFIO Table'!$A$11:$A$65525,0)-1,"")</f>
        <v/>
      </c>
      <c r="O864" t="str">
        <f>IF(LEN(J864),MATCH(J864,'MPIO_SFIO Table'!$A$11:$A$65525,0)-1,"")</f>
        <v/>
      </c>
      <c r="P864" t="str">
        <f>IF(LEN(K864),MATCH(K864,'MPIO_SFIO Table'!$A$11:$A$65525,0)-1,"")</f>
        <v/>
      </c>
      <c r="Q864" t="str">
        <f>IF(LEN(L864),MATCH(L864,'MPIO_SFIO Table'!$A$11:$A$65525,0)-1,"")</f>
        <v/>
      </c>
      <c r="R864" t="str">
        <f ca="1">IF(ISNUMBER(M864),OFFSET('MPIO_SFIO Table'!$AJ$11,M864,0),"")</f>
        <v/>
      </c>
      <c r="S864" t="str">
        <f ca="1">IF(ISNUMBER(N864),OFFSET('MPIO_SFIO Table'!$AJ$11,N864,0),"")</f>
        <v/>
      </c>
      <c r="T864" t="str">
        <f ca="1">IF(ISNUMBER(O864),OFFSET('MPIO_SFIO Table'!$AJ$11,O864,0),"")</f>
        <v/>
      </c>
      <c r="U864" t="str">
        <f ca="1">IF(ISNUMBER(P864),OFFSET('MPIO_SFIO Table'!$AJ$11,P864,0),"")</f>
        <v/>
      </c>
      <c r="V864" t="str">
        <f ca="1">IF(ISNUMBER(Q864),OFFSET('MPIO_SFIO Table'!$AJ$11,Q864,0),"")</f>
        <v/>
      </c>
      <c r="W864">
        <f t="shared" ca="1" si="115"/>
        <v>0</v>
      </c>
      <c r="X864">
        <f t="shared" ca="1" si="116"/>
        <v>0</v>
      </c>
      <c r="Y864">
        <f t="shared" ca="1" si="117"/>
        <v>0</v>
      </c>
      <c r="Z864">
        <f t="shared" ca="1" si="118"/>
        <v>0</v>
      </c>
      <c r="AA864">
        <f t="shared" ca="1" si="119"/>
        <v>0</v>
      </c>
    </row>
    <row r="865" spans="1:27" x14ac:dyDescent="0.25">
      <c r="A865">
        <f t="shared" ca="1" si="112"/>
        <v>0</v>
      </c>
      <c r="B865" t="str">
        <f t="shared" ca="1" si="113"/>
        <v/>
      </c>
      <c r="C865" t="str">
        <f t="shared" si="114"/>
        <v/>
      </c>
      <c r="D865" t="s">
        <v>253</v>
      </c>
      <c r="E865" t="s">
        <v>253</v>
      </c>
      <c r="F865" s="3" t="s">
        <v>253</v>
      </c>
      <c r="G865" s="11" t="s">
        <v>253</v>
      </c>
      <c r="H865" s="11" t="s">
        <v>253</v>
      </c>
      <c r="I865" s="3" t="s">
        <v>253</v>
      </c>
      <c r="J865" s="3" t="s">
        <v>253</v>
      </c>
      <c r="K865" s="3" t="s">
        <v>253</v>
      </c>
      <c r="L865" s="3" t="s">
        <v>253</v>
      </c>
      <c r="M865" t="str">
        <f>IF(LEN(H865),MATCH(H865,'MPIO_SFIO Table'!$A$11:$A$65525,0)-1,"")</f>
        <v/>
      </c>
      <c r="N865" t="str">
        <f>IF(LEN(I865),MATCH(I865,'MPIO_SFIO Table'!$A$11:$A$65525,0)-1,"")</f>
        <v/>
      </c>
      <c r="O865" t="str">
        <f>IF(LEN(J865),MATCH(J865,'MPIO_SFIO Table'!$A$11:$A$65525,0)-1,"")</f>
        <v/>
      </c>
      <c r="P865" t="str">
        <f>IF(LEN(K865),MATCH(K865,'MPIO_SFIO Table'!$A$11:$A$65525,0)-1,"")</f>
        <v/>
      </c>
      <c r="Q865" t="str">
        <f>IF(LEN(L865),MATCH(L865,'MPIO_SFIO Table'!$A$11:$A$65525,0)-1,"")</f>
        <v/>
      </c>
      <c r="R865" t="str">
        <f ca="1">IF(ISNUMBER(M865),OFFSET('MPIO_SFIO Table'!$AJ$11,M865,0),"")</f>
        <v/>
      </c>
      <c r="S865" t="str">
        <f ca="1">IF(ISNUMBER(N865),OFFSET('MPIO_SFIO Table'!$AJ$11,N865,0),"")</f>
        <v/>
      </c>
      <c r="T865" t="str">
        <f ca="1">IF(ISNUMBER(O865),OFFSET('MPIO_SFIO Table'!$AJ$11,O865,0),"")</f>
        <v/>
      </c>
      <c r="U865" t="str">
        <f ca="1">IF(ISNUMBER(P865),OFFSET('MPIO_SFIO Table'!$AJ$11,P865,0),"")</f>
        <v/>
      </c>
      <c r="V865" t="str">
        <f ca="1">IF(ISNUMBER(Q865),OFFSET('MPIO_SFIO Table'!$AJ$11,Q865,0),"")</f>
        <v/>
      </c>
      <c r="W865">
        <f t="shared" ca="1" si="115"/>
        <v>0</v>
      </c>
      <c r="X865">
        <f t="shared" ca="1" si="116"/>
        <v>0</v>
      </c>
      <c r="Y865">
        <f t="shared" ca="1" si="117"/>
        <v>0</v>
      </c>
      <c r="Z865">
        <f t="shared" ca="1" si="118"/>
        <v>0</v>
      </c>
      <c r="AA865">
        <f t="shared" ca="1" si="119"/>
        <v>0</v>
      </c>
    </row>
    <row r="866" spans="1:27" x14ac:dyDescent="0.25">
      <c r="A866">
        <f t="shared" ca="1" si="112"/>
        <v>0</v>
      </c>
      <c r="B866" t="str">
        <f t="shared" ca="1" si="113"/>
        <v/>
      </c>
      <c r="C866" t="str">
        <f t="shared" si="114"/>
        <v/>
      </c>
      <c r="D866" t="s">
        <v>253</v>
      </c>
      <c r="E866" t="s">
        <v>253</v>
      </c>
      <c r="F866" s="3" t="s">
        <v>253</v>
      </c>
      <c r="G866" s="11" t="s">
        <v>253</v>
      </c>
      <c r="H866" s="11" t="s">
        <v>253</v>
      </c>
      <c r="I866" s="3" t="s">
        <v>253</v>
      </c>
      <c r="J866" s="3" t="s">
        <v>253</v>
      </c>
      <c r="K866" s="3" t="s">
        <v>253</v>
      </c>
      <c r="L866" s="3" t="s">
        <v>253</v>
      </c>
      <c r="M866" t="str">
        <f>IF(LEN(H866),MATCH(H866,'MPIO_SFIO Table'!$A$11:$A$65525,0)-1,"")</f>
        <v/>
      </c>
      <c r="N866" t="str">
        <f>IF(LEN(I866),MATCH(I866,'MPIO_SFIO Table'!$A$11:$A$65525,0)-1,"")</f>
        <v/>
      </c>
      <c r="O866" t="str">
        <f>IF(LEN(J866),MATCH(J866,'MPIO_SFIO Table'!$A$11:$A$65525,0)-1,"")</f>
        <v/>
      </c>
      <c r="P866" t="str">
        <f>IF(LEN(K866),MATCH(K866,'MPIO_SFIO Table'!$A$11:$A$65525,0)-1,"")</f>
        <v/>
      </c>
      <c r="Q866" t="str">
        <f>IF(LEN(L866),MATCH(L866,'MPIO_SFIO Table'!$A$11:$A$65525,0)-1,"")</f>
        <v/>
      </c>
      <c r="R866" t="str">
        <f ca="1">IF(ISNUMBER(M866),OFFSET('MPIO_SFIO Table'!$AJ$11,M866,0),"")</f>
        <v/>
      </c>
      <c r="S866" t="str">
        <f ca="1">IF(ISNUMBER(N866),OFFSET('MPIO_SFIO Table'!$AJ$11,N866,0),"")</f>
        <v/>
      </c>
      <c r="T866" t="str">
        <f ca="1">IF(ISNUMBER(O866),OFFSET('MPIO_SFIO Table'!$AJ$11,O866,0),"")</f>
        <v/>
      </c>
      <c r="U866" t="str">
        <f ca="1">IF(ISNUMBER(P866),OFFSET('MPIO_SFIO Table'!$AJ$11,P866,0),"")</f>
        <v/>
      </c>
      <c r="V866" t="str">
        <f ca="1">IF(ISNUMBER(Q866),OFFSET('MPIO_SFIO Table'!$AJ$11,Q866,0),"")</f>
        <v/>
      </c>
      <c r="W866">
        <f t="shared" ca="1" si="115"/>
        <v>0</v>
      </c>
      <c r="X866">
        <f t="shared" ca="1" si="116"/>
        <v>0</v>
      </c>
      <c r="Y866">
        <f t="shared" ca="1" si="117"/>
        <v>0</v>
      </c>
      <c r="Z866">
        <f t="shared" ca="1" si="118"/>
        <v>0</v>
      </c>
      <c r="AA866">
        <f t="shared" ca="1" si="119"/>
        <v>0</v>
      </c>
    </row>
    <row r="867" spans="1:27" x14ac:dyDescent="0.25">
      <c r="A867">
        <f t="shared" ca="1" si="112"/>
        <v>0</v>
      </c>
      <c r="B867" t="str">
        <f t="shared" ca="1" si="113"/>
        <v/>
      </c>
      <c r="C867" t="str">
        <f t="shared" si="114"/>
        <v/>
      </c>
      <c r="D867" t="s">
        <v>253</v>
      </c>
      <c r="E867" t="s">
        <v>253</v>
      </c>
      <c r="F867" s="3" t="s">
        <v>253</v>
      </c>
      <c r="G867" s="11" t="s">
        <v>253</v>
      </c>
      <c r="H867" s="11" t="s">
        <v>253</v>
      </c>
      <c r="I867" s="3" t="s">
        <v>253</v>
      </c>
      <c r="J867" s="3" t="s">
        <v>253</v>
      </c>
      <c r="K867" s="3" t="s">
        <v>253</v>
      </c>
      <c r="L867" s="3" t="s">
        <v>253</v>
      </c>
      <c r="M867" t="str">
        <f>IF(LEN(H867),MATCH(H867,'MPIO_SFIO Table'!$A$11:$A$65525,0)-1,"")</f>
        <v/>
      </c>
      <c r="N867" t="str">
        <f>IF(LEN(I867),MATCH(I867,'MPIO_SFIO Table'!$A$11:$A$65525,0)-1,"")</f>
        <v/>
      </c>
      <c r="O867" t="str">
        <f>IF(LEN(J867),MATCH(J867,'MPIO_SFIO Table'!$A$11:$A$65525,0)-1,"")</f>
        <v/>
      </c>
      <c r="P867" t="str">
        <f>IF(LEN(K867),MATCH(K867,'MPIO_SFIO Table'!$A$11:$A$65525,0)-1,"")</f>
        <v/>
      </c>
      <c r="Q867" t="str">
        <f>IF(LEN(L867),MATCH(L867,'MPIO_SFIO Table'!$A$11:$A$65525,0)-1,"")</f>
        <v/>
      </c>
      <c r="R867" t="str">
        <f ca="1">IF(ISNUMBER(M867),OFFSET('MPIO_SFIO Table'!$AJ$11,M867,0),"")</f>
        <v/>
      </c>
      <c r="S867" t="str">
        <f ca="1">IF(ISNUMBER(N867),OFFSET('MPIO_SFIO Table'!$AJ$11,N867,0),"")</f>
        <v/>
      </c>
      <c r="T867" t="str">
        <f ca="1">IF(ISNUMBER(O867),OFFSET('MPIO_SFIO Table'!$AJ$11,O867,0),"")</f>
        <v/>
      </c>
      <c r="U867" t="str">
        <f ca="1">IF(ISNUMBER(P867),OFFSET('MPIO_SFIO Table'!$AJ$11,P867,0),"")</f>
        <v/>
      </c>
      <c r="V867" t="str">
        <f ca="1">IF(ISNUMBER(Q867),OFFSET('MPIO_SFIO Table'!$AJ$11,Q867,0),"")</f>
        <v/>
      </c>
      <c r="W867">
        <f t="shared" ca="1" si="115"/>
        <v>0</v>
      </c>
      <c r="X867">
        <f t="shared" ca="1" si="116"/>
        <v>0</v>
      </c>
      <c r="Y867">
        <f t="shared" ca="1" si="117"/>
        <v>0</v>
      </c>
      <c r="Z867">
        <f t="shared" ca="1" si="118"/>
        <v>0</v>
      </c>
      <c r="AA867">
        <f t="shared" ca="1" si="119"/>
        <v>0</v>
      </c>
    </row>
    <row r="868" spans="1:27" x14ac:dyDescent="0.25">
      <c r="A868">
        <f t="shared" ca="1" si="112"/>
        <v>0</v>
      </c>
      <c r="B868" t="str">
        <f t="shared" ca="1" si="113"/>
        <v/>
      </c>
      <c r="C868" t="str">
        <f t="shared" si="114"/>
        <v/>
      </c>
      <c r="D868" t="s">
        <v>253</v>
      </c>
      <c r="E868" t="s">
        <v>253</v>
      </c>
      <c r="F868" s="3" t="s">
        <v>253</v>
      </c>
      <c r="G868" s="11" t="s">
        <v>253</v>
      </c>
      <c r="H868" s="11" t="s">
        <v>253</v>
      </c>
      <c r="I868" s="3" t="s">
        <v>253</v>
      </c>
      <c r="J868" s="3" t="s">
        <v>253</v>
      </c>
      <c r="K868" s="3" t="s">
        <v>253</v>
      </c>
      <c r="L868" s="3" t="s">
        <v>253</v>
      </c>
      <c r="M868" t="str">
        <f>IF(LEN(H868),MATCH(H868,'MPIO_SFIO Table'!$A$11:$A$65525,0)-1,"")</f>
        <v/>
      </c>
      <c r="N868" t="str">
        <f>IF(LEN(I868),MATCH(I868,'MPIO_SFIO Table'!$A$11:$A$65525,0)-1,"")</f>
        <v/>
      </c>
      <c r="O868" t="str">
        <f>IF(LEN(J868),MATCH(J868,'MPIO_SFIO Table'!$A$11:$A$65525,0)-1,"")</f>
        <v/>
      </c>
      <c r="P868" t="str">
        <f>IF(LEN(K868),MATCH(K868,'MPIO_SFIO Table'!$A$11:$A$65525,0)-1,"")</f>
        <v/>
      </c>
      <c r="Q868" t="str">
        <f>IF(LEN(L868),MATCH(L868,'MPIO_SFIO Table'!$A$11:$A$65525,0)-1,"")</f>
        <v/>
      </c>
      <c r="R868" t="str">
        <f ca="1">IF(ISNUMBER(M868),OFFSET('MPIO_SFIO Table'!$AJ$11,M868,0),"")</f>
        <v/>
      </c>
      <c r="S868" t="str">
        <f ca="1">IF(ISNUMBER(N868),OFFSET('MPIO_SFIO Table'!$AJ$11,N868,0),"")</f>
        <v/>
      </c>
      <c r="T868" t="str">
        <f ca="1">IF(ISNUMBER(O868),OFFSET('MPIO_SFIO Table'!$AJ$11,O868,0),"")</f>
        <v/>
      </c>
      <c r="U868" t="str">
        <f ca="1">IF(ISNUMBER(P868),OFFSET('MPIO_SFIO Table'!$AJ$11,P868,0),"")</f>
        <v/>
      </c>
      <c r="V868" t="str">
        <f ca="1">IF(ISNUMBER(Q868),OFFSET('MPIO_SFIO Table'!$AJ$11,Q868,0),"")</f>
        <v/>
      </c>
      <c r="W868">
        <f t="shared" ca="1" si="115"/>
        <v>0</v>
      </c>
      <c r="X868">
        <f t="shared" ca="1" si="116"/>
        <v>0</v>
      </c>
      <c r="Y868">
        <f t="shared" ca="1" si="117"/>
        <v>0</v>
      </c>
      <c r="Z868">
        <f t="shared" ca="1" si="118"/>
        <v>0</v>
      </c>
      <c r="AA868">
        <f t="shared" ca="1" si="119"/>
        <v>0</v>
      </c>
    </row>
    <row r="869" spans="1:27" x14ac:dyDescent="0.25">
      <c r="A869">
        <f t="shared" ca="1" si="112"/>
        <v>0</v>
      </c>
      <c r="B869" t="str">
        <f t="shared" ca="1" si="113"/>
        <v/>
      </c>
      <c r="C869" t="str">
        <f t="shared" si="114"/>
        <v/>
      </c>
      <c r="D869" t="s">
        <v>253</v>
      </c>
      <c r="E869" t="s">
        <v>253</v>
      </c>
      <c r="F869" s="3" t="s">
        <v>253</v>
      </c>
      <c r="G869" s="11" t="s">
        <v>253</v>
      </c>
      <c r="H869" s="11" t="s">
        <v>253</v>
      </c>
      <c r="I869" s="3" t="s">
        <v>253</v>
      </c>
      <c r="J869" s="3" t="s">
        <v>253</v>
      </c>
      <c r="K869" s="3" t="s">
        <v>253</v>
      </c>
      <c r="L869" s="3" t="s">
        <v>253</v>
      </c>
      <c r="M869" t="str">
        <f>IF(LEN(H869),MATCH(H869,'MPIO_SFIO Table'!$A$11:$A$65525,0)-1,"")</f>
        <v/>
      </c>
      <c r="N869" t="str">
        <f>IF(LEN(I869),MATCH(I869,'MPIO_SFIO Table'!$A$11:$A$65525,0)-1,"")</f>
        <v/>
      </c>
      <c r="O869" t="str">
        <f>IF(LEN(J869),MATCH(J869,'MPIO_SFIO Table'!$A$11:$A$65525,0)-1,"")</f>
        <v/>
      </c>
      <c r="P869" t="str">
        <f>IF(LEN(K869),MATCH(K869,'MPIO_SFIO Table'!$A$11:$A$65525,0)-1,"")</f>
        <v/>
      </c>
      <c r="Q869" t="str">
        <f>IF(LEN(L869),MATCH(L869,'MPIO_SFIO Table'!$A$11:$A$65525,0)-1,"")</f>
        <v/>
      </c>
      <c r="R869" t="str">
        <f ca="1">IF(ISNUMBER(M869),OFFSET('MPIO_SFIO Table'!$AJ$11,M869,0),"")</f>
        <v/>
      </c>
      <c r="S869" t="str">
        <f ca="1">IF(ISNUMBER(N869),OFFSET('MPIO_SFIO Table'!$AJ$11,N869,0),"")</f>
        <v/>
      </c>
      <c r="T869" t="str">
        <f ca="1">IF(ISNUMBER(O869),OFFSET('MPIO_SFIO Table'!$AJ$11,O869,0),"")</f>
        <v/>
      </c>
      <c r="U869" t="str">
        <f ca="1">IF(ISNUMBER(P869),OFFSET('MPIO_SFIO Table'!$AJ$11,P869,0),"")</f>
        <v/>
      </c>
      <c r="V869" t="str">
        <f ca="1">IF(ISNUMBER(Q869),OFFSET('MPIO_SFIO Table'!$AJ$11,Q869,0),"")</f>
        <v/>
      </c>
      <c r="W869">
        <f t="shared" ca="1" si="115"/>
        <v>0</v>
      </c>
      <c r="X869">
        <f t="shared" ca="1" si="116"/>
        <v>0</v>
      </c>
      <c r="Y869">
        <f t="shared" ca="1" si="117"/>
        <v>0</v>
      </c>
      <c r="Z869">
        <f t="shared" ca="1" si="118"/>
        <v>0</v>
      </c>
      <c r="AA869">
        <f t="shared" ca="1" si="119"/>
        <v>0</v>
      </c>
    </row>
    <row r="870" spans="1:27" x14ac:dyDescent="0.25">
      <c r="A870">
        <f t="shared" ca="1" si="112"/>
        <v>0</v>
      </c>
      <c r="B870" t="str">
        <f t="shared" ca="1" si="113"/>
        <v/>
      </c>
      <c r="C870" t="str">
        <f t="shared" si="114"/>
        <v/>
      </c>
      <c r="D870" t="s">
        <v>253</v>
      </c>
      <c r="E870" t="s">
        <v>253</v>
      </c>
      <c r="F870" s="3" t="s">
        <v>253</v>
      </c>
      <c r="G870" s="11" t="s">
        <v>253</v>
      </c>
      <c r="H870" s="11" t="s">
        <v>253</v>
      </c>
      <c r="I870" s="3" t="s">
        <v>253</v>
      </c>
      <c r="J870" s="3" t="s">
        <v>253</v>
      </c>
      <c r="K870" s="3" t="s">
        <v>253</v>
      </c>
      <c r="L870" s="3" t="s">
        <v>253</v>
      </c>
      <c r="M870" t="str">
        <f>IF(LEN(H870),MATCH(H870,'MPIO_SFIO Table'!$A$11:$A$65525,0)-1,"")</f>
        <v/>
      </c>
      <c r="N870" t="str">
        <f>IF(LEN(I870),MATCH(I870,'MPIO_SFIO Table'!$A$11:$A$65525,0)-1,"")</f>
        <v/>
      </c>
      <c r="O870" t="str">
        <f>IF(LEN(J870),MATCH(J870,'MPIO_SFIO Table'!$A$11:$A$65525,0)-1,"")</f>
        <v/>
      </c>
      <c r="P870" t="str">
        <f>IF(LEN(K870),MATCH(K870,'MPIO_SFIO Table'!$A$11:$A$65525,0)-1,"")</f>
        <v/>
      </c>
      <c r="Q870" t="str">
        <f>IF(LEN(L870),MATCH(L870,'MPIO_SFIO Table'!$A$11:$A$65525,0)-1,"")</f>
        <v/>
      </c>
      <c r="R870" t="str">
        <f ca="1">IF(ISNUMBER(M870),OFFSET('MPIO_SFIO Table'!$AJ$11,M870,0),"")</f>
        <v/>
      </c>
      <c r="S870" t="str">
        <f ca="1">IF(ISNUMBER(N870),OFFSET('MPIO_SFIO Table'!$AJ$11,N870,0),"")</f>
        <v/>
      </c>
      <c r="T870" t="str">
        <f ca="1">IF(ISNUMBER(O870),OFFSET('MPIO_SFIO Table'!$AJ$11,O870,0),"")</f>
        <v/>
      </c>
      <c r="U870" t="str">
        <f ca="1">IF(ISNUMBER(P870),OFFSET('MPIO_SFIO Table'!$AJ$11,P870,0),"")</f>
        <v/>
      </c>
      <c r="V870" t="str">
        <f ca="1">IF(ISNUMBER(Q870),OFFSET('MPIO_SFIO Table'!$AJ$11,Q870,0),"")</f>
        <v/>
      </c>
      <c r="W870">
        <f t="shared" ca="1" si="115"/>
        <v>0</v>
      </c>
      <c r="X870">
        <f t="shared" ca="1" si="116"/>
        <v>0</v>
      </c>
      <c r="Y870">
        <f t="shared" ca="1" si="117"/>
        <v>0</v>
      </c>
      <c r="Z870">
        <f t="shared" ca="1" si="118"/>
        <v>0</v>
      </c>
      <c r="AA870">
        <f t="shared" ca="1" si="119"/>
        <v>0</v>
      </c>
    </row>
    <row r="871" spans="1:27" x14ac:dyDescent="0.25">
      <c r="A871">
        <f t="shared" ca="1" si="112"/>
        <v>0</v>
      </c>
      <c r="B871" t="str">
        <f t="shared" ca="1" si="113"/>
        <v/>
      </c>
      <c r="C871" t="str">
        <f t="shared" si="114"/>
        <v/>
      </c>
      <c r="D871" t="s">
        <v>253</v>
      </c>
      <c r="E871" t="s">
        <v>253</v>
      </c>
      <c r="F871" s="3" t="s">
        <v>253</v>
      </c>
      <c r="G871" s="11" t="s">
        <v>253</v>
      </c>
      <c r="H871" s="11" t="s">
        <v>253</v>
      </c>
      <c r="I871" s="3" t="s">
        <v>253</v>
      </c>
      <c r="J871" s="3" t="s">
        <v>253</v>
      </c>
      <c r="K871" s="3" t="s">
        <v>253</v>
      </c>
      <c r="L871" s="3" t="s">
        <v>253</v>
      </c>
      <c r="M871" t="str">
        <f>IF(LEN(H871),MATCH(H871,'MPIO_SFIO Table'!$A$11:$A$65525,0)-1,"")</f>
        <v/>
      </c>
      <c r="N871" t="str">
        <f>IF(LEN(I871),MATCH(I871,'MPIO_SFIO Table'!$A$11:$A$65525,0)-1,"")</f>
        <v/>
      </c>
      <c r="O871" t="str">
        <f>IF(LEN(J871),MATCH(J871,'MPIO_SFIO Table'!$A$11:$A$65525,0)-1,"")</f>
        <v/>
      </c>
      <c r="P871" t="str">
        <f>IF(LEN(K871),MATCH(K871,'MPIO_SFIO Table'!$A$11:$A$65525,0)-1,"")</f>
        <v/>
      </c>
      <c r="Q871" t="str">
        <f>IF(LEN(L871),MATCH(L871,'MPIO_SFIO Table'!$A$11:$A$65525,0)-1,"")</f>
        <v/>
      </c>
      <c r="R871" t="str">
        <f ca="1">IF(ISNUMBER(M871),OFFSET('MPIO_SFIO Table'!$AJ$11,M871,0),"")</f>
        <v/>
      </c>
      <c r="S871" t="str">
        <f ca="1">IF(ISNUMBER(N871),OFFSET('MPIO_SFIO Table'!$AJ$11,N871,0),"")</f>
        <v/>
      </c>
      <c r="T871" t="str">
        <f ca="1">IF(ISNUMBER(O871),OFFSET('MPIO_SFIO Table'!$AJ$11,O871,0),"")</f>
        <v/>
      </c>
      <c r="U871" t="str">
        <f ca="1">IF(ISNUMBER(P871),OFFSET('MPIO_SFIO Table'!$AJ$11,P871,0),"")</f>
        <v/>
      </c>
      <c r="V871" t="str">
        <f ca="1">IF(ISNUMBER(Q871),OFFSET('MPIO_SFIO Table'!$AJ$11,Q871,0),"")</f>
        <v/>
      </c>
      <c r="W871">
        <f t="shared" ca="1" si="115"/>
        <v>0</v>
      </c>
      <c r="X871">
        <f t="shared" ca="1" si="116"/>
        <v>0</v>
      </c>
      <c r="Y871">
        <f t="shared" ca="1" si="117"/>
        <v>0</v>
      </c>
      <c r="Z871">
        <f t="shared" ca="1" si="118"/>
        <v>0</v>
      </c>
      <c r="AA871">
        <f t="shared" ca="1" si="119"/>
        <v>0</v>
      </c>
    </row>
    <row r="872" spans="1:27" x14ac:dyDescent="0.25">
      <c r="A872">
        <f t="shared" ca="1" si="112"/>
        <v>0</v>
      </c>
      <c r="B872" t="str">
        <f t="shared" ca="1" si="113"/>
        <v/>
      </c>
      <c r="C872" t="str">
        <f t="shared" si="114"/>
        <v/>
      </c>
      <c r="D872" t="s">
        <v>253</v>
      </c>
      <c r="E872" t="s">
        <v>253</v>
      </c>
      <c r="F872" s="3" t="s">
        <v>253</v>
      </c>
      <c r="G872" s="11" t="s">
        <v>253</v>
      </c>
      <c r="H872" s="11" t="s">
        <v>253</v>
      </c>
      <c r="I872" s="3" t="s">
        <v>253</v>
      </c>
      <c r="J872" s="3" t="s">
        <v>253</v>
      </c>
      <c r="K872" s="3" t="s">
        <v>253</v>
      </c>
      <c r="L872" s="3" t="s">
        <v>253</v>
      </c>
      <c r="M872" t="str">
        <f>IF(LEN(H872),MATCH(H872,'MPIO_SFIO Table'!$A$11:$A$65525,0)-1,"")</f>
        <v/>
      </c>
      <c r="N872" t="str">
        <f>IF(LEN(I872),MATCH(I872,'MPIO_SFIO Table'!$A$11:$A$65525,0)-1,"")</f>
        <v/>
      </c>
      <c r="O872" t="str">
        <f>IF(LEN(J872),MATCH(J872,'MPIO_SFIO Table'!$A$11:$A$65525,0)-1,"")</f>
        <v/>
      </c>
      <c r="P872" t="str">
        <f>IF(LEN(K872),MATCH(K872,'MPIO_SFIO Table'!$A$11:$A$65525,0)-1,"")</f>
        <v/>
      </c>
      <c r="Q872" t="str">
        <f>IF(LEN(L872),MATCH(L872,'MPIO_SFIO Table'!$A$11:$A$65525,0)-1,"")</f>
        <v/>
      </c>
      <c r="R872" t="str">
        <f ca="1">IF(ISNUMBER(M872),OFFSET('MPIO_SFIO Table'!$AJ$11,M872,0),"")</f>
        <v/>
      </c>
      <c r="S872" t="str">
        <f ca="1">IF(ISNUMBER(N872),OFFSET('MPIO_SFIO Table'!$AJ$11,N872,0),"")</f>
        <v/>
      </c>
      <c r="T872" t="str">
        <f ca="1">IF(ISNUMBER(O872),OFFSET('MPIO_SFIO Table'!$AJ$11,O872,0),"")</f>
        <v/>
      </c>
      <c r="U872" t="str">
        <f ca="1">IF(ISNUMBER(P872),OFFSET('MPIO_SFIO Table'!$AJ$11,P872,0),"")</f>
        <v/>
      </c>
      <c r="V872" t="str">
        <f ca="1">IF(ISNUMBER(Q872),OFFSET('MPIO_SFIO Table'!$AJ$11,Q872,0),"")</f>
        <v/>
      </c>
      <c r="W872">
        <f t="shared" ca="1" si="115"/>
        <v>0</v>
      </c>
      <c r="X872">
        <f t="shared" ca="1" si="116"/>
        <v>0</v>
      </c>
      <c r="Y872">
        <f t="shared" ca="1" si="117"/>
        <v>0</v>
      </c>
      <c r="Z872">
        <f t="shared" ca="1" si="118"/>
        <v>0</v>
      </c>
      <c r="AA872">
        <f t="shared" ca="1" si="119"/>
        <v>0</v>
      </c>
    </row>
    <row r="873" spans="1:27" x14ac:dyDescent="0.25">
      <c r="A873">
        <f t="shared" ca="1" si="112"/>
        <v>0</v>
      </c>
      <c r="B873" t="str">
        <f t="shared" ca="1" si="113"/>
        <v/>
      </c>
      <c r="C873" t="str">
        <f t="shared" si="114"/>
        <v/>
      </c>
      <c r="D873" t="s">
        <v>253</v>
      </c>
      <c r="E873" t="s">
        <v>253</v>
      </c>
      <c r="F873" s="3" t="s">
        <v>253</v>
      </c>
      <c r="G873" s="11" t="s">
        <v>253</v>
      </c>
      <c r="H873" s="11" t="s">
        <v>253</v>
      </c>
      <c r="I873" s="3" t="s">
        <v>253</v>
      </c>
      <c r="J873" s="3" t="s">
        <v>253</v>
      </c>
      <c r="K873" s="3" t="s">
        <v>253</v>
      </c>
      <c r="L873" s="3" t="s">
        <v>253</v>
      </c>
      <c r="M873" t="str">
        <f>IF(LEN(H873),MATCH(H873,'MPIO_SFIO Table'!$A$11:$A$65525,0)-1,"")</f>
        <v/>
      </c>
      <c r="N873" t="str">
        <f>IF(LEN(I873),MATCH(I873,'MPIO_SFIO Table'!$A$11:$A$65525,0)-1,"")</f>
        <v/>
      </c>
      <c r="O873" t="str">
        <f>IF(LEN(J873),MATCH(J873,'MPIO_SFIO Table'!$A$11:$A$65525,0)-1,"")</f>
        <v/>
      </c>
      <c r="P873" t="str">
        <f>IF(LEN(K873),MATCH(K873,'MPIO_SFIO Table'!$A$11:$A$65525,0)-1,"")</f>
        <v/>
      </c>
      <c r="Q873" t="str">
        <f>IF(LEN(L873),MATCH(L873,'MPIO_SFIO Table'!$A$11:$A$65525,0)-1,"")</f>
        <v/>
      </c>
      <c r="R873" t="str">
        <f ca="1">IF(ISNUMBER(M873),OFFSET('MPIO_SFIO Table'!$AJ$11,M873,0),"")</f>
        <v/>
      </c>
      <c r="S873" t="str">
        <f ca="1">IF(ISNUMBER(N873),OFFSET('MPIO_SFIO Table'!$AJ$11,N873,0),"")</f>
        <v/>
      </c>
      <c r="T873" t="str">
        <f ca="1">IF(ISNUMBER(O873),OFFSET('MPIO_SFIO Table'!$AJ$11,O873,0),"")</f>
        <v/>
      </c>
      <c r="U873" t="str">
        <f ca="1">IF(ISNUMBER(P873),OFFSET('MPIO_SFIO Table'!$AJ$11,P873,0),"")</f>
        <v/>
      </c>
      <c r="V873" t="str">
        <f ca="1">IF(ISNUMBER(Q873),OFFSET('MPIO_SFIO Table'!$AJ$11,Q873,0),"")</f>
        <v/>
      </c>
      <c r="W873">
        <f t="shared" ca="1" si="115"/>
        <v>0</v>
      </c>
      <c r="X873">
        <f t="shared" ca="1" si="116"/>
        <v>0</v>
      </c>
      <c r="Y873">
        <f t="shared" ca="1" si="117"/>
        <v>0</v>
      </c>
      <c r="Z873">
        <f t="shared" ca="1" si="118"/>
        <v>0</v>
      </c>
      <c r="AA873">
        <f t="shared" ca="1" si="119"/>
        <v>0</v>
      </c>
    </row>
    <row r="874" spans="1:27" x14ac:dyDescent="0.25">
      <c r="A874">
        <f t="shared" ca="1" si="112"/>
        <v>0</v>
      </c>
      <c r="B874" t="str">
        <f t="shared" ca="1" si="113"/>
        <v/>
      </c>
      <c r="C874" t="str">
        <f t="shared" si="114"/>
        <v/>
      </c>
      <c r="D874" t="s">
        <v>253</v>
      </c>
      <c r="E874" t="s">
        <v>253</v>
      </c>
      <c r="F874" s="3" t="s">
        <v>253</v>
      </c>
      <c r="G874" s="11" t="s">
        <v>253</v>
      </c>
      <c r="H874" s="11" t="s">
        <v>253</v>
      </c>
      <c r="I874" s="3" t="s">
        <v>253</v>
      </c>
      <c r="J874" s="3" t="s">
        <v>253</v>
      </c>
      <c r="K874" s="3" t="s">
        <v>253</v>
      </c>
      <c r="L874" s="3" t="s">
        <v>253</v>
      </c>
      <c r="M874" t="str">
        <f>IF(LEN(H874),MATCH(H874,'MPIO_SFIO Table'!$A$11:$A$65525,0)-1,"")</f>
        <v/>
      </c>
      <c r="N874" t="str">
        <f>IF(LEN(I874),MATCH(I874,'MPIO_SFIO Table'!$A$11:$A$65525,0)-1,"")</f>
        <v/>
      </c>
      <c r="O874" t="str">
        <f>IF(LEN(J874),MATCH(J874,'MPIO_SFIO Table'!$A$11:$A$65525,0)-1,"")</f>
        <v/>
      </c>
      <c r="P874" t="str">
        <f>IF(LEN(K874),MATCH(K874,'MPIO_SFIO Table'!$A$11:$A$65525,0)-1,"")</f>
        <v/>
      </c>
      <c r="Q874" t="str">
        <f>IF(LEN(L874),MATCH(L874,'MPIO_SFIO Table'!$A$11:$A$65525,0)-1,"")</f>
        <v/>
      </c>
      <c r="R874" t="str">
        <f ca="1">IF(ISNUMBER(M874),OFFSET('MPIO_SFIO Table'!$AJ$11,M874,0),"")</f>
        <v/>
      </c>
      <c r="S874" t="str">
        <f ca="1">IF(ISNUMBER(N874),OFFSET('MPIO_SFIO Table'!$AJ$11,N874,0),"")</f>
        <v/>
      </c>
      <c r="T874" t="str">
        <f ca="1">IF(ISNUMBER(O874),OFFSET('MPIO_SFIO Table'!$AJ$11,O874,0),"")</f>
        <v/>
      </c>
      <c r="U874" t="str">
        <f ca="1">IF(ISNUMBER(P874),OFFSET('MPIO_SFIO Table'!$AJ$11,P874,0),"")</f>
        <v/>
      </c>
      <c r="V874" t="str">
        <f ca="1">IF(ISNUMBER(Q874),OFFSET('MPIO_SFIO Table'!$AJ$11,Q874,0),"")</f>
        <v/>
      </c>
      <c r="W874">
        <f t="shared" ca="1" si="115"/>
        <v>0</v>
      </c>
      <c r="X874">
        <f t="shared" ca="1" si="116"/>
        <v>0</v>
      </c>
      <c r="Y874">
        <f t="shared" ca="1" si="117"/>
        <v>0</v>
      </c>
      <c r="Z874">
        <f t="shared" ca="1" si="118"/>
        <v>0</v>
      </c>
      <c r="AA874">
        <f t="shared" ca="1" si="119"/>
        <v>0</v>
      </c>
    </row>
    <row r="875" spans="1:27" x14ac:dyDescent="0.25">
      <c r="A875">
        <f t="shared" ca="1" si="112"/>
        <v>0</v>
      </c>
      <c r="B875" t="str">
        <f t="shared" ca="1" si="113"/>
        <v/>
      </c>
      <c r="C875" t="str">
        <f t="shared" si="114"/>
        <v/>
      </c>
      <c r="D875" t="s">
        <v>253</v>
      </c>
      <c r="E875" t="s">
        <v>253</v>
      </c>
      <c r="F875" s="3" t="s">
        <v>253</v>
      </c>
      <c r="G875" s="11" t="s">
        <v>253</v>
      </c>
      <c r="H875" s="11" t="s">
        <v>253</v>
      </c>
      <c r="I875" s="3" t="s">
        <v>253</v>
      </c>
      <c r="J875" s="3" t="s">
        <v>253</v>
      </c>
      <c r="K875" s="3" t="s">
        <v>253</v>
      </c>
      <c r="L875" s="3" t="s">
        <v>253</v>
      </c>
      <c r="M875" t="str">
        <f>IF(LEN(H875),MATCH(H875,'MPIO_SFIO Table'!$A$11:$A$65525,0)-1,"")</f>
        <v/>
      </c>
      <c r="N875" t="str">
        <f>IF(LEN(I875),MATCH(I875,'MPIO_SFIO Table'!$A$11:$A$65525,0)-1,"")</f>
        <v/>
      </c>
      <c r="O875" t="str">
        <f>IF(LEN(J875),MATCH(J875,'MPIO_SFIO Table'!$A$11:$A$65525,0)-1,"")</f>
        <v/>
      </c>
      <c r="P875" t="str">
        <f>IF(LEN(K875),MATCH(K875,'MPIO_SFIO Table'!$A$11:$A$65525,0)-1,"")</f>
        <v/>
      </c>
      <c r="Q875" t="str">
        <f>IF(LEN(L875),MATCH(L875,'MPIO_SFIO Table'!$A$11:$A$65525,0)-1,"")</f>
        <v/>
      </c>
      <c r="R875" t="str">
        <f ca="1">IF(ISNUMBER(M875),OFFSET('MPIO_SFIO Table'!$AJ$11,M875,0),"")</f>
        <v/>
      </c>
      <c r="S875" t="str">
        <f ca="1">IF(ISNUMBER(N875),OFFSET('MPIO_SFIO Table'!$AJ$11,N875,0),"")</f>
        <v/>
      </c>
      <c r="T875" t="str">
        <f ca="1">IF(ISNUMBER(O875),OFFSET('MPIO_SFIO Table'!$AJ$11,O875,0),"")</f>
        <v/>
      </c>
      <c r="U875" t="str">
        <f ca="1">IF(ISNUMBER(P875),OFFSET('MPIO_SFIO Table'!$AJ$11,P875,0),"")</f>
        <v/>
      </c>
      <c r="V875" t="str">
        <f ca="1">IF(ISNUMBER(Q875),OFFSET('MPIO_SFIO Table'!$AJ$11,Q875,0),"")</f>
        <v/>
      </c>
      <c r="W875">
        <f t="shared" ca="1" si="115"/>
        <v>0</v>
      </c>
      <c r="X875">
        <f t="shared" ca="1" si="116"/>
        <v>0</v>
      </c>
      <c r="Y875">
        <f t="shared" ca="1" si="117"/>
        <v>0</v>
      </c>
      <c r="Z875">
        <f t="shared" ca="1" si="118"/>
        <v>0</v>
      </c>
      <c r="AA875">
        <f t="shared" ca="1" si="119"/>
        <v>0</v>
      </c>
    </row>
    <row r="876" spans="1:27" x14ac:dyDescent="0.25">
      <c r="A876">
        <f t="shared" ca="1" si="112"/>
        <v>0</v>
      </c>
      <c r="B876" t="str">
        <f t="shared" ca="1" si="113"/>
        <v/>
      </c>
      <c r="C876" t="str">
        <f t="shared" si="114"/>
        <v/>
      </c>
      <c r="D876" t="s">
        <v>253</v>
      </c>
      <c r="E876" t="s">
        <v>253</v>
      </c>
      <c r="F876" s="3" t="s">
        <v>253</v>
      </c>
      <c r="G876" s="11" t="s">
        <v>253</v>
      </c>
      <c r="H876" s="11" t="s">
        <v>253</v>
      </c>
      <c r="I876" s="3" t="s">
        <v>253</v>
      </c>
      <c r="J876" s="3" t="s">
        <v>253</v>
      </c>
      <c r="K876" s="3" t="s">
        <v>253</v>
      </c>
      <c r="L876" s="3" t="s">
        <v>253</v>
      </c>
      <c r="M876" t="str">
        <f>IF(LEN(H876),MATCH(H876,'MPIO_SFIO Table'!$A$11:$A$65525,0)-1,"")</f>
        <v/>
      </c>
      <c r="N876" t="str">
        <f>IF(LEN(I876),MATCH(I876,'MPIO_SFIO Table'!$A$11:$A$65525,0)-1,"")</f>
        <v/>
      </c>
      <c r="O876" t="str">
        <f>IF(LEN(J876),MATCH(J876,'MPIO_SFIO Table'!$A$11:$A$65525,0)-1,"")</f>
        <v/>
      </c>
      <c r="P876" t="str">
        <f>IF(LEN(K876),MATCH(K876,'MPIO_SFIO Table'!$A$11:$A$65525,0)-1,"")</f>
        <v/>
      </c>
      <c r="Q876" t="str">
        <f>IF(LEN(L876),MATCH(L876,'MPIO_SFIO Table'!$A$11:$A$65525,0)-1,"")</f>
        <v/>
      </c>
      <c r="R876" t="str">
        <f ca="1">IF(ISNUMBER(M876),OFFSET('MPIO_SFIO Table'!$AJ$11,M876,0),"")</f>
        <v/>
      </c>
      <c r="S876" t="str">
        <f ca="1">IF(ISNUMBER(N876),OFFSET('MPIO_SFIO Table'!$AJ$11,N876,0),"")</f>
        <v/>
      </c>
      <c r="T876" t="str">
        <f ca="1">IF(ISNUMBER(O876),OFFSET('MPIO_SFIO Table'!$AJ$11,O876,0),"")</f>
        <v/>
      </c>
      <c r="U876" t="str">
        <f ca="1">IF(ISNUMBER(P876),OFFSET('MPIO_SFIO Table'!$AJ$11,P876,0),"")</f>
        <v/>
      </c>
      <c r="V876" t="str">
        <f ca="1">IF(ISNUMBER(Q876),OFFSET('MPIO_SFIO Table'!$AJ$11,Q876,0),"")</f>
        <v/>
      </c>
      <c r="W876">
        <f t="shared" ca="1" si="115"/>
        <v>0</v>
      </c>
      <c r="X876">
        <f t="shared" ca="1" si="116"/>
        <v>0</v>
      </c>
      <c r="Y876">
        <f t="shared" ca="1" si="117"/>
        <v>0</v>
      </c>
      <c r="Z876">
        <f t="shared" ca="1" si="118"/>
        <v>0</v>
      </c>
      <c r="AA876">
        <f t="shared" ca="1" si="119"/>
        <v>0</v>
      </c>
    </row>
    <row r="877" spans="1:27" x14ac:dyDescent="0.25">
      <c r="A877">
        <f t="shared" ca="1" si="112"/>
        <v>0</v>
      </c>
      <c r="B877" t="str">
        <f t="shared" ca="1" si="113"/>
        <v/>
      </c>
      <c r="C877" t="str">
        <f t="shared" si="114"/>
        <v/>
      </c>
      <c r="D877" t="s">
        <v>253</v>
      </c>
      <c r="E877" t="s">
        <v>253</v>
      </c>
      <c r="F877" s="3" t="s">
        <v>253</v>
      </c>
      <c r="G877" s="11" t="s">
        <v>253</v>
      </c>
      <c r="H877" s="11" t="s">
        <v>253</v>
      </c>
      <c r="I877" s="3" t="s">
        <v>253</v>
      </c>
      <c r="J877" s="3" t="s">
        <v>253</v>
      </c>
      <c r="K877" s="3" t="s">
        <v>253</v>
      </c>
      <c r="L877" s="3" t="s">
        <v>253</v>
      </c>
      <c r="M877" t="str">
        <f>IF(LEN(H877),MATCH(H877,'MPIO_SFIO Table'!$A$11:$A$65525,0)-1,"")</f>
        <v/>
      </c>
      <c r="N877" t="str">
        <f>IF(LEN(I877),MATCH(I877,'MPIO_SFIO Table'!$A$11:$A$65525,0)-1,"")</f>
        <v/>
      </c>
      <c r="O877" t="str">
        <f>IF(LEN(J877),MATCH(J877,'MPIO_SFIO Table'!$A$11:$A$65525,0)-1,"")</f>
        <v/>
      </c>
      <c r="P877" t="str">
        <f>IF(LEN(K877),MATCH(K877,'MPIO_SFIO Table'!$A$11:$A$65525,0)-1,"")</f>
        <v/>
      </c>
      <c r="Q877" t="str">
        <f>IF(LEN(L877),MATCH(L877,'MPIO_SFIO Table'!$A$11:$A$65525,0)-1,"")</f>
        <v/>
      </c>
      <c r="R877" t="str">
        <f ca="1">IF(ISNUMBER(M877),OFFSET('MPIO_SFIO Table'!$AJ$11,M877,0),"")</f>
        <v/>
      </c>
      <c r="S877" t="str">
        <f ca="1">IF(ISNUMBER(N877),OFFSET('MPIO_SFIO Table'!$AJ$11,N877,0),"")</f>
        <v/>
      </c>
      <c r="T877" t="str">
        <f ca="1">IF(ISNUMBER(O877),OFFSET('MPIO_SFIO Table'!$AJ$11,O877,0),"")</f>
        <v/>
      </c>
      <c r="U877" t="str">
        <f ca="1">IF(ISNUMBER(P877),OFFSET('MPIO_SFIO Table'!$AJ$11,P877,0),"")</f>
        <v/>
      </c>
      <c r="V877" t="str">
        <f ca="1">IF(ISNUMBER(Q877),OFFSET('MPIO_SFIO Table'!$AJ$11,Q877,0),"")</f>
        <v/>
      </c>
      <c r="W877">
        <f t="shared" ca="1" si="115"/>
        <v>0</v>
      </c>
      <c r="X877">
        <f t="shared" ca="1" si="116"/>
        <v>0</v>
      </c>
      <c r="Y877">
        <f t="shared" ca="1" si="117"/>
        <v>0</v>
      </c>
      <c r="Z877">
        <f t="shared" ca="1" si="118"/>
        <v>0</v>
      </c>
      <c r="AA877">
        <f t="shared" ca="1" si="119"/>
        <v>0</v>
      </c>
    </row>
    <row r="878" spans="1:27" x14ac:dyDescent="0.25">
      <c r="A878">
        <f t="shared" ca="1" si="112"/>
        <v>0</v>
      </c>
      <c r="B878" t="str">
        <f t="shared" ca="1" si="113"/>
        <v/>
      </c>
      <c r="C878" t="str">
        <f t="shared" si="114"/>
        <v/>
      </c>
      <c r="D878" t="s">
        <v>253</v>
      </c>
      <c r="E878" t="s">
        <v>253</v>
      </c>
      <c r="F878" s="3" t="s">
        <v>253</v>
      </c>
      <c r="G878" s="11" t="s">
        <v>253</v>
      </c>
      <c r="H878" s="11" t="s">
        <v>253</v>
      </c>
      <c r="I878" s="3" t="s">
        <v>253</v>
      </c>
      <c r="J878" s="3" t="s">
        <v>253</v>
      </c>
      <c r="K878" s="3" t="s">
        <v>253</v>
      </c>
      <c r="L878" s="3" t="s">
        <v>253</v>
      </c>
      <c r="M878" t="str">
        <f>IF(LEN(H878),MATCH(H878,'MPIO_SFIO Table'!$A$11:$A$65525,0)-1,"")</f>
        <v/>
      </c>
      <c r="N878" t="str">
        <f>IF(LEN(I878),MATCH(I878,'MPIO_SFIO Table'!$A$11:$A$65525,0)-1,"")</f>
        <v/>
      </c>
      <c r="O878" t="str">
        <f>IF(LEN(J878),MATCH(J878,'MPIO_SFIO Table'!$A$11:$A$65525,0)-1,"")</f>
        <v/>
      </c>
      <c r="P878" t="str">
        <f>IF(LEN(K878),MATCH(K878,'MPIO_SFIO Table'!$A$11:$A$65525,0)-1,"")</f>
        <v/>
      </c>
      <c r="Q878" t="str">
        <f>IF(LEN(L878),MATCH(L878,'MPIO_SFIO Table'!$A$11:$A$65525,0)-1,"")</f>
        <v/>
      </c>
      <c r="R878" t="str">
        <f ca="1">IF(ISNUMBER(M878),OFFSET('MPIO_SFIO Table'!$AJ$11,M878,0),"")</f>
        <v/>
      </c>
      <c r="S878" t="str">
        <f ca="1">IF(ISNUMBER(N878),OFFSET('MPIO_SFIO Table'!$AJ$11,N878,0),"")</f>
        <v/>
      </c>
      <c r="T878" t="str">
        <f ca="1">IF(ISNUMBER(O878),OFFSET('MPIO_SFIO Table'!$AJ$11,O878,0),"")</f>
        <v/>
      </c>
      <c r="U878" t="str">
        <f ca="1">IF(ISNUMBER(P878),OFFSET('MPIO_SFIO Table'!$AJ$11,P878,0),"")</f>
        <v/>
      </c>
      <c r="V878" t="str">
        <f ca="1">IF(ISNUMBER(Q878),OFFSET('MPIO_SFIO Table'!$AJ$11,Q878,0),"")</f>
        <v/>
      </c>
      <c r="W878">
        <f t="shared" ca="1" si="115"/>
        <v>0</v>
      </c>
      <c r="X878">
        <f t="shared" ca="1" si="116"/>
        <v>0</v>
      </c>
      <c r="Y878">
        <f t="shared" ca="1" si="117"/>
        <v>0</v>
      </c>
      <c r="Z878">
        <f t="shared" ca="1" si="118"/>
        <v>0</v>
      </c>
      <c r="AA878">
        <f t="shared" ca="1" si="119"/>
        <v>0</v>
      </c>
    </row>
    <row r="879" spans="1:27" x14ac:dyDescent="0.25">
      <c r="A879">
        <f t="shared" ca="1" si="112"/>
        <v>0</v>
      </c>
      <c r="B879" t="str">
        <f t="shared" ca="1" si="113"/>
        <v/>
      </c>
      <c r="C879" t="str">
        <f t="shared" si="114"/>
        <v/>
      </c>
      <c r="D879" t="s">
        <v>253</v>
      </c>
      <c r="E879" t="s">
        <v>253</v>
      </c>
      <c r="F879" s="3" t="s">
        <v>253</v>
      </c>
      <c r="G879" s="11" t="s">
        <v>253</v>
      </c>
      <c r="H879" s="11" t="s">
        <v>253</v>
      </c>
      <c r="I879" s="3" t="s">
        <v>253</v>
      </c>
      <c r="J879" s="3" t="s">
        <v>253</v>
      </c>
      <c r="K879" s="3" t="s">
        <v>253</v>
      </c>
      <c r="L879" s="3" t="s">
        <v>253</v>
      </c>
      <c r="M879" t="str">
        <f>IF(LEN(H879),MATCH(H879,'MPIO_SFIO Table'!$A$11:$A$65525,0)-1,"")</f>
        <v/>
      </c>
      <c r="N879" t="str">
        <f>IF(LEN(I879),MATCH(I879,'MPIO_SFIO Table'!$A$11:$A$65525,0)-1,"")</f>
        <v/>
      </c>
      <c r="O879" t="str">
        <f>IF(LEN(J879),MATCH(J879,'MPIO_SFIO Table'!$A$11:$A$65525,0)-1,"")</f>
        <v/>
      </c>
      <c r="P879" t="str">
        <f>IF(LEN(K879),MATCH(K879,'MPIO_SFIO Table'!$A$11:$A$65525,0)-1,"")</f>
        <v/>
      </c>
      <c r="Q879" t="str">
        <f>IF(LEN(L879),MATCH(L879,'MPIO_SFIO Table'!$A$11:$A$65525,0)-1,"")</f>
        <v/>
      </c>
      <c r="R879" t="str">
        <f ca="1">IF(ISNUMBER(M879),OFFSET('MPIO_SFIO Table'!$AJ$11,M879,0),"")</f>
        <v/>
      </c>
      <c r="S879" t="str">
        <f ca="1">IF(ISNUMBER(N879),OFFSET('MPIO_SFIO Table'!$AJ$11,N879,0),"")</f>
        <v/>
      </c>
      <c r="T879" t="str">
        <f ca="1">IF(ISNUMBER(O879),OFFSET('MPIO_SFIO Table'!$AJ$11,O879,0),"")</f>
        <v/>
      </c>
      <c r="U879" t="str">
        <f ca="1">IF(ISNUMBER(P879),OFFSET('MPIO_SFIO Table'!$AJ$11,P879,0),"")</f>
        <v/>
      </c>
      <c r="V879" t="str">
        <f ca="1">IF(ISNUMBER(Q879),OFFSET('MPIO_SFIO Table'!$AJ$11,Q879,0),"")</f>
        <v/>
      </c>
      <c r="W879">
        <f t="shared" ca="1" si="115"/>
        <v>0</v>
      </c>
      <c r="X879">
        <f t="shared" ca="1" si="116"/>
        <v>0</v>
      </c>
      <c r="Y879">
        <f t="shared" ca="1" si="117"/>
        <v>0</v>
      </c>
      <c r="Z879">
        <f t="shared" ca="1" si="118"/>
        <v>0</v>
      </c>
      <c r="AA879">
        <f t="shared" ca="1" si="119"/>
        <v>0</v>
      </c>
    </row>
    <row r="880" spans="1:27" x14ac:dyDescent="0.25">
      <c r="A880">
        <f t="shared" ca="1" si="112"/>
        <v>0</v>
      </c>
      <c r="B880" t="str">
        <f t="shared" ca="1" si="113"/>
        <v/>
      </c>
      <c r="C880" t="str">
        <f t="shared" si="114"/>
        <v/>
      </c>
      <c r="D880" t="s">
        <v>253</v>
      </c>
      <c r="E880" t="s">
        <v>253</v>
      </c>
      <c r="F880" s="3" t="s">
        <v>253</v>
      </c>
      <c r="G880" s="11" t="s">
        <v>253</v>
      </c>
      <c r="H880" s="11" t="s">
        <v>253</v>
      </c>
      <c r="I880" s="3" t="s">
        <v>253</v>
      </c>
      <c r="J880" s="3" t="s">
        <v>253</v>
      </c>
      <c r="K880" s="3" t="s">
        <v>253</v>
      </c>
      <c r="L880" s="3" t="s">
        <v>253</v>
      </c>
      <c r="M880" t="str">
        <f>IF(LEN(H880),MATCH(H880,'MPIO_SFIO Table'!$A$11:$A$65525,0)-1,"")</f>
        <v/>
      </c>
      <c r="N880" t="str">
        <f>IF(LEN(I880),MATCH(I880,'MPIO_SFIO Table'!$A$11:$A$65525,0)-1,"")</f>
        <v/>
      </c>
      <c r="O880" t="str">
        <f>IF(LEN(J880),MATCH(J880,'MPIO_SFIO Table'!$A$11:$A$65525,0)-1,"")</f>
        <v/>
      </c>
      <c r="P880" t="str">
        <f>IF(LEN(K880),MATCH(K880,'MPIO_SFIO Table'!$A$11:$A$65525,0)-1,"")</f>
        <v/>
      </c>
      <c r="Q880" t="str">
        <f>IF(LEN(L880),MATCH(L880,'MPIO_SFIO Table'!$A$11:$A$65525,0)-1,"")</f>
        <v/>
      </c>
      <c r="R880" t="str">
        <f ca="1">IF(ISNUMBER(M880),OFFSET('MPIO_SFIO Table'!$AJ$11,M880,0),"")</f>
        <v/>
      </c>
      <c r="S880" t="str">
        <f ca="1">IF(ISNUMBER(N880),OFFSET('MPIO_SFIO Table'!$AJ$11,N880,0),"")</f>
        <v/>
      </c>
      <c r="T880" t="str">
        <f ca="1">IF(ISNUMBER(O880),OFFSET('MPIO_SFIO Table'!$AJ$11,O880,0),"")</f>
        <v/>
      </c>
      <c r="U880" t="str">
        <f ca="1">IF(ISNUMBER(P880),OFFSET('MPIO_SFIO Table'!$AJ$11,P880,0),"")</f>
        <v/>
      </c>
      <c r="V880" t="str">
        <f ca="1">IF(ISNUMBER(Q880),OFFSET('MPIO_SFIO Table'!$AJ$11,Q880,0),"")</f>
        <v/>
      </c>
      <c r="W880">
        <f t="shared" ca="1" si="115"/>
        <v>0</v>
      </c>
      <c r="X880">
        <f t="shared" ca="1" si="116"/>
        <v>0</v>
      </c>
      <c r="Y880">
        <f t="shared" ca="1" si="117"/>
        <v>0</v>
      </c>
      <c r="Z880">
        <f t="shared" ca="1" si="118"/>
        <v>0</v>
      </c>
      <c r="AA880">
        <f t="shared" ca="1" si="119"/>
        <v>0</v>
      </c>
    </row>
    <row r="881" spans="1:27" x14ac:dyDescent="0.25">
      <c r="A881">
        <f t="shared" ca="1" si="112"/>
        <v>0</v>
      </c>
      <c r="B881" t="str">
        <f t="shared" ca="1" si="113"/>
        <v/>
      </c>
      <c r="C881" t="str">
        <f t="shared" si="114"/>
        <v/>
      </c>
      <c r="D881" t="s">
        <v>253</v>
      </c>
      <c r="E881" t="s">
        <v>253</v>
      </c>
      <c r="F881" s="3" t="s">
        <v>253</v>
      </c>
      <c r="G881" s="11" t="s">
        <v>253</v>
      </c>
      <c r="H881" s="11" t="s">
        <v>253</v>
      </c>
      <c r="I881" s="3" t="s">
        <v>253</v>
      </c>
      <c r="J881" s="3" t="s">
        <v>253</v>
      </c>
      <c r="K881" s="3" t="s">
        <v>253</v>
      </c>
      <c r="L881" s="3" t="s">
        <v>253</v>
      </c>
      <c r="M881" t="str">
        <f>IF(LEN(H881),MATCH(H881,'MPIO_SFIO Table'!$A$11:$A$65525,0)-1,"")</f>
        <v/>
      </c>
      <c r="N881" t="str">
        <f>IF(LEN(I881),MATCH(I881,'MPIO_SFIO Table'!$A$11:$A$65525,0)-1,"")</f>
        <v/>
      </c>
      <c r="O881" t="str">
        <f>IF(LEN(J881),MATCH(J881,'MPIO_SFIO Table'!$A$11:$A$65525,0)-1,"")</f>
        <v/>
      </c>
      <c r="P881" t="str">
        <f>IF(LEN(K881),MATCH(K881,'MPIO_SFIO Table'!$A$11:$A$65525,0)-1,"")</f>
        <v/>
      </c>
      <c r="Q881" t="str">
        <f>IF(LEN(L881),MATCH(L881,'MPIO_SFIO Table'!$A$11:$A$65525,0)-1,"")</f>
        <v/>
      </c>
      <c r="R881" t="str">
        <f ca="1">IF(ISNUMBER(M881),OFFSET('MPIO_SFIO Table'!$AJ$11,M881,0),"")</f>
        <v/>
      </c>
      <c r="S881" t="str">
        <f ca="1">IF(ISNUMBER(N881),OFFSET('MPIO_SFIO Table'!$AJ$11,N881,0),"")</f>
        <v/>
      </c>
      <c r="T881" t="str">
        <f ca="1">IF(ISNUMBER(O881),OFFSET('MPIO_SFIO Table'!$AJ$11,O881,0),"")</f>
        <v/>
      </c>
      <c r="U881" t="str">
        <f ca="1">IF(ISNUMBER(P881),OFFSET('MPIO_SFIO Table'!$AJ$11,P881,0),"")</f>
        <v/>
      </c>
      <c r="V881" t="str">
        <f ca="1">IF(ISNUMBER(Q881),OFFSET('MPIO_SFIO Table'!$AJ$11,Q881,0),"")</f>
        <v/>
      </c>
      <c r="W881">
        <f t="shared" ca="1" si="115"/>
        <v>0</v>
      </c>
      <c r="X881">
        <f t="shared" ca="1" si="116"/>
        <v>0</v>
      </c>
      <c r="Y881">
        <f t="shared" ca="1" si="117"/>
        <v>0</v>
      </c>
      <c r="Z881">
        <f t="shared" ca="1" si="118"/>
        <v>0</v>
      </c>
      <c r="AA881">
        <f t="shared" ca="1" si="119"/>
        <v>0</v>
      </c>
    </row>
    <row r="882" spans="1:27" x14ac:dyDescent="0.25">
      <c r="A882">
        <f t="shared" ca="1" si="112"/>
        <v>0</v>
      </c>
      <c r="B882" t="str">
        <f t="shared" ca="1" si="113"/>
        <v/>
      </c>
      <c r="C882" t="str">
        <f t="shared" si="114"/>
        <v/>
      </c>
      <c r="D882" t="s">
        <v>253</v>
      </c>
      <c r="E882" t="s">
        <v>253</v>
      </c>
      <c r="F882" s="3" t="s">
        <v>253</v>
      </c>
      <c r="G882" s="11" t="s">
        <v>253</v>
      </c>
      <c r="H882" s="11" t="s">
        <v>253</v>
      </c>
      <c r="I882" s="3" t="s">
        <v>253</v>
      </c>
      <c r="J882" s="3" t="s">
        <v>253</v>
      </c>
      <c r="K882" s="3" t="s">
        <v>253</v>
      </c>
      <c r="L882" s="3" t="s">
        <v>253</v>
      </c>
      <c r="M882" t="str">
        <f>IF(LEN(H882),MATCH(H882,'MPIO_SFIO Table'!$A$11:$A$65525,0)-1,"")</f>
        <v/>
      </c>
      <c r="N882" t="str">
        <f>IF(LEN(I882),MATCH(I882,'MPIO_SFIO Table'!$A$11:$A$65525,0)-1,"")</f>
        <v/>
      </c>
      <c r="O882" t="str">
        <f>IF(LEN(J882),MATCH(J882,'MPIO_SFIO Table'!$A$11:$A$65525,0)-1,"")</f>
        <v/>
      </c>
      <c r="P882" t="str">
        <f>IF(LEN(K882),MATCH(K882,'MPIO_SFIO Table'!$A$11:$A$65525,0)-1,"")</f>
        <v/>
      </c>
      <c r="Q882" t="str">
        <f>IF(LEN(L882),MATCH(L882,'MPIO_SFIO Table'!$A$11:$A$65525,0)-1,"")</f>
        <v/>
      </c>
      <c r="R882" t="str">
        <f ca="1">IF(ISNUMBER(M882),OFFSET('MPIO_SFIO Table'!$AJ$11,M882,0),"")</f>
        <v/>
      </c>
      <c r="S882" t="str">
        <f ca="1">IF(ISNUMBER(N882),OFFSET('MPIO_SFIO Table'!$AJ$11,N882,0),"")</f>
        <v/>
      </c>
      <c r="T882" t="str">
        <f ca="1">IF(ISNUMBER(O882),OFFSET('MPIO_SFIO Table'!$AJ$11,O882,0),"")</f>
        <v/>
      </c>
      <c r="U882" t="str">
        <f ca="1">IF(ISNUMBER(P882),OFFSET('MPIO_SFIO Table'!$AJ$11,P882,0),"")</f>
        <v/>
      </c>
      <c r="V882" t="str">
        <f ca="1">IF(ISNUMBER(Q882),OFFSET('MPIO_SFIO Table'!$AJ$11,Q882,0),"")</f>
        <v/>
      </c>
      <c r="W882">
        <f t="shared" ca="1" si="115"/>
        <v>0</v>
      </c>
      <c r="X882">
        <f t="shared" ca="1" si="116"/>
        <v>0</v>
      </c>
      <c r="Y882">
        <f t="shared" ca="1" si="117"/>
        <v>0</v>
      </c>
      <c r="Z882">
        <f t="shared" ca="1" si="118"/>
        <v>0</v>
      </c>
      <c r="AA882">
        <f t="shared" ca="1" si="119"/>
        <v>0</v>
      </c>
    </row>
    <row r="883" spans="1:27" x14ac:dyDescent="0.25">
      <c r="A883">
        <f t="shared" ca="1" si="112"/>
        <v>0</v>
      </c>
      <c r="B883" t="str">
        <f t="shared" ca="1" si="113"/>
        <v/>
      </c>
      <c r="C883" t="str">
        <f t="shared" si="114"/>
        <v/>
      </c>
      <c r="D883" t="s">
        <v>253</v>
      </c>
      <c r="E883" t="s">
        <v>253</v>
      </c>
      <c r="F883" s="3" t="s">
        <v>253</v>
      </c>
      <c r="G883" s="11" t="s">
        <v>253</v>
      </c>
      <c r="H883" s="11" t="s">
        <v>253</v>
      </c>
      <c r="I883" s="3" t="s">
        <v>253</v>
      </c>
      <c r="J883" s="3" t="s">
        <v>253</v>
      </c>
      <c r="K883" s="3" t="s">
        <v>253</v>
      </c>
      <c r="L883" s="3" t="s">
        <v>253</v>
      </c>
      <c r="M883" t="str">
        <f>IF(LEN(H883),MATCH(H883,'MPIO_SFIO Table'!$A$11:$A$65525,0)-1,"")</f>
        <v/>
      </c>
      <c r="N883" t="str">
        <f>IF(LEN(I883),MATCH(I883,'MPIO_SFIO Table'!$A$11:$A$65525,0)-1,"")</f>
        <v/>
      </c>
      <c r="O883" t="str">
        <f>IF(LEN(J883),MATCH(J883,'MPIO_SFIO Table'!$A$11:$A$65525,0)-1,"")</f>
        <v/>
      </c>
      <c r="P883" t="str">
        <f>IF(LEN(K883),MATCH(K883,'MPIO_SFIO Table'!$A$11:$A$65525,0)-1,"")</f>
        <v/>
      </c>
      <c r="Q883" t="str">
        <f>IF(LEN(L883),MATCH(L883,'MPIO_SFIO Table'!$A$11:$A$65525,0)-1,"")</f>
        <v/>
      </c>
      <c r="R883" t="str">
        <f ca="1">IF(ISNUMBER(M883),OFFSET('MPIO_SFIO Table'!$AJ$11,M883,0),"")</f>
        <v/>
      </c>
      <c r="S883" t="str">
        <f ca="1">IF(ISNUMBER(N883),OFFSET('MPIO_SFIO Table'!$AJ$11,N883,0),"")</f>
        <v/>
      </c>
      <c r="T883" t="str">
        <f ca="1">IF(ISNUMBER(O883),OFFSET('MPIO_SFIO Table'!$AJ$11,O883,0),"")</f>
        <v/>
      </c>
      <c r="U883" t="str">
        <f ca="1">IF(ISNUMBER(P883),OFFSET('MPIO_SFIO Table'!$AJ$11,P883,0),"")</f>
        <v/>
      </c>
      <c r="V883" t="str">
        <f ca="1">IF(ISNUMBER(Q883),OFFSET('MPIO_SFIO Table'!$AJ$11,Q883,0),"")</f>
        <v/>
      </c>
      <c r="W883">
        <f t="shared" ca="1" si="115"/>
        <v>0</v>
      </c>
      <c r="X883">
        <f t="shared" ca="1" si="116"/>
        <v>0</v>
      </c>
      <c r="Y883">
        <f t="shared" ca="1" si="117"/>
        <v>0</v>
      </c>
      <c r="Z883">
        <f t="shared" ca="1" si="118"/>
        <v>0</v>
      </c>
      <c r="AA883">
        <f t="shared" ca="1" si="119"/>
        <v>0</v>
      </c>
    </row>
    <row r="884" spans="1:27" x14ac:dyDescent="0.25">
      <c r="A884">
        <f t="shared" ca="1" si="112"/>
        <v>0</v>
      </c>
      <c r="B884" t="str">
        <f t="shared" ca="1" si="113"/>
        <v/>
      </c>
      <c r="C884" t="str">
        <f t="shared" si="114"/>
        <v/>
      </c>
      <c r="D884" t="s">
        <v>253</v>
      </c>
      <c r="E884" t="s">
        <v>253</v>
      </c>
      <c r="F884" s="3" t="s">
        <v>253</v>
      </c>
      <c r="G884" s="11" t="s">
        <v>253</v>
      </c>
      <c r="H884" s="11" t="s">
        <v>253</v>
      </c>
      <c r="I884" s="3" t="s">
        <v>253</v>
      </c>
      <c r="J884" s="3" t="s">
        <v>253</v>
      </c>
      <c r="K884" s="3" t="s">
        <v>253</v>
      </c>
      <c r="L884" s="3" t="s">
        <v>253</v>
      </c>
      <c r="M884" t="str">
        <f>IF(LEN(H884),MATCH(H884,'MPIO_SFIO Table'!$A$11:$A$65525,0)-1,"")</f>
        <v/>
      </c>
      <c r="N884" t="str">
        <f>IF(LEN(I884),MATCH(I884,'MPIO_SFIO Table'!$A$11:$A$65525,0)-1,"")</f>
        <v/>
      </c>
      <c r="O884" t="str">
        <f>IF(LEN(J884),MATCH(J884,'MPIO_SFIO Table'!$A$11:$A$65525,0)-1,"")</f>
        <v/>
      </c>
      <c r="P884" t="str">
        <f>IF(LEN(K884),MATCH(K884,'MPIO_SFIO Table'!$A$11:$A$65525,0)-1,"")</f>
        <v/>
      </c>
      <c r="Q884" t="str">
        <f>IF(LEN(L884),MATCH(L884,'MPIO_SFIO Table'!$A$11:$A$65525,0)-1,"")</f>
        <v/>
      </c>
      <c r="R884" t="str">
        <f ca="1">IF(ISNUMBER(M884),OFFSET('MPIO_SFIO Table'!$AJ$11,M884,0),"")</f>
        <v/>
      </c>
      <c r="S884" t="str">
        <f ca="1">IF(ISNUMBER(N884),OFFSET('MPIO_SFIO Table'!$AJ$11,N884,0),"")</f>
        <v/>
      </c>
      <c r="T884" t="str">
        <f ca="1">IF(ISNUMBER(O884),OFFSET('MPIO_SFIO Table'!$AJ$11,O884,0),"")</f>
        <v/>
      </c>
      <c r="U884" t="str">
        <f ca="1">IF(ISNUMBER(P884),OFFSET('MPIO_SFIO Table'!$AJ$11,P884,0),"")</f>
        <v/>
      </c>
      <c r="V884" t="str">
        <f ca="1">IF(ISNUMBER(Q884),OFFSET('MPIO_SFIO Table'!$AJ$11,Q884,0),"")</f>
        <v/>
      </c>
      <c r="W884">
        <f t="shared" ca="1" si="115"/>
        <v>0</v>
      </c>
      <c r="X884">
        <f t="shared" ca="1" si="116"/>
        <v>0</v>
      </c>
      <c r="Y884">
        <f t="shared" ca="1" si="117"/>
        <v>0</v>
      </c>
      <c r="Z884">
        <f t="shared" ca="1" si="118"/>
        <v>0</v>
      </c>
      <c r="AA884">
        <f t="shared" ca="1" si="119"/>
        <v>0</v>
      </c>
    </row>
    <row r="885" spans="1:27" x14ac:dyDescent="0.25">
      <c r="A885">
        <f t="shared" ca="1" si="112"/>
        <v>0</v>
      </c>
      <c r="B885" t="str">
        <f t="shared" ca="1" si="113"/>
        <v/>
      </c>
      <c r="C885" t="str">
        <f t="shared" si="114"/>
        <v/>
      </c>
      <c r="D885" t="s">
        <v>253</v>
      </c>
      <c r="E885" t="s">
        <v>253</v>
      </c>
      <c r="F885" s="3" t="s">
        <v>253</v>
      </c>
      <c r="G885" s="11" t="s">
        <v>253</v>
      </c>
      <c r="H885" s="11" t="s">
        <v>253</v>
      </c>
      <c r="I885" s="3" t="s">
        <v>253</v>
      </c>
      <c r="J885" s="3" t="s">
        <v>253</v>
      </c>
      <c r="K885" s="3" t="s">
        <v>253</v>
      </c>
      <c r="L885" s="3" t="s">
        <v>253</v>
      </c>
      <c r="M885" t="str">
        <f>IF(LEN(H885),MATCH(H885,'MPIO_SFIO Table'!$A$11:$A$65525,0)-1,"")</f>
        <v/>
      </c>
      <c r="N885" t="str">
        <f>IF(LEN(I885),MATCH(I885,'MPIO_SFIO Table'!$A$11:$A$65525,0)-1,"")</f>
        <v/>
      </c>
      <c r="O885" t="str">
        <f>IF(LEN(J885),MATCH(J885,'MPIO_SFIO Table'!$A$11:$A$65525,0)-1,"")</f>
        <v/>
      </c>
      <c r="P885" t="str">
        <f>IF(LEN(K885),MATCH(K885,'MPIO_SFIO Table'!$A$11:$A$65525,0)-1,"")</f>
        <v/>
      </c>
      <c r="Q885" t="str">
        <f>IF(LEN(L885),MATCH(L885,'MPIO_SFIO Table'!$A$11:$A$65525,0)-1,"")</f>
        <v/>
      </c>
      <c r="R885" t="str">
        <f ca="1">IF(ISNUMBER(M885),OFFSET('MPIO_SFIO Table'!$AJ$11,M885,0),"")</f>
        <v/>
      </c>
      <c r="S885" t="str">
        <f ca="1">IF(ISNUMBER(N885),OFFSET('MPIO_SFIO Table'!$AJ$11,N885,0),"")</f>
        <v/>
      </c>
      <c r="T885" t="str">
        <f ca="1">IF(ISNUMBER(O885),OFFSET('MPIO_SFIO Table'!$AJ$11,O885,0),"")</f>
        <v/>
      </c>
      <c r="U885" t="str">
        <f ca="1">IF(ISNUMBER(P885),OFFSET('MPIO_SFIO Table'!$AJ$11,P885,0),"")</f>
        <v/>
      </c>
      <c r="V885" t="str">
        <f ca="1">IF(ISNUMBER(Q885),OFFSET('MPIO_SFIO Table'!$AJ$11,Q885,0),"")</f>
        <v/>
      </c>
      <c r="W885">
        <f t="shared" ca="1" si="115"/>
        <v>0</v>
      </c>
      <c r="X885">
        <f t="shared" ca="1" si="116"/>
        <v>0</v>
      </c>
      <c r="Y885">
        <f t="shared" ca="1" si="117"/>
        <v>0</v>
      </c>
      <c r="Z885">
        <f t="shared" ca="1" si="118"/>
        <v>0</v>
      </c>
      <c r="AA885">
        <f t="shared" ca="1" si="119"/>
        <v>0</v>
      </c>
    </row>
    <row r="886" spans="1:27" x14ac:dyDescent="0.25">
      <c r="A886">
        <f t="shared" ca="1" si="112"/>
        <v>0</v>
      </c>
      <c r="B886" t="str">
        <f t="shared" ca="1" si="113"/>
        <v/>
      </c>
      <c r="C886" t="str">
        <f t="shared" si="114"/>
        <v/>
      </c>
      <c r="D886" t="s">
        <v>253</v>
      </c>
      <c r="E886" t="s">
        <v>253</v>
      </c>
      <c r="F886" s="3" t="s">
        <v>253</v>
      </c>
      <c r="G886" s="11" t="s">
        <v>253</v>
      </c>
      <c r="H886" s="11" t="s">
        <v>253</v>
      </c>
      <c r="I886" s="3" t="s">
        <v>253</v>
      </c>
      <c r="J886" s="3" t="s">
        <v>253</v>
      </c>
      <c r="K886" s="3" t="s">
        <v>253</v>
      </c>
      <c r="L886" s="3" t="s">
        <v>253</v>
      </c>
      <c r="M886" t="str">
        <f>IF(LEN(H886),MATCH(H886,'MPIO_SFIO Table'!$A$11:$A$65525,0)-1,"")</f>
        <v/>
      </c>
      <c r="N886" t="str">
        <f>IF(LEN(I886),MATCH(I886,'MPIO_SFIO Table'!$A$11:$A$65525,0)-1,"")</f>
        <v/>
      </c>
      <c r="O886" t="str">
        <f>IF(LEN(J886),MATCH(J886,'MPIO_SFIO Table'!$A$11:$A$65525,0)-1,"")</f>
        <v/>
      </c>
      <c r="P886" t="str">
        <f>IF(LEN(K886),MATCH(K886,'MPIO_SFIO Table'!$A$11:$A$65525,0)-1,"")</f>
        <v/>
      </c>
      <c r="Q886" t="str">
        <f>IF(LEN(L886),MATCH(L886,'MPIO_SFIO Table'!$A$11:$A$65525,0)-1,"")</f>
        <v/>
      </c>
      <c r="R886" t="str">
        <f ca="1">IF(ISNUMBER(M886),OFFSET('MPIO_SFIO Table'!$AJ$11,M886,0),"")</f>
        <v/>
      </c>
      <c r="S886" t="str">
        <f ca="1">IF(ISNUMBER(N886),OFFSET('MPIO_SFIO Table'!$AJ$11,N886,0),"")</f>
        <v/>
      </c>
      <c r="T886" t="str">
        <f ca="1">IF(ISNUMBER(O886),OFFSET('MPIO_SFIO Table'!$AJ$11,O886,0),"")</f>
        <v/>
      </c>
      <c r="U886" t="str">
        <f ca="1">IF(ISNUMBER(P886),OFFSET('MPIO_SFIO Table'!$AJ$11,P886,0),"")</f>
        <v/>
      </c>
      <c r="V886" t="str">
        <f ca="1">IF(ISNUMBER(Q886),OFFSET('MPIO_SFIO Table'!$AJ$11,Q886,0),"")</f>
        <v/>
      </c>
      <c r="W886">
        <f t="shared" ca="1" si="115"/>
        <v>0</v>
      </c>
      <c r="X886">
        <f t="shared" ca="1" si="116"/>
        <v>0</v>
      </c>
      <c r="Y886">
        <f t="shared" ca="1" si="117"/>
        <v>0</v>
      </c>
      <c r="Z886">
        <f t="shared" ca="1" si="118"/>
        <v>0</v>
      </c>
      <c r="AA886">
        <f t="shared" ca="1" si="119"/>
        <v>0</v>
      </c>
    </row>
    <row r="887" spans="1:27" x14ac:dyDescent="0.25">
      <c r="A887">
        <f t="shared" ca="1" si="112"/>
        <v>0</v>
      </c>
      <c r="B887" t="str">
        <f t="shared" ca="1" si="113"/>
        <v/>
      </c>
      <c r="C887" t="str">
        <f t="shared" si="114"/>
        <v/>
      </c>
      <c r="D887" t="s">
        <v>253</v>
      </c>
      <c r="E887" t="s">
        <v>253</v>
      </c>
      <c r="F887" s="3" t="s">
        <v>253</v>
      </c>
      <c r="G887" s="11" t="s">
        <v>253</v>
      </c>
      <c r="H887" s="11" t="s">
        <v>253</v>
      </c>
      <c r="I887" s="3" t="s">
        <v>253</v>
      </c>
      <c r="J887" s="3" t="s">
        <v>253</v>
      </c>
      <c r="K887" s="3" t="s">
        <v>253</v>
      </c>
      <c r="L887" s="3" t="s">
        <v>253</v>
      </c>
      <c r="M887" t="str">
        <f>IF(LEN(H887),MATCH(H887,'MPIO_SFIO Table'!$A$11:$A$65525,0)-1,"")</f>
        <v/>
      </c>
      <c r="N887" t="str">
        <f>IF(LEN(I887),MATCH(I887,'MPIO_SFIO Table'!$A$11:$A$65525,0)-1,"")</f>
        <v/>
      </c>
      <c r="O887" t="str">
        <f>IF(LEN(J887),MATCH(J887,'MPIO_SFIO Table'!$A$11:$A$65525,0)-1,"")</f>
        <v/>
      </c>
      <c r="P887" t="str">
        <f>IF(LEN(K887),MATCH(K887,'MPIO_SFIO Table'!$A$11:$A$65525,0)-1,"")</f>
        <v/>
      </c>
      <c r="Q887" t="str">
        <f>IF(LEN(L887),MATCH(L887,'MPIO_SFIO Table'!$A$11:$A$65525,0)-1,"")</f>
        <v/>
      </c>
      <c r="R887" t="str">
        <f ca="1">IF(ISNUMBER(M887),OFFSET('MPIO_SFIO Table'!$AJ$11,M887,0),"")</f>
        <v/>
      </c>
      <c r="S887" t="str">
        <f ca="1">IF(ISNUMBER(N887),OFFSET('MPIO_SFIO Table'!$AJ$11,N887,0),"")</f>
        <v/>
      </c>
      <c r="T887" t="str">
        <f ca="1">IF(ISNUMBER(O887),OFFSET('MPIO_SFIO Table'!$AJ$11,O887,0),"")</f>
        <v/>
      </c>
      <c r="U887" t="str">
        <f ca="1">IF(ISNUMBER(P887),OFFSET('MPIO_SFIO Table'!$AJ$11,P887,0),"")</f>
        <v/>
      </c>
      <c r="V887" t="str">
        <f ca="1">IF(ISNUMBER(Q887),OFFSET('MPIO_SFIO Table'!$AJ$11,Q887,0),"")</f>
        <v/>
      </c>
      <c r="W887">
        <f t="shared" ca="1" si="115"/>
        <v>0</v>
      </c>
      <c r="X887">
        <f t="shared" ca="1" si="116"/>
        <v>0</v>
      </c>
      <c r="Y887">
        <f t="shared" ca="1" si="117"/>
        <v>0</v>
      </c>
      <c r="Z887">
        <f t="shared" ca="1" si="118"/>
        <v>0</v>
      </c>
      <c r="AA887">
        <f t="shared" ca="1" si="119"/>
        <v>0</v>
      </c>
    </row>
    <row r="888" spans="1:27" x14ac:dyDescent="0.25">
      <c r="A888">
        <f t="shared" ca="1" si="112"/>
        <v>0</v>
      </c>
      <c r="B888" t="str">
        <f t="shared" ca="1" si="113"/>
        <v/>
      </c>
      <c r="C888" t="str">
        <f t="shared" si="114"/>
        <v/>
      </c>
      <c r="D888" t="s">
        <v>253</v>
      </c>
      <c r="E888" t="s">
        <v>253</v>
      </c>
      <c r="F888" s="3" t="s">
        <v>253</v>
      </c>
      <c r="G888" s="11" t="s">
        <v>253</v>
      </c>
      <c r="H888" s="11" t="s">
        <v>253</v>
      </c>
      <c r="I888" s="3" t="s">
        <v>253</v>
      </c>
      <c r="J888" s="3" t="s">
        <v>253</v>
      </c>
      <c r="K888" s="3" t="s">
        <v>253</v>
      </c>
      <c r="L888" s="3" t="s">
        <v>253</v>
      </c>
      <c r="M888" t="str">
        <f>IF(LEN(H888),MATCH(H888,'MPIO_SFIO Table'!$A$11:$A$65525,0)-1,"")</f>
        <v/>
      </c>
      <c r="N888" t="str">
        <f>IF(LEN(I888),MATCH(I888,'MPIO_SFIO Table'!$A$11:$A$65525,0)-1,"")</f>
        <v/>
      </c>
      <c r="O888" t="str">
        <f>IF(LEN(J888),MATCH(J888,'MPIO_SFIO Table'!$A$11:$A$65525,0)-1,"")</f>
        <v/>
      </c>
      <c r="P888" t="str">
        <f>IF(LEN(K888),MATCH(K888,'MPIO_SFIO Table'!$A$11:$A$65525,0)-1,"")</f>
        <v/>
      </c>
      <c r="Q888" t="str">
        <f>IF(LEN(L888),MATCH(L888,'MPIO_SFIO Table'!$A$11:$A$65525,0)-1,"")</f>
        <v/>
      </c>
      <c r="R888" t="str">
        <f ca="1">IF(ISNUMBER(M888),OFFSET('MPIO_SFIO Table'!$AJ$11,M888,0),"")</f>
        <v/>
      </c>
      <c r="S888" t="str">
        <f ca="1">IF(ISNUMBER(N888),OFFSET('MPIO_SFIO Table'!$AJ$11,N888,0),"")</f>
        <v/>
      </c>
      <c r="T888" t="str">
        <f ca="1">IF(ISNUMBER(O888),OFFSET('MPIO_SFIO Table'!$AJ$11,O888,0),"")</f>
        <v/>
      </c>
      <c r="U888" t="str">
        <f ca="1">IF(ISNUMBER(P888),OFFSET('MPIO_SFIO Table'!$AJ$11,P888,0),"")</f>
        <v/>
      </c>
      <c r="V888" t="str">
        <f ca="1">IF(ISNUMBER(Q888),OFFSET('MPIO_SFIO Table'!$AJ$11,Q888,0),"")</f>
        <v/>
      </c>
      <c r="W888">
        <f t="shared" ca="1" si="115"/>
        <v>0</v>
      </c>
      <c r="X888">
        <f t="shared" ca="1" si="116"/>
        <v>0</v>
      </c>
      <c r="Y888">
        <f t="shared" ca="1" si="117"/>
        <v>0</v>
      </c>
      <c r="Z888">
        <f t="shared" ca="1" si="118"/>
        <v>0</v>
      </c>
      <c r="AA888">
        <f t="shared" ca="1" si="119"/>
        <v>0</v>
      </c>
    </row>
    <row r="889" spans="1:27" x14ac:dyDescent="0.25">
      <c r="A889">
        <f t="shared" ca="1" si="112"/>
        <v>0</v>
      </c>
      <c r="B889" t="str">
        <f t="shared" ca="1" si="113"/>
        <v/>
      </c>
      <c r="C889" t="str">
        <f t="shared" si="114"/>
        <v/>
      </c>
      <c r="D889" t="s">
        <v>253</v>
      </c>
      <c r="E889" t="s">
        <v>253</v>
      </c>
      <c r="F889" s="3" t="s">
        <v>253</v>
      </c>
      <c r="G889" s="11" t="s">
        <v>253</v>
      </c>
      <c r="H889" s="11" t="s">
        <v>253</v>
      </c>
      <c r="I889" s="3" t="s">
        <v>253</v>
      </c>
      <c r="J889" s="3" t="s">
        <v>253</v>
      </c>
      <c r="K889" s="3" t="s">
        <v>253</v>
      </c>
      <c r="L889" s="3" t="s">
        <v>253</v>
      </c>
      <c r="M889" t="str">
        <f>IF(LEN(H889),MATCH(H889,'MPIO_SFIO Table'!$A$11:$A$65525,0)-1,"")</f>
        <v/>
      </c>
      <c r="N889" t="str">
        <f>IF(LEN(I889),MATCH(I889,'MPIO_SFIO Table'!$A$11:$A$65525,0)-1,"")</f>
        <v/>
      </c>
      <c r="O889" t="str">
        <f>IF(LEN(J889),MATCH(J889,'MPIO_SFIO Table'!$A$11:$A$65525,0)-1,"")</f>
        <v/>
      </c>
      <c r="P889" t="str">
        <f>IF(LEN(K889),MATCH(K889,'MPIO_SFIO Table'!$A$11:$A$65525,0)-1,"")</f>
        <v/>
      </c>
      <c r="Q889" t="str">
        <f>IF(LEN(L889),MATCH(L889,'MPIO_SFIO Table'!$A$11:$A$65525,0)-1,"")</f>
        <v/>
      </c>
      <c r="R889" t="str">
        <f ca="1">IF(ISNUMBER(M889),OFFSET('MPIO_SFIO Table'!$AJ$11,M889,0),"")</f>
        <v/>
      </c>
      <c r="S889" t="str">
        <f ca="1">IF(ISNUMBER(N889),OFFSET('MPIO_SFIO Table'!$AJ$11,N889,0),"")</f>
        <v/>
      </c>
      <c r="T889" t="str">
        <f ca="1">IF(ISNUMBER(O889),OFFSET('MPIO_SFIO Table'!$AJ$11,O889,0),"")</f>
        <v/>
      </c>
      <c r="U889" t="str">
        <f ca="1">IF(ISNUMBER(P889),OFFSET('MPIO_SFIO Table'!$AJ$11,P889,0),"")</f>
        <v/>
      </c>
      <c r="V889" t="str">
        <f ca="1">IF(ISNUMBER(Q889),OFFSET('MPIO_SFIO Table'!$AJ$11,Q889,0),"")</f>
        <v/>
      </c>
      <c r="W889">
        <f t="shared" ca="1" si="115"/>
        <v>0</v>
      </c>
      <c r="X889">
        <f t="shared" ca="1" si="116"/>
        <v>0</v>
      </c>
      <c r="Y889">
        <f t="shared" ca="1" si="117"/>
        <v>0</v>
      </c>
      <c r="Z889">
        <f t="shared" ca="1" si="118"/>
        <v>0</v>
      </c>
      <c r="AA889">
        <f t="shared" ca="1" si="119"/>
        <v>0</v>
      </c>
    </row>
    <row r="890" spans="1:27" x14ac:dyDescent="0.25">
      <c r="A890">
        <f t="shared" ca="1" si="112"/>
        <v>0</v>
      </c>
      <c r="B890" t="str">
        <f t="shared" ca="1" si="113"/>
        <v/>
      </c>
      <c r="C890" t="str">
        <f t="shared" si="114"/>
        <v/>
      </c>
      <c r="D890" t="s">
        <v>253</v>
      </c>
      <c r="E890" t="s">
        <v>253</v>
      </c>
      <c r="F890" s="3" t="s">
        <v>253</v>
      </c>
      <c r="G890" s="11" t="s">
        <v>253</v>
      </c>
      <c r="H890" s="11" t="s">
        <v>253</v>
      </c>
      <c r="I890" s="3" t="s">
        <v>253</v>
      </c>
      <c r="J890" s="3" t="s">
        <v>253</v>
      </c>
      <c r="K890" s="3" t="s">
        <v>253</v>
      </c>
      <c r="L890" s="3" t="s">
        <v>253</v>
      </c>
      <c r="M890" t="str">
        <f>IF(LEN(H890),MATCH(H890,'MPIO_SFIO Table'!$A$11:$A$65525,0)-1,"")</f>
        <v/>
      </c>
      <c r="N890" t="str">
        <f>IF(LEN(I890),MATCH(I890,'MPIO_SFIO Table'!$A$11:$A$65525,0)-1,"")</f>
        <v/>
      </c>
      <c r="O890" t="str">
        <f>IF(LEN(J890),MATCH(J890,'MPIO_SFIO Table'!$A$11:$A$65525,0)-1,"")</f>
        <v/>
      </c>
      <c r="P890" t="str">
        <f>IF(LEN(K890),MATCH(K890,'MPIO_SFIO Table'!$A$11:$A$65525,0)-1,"")</f>
        <v/>
      </c>
      <c r="Q890" t="str">
        <f>IF(LEN(L890),MATCH(L890,'MPIO_SFIO Table'!$A$11:$A$65525,0)-1,"")</f>
        <v/>
      </c>
      <c r="R890" t="str">
        <f ca="1">IF(ISNUMBER(M890),OFFSET('MPIO_SFIO Table'!$AJ$11,M890,0),"")</f>
        <v/>
      </c>
      <c r="S890" t="str">
        <f ca="1">IF(ISNUMBER(N890),OFFSET('MPIO_SFIO Table'!$AJ$11,N890,0),"")</f>
        <v/>
      </c>
      <c r="T890" t="str">
        <f ca="1">IF(ISNUMBER(O890),OFFSET('MPIO_SFIO Table'!$AJ$11,O890,0),"")</f>
        <v/>
      </c>
      <c r="U890" t="str">
        <f ca="1">IF(ISNUMBER(P890),OFFSET('MPIO_SFIO Table'!$AJ$11,P890,0),"")</f>
        <v/>
      </c>
      <c r="V890" t="str">
        <f ca="1">IF(ISNUMBER(Q890),OFFSET('MPIO_SFIO Table'!$AJ$11,Q890,0),"")</f>
        <v/>
      </c>
      <c r="W890">
        <f t="shared" ca="1" si="115"/>
        <v>0</v>
      </c>
      <c r="X890">
        <f t="shared" ca="1" si="116"/>
        <v>0</v>
      </c>
      <c r="Y890">
        <f t="shared" ca="1" si="117"/>
        <v>0</v>
      </c>
      <c r="Z890">
        <f t="shared" ca="1" si="118"/>
        <v>0</v>
      </c>
      <c r="AA890">
        <f t="shared" ca="1" si="119"/>
        <v>0</v>
      </c>
    </row>
    <row r="891" spans="1:27" x14ac:dyDescent="0.25">
      <c r="A891">
        <f t="shared" ca="1" si="112"/>
        <v>0</v>
      </c>
      <c r="B891" t="str">
        <f t="shared" ca="1" si="113"/>
        <v/>
      </c>
      <c r="C891" t="str">
        <f t="shared" si="114"/>
        <v/>
      </c>
      <c r="D891" t="s">
        <v>253</v>
      </c>
      <c r="E891" t="s">
        <v>253</v>
      </c>
      <c r="F891" s="3" t="s">
        <v>253</v>
      </c>
      <c r="G891" s="11" t="s">
        <v>253</v>
      </c>
      <c r="H891" s="11" t="s">
        <v>253</v>
      </c>
      <c r="I891" s="3" t="s">
        <v>253</v>
      </c>
      <c r="J891" s="3" t="s">
        <v>253</v>
      </c>
      <c r="K891" s="3" t="s">
        <v>253</v>
      </c>
      <c r="L891" s="3" t="s">
        <v>253</v>
      </c>
      <c r="M891" t="str">
        <f>IF(LEN(H891),MATCH(H891,'MPIO_SFIO Table'!$A$11:$A$65525,0)-1,"")</f>
        <v/>
      </c>
      <c r="N891" t="str">
        <f>IF(LEN(I891),MATCH(I891,'MPIO_SFIO Table'!$A$11:$A$65525,0)-1,"")</f>
        <v/>
      </c>
      <c r="O891" t="str">
        <f>IF(LEN(J891),MATCH(J891,'MPIO_SFIO Table'!$A$11:$A$65525,0)-1,"")</f>
        <v/>
      </c>
      <c r="P891" t="str">
        <f>IF(LEN(K891),MATCH(K891,'MPIO_SFIO Table'!$A$11:$A$65525,0)-1,"")</f>
        <v/>
      </c>
      <c r="Q891" t="str">
        <f>IF(LEN(L891),MATCH(L891,'MPIO_SFIO Table'!$A$11:$A$65525,0)-1,"")</f>
        <v/>
      </c>
      <c r="R891" t="str">
        <f ca="1">IF(ISNUMBER(M891),OFFSET('MPIO_SFIO Table'!$AJ$11,M891,0),"")</f>
        <v/>
      </c>
      <c r="S891" t="str">
        <f ca="1">IF(ISNUMBER(N891),OFFSET('MPIO_SFIO Table'!$AJ$11,N891,0),"")</f>
        <v/>
      </c>
      <c r="T891" t="str">
        <f ca="1">IF(ISNUMBER(O891),OFFSET('MPIO_SFIO Table'!$AJ$11,O891,0),"")</f>
        <v/>
      </c>
      <c r="U891" t="str">
        <f ca="1">IF(ISNUMBER(P891),OFFSET('MPIO_SFIO Table'!$AJ$11,P891,0),"")</f>
        <v/>
      </c>
      <c r="V891" t="str">
        <f ca="1">IF(ISNUMBER(Q891),OFFSET('MPIO_SFIO Table'!$AJ$11,Q891,0),"")</f>
        <v/>
      </c>
      <c r="W891">
        <f t="shared" ca="1" si="115"/>
        <v>0</v>
      </c>
      <c r="X891">
        <f t="shared" ca="1" si="116"/>
        <v>0</v>
      </c>
      <c r="Y891">
        <f t="shared" ca="1" si="117"/>
        <v>0</v>
      </c>
      <c r="Z891">
        <f t="shared" ca="1" si="118"/>
        <v>0</v>
      </c>
      <c r="AA891">
        <f t="shared" ca="1" si="119"/>
        <v>0</v>
      </c>
    </row>
    <row r="892" spans="1:27" x14ac:dyDescent="0.25">
      <c r="A892">
        <f t="shared" ca="1" si="112"/>
        <v>0</v>
      </c>
      <c r="B892" t="str">
        <f t="shared" ca="1" si="113"/>
        <v/>
      </c>
      <c r="C892" t="str">
        <f t="shared" si="114"/>
        <v/>
      </c>
      <c r="D892" t="s">
        <v>253</v>
      </c>
      <c r="E892" t="s">
        <v>253</v>
      </c>
      <c r="F892" s="3" t="s">
        <v>253</v>
      </c>
      <c r="G892" s="11" t="s">
        <v>253</v>
      </c>
      <c r="H892" s="11" t="s">
        <v>253</v>
      </c>
      <c r="I892" s="3" t="s">
        <v>253</v>
      </c>
      <c r="J892" s="3" t="s">
        <v>253</v>
      </c>
      <c r="K892" s="3" t="s">
        <v>253</v>
      </c>
      <c r="L892" s="3" t="s">
        <v>253</v>
      </c>
      <c r="M892" t="str">
        <f>IF(LEN(H892),MATCH(H892,'MPIO_SFIO Table'!$A$11:$A$65525,0)-1,"")</f>
        <v/>
      </c>
      <c r="N892" t="str">
        <f>IF(LEN(I892),MATCH(I892,'MPIO_SFIO Table'!$A$11:$A$65525,0)-1,"")</f>
        <v/>
      </c>
      <c r="O892" t="str">
        <f>IF(LEN(J892),MATCH(J892,'MPIO_SFIO Table'!$A$11:$A$65525,0)-1,"")</f>
        <v/>
      </c>
      <c r="P892" t="str">
        <f>IF(LEN(K892),MATCH(K892,'MPIO_SFIO Table'!$A$11:$A$65525,0)-1,"")</f>
        <v/>
      </c>
      <c r="Q892" t="str">
        <f>IF(LEN(L892),MATCH(L892,'MPIO_SFIO Table'!$A$11:$A$65525,0)-1,"")</f>
        <v/>
      </c>
      <c r="R892" t="str">
        <f ca="1">IF(ISNUMBER(M892),OFFSET('MPIO_SFIO Table'!$AJ$11,M892,0),"")</f>
        <v/>
      </c>
      <c r="S892" t="str">
        <f ca="1">IF(ISNUMBER(N892),OFFSET('MPIO_SFIO Table'!$AJ$11,N892,0),"")</f>
        <v/>
      </c>
      <c r="T892" t="str">
        <f ca="1">IF(ISNUMBER(O892),OFFSET('MPIO_SFIO Table'!$AJ$11,O892,0),"")</f>
        <v/>
      </c>
      <c r="U892" t="str">
        <f ca="1">IF(ISNUMBER(P892),OFFSET('MPIO_SFIO Table'!$AJ$11,P892,0),"")</f>
        <v/>
      </c>
      <c r="V892" t="str">
        <f ca="1">IF(ISNUMBER(Q892),OFFSET('MPIO_SFIO Table'!$AJ$11,Q892,0),"")</f>
        <v/>
      </c>
      <c r="W892">
        <f t="shared" ca="1" si="115"/>
        <v>0</v>
      </c>
      <c r="X892">
        <f t="shared" ca="1" si="116"/>
        <v>0</v>
      </c>
      <c r="Y892">
        <f t="shared" ca="1" si="117"/>
        <v>0</v>
      </c>
      <c r="Z892">
        <f t="shared" ca="1" si="118"/>
        <v>0</v>
      </c>
      <c r="AA892">
        <f t="shared" ca="1" si="119"/>
        <v>0</v>
      </c>
    </row>
    <row r="893" spans="1:27" x14ac:dyDescent="0.25">
      <c r="A893">
        <f t="shared" ca="1" si="112"/>
        <v>0</v>
      </c>
      <c r="B893" t="str">
        <f t="shared" ca="1" si="113"/>
        <v/>
      </c>
      <c r="C893" t="str">
        <f t="shared" si="114"/>
        <v/>
      </c>
      <c r="D893" t="s">
        <v>253</v>
      </c>
      <c r="E893" t="s">
        <v>253</v>
      </c>
      <c r="F893" s="3" t="s">
        <v>253</v>
      </c>
      <c r="G893" s="11" t="s">
        <v>253</v>
      </c>
      <c r="H893" s="11" t="s">
        <v>253</v>
      </c>
      <c r="I893" s="3" t="s">
        <v>253</v>
      </c>
      <c r="J893" s="3" t="s">
        <v>253</v>
      </c>
      <c r="K893" s="3" t="s">
        <v>253</v>
      </c>
      <c r="L893" s="3" t="s">
        <v>253</v>
      </c>
      <c r="M893" t="str">
        <f>IF(LEN(H893),MATCH(H893,'MPIO_SFIO Table'!$A$11:$A$65525,0)-1,"")</f>
        <v/>
      </c>
      <c r="N893" t="str">
        <f>IF(LEN(I893),MATCH(I893,'MPIO_SFIO Table'!$A$11:$A$65525,0)-1,"")</f>
        <v/>
      </c>
      <c r="O893" t="str">
        <f>IF(LEN(J893),MATCH(J893,'MPIO_SFIO Table'!$A$11:$A$65525,0)-1,"")</f>
        <v/>
      </c>
      <c r="P893" t="str">
        <f>IF(LEN(K893),MATCH(K893,'MPIO_SFIO Table'!$A$11:$A$65525,0)-1,"")</f>
        <v/>
      </c>
      <c r="Q893" t="str">
        <f>IF(LEN(L893),MATCH(L893,'MPIO_SFIO Table'!$A$11:$A$65525,0)-1,"")</f>
        <v/>
      </c>
      <c r="R893" t="str">
        <f ca="1">IF(ISNUMBER(M893),OFFSET('MPIO_SFIO Table'!$AJ$11,M893,0),"")</f>
        <v/>
      </c>
      <c r="S893" t="str">
        <f ca="1">IF(ISNUMBER(N893),OFFSET('MPIO_SFIO Table'!$AJ$11,N893,0),"")</f>
        <v/>
      </c>
      <c r="T893" t="str">
        <f ca="1">IF(ISNUMBER(O893),OFFSET('MPIO_SFIO Table'!$AJ$11,O893,0),"")</f>
        <v/>
      </c>
      <c r="U893" t="str">
        <f ca="1">IF(ISNUMBER(P893),OFFSET('MPIO_SFIO Table'!$AJ$11,P893,0),"")</f>
        <v/>
      </c>
      <c r="V893" t="str">
        <f ca="1">IF(ISNUMBER(Q893),OFFSET('MPIO_SFIO Table'!$AJ$11,Q893,0),"")</f>
        <v/>
      </c>
      <c r="W893">
        <f t="shared" ca="1" si="115"/>
        <v>0</v>
      </c>
      <c r="X893">
        <f t="shared" ca="1" si="116"/>
        <v>0</v>
      </c>
      <c r="Y893">
        <f t="shared" ca="1" si="117"/>
        <v>0</v>
      </c>
      <c r="Z893">
        <f t="shared" ca="1" si="118"/>
        <v>0</v>
      </c>
      <c r="AA893">
        <f t="shared" ca="1" si="119"/>
        <v>0</v>
      </c>
    </row>
    <row r="894" spans="1:27" x14ac:dyDescent="0.25">
      <c r="A894">
        <f t="shared" ca="1" si="112"/>
        <v>0</v>
      </c>
      <c r="B894" t="str">
        <f t="shared" ca="1" si="113"/>
        <v/>
      </c>
      <c r="C894" t="str">
        <f t="shared" si="114"/>
        <v/>
      </c>
      <c r="D894" t="s">
        <v>253</v>
      </c>
      <c r="E894" t="s">
        <v>253</v>
      </c>
      <c r="F894" s="3" t="s">
        <v>253</v>
      </c>
      <c r="G894" s="11" t="s">
        <v>253</v>
      </c>
      <c r="H894" s="11" t="s">
        <v>253</v>
      </c>
      <c r="I894" s="3" t="s">
        <v>253</v>
      </c>
      <c r="J894" s="3" t="s">
        <v>253</v>
      </c>
      <c r="K894" s="3" t="s">
        <v>253</v>
      </c>
      <c r="L894" s="3" t="s">
        <v>253</v>
      </c>
      <c r="M894" t="str">
        <f>IF(LEN(H894),MATCH(H894,'MPIO_SFIO Table'!$A$11:$A$65525,0)-1,"")</f>
        <v/>
      </c>
      <c r="N894" t="str">
        <f>IF(LEN(I894),MATCH(I894,'MPIO_SFIO Table'!$A$11:$A$65525,0)-1,"")</f>
        <v/>
      </c>
      <c r="O894" t="str">
        <f>IF(LEN(J894),MATCH(J894,'MPIO_SFIO Table'!$A$11:$A$65525,0)-1,"")</f>
        <v/>
      </c>
      <c r="P894" t="str">
        <f>IF(LEN(K894),MATCH(K894,'MPIO_SFIO Table'!$A$11:$A$65525,0)-1,"")</f>
        <v/>
      </c>
      <c r="Q894" t="str">
        <f>IF(LEN(L894),MATCH(L894,'MPIO_SFIO Table'!$A$11:$A$65525,0)-1,"")</f>
        <v/>
      </c>
      <c r="R894" t="str">
        <f ca="1">IF(ISNUMBER(M894),OFFSET('MPIO_SFIO Table'!$AJ$11,M894,0),"")</f>
        <v/>
      </c>
      <c r="S894" t="str">
        <f ca="1">IF(ISNUMBER(N894),OFFSET('MPIO_SFIO Table'!$AJ$11,N894,0),"")</f>
        <v/>
      </c>
      <c r="T894" t="str">
        <f ca="1">IF(ISNUMBER(O894),OFFSET('MPIO_SFIO Table'!$AJ$11,O894,0),"")</f>
        <v/>
      </c>
      <c r="U894" t="str">
        <f ca="1">IF(ISNUMBER(P894),OFFSET('MPIO_SFIO Table'!$AJ$11,P894,0),"")</f>
        <v/>
      </c>
      <c r="V894" t="str">
        <f ca="1">IF(ISNUMBER(Q894),OFFSET('MPIO_SFIO Table'!$AJ$11,Q894,0),"")</f>
        <v/>
      </c>
      <c r="W894">
        <f t="shared" ca="1" si="115"/>
        <v>0</v>
      </c>
      <c r="X894">
        <f t="shared" ca="1" si="116"/>
        <v>0</v>
      </c>
      <c r="Y894">
        <f t="shared" ca="1" si="117"/>
        <v>0</v>
      </c>
      <c r="Z894">
        <f t="shared" ca="1" si="118"/>
        <v>0</v>
      </c>
      <c r="AA894">
        <f t="shared" ca="1" si="119"/>
        <v>0</v>
      </c>
    </row>
    <row r="895" spans="1:27" x14ac:dyDescent="0.25">
      <c r="A895">
        <f t="shared" ca="1" si="112"/>
        <v>0</v>
      </c>
      <c r="B895" t="str">
        <f t="shared" ca="1" si="113"/>
        <v/>
      </c>
      <c r="C895" t="str">
        <f t="shared" si="114"/>
        <v/>
      </c>
      <c r="D895" t="s">
        <v>253</v>
      </c>
      <c r="E895" t="s">
        <v>253</v>
      </c>
      <c r="F895" s="3" t="s">
        <v>253</v>
      </c>
      <c r="G895" s="11" t="s">
        <v>253</v>
      </c>
      <c r="H895" s="11" t="s">
        <v>253</v>
      </c>
      <c r="I895" s="3" t="s">
        <v>253</v>
      </c>
      <c r="J895" s="3" t="s">
        <v>253</v>
      </c>
      <c r="K895" s="3" t="s">
        <v>253</v>
      </c>
      <c r="L895" s="3" t="s">
        <v>253</v>
      </c>
      <c r="M895" t="str">
        <f>IF(LEN(H895),MATCH(H895,'MPIO_SFIO Table'!$A$11:$A$65525,0)-1,"")</f>
        <v/>
      </c>
      <c r="N895" t="str">
        <f>IF(LEN(I895),MATCH(I895,'MPIO_SFIO Table'!$A$11:$A$65525,0)-1,"")</f>
        <v/>
      </c>
      <c r="O895" t="str">
        <f>IF(LEN(J895),MATCH(J895,'MPIO_SFIO Table'!$A$11:$A$65525,0)-1,"")</f>
        <v/>
      </c>
      <c r="P895" t="str">
        <f>IF(LEN(K895),MATCH(K895,'MPIO_SFIO Table'!$A$11:$A$65525,0)-1,"")</f>
        <v/>
      </c>
      <c r="Q895" t="str">
        <f>IF(LEN(L895),MATCH(L895,'MPIO_SFIO Table'!$A$11:$A$65525,0)-1,"")</f>
        <v/>
      </c>
      <c r="R895" t="str">
        <f ca="1">IF(ISNUMBER(M895),OFFSET('MPIO_SFIO Table'!$AJ$11,M895,0),"")</f>
        <v/>
      </c>
      <c r="S895" t="str">
        <f ca="1">IF(ISNUMBER(N895),OFFSET('MPIO_SFIO Table'!$AJ$11,N895,0),"")</f>
        <v/>
      </c>
      <c r="T895" t="str">
        <f ca="1">IF(ISNUMBER(O895),OFFSET('MPIO_SFIO Table'!$AJ$11,O895,0),"")</f>
        <v/>
      </c>
      <c r="U895" t="str">
        <f ca="1">IF(ISNUMBER(P895),OFFSET('MPIO_SFIO Table'!$AJ$11,P895,0),"")</f>
        <v/>
      </c>
      <c r="V895" t="str">
        <f ca="1">IF(ISNUMBER(Q895),OFFSET('MPIO_SFIO Table'!$AJ$11,Q895,0),"")</f>
        <v/>
      </c>
      <c r="W895">
        <f t="shared" ca="1" si="115"/>
        <v>0</v>
      </c>
      <c r="X895">
        <f t="shared" ca="1" si="116"/>
        <v>0</v>
      </c>
      <c r="Y895">
        <f t="shared" ca="1" si="117"/>
        <v>0</v>
      </c>
      <c r="Z895">
        <f t="shared" ca="1" si="118"/>
        <v>0</v>
      </c>
      <c r="AA895">
        <f t="shared" ca="1" si="119"/>
        <v>0</v>
      </c>
    </row>
    <row r="896" spans="1:27" x14ac:dyDescent="0.25">
      <c r="A896">
        <f t="shared" ca="1" si="112"/>
        <v>0</v>
      </c>
      <c r="B896" t="str">
        <f t="shared" ca="1" si="113"/>
        <v/>
      </c>
      <c r="C896" t="str">
        <f t="shared" si="114"/>
        <v/>
      </c>
      <c r="D896" t="s">
        <v>253</v>
      </c>
      <c r="E896" t="s">
        <v>253</v>
      </c>
      <c r="F896" s="3" t="s">
        <v>253</v>
      </c>
      <c r="G896" s="11" t="s">
        <v>253</v>
      </c>
      <c r="H896" s="11" t="s">
        <v>253</v>
      </c>
      <c r="I896" s="3" t="s">
        <v>253</v>
      </c>
      <c r="J896" s="3" t="s">
        <v>253</v>
      </c>
      <c r="K896" s="3" t="s">
        <v>253</v>
      </c>
      <c r="L896" s="3" t="s">
        <v>253</v>
      </c>
      <c r="M896" t="str">
        <f>IF(LEN(H896),MATCH(H896,'MPIO_SFIO Table'!$A$11:$A$65525,0)-1,"")</f>
        <v/>
      </c>
      <c r="N896" t="str">
        <f>IF(LEN(I896),MATCH(I896,'MPIO_SFIO Table'!$A$11:$A$65525,0)-1,"")</f>
        <v/>
      </c>
      <c r="O896" t="str">
        <f>IF(LEN(J896),MATCH(J896,'MPIO_SFIO Table'!$A$11:$A$65525,0)-1,"")</f>
        <v/>
      </c>
      <c r="P896" t="str">
        <f>IF(LEN(K896),MATCH(K896,'MPIO_SFIO Table'!$A$11:$A$65525,0)-1,"")</f>
        <v/>
      </c>
      <c r="Q896" t="str">
        <f>IF(LEN(L896),MATCH(L896,'MPIO_SFIO Table'!$A$11:$A$65525,0)-1,"")</f>
        <v/>
      </c>
      <c r="R896" t="str">
        <f ca="1">IF(ISNUMBER(M896),OFFSET('MPIO_SFIO Table'!$AJ$11,M896,0),"")</f>
        <v/>
      </c>
      <c r="S896" t="str">
        <f ca="1">IF(ISNUMBER(N896),OFFSET('MPIO_SFIO Table'!$AJ$11,N896,0),"")</f>
        <v/>
      </c>
      <c r="T896" t="str">
        <f ca="1">IF(ISNUMBER(O896),OFFSET('MPIO_SFIO Table'!$AJ$11,O896,0),"")</f>
        <v/>
      </c>
      <c r="U896" t="str">
        <f ca="1">IF(ISNUMBER(P896),OFFSET('MPIO_SFIO Table'!$AJ$11,P896,0),"")</f>
        <v/>
      </c>
      <c r="V896" t="str">
        <f ca="1">IF(ISNUMBER(Q896),OFFSET('MPIO_SFIO Table'!$AJ$11,Q896,0),"")</f>
        <v/>
      </c>
      <c r="W896">
        <f t="shared" ca="1" si="115"/>
        <v>0</v>
      </c>
      <c r="X896">
        <f t="shared" ca="1" si="116"/>
        <v>0</v>
      </c>
      <c r="Y896">
        <f t="shared" ca="1" si="117"/>
        <v>0</v>
      </c>
      <c r="Z896">
        <f t="shared" ca="1" si="118"/>
        <v>0</v>
      </c>
      <c r="AA896">
        <f t="shared" ca="1" si="119"/>
        <v>0</v>
      </c>
    </row>
    <row r="897" spans="1:27" x14ac:dyDescent="0.25">
      <c r="A897">
        <f t="shared" ca="1" si="112"/>
        <v>0</v>
      </c>
      <c r="B897" t="str">
        <f t="shared" ca="1" si="113"/>
        <v/>
      </c>
      <c r="C897" t="str">
        <f t="shared" si="114"/>
        <v/>
      </c>
      <c r="D897" t="s">
        <v>253</v>
      </c>
      <c r="E897" t="s">
        <v>253</v>
      </c>
      <c r="F897" s="3" t="s">
        <v>253</v>
      </c>
      <c r="G897" s="11" t="s">
        <v>253</v>
      </c>
      <c r="H897" s="11" t="s">
        <v>253</v>
      </c>
      <c r="I897" s="3" t="s">
        <v>253</v>
      </c>
      <c r="J897" s="3" t="s">
        <v>253</v>
      </c>
      <c r="K897" s="3" t="s">
        <v>253</v>
      </c>
      <c r="L897" s="3" t="s">
        <v>253</v>
      </c>
      <c r="M897" t="str">
        <f>IF(LEN(H897),MATCH(H897,'MPIO_SFIO Table'!$A$11:$A$65525,0)-1,"")</f>
        <v/>
      </c>
      <c r="N897" t="str">
        <f>IF(LEN(I897),MATCH(I897,'MPIO_SFIO Table'!$A$11:$A$65525,0)-1,"")</f>
        <v/>
      </c>
      <c r="O897" t="str">
        <f>IF(LEN(J897),MATCH(J897,'MPIO_SFIO Table'!$A$11:$A$65525,0)-1,"")</f>
        <v/>
      </c>
      <c r="P897" t="str">
        <f>IF(LEN(K897),MATCH(K897,'MPIO_SFIO Table'!$A$11:$A$65525,0)-1,"")</f>
        <v/>
      </c>
      <c r="Q897" t="str">
        <f>IF(LEN(L897),MATCH(L897,'MPIO_SFIO Table'!$A$11:$A$65525,0)-1,"")</f>
        <v/>
      </c>
      <c r="R897" t="str">
        <f ca="1">IF(ISNUMBER(M897),OFFSET('MPIO_SFIO Table'!$AJ$11,M897,0),"")</f>
        <v/>
      </c>
      <c r="S897" t="str">
        <f ca="1">IF(ISNUMBER(N897),OFFSET('MPIO_SFIO Table'!$AJ$11,N897,0),"")</f>
        <v/>
      </c>
      <c r="T897" t="str">
        <f ca="1">IF(ISNUMBER(O897),OFFSET('MPIO_SFIO Table'!$AJ$11,O897,0),"")</f>
        <v/>
      </c>
      <c r="U897" t="str">
        <f ca="1">IF(ISNUMBER(P897),OFFSET('MPIO_SFIO Table'!$AJ$11,P897,0),"")</f>
        <v/>
      </c>
      <c r="V897" t="str">
        <f ca="1">IF(ISNUMBER(Q897),OFFSET('MPIO_SFIO Table'!$AJ$11,Q897,0),"")</f>
        <v/>
      </c>
      <c r="W897">
        <f t="shared" ca="1" si="115"/>
        <v>0</v>
      </c>
      <c r="X897">
        <f t="shared" ca="1" si="116"/>
        <v>0</v>
      </c>
      <c r="Y897">
        <f t="shared" ca="1" si="117"/>
        <v>0</v>
      </c>
      <c r="Z897">
        <f t="shared" ca="1" si="118"/>
        <v>0</v>
      </c>
      <c r="AA897">
        <f t="shared" ca="1" si="119"/>
        <v>0</v>
      </c>
    </row>
    <row r="898" spans="1:27" x14ac:dyDescent="0.25">
      <c r="A898">
        <f t="shared" ca="1" si="112"/>
        <v>0</v>
      </c>
      <c r="B898" t="str">
        <f t="shared" ca="1" si="113"/>
        <v/>
      </c>
      <c r="C898" t="str">
        <f t="shared" si="114"/>
        <v/>
      </c>
      <c r="D898" t="s">
        <v>253</v>
      </c>
      <c r="E898" t="s">
        <v>253</v>
      </c>
      <c r="F898" s="3" t="s">
        <v>253</v>
      </c>
      <c r="G898" s="11" t="s">
        <v>253</v>
      </c>
      <c r="H898" s="11" t="s">
        <v>253</v>
      </c>
      <c r="I898" s="3" t="s">
        <v>253</v>
      </c>
      <c r="J898" s="3" t="s">
        <v>253</v>
      </c>
      <c r="K898" s="3" t="s">
        <v>253</v>
      </c>
      <c r="L898" s="3" t="s">
        <v>253</v>
      </c>
      <c r="M898" t="str">
        <f>IF(LEN(H898),MATCH(H898,'MPIO_SFIO Table'!$A$11:$A$65525,0)-1,"")</f>
        <v/>
      </c>
      <c r="N898" t="str">
        <f>IF(LEN(I898),MATCH(I898,'MPIO_SFIO Table'!$A$11:$A$65525,0)-1,"")</f>
        <v/>
      </c>
      <c r="O898" t="str">
        <f>IF(LEN(J898),MATCH(J898,'MPIO_SFIO Table'!$A$11:$A$65525,0)-1,"")</f>
        <v/>
      </c>
      <c r="P898" t="str">
        <f>IF(LEN(K898),MATCH(K898,'MPIO_SFIO Table'!$A$11:$A$65525,0)-1,"")</f>
        <v/>
      </c>
      <c r="Q898" t="str">
        <f>IF(LEN(L898),MATCH(L898,'MPIO_SFIO Table'!$A$11:$A$65525,0)-1,"")</f>
        <v/>
      </c>
      <c r="R898" t="str">
        <f ca="1">IF(ISNUMBER(M898),OFFSET('MPIO_SFIO Table'!$AJ$11,M898,0),"")</f>
        <v/>
      </c>
      <c r="S898" t="str">
        <f ca="1">IF(ISNUMBER(N898),OFFSET('MPIO_SFIO Table'!$AJ$11,N898,0),"")</f>
        <v/>
      </c>
      <c r="T898" t="str">
        <f ca="1">IF(ISNUMBER(O898),OFFSET('MPIO_SFIO Table'!$AJ$11,O898,0),"")</f>
        <v/>
      </c>
      <c r="U898" t="str">
        <f ca="1">IF(ISNUMBER(P898),OFFSET('MPIO_SFIO Table'!$AJ$11,P898,0),"")</f>
        <v/>
      </c>
      <c r="V898" t="str">
        <f ca="1">IF(ISNUMBER(Q898),OFFSET('MPIO_SFIO Table'!$AJ$11,Q898,0),"")</f>
        <v/>
      </c>
      <c r="W898">
        <f t="shared" ca="1" si="115"/>
        <v>0</v>
      </c>
      <c r="X898">
        <f t="shared" ca="1" si="116"/>
        <v>0</v>
      </c>
      <c r="Y898">
        <f t="shared" ca="1" si="117"/>
        <v>0</v>
      </c>
      <c r="Z898">
        <f t="shared" ca="1" si="118"/>
        <v>0</v>
      </c>
      <c r="AA898">
        <f t="shared" ca="1" si="119"/>
        <v>0</v>
      </c>
    </row>
    <row r="899" spans="1:27" x14ac:dyDescent="0.25">
      <c r="A899">
        <f t="shared" ca="1" si="112"/>
        <v>0</v>
      </c>
      <c r="B899" t="str">
        <f t="shared" ca="1" si="113"/>
        <v/>
      </c>
      <c r="C899" t="str">
        <f t="shared" si="114"/>
        <v/>
      </c>
      <c r="D899" t="s">
        <v>253</v>
      </c>
      <c r="E899" t="s">
        <v>253</v>
      </c>
      <c r="F899" s="3" t="s">
        <v>253</v>
      </c>
      <c r="G899" s="11" t="s">
        <v>253</v>
      </c>
      <c r="H899" s="11" t="s">
        <v>253</v>
      </c>
      <c r="I899" s="3" t="s">
        <v>253</v>
      </c>
      <c r="J899" s="3" t="s">
        <v>253</v>
      </c>
      <c r="K899" s="3" t="s">
        <v>253</v>
      </c>
      <c r="L899" s="3" t="s">
        <v>253</v>
      </c>
      <c r="M899" t="str">
        <f>IF(LEN(H899),MATCH(H899,'MPIO_SFIO Table'!$A$11:$A$65525,0)-1,"")</f>
        <v/>
      </c>
      <c r="N899" t="str">
        <f>IF(LEN(I899),MATCH(I899,'MPIO_SFIO Table'!$A$11:$A$65525,0)-1,"")</f>
        <v/>
      </c>
      <c r="O899" t="str">
        <f>IF(LEN(J899),MATCH(J899,'MPIO_SFIO Table'!$A$11:$A$65525,0)-1,"")</f>
        <v/>
      </c>
      <c r="P899" t="str">
        <f>IF(LEN(K899),MATCH(K899,'MPIO_SFIO Table'!$A$11:$A$65525,0)-1,"")</f>
        <v/>
      </c>
      <c r="Q899" t="str">
        <f>IF(LEN(L899),MATCH(L899,'MPIO_SFIO Table'!$A$11:$A$65525,0)-1,"")</f>
        <v/>
      </c>
      <c r="R899" t="str">
        <f ca="1">IF(ISNUMBER(M899),OFFSET('MPIO_SFIO Table'!$AJ$11,M899,0),"")</f>
        <v/>
      </c>
      <c r="S899" t="str">
        <f ca="1">IF(ISNUMBER(N899),OFFSET('MPIO_SFIO Table'!$AJ$11,N899,0),"")</f>
        <v/>
      </c>
      <c r="T899" t="str">
        <f ca="1">IF(ISNUMBER(O899),OFFSET('MPIO_SFIO Table'!$AJ$11,O899,0),"")</f>
        <v/>
      </c>
      <c r="U899" t="str">
        <f ca="1">IF(ISNUMBER(P899),OFFSET('MPIO_SFIO Table'!$AJ$11,P899,0),"")</f>
        <v/>
      </c>
      <c r="V899" t="str">
        <f ca="1">IF(ISNUMBER(Q899),OFFSET('MPIO_SFIO Table'!$AJ$11,Q899,0),"")</f>
        <v/>
      </c>
      <c r="W899">
        <f t="shared" ca="1" si="115"/>
        <v>0</v>
      </c>
      <c r="X899">
        <f t="shared" ca="1" si="116"/>
        <v>0</v>
      </c>
      <c r="Y899">
        <f t="shared" ca="1" si="117"/>
        <v>0</v>
      </c>
      <c r="Z899">
        <f t="shared" ca="1" si="118"/>
        <v>0</v>
      </c>
      <c r="AA899">
        <f t="shared" ca="1" si="119"/>
        <v>0</v>
      </c>
    </row>
    <row r="900" spans="1:27" x14ac:dyDescent="0.25">
      <c r="A900">
        <f t="shared" ca="1" si="112"/>
        <v>0</v>
      </c>
      <c r="B900" t="str">
        <f t="shared" ca="1" si="113"/>
        <v/>
      </c>
      <c r="C900" t="str">
        <f t="shared" si="114"/>
        <v/>
      </c>
      <c r="D900" t="s">
        <v>253</v>
      </c>
      <c r="E900" t="s">
        <v>253</v>
      </c>
      <c r="F900" s="3" t="s">
        <v>253</v>
      </c>
      <c r="G900" s="11" t="s">
        <v>253</v>
      </c>
      <c r="H900" s="11" t="s">
        <v>253</v>
      </c>
      <c r="I900" s="3" t="s">
        <v>253</v>
      </c>
      <c r="J900" s="3" t="s">
        <v>253</v>
      </c>
      <c r="K900" s="3" t="s">
        <v>253</v>
      </c>
      <c r="L900" s="3" t="s">
        <v>253</v>
      </c>
      <c r="M900" t="str">
        <f>IF(LEN(H900),MATCH(H900,'MPIO_SFIO Table'!$A$11:$A$65525,0)-1,"")</f>
        <v/>
      </c>
      <c r="N900" t="str">
        <f>IF(LEN(I900),MATCH(I900,'MPIO_SFIO Table'!$A$11:$A$65525,0)-1,"")</f>
        <v/>
      </c>
      <c r="O900" t="str">
        <f>IF(LEN(J900),MATCH(J900,'MPIO_SFIO Table'!$A$11:$A$65525,0)-1,"")</f>
        <v/>
      </c>
      <c r="P900" t="str">
        <f>IF(LEN(K900),MATCH(K900,'MPIO_SFIO Table'!$A$11:$A$65525,0)-1,"")</f>
        <v/>
      </c>
      <c r="Q900" t="str">
        <f>IF(LEN(L900),MATCH(L900,'MPIO_SFIO Table'!$A$11:$A$65525,0)-1,"")</f>
        <v/>
      </c>
      <c r="R900" t="str">
        <f ca="1">IF(ISNUMBER(M900),OFFSET('MPIO_SFIO Table'!$AJ$11,M900,0),"")</f>
        <v/>
      </c>
      <c r="S900" t="str">
        <f ca="1">IF(ISNUMBER(N900),OFFSET('MPIO_SFIO Table'!$AJ$11,N900,0),"")</f>
        <v/>
      </c>
      <c r="T900" t="str">
        <f ca="1">IF(ISNUMBER(O900),OFFSET('MPIO_SFIO Table'!$AJ$11,O900,0),"")</f>
        <v/>
      </c>
      <c r="U900" t="str">
        <f ca="1">IF(ISNUMBER(P900),OFFSET('MPIO_SFIO Table'!$AJ$11,P900,0),"")</f>
        <v/>
      </c>
      <c r="V900" t="str">
        <f ca="1">IF(ISNUMBER(Q900),OFFSET('MPIO_SFIO Table'!$AJ$11,Q900,0),"")</f>
        <v/>
      </c>
      <c r="W900">
        <f t="shared" ca="1" si="115"/>
        <v>0</v>
      </c>
      <c r="X900">
        <f t="shared" ca="1" si="116"/>
        <v>0</v>
      </c>
      <c r="Y900">
        <f t="shared" ca="1" si="117"/>
        <v>0</v>
      </c>
      <c r="Z900">
        <f t="shared" ca="1" si="118"/>
        <v>0</v>
      </c>
      <c r="AA900">
        <f t="shared" ca="1" si="119"/>
        <v>0</v>
      </c>
    </row>
    <row r="901" spans="1:27" x14ac:dyDescent="0.25">
      <c r="A901">
        <f t="shared" ca="1" si="112"/>
        <v>0</v>
      </c>
      <c r="B901" t="str">
        <f t="shared" ca="1" si="113"/>
        <v/>
      </c>
      <c r="C901" t="str">
        <f t="shared" si="114"/>
        <v/>
      </c>
      <c r="D901" t="s">
        <v>253</v>
      </c>
      <c r="E901" t="s">
        <v>253</v>
      </c>
      <c r="F901" s="3" t="s">
        <v>253</v>
      </c>
      <c r="G901" s="11" t="s">
        <v>253</v>
      </c>
      <c r="H901" s="11" t="s">
        <v>253</v>
      </c>
      <c r="I901" s="3" t="s">
        <v>253</v>
      </c>
      <c r="J901" s="3" t="s">
        <v>253</v>
      </c>
      <c r="K901" s="3" t="s">
        <v>253</v>
      </c>
      <c r="L901" s="3" t="s">
        <v>253</v>
      </c>
      <c r="M901" t="str">
        <f>IF(LEN(H901),MATCH(H901,'MPIO_SFIO Table'!$A$11:$A$65525,0)-1,"")</f>
        <v/>
      </c>
      <c r="N901" t="str">
        <f>IF(LEN(I901),MATCH(I901,'MPIO_SFIO Table'!$A$11:$A$65525,0)-1,"")</f>
        <v/>
      </c>
      <c r="O901" t="str">
        <f>IF(LEN(J901),MATCH(J901,'MPIO_SFIO Table'!$A$11:$A$65525,0)-1,"")</f>
        <v/>
      </c>
      <c r="P901" t="str">
        <f>IF(LEN(K901),MATCH(K901,'MPIO_SFIO Table'!$A$11:$A$65525,0)-1,"")</f>
        <v/>
      </c>
      <c r="Q901" t="str">
        <f>IF(LEN(L901),MATCH(L901,'MPIO_SFIO Table'!$A$11:$A$65525,0)-1,"")</f>
        <v/>
      </c>
      <c r="R901" t="str">
        <f ca="1">IF(ISNUMBER(M901),OFFSET('MPIO_SFIO Table'!$AJ$11,M901,0),"")</f>
        <v/>
      </c>
      <c r="S901" t="str">
        <f ca="1">IF(ISNUMBER(N901),OFFSET('MPIO_SFIO Table'!$AJ$11,N901,0),"")</f>
        <v/>
      </c>
      <c r="T901" t="str">
        <f ca="1">IF(ISNUMBER(O901),OFFSET('MPIO_SFIO Table'!$AJ$11,O901,0),"")</f>
        <v/>
      </c>
      <c r="U901" t="str">
        <f ca="1">IF(ISNUMBER(P901),OFFSET('MPIO_SFIO Table'!$AJ$11,P901,0),"")</f>
        <v/>
      </c>
      <c r="V901" t="str">
        <f ca="1">IF(ISNUMBER(Q901),OFFSET('MPIO_SFIO Table'!$AJ$11,Q901,0),"")</f>
        <v/>
      </c>
      <c r="W901">
        <f t="shared" ca="1" si="115"/>
        <v>0</v>
      </c>
      <c r="X901">
        <f t="shared" ca="1" si="116"/>
        <v>0</v>
      </c>
      <c r="Y901">
        <f t="shared" ca="1" si="117"/>
        <v>0</v>
      </c>
      <c r="Z901">
        <f t="shared" ca="1" si="118"/>
        <v>0</v>
      </c>
      <c r="AA901">
        <f t="shared" ca="1" si="119"/>
        <v>0</v>
      </c>
    </row>
    <row r="902" spans="1:27" x14ac:dyDescent="0.25">
      <c r="A902">
        <f t="shared" ca="1" si="112"/>
        <v>0</v>
      </c>
      <c r="B902" t="str">
        <f t="shared" ca="1" si="113"/>
        <v/>
      </c>
      <c r="C902" t="str">
        <f t="shared" si="114"/>
        <v/>
      </c>
      <c r="D902" t="s">
        <v>253</v>
      </c>
      <c r="E902" t="s">
        <v>253</v>
      </c>
      <c r="F902" s="3" t="s">
        <v>253</v>
      </c>
      <c r="G902" s="11" t="s">
        <v>253</v>
      </c>
      <c r="H902" s="11" t="s">
        <v>253</v>
      </c>
      <c r="I902" s="3" t="s">
        <v>253</v>
      </c>
      <c r="J902" s="3" t="s">
        <v>253</v>
      </c>
      <c r="K902" s="3" t="s">
        <v>253</v>
      </c>
      <c r="L902" s="3" t="s">
        <v>253</v>
      </c>
      <c r="M902" t="str">
        <f>IF(LEN(H902),MATCH(H902,'MPIO_SFIO Table'!$A$11:$A$65525,0)-1,"")</f>
        <v/>
      </c>
      <c r="N902" t="str">
        <f>IF(LEN(I902),MATCH(I902,'MPIO_SFIO Table'!$A$11:$A$65525,0)-1,"")</f>
        <v/>
      </c>
      <c r="O902" t="str">
        <f>IF(LEN(J902),MATCH(J902,'MPIO_SFIO Table'!$A$11:$A$65525,0)-1,"")</f>
        <v/>
      </c>
      <c r="P902" t="str">
        <f>IF(LEN(K902),MATCH(K902,'MPIO_SFIO Table'!$A$11:$A$65525,0)-1,"")</f>
        <v/>
      </c>
      <c r="Q902" t="str">
        <f>IF(LEN(L902),MATCH(L902,'MPIO_SFIO Table'!$A$11:$A$65525,0)-1,"")</f>
        <v/>
      </c>
      <c r="R902" t="str">
        <f ca="1">IF(ISNUMBER(M902),OFFSET('MPIO_SFIO Table'!$AJ$11,M902,0),"")</f>
        <v/>
      </c>
      <c r="S902" t="str">
        <f ca="1">IF(ISNUMBER(N902),OFFSET('MPIO_SFIO Table'!$AJ$11,N902,0),"")</f>
        <v/>
      </c>
      <c r="T902" t="str">
        <f ca="1">IF(ISNUMBER(O902),OFFSET('MPIO_SFIO Table'!$AJ$11,O902,0),"")</f>
        <v/>
      </c>
      <c r="U902" t="str">
        <f ca="1">IF(ISNUMBER(P902),OFFSET('MPIO_SFIO Table'!$AJ$11,P902,0),"")</f>
        <v/>
      </c>
      <c r="V902" t="str">
        <f ca="1">IF(ISNUMBER(Q902),OFFSET('MPIO_SFIO Table'!$AJ$11,Q902,0),"")</f>
        <v/>
      </c>
      <c r="W902">
        <f t="shared" ca="1" si="115"/>
        <v>0</v>
      </c>
      <c r="X902">
        <f t="shared" ca="1" si="116"/>
        <v>0</v>
      </c>
      <c r="Y902">
        <f t="shared" ca="1" si="117"/>
        <v>0</v>
      </c>
      <c r="Z902">
        <f t="shared" ca="1" si="118"/>
        <v>0</v>
      </c>
      <c r="AA902">
        <f t="shared" ca="1" si="119"/>
        <v>0</v>
      </c>
    </row>
    <row r="903" spans="1:27" x14ac:dyDescent="0.25">
      <c r="A903">
        <f t="shared" ca="1" si="112"/>
        <v>0</v>
      </c>
      <c r="B903" t="str">
        <f t="shared" ca="1" si="113"/>
        <v/>
      </c>
      <c r="C903" t="str">
        <f t="shared" si="114"/>
        <v/>
      </c>
      <c r="D903" t="s">
        <v>253</v>
      </c>
      <c r="E903" t="s">
        <v>253</v>
      </c>
      <c r="F903" s="3" t="s">
        <v>253</v>
      </c>
      <c r="G903" s="11" t="s">
        <v>253</v>
      </c>
      <c r="H903" s="11" t="s">
        <v>253</v>
      </c>
      <c r="I903" s="3" t="s">
        <v>253</v>
      </c>
      <c r="J903" s="3" t="s">
        <v>253</v>
      </c>
      <c r="K903" s="3" t="s">
        <v>253</v>
      </c>
      <c r="L903" s="3" t="s">
        <v>253</v>
      </c>
      <c r="M903" t="str">
        <f>IF(LEN(H903),MATCH(H903,'MPIO_SFIO Table'!$A$11:$A$65525,0)-1,"")</f>
        <v/>
      </c>
      <c r="N903" t="str">
        <f>IF(LEN(I903),MATCH(I903,'MPIO_SFIO Table'!$A$11:$A$65525,0)-1,"")</f>
        <v/>
      </c>
      <c r="O903" t="str">
        <f>IF(LEN(J903),MATCH(J903,'MPIO_SFIO Table'!$A$11:$A$65525,0)-1,"")</f>
        <v/>
      </c>
      <c r="P903" t="str">
        <f>IF(LEN(K903),MATCH(K903,'MPIO_SFIO Table'!$A$11:$A$65525,0)-1,"")</f>
        <v/>
      </c>
      <c r="Q903" t="str">
        <f>IF(LEN(L903),MATCH(L903,'MPIO_SFIO Table'!$A$11:$A$65525,0)-1,"")</f>
        <v/>
      </c>
      <c r="R903" t="str">
        <f ca="1">IF(ISNUMBER(M903),OFFSET('MPIO_SFIO Table'!$AJ$11,M903,0),"")</f>
        <v/>
      </c>
      <c r="S903" t="str">
        <f ca="1">IF(ISNUMBER(N903),OFFSET('MPIO_SFIO Table'!$AJ$11,N903,0),"")</f>
        <v/>
      </c>
      <c r="T903" t="str">
        <f ca="1">IF(ISNUMBER(O903),OFFSET('MPIO_SFIO Table'!$AJ$11,O903,0),"")</f>
        <v/>
      </c>
      <c r="U903" t="str">
        <f ca="1">IF(ISNUMBER(P903),OFFSET('MPIO_SFIO Table'!$AJ$11,P903,0),"")</f>
        <v/>
      </c>
      <c r="V903" t="str">
        <f ca="1">IF(ISNUMBER(Q903),OFFSET('MPIO_SFIO Table'!$AJ$11,Q903,0),"")</f>
        <v/>
      </c>
      <c r="W903">
        <f t="shared" ca="1" si="115"/>
        <v>0</v>
      </c>
      <c r="X903">
        <f t="shared" ca="1" si="116"/>
        <v>0</v>
      </c>
      <c r="Y903">
        <f t="shared" ca="1" si="117"/>
        <v>0</v>
      </c>
      <c r="Z903">
        <f t="shared" ca="1" si="118"/>
        <v>0</v>
      </c>
      <c r="AA903">
        <f t="shared" ca="1" si="119"/>
        <v>0</v>
      </c>
    </row>
    <row r="904" spans="1:27" x14ac:dyDescent="0.25">
      <c r="A904">
        <f t="shared" ref="A904:A967" ca="1" si="120">SUM($W904:$AA904)</f>
        <v>0</v>
      </c>
      <c r="B904" t="str">
        <f t="shared" ref="B904:B967" ca="1" si="121">IF(A904&lt;&gt;0,REPLACE(G904,FIND("-",G904),LEN(G904),""),"")</f>
        <v/>
      </c>
      <c r="C904" t="str">
        <f t="shared" si="114"/>
        <v/>
      </c>
      <c r="D904" t="s">
        <v>253</v>
      </c>
      <c r="E904" t="s">
        <v>253</v>
      </c>
      <c r="F904" s="3" t="s">
        <v>253</v>
      </c>
      <c r="G904" s="11" t="s">
        <v>253</v>
      </c>
      <c r="H904" s="11" t="s">
        <v>253</v>
      </c>
      <c r="I904" s="3" t="s">
        <v>253</v>
      </c>
      <c r="J904" s="3" t="s">
        <v>253</v>
      </c>
      <c r="K904" s="3" t="s">
        <v>253</v>
      </c>
      <c r="L904" s="3" t="s">
        <v>253</v>
      </c>
      <c r="M904" t="str">
        <f>IF(LEN(H904),MATCH(H904,'MPIO_SFIO Table'!$A$11:$A$65525,0)-1,"")</f>
        <v/>
      </c>
      <c r="N904" t="str">
        <f>IF(LEN(I904),MATCH(I904,'MPIO_SFIO Table'!$A$11:$A$65525,0)-1,"")</f>
        <v/>
      </c>
      <c r="O904" t="str">
        <f>IF(LEN(J904),MATCH(J904,'MPIO_SFIO Table'!$A$11:$A$65525,0)-1,"")</f>
        <v/>
      </c>
      <c r="P904" t="str">
        <f>IF(LEN(K904),MATCH(K904,'MPIO_SFIO Table'!$A$11:$A$65525,0)-1,"")</f>
        <v/>
      </c>
      <c r="Q904" t="str">
        <f>IF(LEN(L904),MATCH(L904,'MPIO_SFIO Table'!$A$11:$A$65525,0)-1,"")</f>
        <v/>
      </c>
      <c r="R904" t="str">
        <f ca="1">IF(ISNUMBER(M904),OFFSET('MPIO_SFIO Table'!$AJ$11,M904,0),"")</f>
        <v/>
      </c>
      <c r="S904" t="str">
        <f ca="1">IF(ISNUMBER(N904),OFFSET('MPIO_SFIO Table'!$AJ$11,N904,0),"")</f>
        <v/>
      </c>
      <c r="T904" t="str">
        <f ca="1">IF(ISNUMBER(O904),OFFSET('MPIO_SFIO Table'!$AJ$11,O904,0),"")</f>
        <v/>
      </c>
      <c r="U904" t="str">
        <f ca="1">IF(ISNUMBER(P904),OFFSET('MPIO_SFIO Table'!$AJ$11,P904,0),"")</f>
        <v/>
      </c>
      <c r="V904" t="str">
        <f ca="1">IF(ISNUMBER(Q904),OFFSET('MPIO_SFIO Table'!$AJ$11,Q904,0),"")</f>
        <v/>
      </c>
      <c r="W904">
        <f t="shared" ca="1" si="115"/>
        <v>0</v>
      </c>
      <c r="X904">
        <f t="shared" ca="1" si="116"/>
        <v>0</v>
      </c>
      <c r="Y904">
        <f t="shared" ca="1" si="117"/>
        <v>0</v>
      </c>
      <c r="Z904">
        <f t="shared" ca="1" si="118"/>
        <v>0</v>
      </c>
      <c r="AA904">
        <f t="shared" ca="1" si="119"/>
        <v>0</v>
      </c>
    </row>
    <row r="905" spans="1:27" x14ac:dyDescent="0.25">
      <c r="A905">
        <f t="shared" ca="1" si="120"/>
        <v>0</v>
      </c>
      <c r="B905" t="str">
        <f t="shared" ca="1" si="121"/>
        <v/>
      </c>
      <c r="C905" t="str">
        <f t="shared" ref="C905:C968" si="122">REPLACE(G905,FIND(".",CONCATENATE(REPLACE(G905,FIND("-",CONCATENATE(G905,"-")),LEN(G905),""),".")),LEN(G905),"")</f>
        <v/>
      </c>
      <c r="D905" t="s">
        <v>253</v>
      </c>
      <c r="E905" t="s">
        <v>253</v>
      </c>
      <c r="F905" s="3" t="s">
        <v>253</v>
      </c>
      <c r="G905" s="11" t="s">
        <v>253</v>
      </c>
      <c r="H905" s="11" t="s">
        <v>253</v>
      </c>
      <c r="I905" s="3" t="s">
        <v>253</v>
      </c>
      <c r="J905" s="3" t="s">
        <v>253</v>
      </c>
      <c r="K905" s="3" t="s">
        <v>253</v>
      </c>
      <c r="L905" s="3" t="s">
        <v>253</v>
      </c>
      <c r="M905" t="str">
        <f>IF(LEN(H905),MATCH(H905,'MPIO_SFIO Table'!$A$11:$A$65525,0)-1,"")</f>
        <v/>
      </c>
      <c r="N905" t="str">
        <f>IF(LEN(I905),MATCH(I905,'MPIO_SFIO Table'!$A$11:$A$65525,0)-1,"")</f>
        <v/>
      </c>
      <c r="O905" t="str">
        <f>IF(LEN(J905),MATCH(J905,'MPIO_SFIO Table'!$A$11:$A$65525,0)-1,"")</f>
        <v/>
      </c>
      <c r="P905" t="str">
        <f>IF(LEN(K905),MATCH(K905,'MPIO_SFIO Table'!$A$11:$A$65525,0)-1,"")</f>
        <v/>
      </c>
      <c r="Q905" t="str">
        <f>IF(LEN(L905),MATCH(L905,'MPIO_SFIO Table'!$A$11:$A$65525,0)-1,"")</f>
        <v/>
      </c>
      <c r="R905" t="str">
        <f ca="1">IF(ISNUMBER(M905),OFFSET('MPIO_SFIO Table'!$AJ$11,M905,0),"")</f>
        <v/>
      </c>
      <c r="S905" t="str">
        <f ca="1">IF(ISNUMBER(N905),OFFSET('MPIO_SFIO Table'!$AJ$11,N905,0),"")</f>
        <v/>
      </c>
      <c r="T905" t="str">
        <f ca="1">IF(ISNUMBER(O905),OFFSET('MPIO_SFIO Table'!$AJ$11,O905,0),"")</f>
        <v/>
      </c>
      <c r="U905" t="str">
        <f ca="1">IF(ISNUMBER(P905),OFFSET('MPIO_SFIO Table'!$AJ$11,P905,0),"")</f>
        <v/>
      </c>
      <c r="V905" t="str">
        <f ca="1">IF(ISNUMBER(Q905),OFFSET('MPIO_SFIO Table'!$AJ$11,Q905,0),"")</f>
        <v/>
      </c>
      <c r="W905">
        <f t="shared" ref="W905:W968" ca="1" si="123">1*AND(ISTEXT(R905),LEN(R905),R905=$G905)</f>
        <v>0</v>
      </c>
      <c r="X905">
        <f t="shared" ref="X905:X968" ca="1" si="124">1*AND(ISTEXT(S905),LEN(S905),S905=$G905)</f>
        <v>0</v>
      </c>
      <c r="Y905">
        <f t="shared" ref="Y905:Y968" ca="1" si="125">1*AND(ISTEXT(T905),LEN(T905),T905=$G905)</f>
        <v>0</v>
      </c>
      <c r="Z905">
        <f t="shared" ref="Z905:Z968" ca="1" si="126">1*AND(ISTEXT(U905),LEN(U905),U905=$G905)</f>
        <v>0</v>
      </c>
      <c r="AA905">
        <f t="shared" ref="AA905:AA968" ca="1" si="127">1*AND(ISTEXT(V905),LEN(V905),V905=$G905)</f>
        <v>0</v>
      </c>
    </row>
    <row r="906" spans="1:27" x14ac:dyDescent="0.25">
      <c r="A906">
        <f t="shared" ca="1" si="120"/>
        <v>0</v>
      </c>
      <c r="B906" t="str">
        <f t="shared" ca="1" si="121"/>
        <v/>
      </c>
      <c r="C906" t="str">
        <f t="shared" si="122"/>
        <v/>
      </c>
      <c r="D906" t="s">
        <v>253</v>
      </c>
      <c r="E906" t="s">
        <v>253</v>
      </c>
      <c r="F906" s="3" t="s">
        <v>253</v>
      </c>
      <c r="G906" s="11" t="s">
        <v>253</v>
      </c>
      <c r="H906" s="11" t="s">
        <v>253</v>
      </c>
      <c r="I906" s="3" t="s">
        <v>253</v>
      </c>
      <c r="J906" s="3" t="s">
        <v>253</v>
      </c>
      <c r="K906" s="3" t="s">
        <v>253</v>
      </c>
      <c r="L906" s="3" t="s">
        <v>253</v>
      </c>
      <c r="M906" t="str">
        <f>IF(LEN(H906),MATCH(H906,'MPIO_SFIO Table'!$A$11:$A$65525,0)-1,"")</f>
        <v/>
      </c>
      <c r="N906" t="str">
        <f>IF(LEN(I906),MATCH(I906,'MPIO_SFIO Table'!$A$11:$A$65525,0)-1,"")</f>
        <v/>
      </c>
      <c r="O906" t="str">
        <f>IF(LEN(J906),MATCH(J906,'MPIO_SFIO Table'!$A$11:$A$65525,0)-1,"")</f>
        <v/>
      </c>
      <c r="P906" t="str">
        <f>IF(LEN(K906),MATCH(K906,'MPIO_SFIO Table'!$A$11:$A$65525,0)-1,"")</f>
        <v/>
      </c>
      <c r="Q906" t="str">
        <f>IF(LEN(L906),MATCH(L906,'MPIO_SFIO Table'!$A$11:$A$65525,0)-1,"")</f>
        <v/>
      </c>
      <c r="R906" t="str">
        <f ca="1">IF(ISNUMBER(M906),OFFSET('MPIO_SFIO Table'!$AJ$11,M906,0),"")</f>
        <v/>
      </c>
      <c r="S906" t="str">
        <f ca="1">IF(ISNUMBER(N906),OFFSET('MPIO_SFIO Table'!$AJ$11,N906,0),"")</f>
        <v/>
      </c>
      <c r="T906" t="str">
        <f ca="1">IF(ISNUMBER(O906),OFFSET('MPIO_SFIO Table'!$AJ$11,O906,0),"")</f>
        <v/>
      </c>
      <c r="U906" t="str">
        <f ca="1">IF(ISNUMBER(P906),OFFSET('MPIO_SFIO Table'!$AJ$11,P906,0),"")</f>
        <v/>
      </c>
      <c r="V906" t="str">
        <f ca="1">IF(ISNUMBER(Q906),OFFSET('MPIO_SFIO Table'!$AJ$11,Q906,0),"")</f>
        <v/>
      </c>
      <c r="W906">
        <f t="shared" ca="1" si="123"/>
        <v>0</v>
      </c>
      <c r="X906">
        <f t="shared" ca="1" si="124"/>
        <v>0</v>
      </c>
      <c r="Y906">
        <f t="shared" ca="1" si="125"/>
        <v>0</v>
      </c>
      <c r="Z906">
        <f t="shared" ca="1" si="126"/>
        <v>0</v>
      </c>
      <c r="AA906">
        <f t="shared" ca="1" si="127"/>
        <v>0</v>
      </c>
    </row>
    <row r="907" spans="1:27" x14ac:dyDescent="0.25">
      <c r="A907">
        <f t="shared" ca="1" si="120"/>
        <v>0</v>
      </c>
      <c r="B907" t="str">
        <f t="shared" ca="1" si="121"/>
        <v/>
      </c>
      <c r="C907" t="str">
        <f t="shared" si="122"/>
        <v/>
      </c>
      <c r="D907" t="s">
        <v>253</v>
      </c>
      <c r="E907" t="s">
        <v>253</v>
      </c>
      <c r="F907" s="3" t="s">
        <v>253</v>
      </c>
      <c r="G907" s="11" t="s">
        <v>253</v>
      </c>
      <c r="H907" s="11" t="s">
        <v>253</v>
      </c>
      <c r="I907" s="3" t="s">
        <v>253</v>
      </c>
      <c r="J907" s="3" t="s">
        <v>253</v>
      </c>
      <c r="K907" s="3" t="s">
        <v>253</v>
      </c>
      <c r="L907" s="3" t="s">
        <v>253</v>
      </c>
      <c r="M907" t="str">
        <f>IF(LEN(H907),MATCH(H907,'MPIO_SFIO Table'!$A$11:$A$65525,0)-1,"")</f>
        <v/>
      </c>
      <c r="N907" t="str">
        <f>IF(LEN(I907),MATCH(I907,'MPIO_SFIO Table'!$A$11:$A$65525,0)-1,"")</f>
        <v/>
      </c>
      <c r="O907" t="str">
        <f>IF(LEN(J907),MATCH(J907,'MPIO_SFIO Table'!$A$11:$A$65525,0)-1,"")</f>
        <v/>
      </c>
      <c r="P907" t="str">
        <f>IF(LEN(K907),MATCH(K907,'MPIO_SFIO Table'!$A$11:$A$65525,0)-1,"")</f>
        <v/>
      </c>
      <c r="Q907" t="str">
        <f>IF(LEN(L907),MATCH(L907,'MPIO_SFIO Table'!$A$11:$A$65525,0)-1,"")</f>
        <v/>
      </c>
      <c r="R907" t="str">
        <f ca="1">IF(ISNUMBER(M907),OFFSET('MPIO_SFIO Table'!$AJ$11,M907,0),"")</f>
        <v/>
      </c>
      <c r="S907" t="str">
        <f ca="1">IF(ISNUMBER(N907),OFFSET('MPIO_SFIO Table'!$AJ$11,N907,0),"")</f>
        <v/>
      </c>
      <c r="T907" t="str">
        <f ca="1">IF(ISNUMBER(O907),OFFSET('MPIO_SFIO Table'!$AJ$11,O907,0),"")</f>
        <v/>
      </c>
      <c r="U907" t="str">
        <f ca="1">IF(ISNUMBER(P907),OFFSET('MPIO_SFIO Table'!$AJ$11,P907,0),"")</f>
        <v/>
      </c>
      <c r="V907" t="str">
        <f ca="1">IF(ISNUMBER(Q907),OFFSET('MPIO_SFIO Table'!$AJ$11,Q907,0),"")</f>
        <v/>
      </c>
      <c r="W907">
        <f t="shared" ca="1" si="123"/>
        <v>0</v>
      </c>
      <c r="X907">
        <f t="shared" ca="1" si="124"/>
        <v>0</v>
      </c>
      <c r="Y907">
        <f t="shared" ca="1" si="125"/>
        <v>0</v>
      </c>
      <c r="Z907">
        <f t="shared" ca="1" si="126"/>
        <v>0</v>
      </c>
      <c r="AA907">
        <f t="shared" ca="1" si="127"/>
        <v>0</v>
      </c>
    </row>
    <row r="908" spans="1:27" x14ac:dyDescent="0.25">
      <c r="A908">
        <f t="shared" ca="1" si="120"/>
        <v>0</v>
      </c>
      <c r="B908" t="str">
        <f t="shared" ca="1" si="121"/>
        <v/>
      </c>
      <c r="C908" t="str">
        <f t="shared" si="122"/>
        <v/>
      </c>
      <c r="D908" t="s">
        <v>253</v>
      </c>
      <c r="E908" t="s">
        <v>253</v>
      </c>
      <c r="F908" s="3" t="s">
        <v>253</v>
      </c>
      <c r="G908" s="11" t="s">
        <v>253</v>
      </c>
      <c r="H908" s="11" t="s">
        <v>253</v>
      </c>
      <c r="I908" s="3" t="s">
        <v>253</v>
      </c>
      <c r="J908" s="3" t="s">
        <v>253</v>
      </c>
      <c r="K908" s="3" t="s">
        <v>253</v>
      </c>
      <c r="L908" s="3" t="s">
        <v>253</v>
      </c>
      <c r="M908" t="str">
        <f>IF(LEN(H908),MATCH(H908,'MPIO_SFIO Table'!$A$11:$A$65525,0)-1,"")</f>
        <v/>
      </c>
      <c r="N908" t="str">
        <f>IF(LEN(I908),MATCH(I908,'MPIO_SFIO Table'!$A$11:$A$65525,0)-1,"")</f>
        <v/>
      </c>
      <c r="O908" t="str">
        <f>IF(LEN(J908),MATCH(J908,'MPIO_SFIO Table'!$A$11:$A$65525,0)-1,"")</f>
        <v/>
      </c>
      <c r="P908" t="str">
        <f>IF(LEN(K908),MATCH(K908,'MPIO_SFIO Table'!$A$11:$A$65525,0)-1,"")</f>
        <v/>
      </c>
      <c r="Q908" t="str">
        <f>IF(LEN(L908),MATCH(L908,'MPIO_SFIO Table'!$A$11:$A$65525,0)-1,"")</f>
        <v/>
      </c>
      <c r="R908" t="str">
        <f ca="1">IF(ISNUMBER(M908),OFFSET('MPIO_SFIO Table'!$AJ$11,M908,0),"")</f>
        <v/>
      </c>
      <c r="S908" t="str">
        <f ca="1">IF(ISNUMBER(N908),OFFSET('MPIO_SFIO Table'!$AJ$11,N908,0),"")</f>
        <v/>
      </c>
      <c r="T908" t="str">
        <f ca="1">IF(ISNUMBER(O908),OFFSET('MPIO_SFIO Table'!$AJ$11,O908,0),"")</f>
        <v/>
      </c>
      <c r="U908" t="str">
        <f ca="1">IF(ISNUMBER(P908),OFFSET('MPIO_SFIO Table'!$AJ$11,P908,0),"")</f>
        <v/>
      </c>
      <c r="V908" t="str">
        <f ca="1">IF(ISNUMBER(Q908),OFFSET('MPIO_SFIO Table'!$AJ$11,Q908,0),"")</f>
        <v/>
      </c>
      <c r="W908">
        <f t="shared" ca="1" si="123"/>
        <v>0</v>
      </c>
      <c r="X908">
        <f t="shared" ca="1" si="124"/>
        <v>0</v>
      </c>
      <c r="Y908">
        <f t="shared" ca="1" si="125"/>
        <v>0</v>
      </c>
      <c r="Z908">
        <f t="shared" ca="1" si="126"/>
        <v>0</v>
      </c>
      <c r="AA908">
        <f t="shared" ca="1" si="127"/>
        <v>0</v>
      </c>
    </row>
    <row r="909" spans="1:27" x14ac:dyDescent="0.25">
      <c r="A909">
        <f t="shared" ca="1" si="120"/>
        <v>0</v>
      </c>
      <c r="B909" t="str">
        <f t="shared" ca="1" si="121"/>
        <v/>
      </c>
      <c r="C909" t="str">
        <f t="shared" si="122"/>
        <v/>
      </c>
      <c r="D909" t="s">
        <v>253</v>
      </c>
      <c r="E909" t="s">
        <v>253</v>
      </c>
      <c r="F909" s="3" t="s">
        <v>253</v>
      </c>
      <c r="G909" s="11" t="s">
        <v>253</v>
      </c>
      <c r="H909" s="11" t="s">
        <v>253</v>
      </c>
      <c r="I909" s="3" t="s">
        <v>253</v>
      </c>
      <c r="J909" s="3" t="s">
        <v>253</v>
      </c>
      <c r="K909" s="3" t="s">
        <v>253</v>
      </c>
      <c r="L909" s="3" t="s">
        <v>253</v>
      </c>
      <c r="M909" t="str">
        <f>IF(LEN(H909),MATCH(H909,'MPIO_SFIO Table'!$A$11:$A$65525,0)-1,"")</f>
        <v/>
      </c>
      <c r="N909" t="str">
        <f>IF(LEN(I909),MATCH(I909,'MPIO_SFIO Table'!$A$11:$A$65525,0)-1,"")</f>
        <v/>
      </c>
      <c r="O909" t="str">
        <f>IF(LEN(J909),MATCH(J909,'MPIO_SFIO Table'!$A$11:$A$65525,0)-1,"")</f>
        <v/>
      </c>
      <c r="P909" t="str">
        <f>IF(LEN(K909),MATCH(K909,'MPIO_SFIO Table'!$A$11:$A$65525,0)-1,"")</f>
        <v/>
      </c>
      <c r="Q909" t="str">
        <f>IF(LEN(L909),MATCH(L909,'MPIO_SFIO Table'!$A$11:$A$65525,0)-1,"")</f>
        <v/>
      </c>
      <c r="R909" t="str">
        <f ca="1">IF(ISNUMBER(M909),OFFSET('MPIO_SFIO Table'!$AJ$11,M909,0),"")</f>
        <v/>
      </c>
      <c r="S909" t="str">
        <f ca="1">IF(ISNUMBER(N909),OFFSET('MPIO_SFIO Table'!$AJ$11,N909,0),"")</f>
        <v/>
      </c>
      <c r="T909" t="str">
        <f ca="1">IF(ISNUMBER(O909),OFFSET('MPIO_SFIO Table'!$AJ$11,O909,0),"")</f>
        <v/>
      </c>
      <c r="U909" t="str">
        <f ca="1">IF(ISNUMBER(P909),OFFSET('MPIO_SFIO Table'!$AJ$11,P909,0),"")</f>
        <v/>
      </c>
      <c r="V909" t="str">
        <f ca="1">IF(ISNUMBER(Q909),OFFSET('MPIO_SFIO Table'!$AJ$11,Q909,0),"")</f>
        <v/>
      </c>
      <c r="W909">
        <f t="shared" ca="1" si="123"/>
        <v>0</v>
      </c>
      <c r="X909">
        <f t="shared" ca="1" si="124"/>
        <v>0</v>
      </c>
      <c r="Y909">
        <f t="shared" ca="1" si="125"/>
        <v>0</v>
      </c>
      <c r="Z909">
        <f t="shared" ca="1" si="126"/>
        <v>0</v>
      </c>
      <c r="AA909">
        <f t="shared" ca="1" si="127"/>
        <v>0</v>
      </c>
    </row>
    <row r="910" spans="1:27" x14ac:dyDescent="0.25">
      <c r="A910">
        <f t="shared" ca="1" si="120"/>
        <v>0</v>
      </c>
      <c r="B910" t="str">
        <f t="shared" ca="1" si="121"/>
        <v/>
      </c>
      <c r="C910" t="str">
        <f t="shared" si="122"/>
        <v/>
      </c>
      <c r="D910" t="s">
        <v>253</v>
      </c>
      <c r="E910" t="s">
        <v>253</v>
      </c>
      <c r="F910" s="3" t="s">
        <v>253</v>
      </c>
      <c r="G910" s="11" t="s">
        <v>253</v>
      </c>
      <c r="H910" s="11" t="s">
        <v>253</v>
      </c>
      <c r="I910" s="3" t="s">
        <v>253</v>
      </c>
      <c r="J910" s="3" t="s">
        <v>253</v>
      </c>
      <c r="K910" s="3" t="s">
        <v>253</v>
      </c>
      <c r="L910" s="3" t="s">
        <v>253</v>
      </c>
      <c r="M910" t="str">
        <f>IF(LEN(H910),MATCH(H910,'MPIO_SFIO Table'!$A$11:$A$65525,0)-1,"")</f>
        <v/>
      </c>
      <c r="N910" t="str">
        <f>IF(LEN(I910),MATCH(I910,'MPIO_SFIO Table'!$A$11:$A$65525,0)-1,"")</f>
        <v/>
      </c>
      <c r="O910" t="str">
        <f>IF(LEN(J910),MATCH(J910,'MPIO_SFIO Table'!$A$11:$A$65525,0)-1,"")</f>
        <v/>
      </c>
      <c r="P910" t="str">
        <f>IF(LEN(K910),MATCH(K910,'MPIO_SFIO Table'!$A$11:$A$65525,0)-1,"")</f>
        <v/>
      </c>
      <c r="Q910" t="str">
        <f>IF(LEN(L910),MATCH(L910,'MPIO_SFIO Table'!$A$11:$A$65525,0)-1,"")</f>
        <v/>
      </c>
      <c r="R910" t="str">
        <f ca="1">IF(ISNUMBER(M910),OFFSET('MPIO_SFIO Table'!$AJ$11,M910,0),"")</f>
        <v/>
      </c>
      <c r="S910" t="str">
        <f ca="1">IF(ISNUMBER(N910),OFFSET('MPIO_SFIO Table'!$AJ$11,N910,0),"")</f>
        <v/>
      </c>
      <c r="T910" t="str">
        <f ca="1">IF(ISNUMBER(O910),OFFSET('MPIO_SFIO Table'!$AJ$11,O910,0),"")</f>
        <v/>
      </c>
      <c r="U910" t="str">
        <f ca="1">IF(ISNUMBER(P910),OFFSET('MPIO_SFIO Table'!$AJ$11,P910,0),"")</f>
        <v/>
      </c>
      <c r="V910" t="str">
        <f ca="1">IF(ISNUMBER(Q910),OFFSET('MPIO_SFIO Table'!$AJ$11,Q910,0),"")</f>
        <v/>
      </c>
      <c r="W910">
        <f t="shared" ca="1" si="123"/>
        <v>0</v>
      </c>
      <c r="X910">
        <f t="shared" ca="1" si="124"/>
        <v>0</v>
      </c>
      <c r="Y910">
        <f t="shared" ca="1" si="125"/>
        <v>0</v>
      </c>
      <c r="Z910">
        <f t="shared" ca="1" si="126"/>
        <v>0</v>
      </c>
      <c r="AA910">
        <f t="shared" ca="1" si="127"/>
        <v>0</v>
      </c>
    </row>
    <row r="911" spans="1:27" x14ac:dyDescent="0.25">
      <c r="A911">
        <f t="shared" ca="1" si="120"/>
        <v>0</v>
      </c>
      <c r="B911" t="str">
        <f t="shared" ca="1" si="121"/>
        <v/>
      </c>
      <c r="C911" t="str">
        <f t="shared" si="122"/>
        <v/>
      </c>
      <c r="D911" t="s">
        <v>253</v>
      </c>
      <c r="E911" t="s">
        <v>253</v>
      </c>
      <c r="F911" s="3" t="s">
        <v>253</v>
      </c>
      <c r="G911" s="11" t="s">
        <v>253</v>
      </c>
      <c r="H911" s="11" t="s">
        <v>253</v>
      </c>
      <c r="I911" s="3" t="s">
        <v>253</v>
      </c>
      <c r="J911" s="3" t="s">
        <v>253</v>
      </c>
      <c r="K911" s="3" t="s">
        <v>253</v>
      </c>
      <c r="L911" s="3" t="s">
        <v>253</v>
      </c>
      <c r="M911" t="str">
        <f>IF(LEN(H911),MATCH(H911,'MPIO_SFIO Table'!$A$11:$A$65525,0)-1,"")</f>
        <v/>
      </c>
      <c r="N911" t="str">
        <f>IF(LEN(I911),MATCH(I911,'MPIO_SFIO Table'!$A$11:$A$65525,0)-1,"")</f>
        <v/>
      </c>
      <c r="O911" t="str">
        <f>IF(LEN(J911),MATCH(J911,'MPIO_SFIO Table'!$A$11:$A$65525,0)-1,"")</f>
        <v/>
      </c>
      <c r="P911" t="str">
        <f>IF(LEN(K911),MATCH(K911,'MPIO_SFIO Table'!$A$11:$A$65525,0)-1,"")</f>
        <v/>
      </c>
      <c r="Q911" t="str">
        <f>IF(LEN(L911),MATCH(L911,'MPIO_SFIO Table'!$A$11:$A$65525,0)-1,"")</f>
        <v/>
      </c>
      <c r="R911" t="str">
        <f ca="1">IF(ISNUMBER(M911),OFFSET('MPIO_SFIO Table'!$AJ$11,M911,0),"")</f>
        <v/>
      </c>
      <c r="S911" t="str">
        <f ca="1">IF(ISNUMBER(N911),OFFSET('MPIO_SFIO Table'!$AJ$11,N911,0),"")</f>
        <v/>
      </c>
      <c r="T911" t="str">
        <f ca="1">IF(ISNUMBER(O911),OFFSET('MPIO_SFIO Table'!$AJ$11,O911,0),"")</f>
        <v/>
      </c>
      <c r="U911" t="str">
        <f ca="1">IF(ISNUMBER(P911),OFFSET('MPIO_SFIO Table'!$AJ$11,P911,0),"")</f>
        <v/>
      </c>
      <c r="V911" t="str">
        <f ca="1">IF(ISNUMBER(Q911),OFFSET('MPIO_SFIO Table'!$AJ$11,Q911,0),"")</f>
        <v/>
      </c>
      <c r="W911">
        <f t="shared" ca="1" si="123"/>
        <v>0</v>
      </c>
      <c r="X911">
        <f t="shared" ca="1" si="124"/>
        <v>0</v>
      </c>
      <c r="Y911">
        <f t="shared" ca="1" si="125"/>
        <v>0</v>
      </c>
      <c r="Z911">
        <f t="shared" ca="1" si="126"/>
        <v>0</v>
      </c>
      <c r="AA911">
        <f t="shared" ca="1" si="127"/>
        <v>0</v>
      </c>
    </row>
    <row r="912" spans="1:27" x14ac:dyDescent="0.25">
      <c r="A912">
        <f t="shared" ca="1" si="120"/>
        <v>0</v>
      </c>
      <c r="B912" t="str">
        <f t="shared" ca="1" si="121"/>
        <v/>
      </c>
      <c r="C912" t="str">
        <f t="shared" si="122"/>
        <v/>
      </c>
      <c r="D912" t="s">
        <v>253</v>
      </c>
      <c r="E912" t="s">
        <v>253</v>
      </c>
      <c r="F912" s="3" t="s">
        <v>253</v>
      </c>
      <c r="G912" s="11" t="s">
        <v>253</v>
      </c>
      <c r="H912" s="11" t="s">
        <v>253</v>
      </c>
      <c r="I912" s="3" t="s">
        <v>253</v>
      </c>
      <c r="J912" s="3" t="s">
        <v>253</v>
      </c>
      <c r="K912" s="3" t="s">
        <v>253</v>
      </c>
      <c r="L912" s="3" t="s">
        <v>253</v>
      </c>
      <c r="M912" t="str">
        <f>IF(LEN(H912),MATCH(H912,'MPIO_SFIO Table'!$A$11:$A$65525,0)-1,"")</f>
        <v/>
      </c>
      <c r="N912" t="str">
        <f>IF(LEN(I912),MATCH(I912,'MPIO_SFIO Table'!$A$11:$A$65525,0)-1,"")</f>
        <v/>
      </c>
      <c r="O912" t="str">
        <f>IF(LEN(J912),MATCH(J912,'MPIO_SFIO Table'!$A$11:$A$65525,0)-1,"")</f>
        <v/>
      </c>
      <c r="P912" t="str">
        <f>IF(LEN(K912),MATCH(K912,'MPIO_SFIO Table'!$A$11:$A$65525,0)-1,"")</f>
        <v/>
      </c>
      <c r="Q912" t="str">
        <f>IF(LEN(L912),MATCH(L912,'MPIO_SFIO Table'!$A$11:$A$65525,0)-1,"")</f>
        <v/>
      </c>
      <c r="R912" t="str">
        <f ca="1">IF(ISNUMBER(M912),OFFSET('MPIO_SFIO Table'!$AJ$11,M912,0),"")</f>
        <v/>
      </c>
      <c r="S912" t="str">
        <f ca="1">IF(ISNUMBER(N912),OFFSET('MPIO_SFIO Table'!$AJ$11,N912,0),"")</f>
        <v/>
      </c>
      <c r="T912" t="str">
        <f ca="1">IF(ISNUMBER(O912),OFFSET('MPIO_SFIO Table'!$AJ$11,O912,0),"")</f>
        <v/>
      </c>
      <c r="U912" t="str">
        <f ca="1">IF(ISNUMBER(P912),OFFSET('MPIO_SFIO Table'!$AJ$11,P912,0),"")</f>
        <v/>
      </c>
      <c r="V912" t="str">
        <f ca="1">IF(ISNUMBER(Q912),OFFSET('MPIO_SFIO Table'!$AJ$11,Q912,0),"")</f>
        <v/>
      </c>
      <c r="W912">
        <f t="shared" ca="1" si="123"/>
        <v>0</v>
      </c>
      <c r="X912">
        <f t="shared" ca="1" si="124"/>
        <v>0</v>
      </c>
      <c r="Y912">
        <f t="shared" ca="1" si="125"/>
        <v>0</v>
      </c>
      <c r="Z912">
        <f t="shared" ca="1" si="126"/>
        <v>0</v>
      </c>
      <c r="AA912">
        <f t="shared" ca="1" si="127"/>
        <v>0</v>
      </c>
    </row>
    <row r="913" spans="1:27" x14ac:dyDescent="0.25">
      <c r="A913">
        <f t="shared" ca="1" si="120"/>
        <v>0</v>
      </c>
      <c r="B913" t="str">
        <f t="shared" ca="1" si="121"/>
        <v/>
      </c>
      <c r="C913" t="str">
        <f t="shared" si="122"/>
        <v/>
      </c>
      <c r="D913" t="s">
        <v>253</v>
      </c>
      <c r="E913" t="s">
        <v>253</v>
      </c>
      <c r="F913" s="3" t="s">
        <v>253</v>
      </c>
      <c r="G913" s="11" t="s">
        <v>253</v>
      </c>
      <c r="H913" s="11" t="s">
        <v>253</v>
      </c>
      <c r="I913" s="3" t="s">
        <v>253</v>
      </c>
      <c r="J913" s="3" t="s">
        <v>253</v>
      </c>
      <c r="K913" s="3" t="s">
        <v>253</v>
      </c>
      <c r="L913" s="3" t="s">
        <v>253</v>
      </c>
      <c r="M913" t="str">
        <f>IF(LEN(H913),MATCH(H913,'MPIO_SFIO Table'!$A$11:$A$65525,0)-1,"")</f>
        <v/>
      </c>
      <c r="N913" t="str">
        <f>IF(LEN(I913),MATCH(I913,'MPIO_SFIO Table'!$A$11:$A$65525,0)-1,"")</f>
        <v/>
      </c>
      <c r="O913" t="str">
        <f>IF(LEN(J913),MATCH(J913,'MPIO_SFIO Table'!$A$11:$A$65525,0)-1,"")</f>
        <v/>
      </c>
      <c r="P913" t="str">
        <f>IF(LEN(K913),MATCH(K913,'MPIO_SFIO Table'!$A$11:$A$65525,0)-1,"")</f>
        <v/>
      </c>
      <c r="Q913" t="str">
        <f>IF(LEN(L913),MATCH(L913,'MPIO_SFIO Table'!$A$11:$A$65525,0)-1,"")</f>
        <v/>
      </c>
      <c r="R913" t="str">
        <f ca="1">IF(ISNUMBER(M913),OFFSET('MPIO_SFIO Table'!$AJ$11,M913,0),"")</f>
        <v/>
      </c>
      <c r="S913" t="str">
        <f ca="1">IF(ISNUMBER(N913),OFFSET('MPIO_SFIO Table'!$AJ$11,N913,0),"")</f>
        <v/>
      </c>
      <c r="T913" t="str">
        <f ca="1">IF(ISNUMBER(O913),OFFSET('MPIO_SFIO Table'!$AJ$11,O913,0),"")</f>
        <v/>
      </c>
      <c r="U913" t="str">
        <f ca="1">IF(ISNUMBER(P913),OFFSET('MPIO_SFIO Table'!$AJ$11,P913,0),"")</f>
        <v/>
      </c>
      <c r="V913" t="str">
        <f ca="1">IF(ISNUMBER(Q913),OFFSET('MPIO_SFIO Table'!$AJ$11,Q913,0),"")</f>
        <v/>
      </c>
      <c r="W913">
        <f t="shared" ca="1" si="123"/>
        <v>0</v>
      </c>
      <c r="X913">
        <f t="shared" ca="1" si="124"/>
        <v>0</v>
      </c>
      <c r="Y913">
        <f t="shared" ca="1" si="125"/>
        <v>0</v>
      </c>
      <c r="Z913">
        <f t="shared" ca="1" si="126"/>
        <v>0</v>
      </c>
      <c r="AA913">
        <f t="shared" ca="1" si="127"/>
        <v>0</v>
      </c>
    </row>
    <row r="914" spans="1:27" x14ac:dyDescent="0.25">
      <c r="A914">
        <f t="shared" ca="1" si="120"/>
        <v>0</v>
      </c>
      <c r="B914" t="str">
        <f t="shared" ca="1" si="121"/>
        <v/>
      </c>
      <c r="C914" t="str">
        <f t="shared" si="122"/>
        <v/>
      </c>
      <c r="D914" t="s">
        <v>253</v>
      </c>
      <c r="E914" t="s">
        <v>253</v>
      </c>
      <c r="F914" s="3" t="s">
        <v>253</v>
      </c>
      <c r="G914" s="11" t="s">
        <v>253</v>
      </c>
      <c r="H914" s="11" t="s">
        <v>253</v>
      </c>
      <c r="I914" s="3" t="s">
        <v>253</v>
      </c>
      <c r="J914" s="3" t="s">
        <v>253</v>
      </c>
      <c r="K914" s="3" t="s">
        <v>253</v>
      </c>
      <c r="L914" s="3" t="s">
        <v>253</v>
      </c>
      <c r="M914" t="str">
        <f>IF(LEN(H914),MATCH(H914,'MPIO_SFIO Table'!$A$11:$A$65525,0)-1,"")</f>
        <v/>
      </c>
      <c r="N914" t="str">
        <f>IF(LEN(I914),MATCH(I914,'MPIO_SFIO Table'!$A$11:$A$65525,0)-1,"")</f>
        <v/>
      </c>
      <c r="O914" t="str">
        <f>IF(LEN(J914),MATCH(J914,'MPIO_SFIO Table'!$A$11:$A$65525,0)-1,"")</f>
        <v/>
      </c>
      <c r="P914" t="str">
        <f>IF(LEN(K914),MATCH(K914,'MPIO_SFIO Table'!$A$11:$A$65525,0)-1,"")</f>
        <v/>
      </c>
      <c r="Q914" t="str">
        <f>IF(LEN(L914),MATCH(L914,'MPIO_SFIO Table'!$A$11:$A$65525,0)-1,"")</f>
        <v/>
      </c>
      <c r="R914" t="str">
        <f ca="1">IF(ISNUMBER(M914),OFFSET('MPIO_SFIO Table'!$AJ$11,M914,0),"")</f>
        <v/>
      </c>
      <c r="S914" t="str">
        <f ca="1">IF(ISNUMBER(N914),OFFSET('MPIO_SFIO Table'!$AJ$11,N914,0),"")</f>
        <v/>
      </c>
      <c r="T914" t="str">
        <f ca="1">IF(ISNUMBER(O914),OFFSET('MPIO_SFIO Table'!$AJ$11,O914,0),"")</f>
        <v/>
      </c>
      <c r="U914" t="str">
        <f ca="1">IF(ISNUMBER(P914),OFFSET('MPIO_SFIO Table'!$AJ$11,P914,0),"")</f>
        <v/>
      </c>
      <c r="V914" t="str">
        <f ca="1">IF(ISNUMBER(Q914),OFFSET('MPIO_SFIO Table'!$AJ$11,Q914,0),"")</f>
        <v/>
      </c>
      <c r="W914">
        <f t="shared" ca="1" si="123"/>
        <v>0</v>
      </c>
      <c r="X914">
        <f t="shared" ca="1" si="124"/>
        <v>0</v>
      </c>
      <c r="Y914">
        <f t="shared" ca="1" si="125"/>
        <v>0</v>
      </c>
      <c r="Z914">
        <f t="shared" ca="1" si="126"/>
        <v>0</v>
      </c>
      <c r="AA914">
        <f t="shared" ca="1" si="127"/>
        <v>0</v>
      </c>
    </row>
    <row r="915" spans="1:27" x14ac:dyDescent="0.25">
      <c r="A915">
        <f t="shared" ca="1" si="120"/>
        <v>0</v>
      </c>
      <c r="B915" t="str">
        <f t="shared" ca="1" si="121"/>
        <v/>
      </c>
      <c r="C915" t="str">
        <f t="shared" si="122"/>
        <v/>
      </c>
      <c r="D915" t="s">
        <v>253</v>
      </c>
      <c r="E915" t="s">
        <v>253</v>
      </c>
      <c r="F915" s="3" t="s">
        <v>253</v>
      </c>
      <c r="G915" s="11" t="s">
        <v>253</v>
      </c>
      <c r="H915" s="11" t="s">
        <v>253</v>
      </c>
      <c r="I915" s="3" t="s">
        <v>253</v>
      </c>
      <c r="J915" s="3" t="s">
        <v>253</v>
      </c>
      <c r="K915" s="3" t="s">
        <v>253</v>
      </c>
      <c r="L915" s="3" t="s">
        <v>253</v>
      </c>
      <c r="M915" t="str">
        <f>IF(LEN(H915),MATCH(H915,'MPIO_SFIO Table'!$A$11:$A$65525,0)-1,"")</f>
        <v/>
      </c>
      <c r="N915" t="str">
        <f>IF(LEN(I915),MATCH(I915,'MPIO_SFIO Table'!$A$11:$A$65525,0)-1,"")</f>
        <v/>
      </c>
      <c r="O915" t="str">
        <f>IF(LEN(J915),MATCH(J915,'MPIO_SFIO Table'!$A$11:$A$65525,0)-1,"")</f>
        <v/>
      </c>
      <c r="P915" t="str">
        <f>IF(LEN(K915),MATCH(K915,'MPIO_SFIO Table'!$A$11:$A$65525,0)-1,"")</f>
        <v/>
      </c>
      <c r="Q915" t="str">
        <f>IF(LEN(L915),MATCH(L915,'MPIO_SFIO Table'!$A$11:$A$65525,0)-1,"")</f>
        <v/>
      </c>
      <c r="R915" t="str">
        <f ca="1">IF(ISNUMBER(M915),OFFSET('MPIO_SFIO Table'!$AJ$11,M915,0),"")</f>
        <v/>
      </c>
      <c r="S915" t="str">
        <f ca="1">IF(ISNUMBER(N915),OFFSET('MPIO_SFIO Table'!$AJ$11,N915,0),"")</f>
        <v/>
      </c>
      <c r="T915" t="str">
        <f ca="1">IF(ISNUMBER(O915),OFFSET('MPIO_SFIO Table'!$AJ$11,O915,0),"")</f>
        <v/>
      </c>
      <c r="U915" t="str">
        <f ca="1">IF(ISNUMBER(P915),OFFSET('MPIO_SFIO Table'!$AJ$11,P915,0),"")</f>
        <v/>
      </c>
      <c r="V915" t="str">
        <f ca="1">IF(ISNUMBER(Q915),OFFSET('MPIO_SFIO Table'!$AJ$11,Q915,0),"")</f>
        <v/>
      </c>
      <c r="W915">
        <f t="shared" ca="1" si="123"/>
        <v>0</v>
      </c>
      <c r="X915">
        <f t="shared" ca="1" si="124"/>
        <v>0</v>
      </c>
      <c r="Y915">
        <f t="shared" ca="1" si="125"/>
        <v>0</v>
      </c>
      <c r="Z915">
        <f t="shared" ca="1" si="126"/>
        <v>0</v>
      </c>
      <c r="AA915">
        <f t="shared" ca="1" si="127"/>
        <v>0</v>
      </c>
    </row>
    <row r="916" spans="1:27" x14ac:dyDescent="0.25">
      <c r="A916">
        <f t="shared" ca="1" si="120"/>
        <v>0</v>
      </c>
      <c r="B916" t="str">
        <f t="shared" ca="1" si="121"/>
        <v/>
      </c>
      <c r="C916" t="str">
        <f t="shared" si="122"/>
        <v/>
      </c>
      <c r="D916" t="s">
        <v>253</v>
      </c>
      <c r="E916" t="s">
        <v>253</v>
      </c>
      <c r="F916" s="3" t="s">
        <v>253</v>
      </c>
      <c r="G916" s="11" t="s">
        <v>253</v>
      </c>
      <c r="H916" s="11" t="s">
        <v>253</v>
      </c>
      <c r="I916" s="3" t="s">
        <v>253</v>
      </c>
      <c r="J916" s="3" t="s">
        <v>253</v>
      </c>
      <c r="K916" s="3" t="s">
        <v>253</v>
      </c>
      <c r="L916" s="3" t="s">
        <v>253</v>
      </c>
      <c r="M916" t="str">
        <f>IF(LEN(H916),MATCH(H916,'MPIO_SFIO Table'!$A$11:$A$65525,0)-1,"")</f>
        <v/>
      </c>
      <c r="N916" t="str">
        <f>IF(LEN(I916),MATCH(I916,'MPIO_SFIO Table'!$A$11:$A$65525,0)-1,"")</f>
        <v/>
      </c>
      <c r="O916" t="str">
        <f>IF(LEN(J916),MATCH(J916,'MPIO_SFIO Table'!$A$11:$A$65525,0)-1,"")</f>
        <v/>
      </c>
      <c r="P916" t="str">
        <f>IF(LEN(K916),MATCH(K916,'MPIO_SFIO Table'!$A$11:$A$65525,0)-1,"")</f>
        <v/>
      </c>
      <c r="Q916" t="str">
        <f>IF(LEN(L916),MATCH(L916,'MPIO_SFIO Table'!$A$11:$A$65525,0)-1,"")</f>
        <v/>
      </c>
      <c r="R916" t="str">
        <f ca="1">IF(ISNUMBER(M916),OFFSET('MPIO_SFIO Table'!$AJ$11,M916,0),"")</f>
        <v/>
      </c>
      <c r="S916" t="str">
        <f ca="1">IF(ISNUMBER(N916),OFFSET('MPIO_SFIO Table'!$AJ$11,N916,0),"")</f>
        <v/>
      </c>
      <c r="T916" t="str">
        <f ca="1">IF(ISNUMBER(O916),OFFSET('MPIO_SFIO Table'!$AJ$11,O916,0),"")</f>
        <v/>
      </c>
      <c r="U916" t="str">
        <f ca="1">IF(ISNUMBER(P916),OFFSET('MPIO_SFIO Table'!$AJ$11,P916,0),"")</f>
        <v/>
      </c>
      <c r="V916" t="str">
        <f ca="1">IF(ISNUMBER(Q916),OFFSET('MPIO_SFIO Table'!$AJ$11,Q916,0),"")</f>
        <v/>
      </c>
      <c r="W916">
        <f t="shared" ca="1" si="123"/>
        <v>0</v>
      </c>
      <c r="X916">
        <f t="shared" ca="1" si="124"/>
        <v>0</v>
      </c>
      <c r="Y916">
        <f t="shared" ca="1" si="125"/>
        <v>0</v>
      </c>
      <c r="Z916">
        <f t="shared" ca="1" si="126"/>
        <v>0</v>
      </c>
      <c r="AA916">
        <f t="shared" ca="1" si="127"/>
        <v>0</v>
      </c>
    </row>
    <row r="917" spans="1:27" x14ac:dyDescent="0.25">
      <c r="A917">
        <f t="shared" ca="1" si="120"/>
        <v>0</v>
      </c>
      <c r="B917" t="str">
        <f t="shared" ca="1" si="121"/>
        <v/>
      </c>
      <c r="C917" t="str">
        <f t="shared" si="122"/>
        <v/>
      </c>
      <c r="D917" t="s">
        <v>253</v>
      </c>
      <c r="E917" t="s">
        <v>253</v>
      </c>
      <c r="F917" s="3" t="s">
        <v>253</v>
      </c>
      <c r="G917" s="11" t="s">
        <v>253</v>
      </c>
      <c r="H917" s="11" t="s">
        <v>253</v>
      </c>
      <c r="I917" s="3" t="s">
        <v>253</v>
      </c>
      <c r="J917" s="3" t="s">
        <v>253</v>
      </c>
      <c r="K917" s="3" t="s">
        <v>253</v>
      </c>
      <c r="L917" s="3" t="s">
        <v>253</v>
      </c>
      <c r="M917" t="str">
        <f>IF(LEN(H917),MATCH(H917,'MPIO_SFIO Table'!$A$11:$A$65525,0)-1,"")</f>
        <v/>
      </c>
      <c r="N917" t="str">
        <f>IF(LEN(I917),MATCH(I917,'MPIO_SFIO Table'!$A$11:$A$65525,0)-1,"")</f>
        <v/>
      </c>
      <c r="O917" t="str">
        <f>IF(LEN(J917),MATCH(J917,'MPIO_SFIO Table'!$A$11:$A$65525,0)-1,"")</f>
        <v/>
      </c>
      <c r="P917" t="str">
        <f>IF(LEN(K917),MATCH(K917,'MPIO_SFIO Table'!$A$11:$A$65525,0)-1,"")</f>
        <v/>
      </c>
      <c r="Q917" t="str">
        <f>IF(LEN(L917),MATCH(L917,'MPIO_SFIO Table'!$A$11:$A$65525,0)-1,"")</f>
        <v/>
      </c>
      <c r="R917" t="str">
        <f ca="1">IF(ISNUMBER(M917),OFFSET('MPIO_SFIO Table'!$AJ$11,M917,0),"")</f>
        <v/>
      </c>
      <c r="S917" t="str">
        <f ca="1">IF(ISNUMBER(N917),OFFSET('MPIO_SFIO Table'!$AJ$11,N917,0),"")</f>
        <v/>
      </c>
      <c r="T917" t="str">
        <f ca="1">IF(ISNUMBER(O917),OFFSET('MPIO_SFIO Table'!$AJ$11,O917,0),"")</f>
        <v/>
      </c>
      <c r="U917" t="str">
        <f ca="1">IF(ISNUMBER(P917),OFFSET('MPIO_SFIO Table'!$AJ$11,P917,0),"")</f>
        <v/>
      </c>
      <c r="V917" t="str">
        <f ca="1">IF(ISNUMBER(Q917),OFFSET('MPIO_SFIO Table'!$AJ$11,Q917,0),"")</f>
        <v/>
      </c>
      <c r="W917">
        <f t="shared" ca="1" si="123"/>
        <v>0</v>
      </c>
      <c r="X917">
        <f t="shared" ca="1" si="124"/>
        <v>0</v>
      </c>
      <c r="Y917">
        <f t="shared" ca="1" si="125"/>
        <v>0</v>
      </c>
      <c r="Z917">
        <f t="shared" ca="1" si="126"/>
        <v>0</v>
      </c>
      <c r="AA917">
        <f t="shared" ca="1" si="127"/>
        <v>0</v>
      </c>
    </row>
    <row r="918" spans="1:27" x14ac:dyDescent="0.25">
      <c r="A918">
        <f t="shared" ca="1" si="120"/>
        <v>0</v>
      </c>
      <c r="B918" t="str">
        <f t="shared" ca="1" si="121"/>
        <v/>
      </c>
      <c r="C918" t="str">
        <f t="shared" si="122"/>
        <v/>
      </c>
      <c r="D918" t="s">
        <v>253</v>
      </c>
      <c r="E918" t="s">
        <v>253</v>
      </c>
      <c r="F918" s="3" t="s">
        <v>253</v>
      </c>
      <c r="G918" s="11" t="s">
        <v>253</v>
      </c>
      <c r="H918" s="11" t="s">
        <v>253</v>
      </c>
      <c r="I918" s="3" t="s">
        <v>253</v>
      </c>
      <c r="J918" s="3" t="s">
        <v>253</v>
      </c>
      <c r="K918" s="3" t="s">
        <v>253</v>
      </c>
      <c r="L918" s="3" t="s">
        <v>253</v>
      </c>
      <c r="M918" t="str">
        <f>IF(LEN(H918),MATCH(H918,'MPIO_SFIO Table'!$A$11:$A$65525,0)-1,"")</f>
        <v/>
      </c>
      <c r="N918" t="str">
        <f>IF(LEN(I918),MATCH(I918,'MPIO_SFIO Table'!$A$11:$A$65525,0)-1,"")</f>
        <v/>
      </c>
      <c r="O918" t="str">
        <f>IF(LEN(J918),MATCH(J918,'MPIO_SFIO Table'!$A$11:$A$65525,0)-1,"")</f>
        <v/>
      </c>
      <c r="P918" t="str">
        <f>IF(LEN(K918),MATCH(K918,'MPIO_SFIO Table'!$A$11:$A$65525,0)-1,"")</f>
        <v/>
      </c>
      <c r="Q918" t="str">
        <f>IF(LEN(L918),MATCH(L918,'MPIO_SFIO Table'!$A$11:$A$65525,0)-1,"")</f>
        <v/>
      </c>
      <c r="R918" t="str">
        <f ca="1">IF(ISNUMBER(M918),OFFSET('MPIO_SFIO Table'!$AJ$11,M918,0),"")</f>
        <v/>
      </c>
      <c r="S918" t="str">
        <f ca="1">IF(ISNUMBER(N918),OFFSET('MPIO_SFIO Table'!$AJ$11,N918,0),"")</f>
        <v/>
      </c>
      <c r="T918" t="str">
        <f ca="1">IF(ISNUMBER(O918),OFFSET('MPIO_SFIO Table'!$AJ$11,O918,0),"")</f>
        <v/>
      </c>
      <c r="U918" t="str">
        <f ca="1">IF(ISNUMBER(P918),OFFSET('MPIO_SFIO Table'!$AJ$11,P918,0),"")</f>
        <v/>
      </c>
      <c r="V918" t="str">
        <f ca="1">IF(ISNUMBER(Q918),OFFSET('MPIO_SFIO Table'!$AJ$11,Q918,0),"")</f>
        <v/>
      </c>
      <c r="W918">
        <f t="shared" ca="1" si="123"/>
        <v>0</v>
      </c>
      <c r="X918">
        <f t="shared" ca="1" si="124"/>
        <v>0</v>
      </c>
      <c r="Y918">
        <f t="shared" ca="1" si="125"/>
        <v>0</v>
      </c>
      <c r="Z918">
        <f t="shared" ca="1" si="126"/>
        <v>0</v>
      </c>
      <c r="AA918">
        <f t="shared" ca="1" si="127"/>
        <v>0</v>
      </c>
    </row>
    <row r="919" spans="1:27" x14ac:dyDescent="0.25">
      <c r="A919">
        <f t="shared" ca="1" si="120"/>
        <v>0</v>
      </c>
      <c r="B919" t="str">
        <f t="shared" ca="1" si="121"/>
        <v/>
      </c>
      <c r="C919" t="str">
        <f t="shared" si="122"/>
        <v/>
      </c>
      <c r="D919" t="s">
        <v>253</v>
      </c>
      <c r="E919" t="s">
        <v>253</v>
      </c>
      <c r="F919" s="3" t="s">
        <v>253</v>
      </c>
      <c r="G919" s="11" t="s">
        <v>253</v>
      </c>
      <c r="H919" s="11" t="s">
        <v>253</v>
      </c>
      <c r="I919" s="3" t="s">
        <v>253</v>
      </c>
      <c r="J919" s="3" t="s">
        <v>253</v>
      </c>
      <c r="K919" s="3" t="s">
        <v>253</v>
      </c>
      <c r="L919" s="3" t="s">
        <v>253</v>
      </c>
      <c r="M919" t="str">
        <f>IF(LEN(H919),MATCH(H919,'MPIO_SFIO Table'!$A$11:$A$65525,0)-1,"")</f>
        <v/>
      </c>
      <c r="N919" t="str">
        <f>IF(LEN(I919),MATCH(I919,'MPIO_SFIO Table'!$A$11:$A$65525,0)-1,"")</f>
        <v/>
      </c>
      <c r="O919" t="str">
        <f>IF(LEN(J919),MATCH(J919,'MPIO_SFIO Table'!$A$11:$A$65525,0)-1,"")</f>
        <v/>
      </c>
      <c r="P919" t="str">
        <f>IF(LEN(K919),MATCH(K919,'MPIO_SFIO Table'!$A$11:$A$65525,0)-1,"")</f>
        <v/>
      </c>
      <c r="Q919" t="str">
        <f>IF(LEN(L919),MATCH(L919,'MPIO_SFIO Table'!$A$11:$A$65525,0)-1,"")</f>
        <v/>
      </c>
      <c r="R919" t="str">
        <f ca="1">IF(ISNUMBER(M919),OFFSET('MPIO_SFIO Table'!$AJ$11,M919,0),"")</f>
        <v/>
      </c>
      <c r="S919" t="str">
        <f ca="1">IF(ISNUMBER(N919),OFFSET('MPIO_SFIO Table'!$AJ$11,N919,0),"")</f>
        <v/>
      </c>
      <c r="T919" t="str">
        <f ca="1">IF(ISNUMBER(O919),OFFSET('MPIO_SFIO Table'!$AJ$11,O919,0),"")</f>
        <v/>
      </c>
      <c r="U919" t="str">
        <f ca="1">IF(ISNUMBER(P919),OFFSET('MPIO_SFIO Table'!$AJ$11,P919,0),"")</f>
        <v/>
      </c>
      <c r="V919" t="str">
        <f ca="1">IF(ISNUMBER(Q919),OFFSET('MPIO_SFIO Table'!$AJ$11,Q919,0),"")</f>
        <v/>
      </c>
      <c r="W919">
        <f t="shared" ca="1" si="123"/>
        <v>0</v>
      </c>
      <c r="X919">
        <f t="shared" ca="1" si="124"/>
        <v>0</v>
      </c>
      <c r="Y919">
        <f t="shared" ca="1" si="125"/>
        <v>0</v>
      </c>
      <c r="Z919">
        <f t="shared" ca="1" si="126"/>
        <v>0</v>
      </c>
      <c r="AA919">
        <f t="shared" ca="1" si="127"/>
        <v>0</v>
      </c>
    </row>
    <row r="920" spans="1:27" x14ac:dyDescent="0.25">
      <c r="A920">
        <f t="shared" ca="1" si="120"/>
        <v>0</v>
      </c>
      <c r="B920" t="str">
        <f t="shared" ca="1" si="121"/>
        <v/>
      </c>
      <c r="C920" t="str">
        <f t="shared" si="122"/>
        <v/>
      </c>
      <c r="D920" t="s">
        <v>253</v>
      </c>
      <c r="E920" t="s">
        <v>253</v>
      </c>
      <c r="F920" s="3" t="s">
        <v>253</v>
      </c>
      <c r="G920" s="11" t="s">
        <v>253</v>
      </c>
      <c r="H920" s="11" t="s">
        <v>253</v>
      </c>
      <c r="I920" s="3" t="s">
        <v>253</v>
      </c>
      <c r="J920" s="3" t="s">
        <v>253</v>
      </c>
      <c r="K920" s="3" t="s">
        <v>253</v>
      </c>
      <c r="L920" s="3" t="s">
        <v>253</v>
      </c>
      <c r="M920" t="str">
        <f>IF(LEN(H920),MATCH(H920,'MPIO_SFIO Table'!$A$11:$A$65525,0)-1,"")</f>
        <v/>
      </c>
      <c r="N920" t="str">
        <f>IF(LEN(I920),MATCH(I920,'MPIO_SFIO Table'!$A$11:$A$65525,0)-1,"")</f>
        <v/>
      </c>
      <c r="O920" t="str">
        <f>IF(LEN(J920),MATCH(J920,'MPIO_SFIO Table'!$A$11:$A$65525,0)-1,"")</f>
        <v/>
      </c>
      <c r="P920" t="str">
        <f>IF(LEN(K920),MATCH(K920,'MPIO_SFIO Table'!$A$11:$A$65525,0)-1,"")</f>
        <v/>
      </c>
      <c r="Q920" t="str">
        <f>IF(LEN(L920),MATCH(L920,'MPIO_SFIO Table'!$A$11:$A$65525,0)-1,"")</f>
        <v/>
      </c>
      <c r="R920" t="str">
        <f ca="1">IF(ISNUMBER(M920),OFFSET('MPIO_SFIO Table'!$AJ$11,M920,0),"")</f>
        <v/>
      </c>
      <c r="S920" t="str">
        <f ca="1">IF(ISNUMBER(N920),OFFSET('MPIO_SFIO Table'!$AJ$11,N920,0),"")</f>
        <v/>
      </c>
      <c r="T920" t="str">
        <f ca="1">IF(ISNUMBER(O920),OFFSET('MPIO_SFIO Table'!$AJ$11,O920,0),"")</f>
        <v/>
      </c>
      <c r="U920" t="str">
        <f ca="1">IF(ISNUMBER(P920),OFFSET('MPIO_SFIO Table'!$AJ$11,P920,0),"")</f>
        <v/>
      </c>
      <c r="V920" t="str">
        <f ca="1">IF(ISNUMBER(Q920),OFFSET('MPIO_SFIO Table'!$AJ$11,Q920,0),"")</f>
        <v/>
      </c>
      <c r="W920">
        <f t="shared" ca="1" si="123"/>
        <v>0</v>
      </c>
      <c r="X920">
        <f t="shared" ca="1" si="124"/>
        <v>0</v>
      </c>
      <c r="Y920">
        <f t="shared" ca="1" si="125"/>
        <v>0</v>
      </c>
      <c r="Z920">
        <f t="shared" ca="1" si="126"/>
        <v>0</v>
      </c>
      <c r="AA920">
        <f t="shared" ca="1" si="127"/>
        <v>0</v>
      </c>
    </row>
    <row r="921" spans="1:27" x14ac:dyDescent="0.25">
      <c r="A921">
        <f t="shared" ca="1" si="120"/>
        <v>0</v>
      </c>
      <c r="B921" t="str">
        <f t="shared" ca="1" si="121"/>
        <v/>
      </c>
      <c r="C921" t="str">
        <f t="shared" si="122"/>
        <v/>
      </c>
      <c r="D921" t="s">
        <v>253</v>
      </c>
      <c r="E921" t="s">
        <v>253</v>
      </c>
      <c r="F921" s="3" t="s">
        <v>253</v>
      </c>
      <c r="G921" s="11" t="s">
        <v>253</v>
      </c>
      <c r="H921" s="11" t="s">
        <v>253</v>
      </c>
      <c r="I921" s="3" t="s">
        <v>253</v>
      </c>
      <c r="J921" s="3" t="s">
        <v>253</v>
      </c>
      <c r="K921" s="3" t="s">
        <v>253</v>
      </c>
      <c r="L921" s="3" t="s">
        <v>253</v>
      </c>
      <c r="M921" t="str">
        <f>IF(LEN(H921),MATCH(H921,'MPIO_SFIO Table'!$A$11:$A$65525,0)-1,"")</f>
        <v/>
      </c>
      <c r="N921" t="str">
        <f>IF(LEN(I921),MATCH(I921,'MPIO_SFIO Table'!$A$11:$A$65525,0)-1,"")</f>
        <v/>
      </c>
      <c r="O921" t="str">
        <f>IF(LEN(J921),MATCH(J921,'MPIO_SFIO Table'!$A$11:$A$65525,0)-1,"")</f>
        <v/>
      </c>
      <c r="P921" t="str">
        <f>IF(LEN(K921),MATCH(K921,'MPIO_SFIO Table'!$A$11:$A$65525,0)-1,"")</f>
        <v/>
      </c>
      <c r="Q921" t="str">
        <f>IF(LEN(L921),MATCH(L921,'MPIO_SFIO Table'!$A$11:$A$65525,0)-1,"")</f>
        <v/>
      </c>
      <c r="R921" t="str">
        <f ca="1">IF(ISNUMBER(M921),OFFSET('MPIO_SFIO Table'!$AJ$11,M921,0),"")</f>
        <v/>
      </c>
      <c r="S921" t="str">
        <f ca="1">IF(ISNUMBER(N921),OFFSET('MPIO_SFIO Table'!$AJ$11,N921,0),"")</f>
        <v/>
      </c>
      <c r="T921" t="str">
        <f ca="1">IF(ISNUMBER(O921),OFFSET('MPIO_SFIO Table'!$AJ$11,O921,0),"")</f>
        <v/>
      </c>
      <c r="U921" t="str">
        <f ca="1">IF(ISNUMBER(P921),OFFSET('MPIO_SFIO Table'!$AJ$11,P921,0),"")</f>
        <v/>
      </c>
      <c r="V921" t="str">
        <f ca="1">IF(ISNUMBER(Q921),OFFSET('MPIO_SFIO Table'!$AJ$11,Q921,0),"")</f>
        <v/>
      </c>
      <c r="W921">
        <f t="shared" ca="1" si="123"/>
        <v>0</v>
      </c>
      <c r="X921">
        <f t="shared" ca="1" si="124"/>
        <v>0</v>
      </c>
      <c r="Y921">
        <f t="shared" ca="1" si="125"/>
        <v>0</v>
      </c>
      <c r="Z921">
        <f t="shared" ca="1" si="126"/>
        <v>0</v>
      </c>
      <c r="AA921">
        <f t="shared" ca="1" si="127"/>
        <v>0</v>
      </c>
    </row>
    <row r="922" spans="1:27" x14ac:dyDescent="0.25">
      <c r="A922">
        <f t="shared" ca="1" si="120"/>
        <v>0</v>
      </c>
      <c r="B922" t="str">
        <f t="shared" ca="1" si="121"/>
        <v/>
      </c>
      <c r="C922" t="str">
        <f t="shared" si="122"/>
        <v/>
      </c>
      <c r="D922" t="s">
        <v>253</v>
      </c>
      <c r="E922" t="s">
        <v>253</v>
      </c>
      <c r="F922" s="3" t="s">
        <v>253</v>
      </c>
      <c r="G922" s="11" t="s">
        <v>253</v>
      </c>
      <c r="H922" s="11" t="s">
        <v>253</v>
      </c>
      <c r="I922" s="3" t="s">
        <v>253</v>
      </c>
      <c r="J922" s="3" t="s">
        <v>253</v>
      </c>
      <c r="K922" s="3" t="s">
        <v>253</v>
      </c>
      <c r="L922" s="3" t="s">
        <v>253</v>
      </c>
      <c r="M922" t="str">
        <f>IF(LEN(H922),MATCH(H922,'MPIO_SFIO Table'!$A$11:$A$65525,0)-1,"")</f>
        <v/>
      </c>
      <c r="N922" t="str">
        <f>IF(LEN(I922),MATCH(I922,'MPIO_SFIO Table'!$A$11:$A$65525,0)-1,"")</f>
        <v/>
      </c>
      <c r="O922" t="str">
        <f>IF(LEN(J922),MATCH(J922,'MPIO_SFIO Table'!$A$11:$A$65525,0)-1,"")</f>
        <v/>
      </c>
      <c r="P922" t="str">
        <f>IF(LEN(K922),MATCH(K922,'MPIO_SFIO Table'!$A$11:$A$65525,0)-1,"")</f>
        <v/>
      </c>
      <c r="Q922" t="str">
        <f>IF(LEN(L922),MATCH(L922,'MPIO_SFIO Table'!$A$11:$A$65525,0)-1,"")</f>
        <v/>
      </c>
      <c r="R922" t="str">
        <f ca="1">IF(ISNUMBER(M922),OFFSET('MPIO_SFIO Table'!$AJ$11,M922,0),"")</f>
        <v/>
      </c>
      <c r="S922" t="str">
        <f ca="1">IF(ISNUMBER(N922),OFFSET('MPIO_SFIO Table'!$AJ$11,N922,0),"")</f>
        <v/>
      </c>
      <c r="T922" t="str">
        <f ca="1">IF(ISNUMBER(O922),OFFSET('MPIO_SFIO Table'!$AJ$11,O922,0),"")</f>
        <v/>
      </c>
      <c r="U922" t="str">
        <f ca="1">IF(ISNUMBER(P922),OFFSET('MPIO_SFIO Table'!$AJ$11,P922,0),"")</f>
        <v/>
      </c>
      <c r="V922" t="str">
        <f ca="1">IF(ISNUMBER(Q922),OFFSET('MPIO_SFIO Table'!$AJ$11,Q922,0),"")</f>
        <v/>
      </c>
      <c r="W922">
        <f t="shared" ca="1" si="123"/>
        <v>0</v>
      </c>
      <c r="X922">
        <f t="shared" ca="1" si="124"/>
        <v>0</v>
      </c>
      <c r="Y922">
        <f t="shared" ca="1" si="125"/>
        <v>0</v>
      </c>
      <c r="Z922">
        <f t="shared" ca="1" si="126"/>
        <v>0</v>
      </c>
      <c r="AA922">
        <f t="shared" ca="1" si="127"/>
        <v>0</v>
      </c>
    </row>
    <row r="923" spans="1:27" x14ac:dyDescent="0.25">
      <c r="A923">
        <f t="shared" ca="1" si="120"/>
        <v>0</v>
      </c>
      <c r="B923" t="str">
        <f t="shared" ca="1" si="121"/>
        <v/>
      </c>
      <c r="C923" t="str">
        <f t="shared" si="122"/>
        <v/>
      </c>
      <c r="D923" t="s">
        <v>253</v>
      </c>
      <c r="E923" t="s">
        <v>253</v>
      </c>
      <c r="F923" s="3" t="s">
        <v>253</v>
      </c>
      <c r="G923" s="11" t="s">
        <v>253</v>
      </c>
      <c r="H923" s="11" t="s">
        <v>253</v>
      </c>
      <c r="I923" s="3" t="s">
        <v>253</v>
      </c>
      <c r="J923" s="3" t="s">
        <v>253</v>
      </c>
      <c r="K923" s="3" t="s">
        <v>253</v>
      </c>
      <c r="L923" s="3" t="s">
        <v>253</v>
      </c>
      <c r="M923" t="str">
        <f>IF(LEN(H923),MATCH(H923,'MPIO_SFIO Table'!$A$11:$A$65525,0)-1,"")</f>
        <v/>
      </c>
      <c r="N923" t="str">
        <f>IF(LEN(I923),MATCH(I923,'MPIO_SFIO Table'!$A$11:$A$65525,0)-1,"")</f>
        <v/>
      </c>
      <c r="O923" t="str">
        <f>IF(LEN(J923),MATCH(J923,'MPIO_SFIO Table'!$A$11:$A$65525,0)-1,"")</f>
        <v/>
      </c>
      <c r="P923" t="str">
        <f>IF(LEN(K923),MATCH(K923,'MPIO_SFIO Table'!$A$11:$A$65525,0)-1,"")</f>
        <v/>
      </c>
      <c r="Q923" t="str">
        <f>IF(LEN(L923),MATCH(L923,'MPIO_SFIO Table'!$A$11:$A$65525,0)-1,"")</f>
        <v/>
      </c>
      <c r="R923" t="str">
        <f ca="1">IF(ISNUMBER(M923),OFFSET('MPIO_SFIO Table'!$AJ$11,M923,0),"")</f>
        <v/>
      </c>
      <c r="S923" t="str">
        <f ca="1">IF(ISNUMBER(N923),OFFSET('MPIO_SFIO Table'!$AJ$11,N923,0),"")</f>
        <v/>
      </c>
      <c r="T923" t="str">
        <f ca="1">IF(ISNUMBER(O923),OFFSET('MPIO_SFIO Table'!$AJ$11,O923,0),"")</f>
        <v/>
      </c>
      <c r="U923" t="str">
        <f ca="1">IF(ISNUMBER(P923),OFFSET('MPIO_SFIO Table'!$AJ$11,P923,0),"")</f>
        <v/>
      </c>
      <c r="V923" t="str">
        <f ca="1">IF(ISNUMBER(Q923),OFFSET('MPIO_SFIO Table'!$AJ$11,Q923,0),"")</f>
        <v/>
      </c>
      <c r="W923">
        <f t="shared" ca="1" si="123"/>
        <v>0</v>
      </c>
      <c r="X923">
        <f t="shared" ca="1" si="124"/>
        <v>0</v>
      </c>
      <c r="Y923">
        <f t="shared" ca="1" si="125"/>
        <v>0</v>
      </c>
      <c r="Z923">
        <f t="shared" ca="1" si="126"/>
        <v>0</v>
      </c>
      <c r="AA923">
        <f t="shared" ca="1" si="127"/>
        <v>0</v>
      </c>
    </row>
    <row r="924" spans="1:27" x14ac:dyDescent="0.25">
      <c r="A924">
        <f t="shared" ca="1" si="120"/>
        <v>0</v>
      </c>
      <c r="B924" t="str">
        <f t="shared" ca="1" si="121"/>
        <v/>
      </c>
      <c r="C924" t="str">
        <f t="shared" si="122"/>
        <v/>
      </c>
      <c r="D924" t="s">
        <v>253</v>
      </c>
      <c r="E924" t="s">
        <v>253</v>
      </c>
      <c r="F924" s="3" t="s">
        <v>253</v>
      </c>
      <c r="G924" s="11" t="s">
        <v>253</v>
      </c>
      <c r="H924" s="11" t="s">
        <v>253</v>
      </c>
      <c r="I924" s="3" t="s">
        <v>253</v>
      </c>
      <c r="J924" s="3" t="s">
        <v>253</v>
      </c>
      <c r="K924" s="3" t="s">
        <v>253</v>
      </c>
      <c r="L924" s="3" t="s">
        <v>253</v>
      </c>
      <c r="M924" t="str">
        <f>IF(LEN(H924),MATCH(H924,'MPIO_SFIO Table'!$A$11:$A$65525,0)-1,"")</f>
        <v/>
      </c>
      <c r="N924" t="str">
        <f>IF(LEN(I924),MATCH(I924,'MPIO_SFIO Table'!$A$11:$A$65525,0)-1,"")</f>
        <v/>
      </c>
      <c r="O924" t="str">
        <f>IF(LEN(J924),MATCH(J924,'MPIO_SFIO Table'!$A$11:$A$65525,0)-1,"")</f>
        <v/>
      </c>
      <c r="P924" t="str">
        <f>IF(LEN(K924),MATCH(K924,'MPIO_SFIO Table'!$A$11:$A$65525,0)-1,"")</f>
        <v/>
      </c>
      <c r="Q924" t="str">
        <f>IF(LEN(L924),MATCH(L924,'MPIO_SFIO Table'!$A$11:$A$65525,0)-1,"")</f>
        <v/>
      </c>
      <c r="R924" t="str">
        <f ca="1">IF(ISNUMBER(M924),OFFSET('MPIO_SFIO Table'!$AJ$11,M924,0),"")</f>
        <v/>
      </c>
      <c r="S924" t="str">
        <f ca="1">IF(ISNUMBER(N924),OFFSET('MPIO_SFIO Table'!$AJ$11,N924,0),"")</f>
        <v/>
      </c>
      <c r="T924" t="str">
        <f ca="1">IF(ISNUMBER(O924),OFFSET('MPIO_SFIO Table'!$AJ$11,O924,0),"")</f>
        <v/>
      </c>
      <c r="U924" t="str">
        <f ca="1">IF(ISNUMBER(P924),OFFSET('MPIO_SFIO Table'!$AJ$11,P924,0),"")</f>
        <v/>
      </c>
      <c r="V924" t="str">
        <f ca="1">IF(ISNUMBER(Q924),OFFSET('MPIO_SFIO Table'!$AJ$11,Q924,0),"")</f>
        <v/>
      </c>
      <c r="W924">
        <f t="shared" ca="1" si="123"/>
        <v>0</v>
      </c>
      <c r="X924">
        <f t="shared" ca="1" si="124"/>
        <v>0</v>
      </c>
      <c r="Y924">
        <f t="shared" ca="1" si="125"/>
        <v>0</v>
      </c>
      <c r="Z924">
        <f t="shared" ca="1" si="126"/>
        <v>0</v>
      </c>
      <c r="AA924">
        <f t="shared" ca="1" si="127"/>
        <v>0</v>
      </c>
    </row>
    <row r="925" spans="1:27" x14ac:dyDescent="0.25">
      <c r="A925">
        <f t="shared" ca="1" si="120"/>
        <v>0</v>
      </c>
      <c r="B925" t="str">
        <f t="shared" ca="1" si="121"/>
        <v/>
      </c>
      <c r="C925" t="str">
        <f t="shared" si="122"/>
        <v/>
      </c>
      <c r="D925" t="s">
        <v>253</v>
      </c>
      <c r="E925" t="s">
        <v>253</v>
      </c>
      <c r="F925" s="3" t="s">
        <v>253</v>
      </c>
      <c r="G925" s="11" t="s">
        <v>253</v>
      </c>
      <c r="H925" s="11" t="s">
        <v>253</v>
      </c>
      <c r="I925" s="3" t="s">
        <v>253</v>
      </c>
      <c r="J925" s="3" t="s">
        <v>253</v>
      </c>
      <c r="K925" s="3" t="s">
        <v>253</v>
      </c>
      <c r="L925" s="3" t="s">
        <v>253</v>
      </c>
      <c r="M925" t="str">
        <f>IF(LEN(H925),MATCH(H925,'MPIO_SFIO Table'!$A$11:$A$65525,0)-1,"")</f>
        <v/>
      </c>
      <c r="N925" t="str">
        <f>IF(LEN(I925),MATCH(I925,'MPIO_SFIO Table'!$A$11:$A$65525,0)-1,"")</f>
        <v/>
      </c>
      <c r="O925" t="str">
        <f>IF(LEN(J925),MATCH(J925,'MPIO_SFIO Table'!$A$11:$A$65525,0)-1,"")</f>
        <v/>
      </c>
      <c r="P925" t="str">
        <f>IF(LEN(K925),MATCH(K925,'MPIO_SFIO Table'!$A$11:$A$65525,0)-1,"")</f>
        <v/>
      </c>
      <c r="Q925" t="str">
        <f>IF(LEN(L925),MATCH(L925,'MPIO_SFIO Table'!$A$11:$A$65525,0)-1,"")</f>
        <v/>
      </c>
      <c r="R925" t="str">
        <f ca="1">IF(ISNUMBER(M925),OFFSET('MPIO_SFIO Table'!$AJ$11,M925,0),"")</f>
        <v/>
      </c>
      <c r="S925" t="str">
        <f ca="1">IF(ISNUMBER(N925),OFFSET('MPIO_SFIO Table'!$AJ$11,N925,0),"")</f>
        <v/>
      </c>
      <c r="T925" t="str">
        <f ca="1">IF(ISNUMBER(O925),OFFSET('MPIO_SFIO Table'!$AJ$11,O925,0),"")</f>
        <v/>
      </c>
      <c r="U925" t="str">
        <f ca="1">IF(ISNUMBER(P925),OFFSET('MPIO_SFIO Table'!$AJ$11,P925,0),"")</f>
        <v/>
      </c>
      <c r="V925" t="str">
        <f ca="1">IF(ISNUMBER(Q925),OFFSET('MPIO_SFIO Table'!$AJ$11,Q925,0),"")</f>
        <v/>
      </c>
      <c r="W925">
        <f t="shared" ca="1" si="123"/>
        <v>0</v>
      </c>
      <c r="X925">
        <f t="shared" ca="1" si="124"/>
        <v>0</v>
      </c>
      <c r="Y925">
        <f t="shared" ca="1" si="125"/>
        <v>0</v>
      </c>
      <c r="Z925">
        <f t="shared" ca="1" si="126"/>
        <v>0</v>
      </c>
      <c r="AA925">
        <f t="shared" ca="1" si="127"/>
        <v>0</v>
      </c>
    </row>
    <row r="926" spans="1:27" x14ac:dyDescent="0.25">
      <c r="A926">
        <f t="shared" ca="1" si="120"/>
        <v>0</v>
      </c>
      <c r="B926" t="str">
        <f t="shared" ca="1" si="121"/>
        <v/>
      </c>
      <c r="C926" t="str">
        <f t="shared" si="122"/>
        <v/>
      </c>
      <c r="D926" t="s">
        <v>253</v>
      </c>
      <c r="E926" t="s">
        <v>253</v>
      </c>
      <c r="F926" s="3" t="s">
        <v>253</v>
      </c>
      <c r="G926" s="11" t="s">
        <v>253</v>
      </c>
      <c r="H926" s="11" t="s">
        <v>253</v>
      </c>
      <c r="I926" s="3" t="s">
        <v>253</v>
      </c>
      <c r="J926" s="3" t="s">
        <v>253</v>
      </c>
      <c r="K926" s="3" t="s">
        <v>253</v>
      </c>
      <c r="L926" s="3" t="s">
        <v>253</v>
      </c>
      <c r="M926" t="str">
        <f>IF(LEN(H926),MATCH(H926,'MPIO_SFIO Table'!$A$11:$A$65525,0)-1,"")</f>
        <v/>
      </c>
      <c r="N926" t="str">
        <f>IF(LEN(I926),MATCH(I926,'MPIO_SFIO Table'!$A$11:$A$65525,0)-1,"")</f>
        <v/>
      </c>
      <c r="O926" t="str">
        <f>IF(LEN(J926),MATCH(J926,'MPIO_SFIO Table'!$A$11:$A$65525,0)-1,"")</f>
        <v/>
      </c>
      <c r="P926" t="str">
        <f>IF(LEN(K926),MATCH(K926,'MPIO_SFIO Table'!$A$11:$A$65525,0)-1,"")</f>
        <v/>
      </c>
      <c r="Q926" t="str">
        <f>IF(LEN(L926),MATCH(L926,'MPIO_SFIO Table'!$A$11:$A$65525,0)-1,"")</f>
        <v/>
      </c>
      <c r="R926" t="str">
        <f ca="1">IF(ISNUMBER(M926),OFFSET('MPIO_SFIO Table'!$AJ$11,M926,0),"")</f>
        <v/>
      </c>
      <c r="S926" t="str">
        <f ca="1">IF(ISNUMBER(N926),OFFSET('MPIO_SFIO Table'!$AJ$11,N926,0),"")</f>
        <v/>
      </c>
      <c r="T926" t="str">
        <f ca="1">IF(ISNUMBER(O926),OFFSET('MPIO_SFIO Table'!$AJ$11,O926,0),"")</f>
        <v/>
      </c>
      <c r="U926" t="str">
        <f ca="1">IF(ISNUMBER(P926),OFFSET('MPIO_SFIO Table'!$AJ$11,P926,0),"")</f>
        <v/>
      </c>
      <c r="V926" t="str">
        <f ca="1">IF(ISNUMBER(Q926),OFFSET('MPIO_SFIO Table'!$AJ$11,Q926,0),"")</f>
        <v/>
      </c>
      <c r="W926">
        <f t="shared" ca="1" si="123"/>
        <v>0</v>
      </c>
      <c r="X926">
        <f t="shared" ca="1" si="124"/>
        <v>0</v>
      </c>
      <c r="Y926">
        <f t="shared" ca="1" si="125"/>
        <v>0</v>
      </c>
      <c r="Z926">
        <f t="shared" ca="1" si="126"/>
        <v>0</v>
      </c>
      <c r="AA926">
        <f t="shared" ca="1" si="127"/>
        <v>0</v>
      </c>
    </row>
    <row r="927" spans="1:27" x14ac:dyDescent="0.25">
      <c r="A927">
        <f t="shared" ca="1" si="120"/>
        <v>0</v>
      </c>
      <c r="B927" t="str">
        <f t="shared" ca="1" si="121"/>
        <v/>
      </c>
      <c r="C927" t="str">
        <f t="shared" si="122"/>
        <v/>
      </c>
      <c r="D927" t="s">
        <v>253</v>
      </c>
      <c r="E927" t="s">
        <v>253</v>
      </c>
      <c r="F927" s="3" t="s">
        <v>253</v>
      </c>
      <c r="G927" s="11" t="s">
        <v>253</v>
      </c>
      <c r="H927" s="11" t="s">
        <v>253</v>
      </c>
      <c r="I927" s="3" t="s">
        <v>253</v>
      </c>
      <c r="J927" s="3" t="s">
        <v>253</v>
      </c>
      <c r="K927" s="3" t="s">
        <v>253</v>
      </c>
      <c r="L927" s="3" t="s">
        <v>253</v>
      </c>
      <c r="M927" t="str">
        <f>IF(LEN(H927),MATCH(H927,'MPIO_SFIO Table'!$A$11:$A$65525,0)-1,"")</f>
        <v/>
      </c>
      <c r="N927" t="str">
        <f>IF(LEN(I927),MATCH(I927,'MPIO_SFIO Table'!$A$11:$A$65525,0)-1,"")</f>
        <v/>
      </c>
      <c r="O927" t="str">
        <f>IF(LEN(J927),MATCH(J927,'MPIO_SFIO Table'!$A$11:$A$65525,0)-1,"")</f>
        <v/>
      </c>
      <c r="P927" t="str">
        <f>IF(LEN(K927),MATCH(K927,'MPIO_SFIO Table'!$A$11:$A$65525,0)-1,"")</f>
        <v/>
      </c>
      <c r="Q927" t="str">
        <f>IF(LEN(L927),MATCH(L927,'MPIO_SFIO Table'!$A$11:$A$65525,0)-1,"")</f>
        <v/>
      </c>
      <c r="R927" t="str">
        <f ca="1">IF(ISNUMBER(M927),OFFSET('MPIO_SFIO Table'!$AJ$11,M927,0),"")</f>
        <v/>
      </c>
      <c r="S927" t="str">
        <f ca="1">IF(ISNUMBER(N927),OFFSET('MPIO_SFIO Table'!$AJ$11,N927,0),"")</f>
        <v/>
      </c>
      <c r="T927" t="str">
        <f ca="1">IF(ISNUMBER(O927),OFFSET('MPIO_SFIO Table'!$AJ$11,O927,0),"")</f>
        <v/>
      </c>
      <c r="U927" t="str">
        <f ca="1">IF(ISNUMBER(P927),OFFSET('MPIO_SFIO Table'!$AJ$11,P927,0),"")</f>
        <v/>
      </c>
      <c r="V927" t="str">
        <f ca="1">IF(ISNUMBER(Q927),OFFSET('MPIO_SFIO Table'!$AJ$11,Q927,0),"")</f>
        <v/>
      </c>
      <c r="W927">
        <f t="shared" ca="1" si="123"/>
        <v>0</v>
      </c>
      <c r="X927">
        <f t="shared" ca="1" si="124"/>
        <v>0</v>
      </c>
      <c r="Y927">
        <f t="shared" ca="1" si="125"/>
        <v>0</v>
      </c>
      <c r="Z927">
        <f t="shared" ca="1" si="126"/>
        <v>0</v>
      </c>
      <c r="AA927">
        <f t="shared" ca="1" si="127"/>
        <v>0</v>
      </c>
    </row>
    <row r="928" spans="1:27" x14ac:dyDescent="0.25">
      <c r="A928">
        <f t="shared" ca="1" si="120"/>
        <v>0</v>
      </c>
      <c r="B928" t="str">
        <f t="shared" ca="1" si="121"/>
        <v/>
      </c>
      <c r="C928" t="str">
        <f t="shared" si="122"/>
        <v/>
      </c>
      <c r="D928" t="s">
        <v>253</v>
      </c>
      <c r="E928" t="s">
        <v>253</v>
      </c>
      <c r="F928" s="3" t="s">
        <v>253</v>
      </c>
      <c r="G928" s="11" t="s">
        <v>253</v>
      </c>
      <c r="H928" s="11" t="s">
        <v>253</v>
      </c>
      <c r="I928" s="3" t="s">
        <v>253</v>
      </c>
      <c r="J928" s="3" t="s">
        <v>253</v>
      </c>
      <c r="K928" s="3" t="s">
        <v>253</v>
      </c>
      <c r="L928" s="3" t="s">
        <v>253</v>
      </c>
      <c r="M928" t="str">
        <f>IF(LEN(H928),MATCH(H928,'MPIO_SFIO Table'!$A$11:$A$65525,0)-1,"")</f>
        <v/>
      </c>
      <c r="N928" t="str">
        <f>IF(LEN(I928),MATCH(I928,'MPIO_SFIO Table'!$A$11:$A$65525,0)-1,"")</f>
        <v/>
      </c>
      <c r="O928" t="str">
        <f>IF(LEN(J928),MATCH(J928,'MPIO_SFIO Table'!$A$11:$A$65525,0)-1,"")</f>
        <v/>
      </c>
      <c r="P928" t="str">
        <f>IF(LEN(K928),MATCH(K928,'MPIO_SFIO Table'!$A$11:$A$65525,0)-1,"")</f>
        <v/>
      </c>
      <c r="Q928" t="str">
        <f>IF(LEN(L928),MATCH(L928,'MPIO_SFIO Table'!$A$11:$A$65525,0)-1,"")</f>
        <v/>
      </c>
      <c r="R928" t="str">
        <f ca="1">IF(ISNUMBER(M928),OFFSET('MPIO_SFIO Table'!$AJ$11,M928,0),"")</f>
        <v/>
      </c>
      <c r="S928" t="str">
        <f ca="1">IF(ISNUMBER(N928),OFFSET('MPIO_SFIO Table'!$AJ$11,N928,0),"")</f>
        <v/>
      </c>
      <c r="T928" t="str">
        <f ca="1">IF(ISNUMBER(O928),OFFSET('MPIO_SFIO Table'!$AJ$11,O928,0),"")</f>
        <v/>
      </c>
      <c r="U928" t="str">
        <f ca="1">IF(ISNUMBER(P928),OFFSET('MPIO_SFIO Table'!$AJ$11,P928,0),"")</f>
        <v/>
      </c>
      <c r="V928" t="str">
        <f ca="1">IF(ISNUMBER(Q928),OFFSET('MPIO_SFIO Table'!$AJ$11,Q928,0),"")</f>
        <v/>
      </c>
      <c r="W928">
        <f t="shared" ca="1" si="123"/>
        <v>0</v>
      </c>
      <c r="X928">
        <f t="shared" ca="1" si="124"/>
        <v>0</v>
      </c>
      <c r="Y928">
        <f t="shared" ca="1" si="125"/>
        <v>0</v>
      </c>
      <c r="Z928">
        <f t="shared" ca="1" si="126"/>
        <v>0</v>
      </c>
      <c r="AA928">
        <f t="shared" ca="1" si="127"/>
        <v>0</v>
      </c>
    </row>
    <row r="929" spans="1:27" x14ac:dyDescent="0.25">
      <c r="A929">
        <f t="shared" ca="1" si="120"/>
        <v>0</v>
      </c>
      <c r="B929" t="str">
        <f t="shared" ca="1" si="121"/>
        <v/>
      </c>
      <c r="C929" t="str">
        <f t="shared" si="122"/>
        <v/>
      </c>
      <c r="D929" t="s">
        <v>253</v>
      </c>
      <c r="E929" t="s">
        <v>253</v>
      </c>
      <c r="F929" s="3" t="s">
        <v>253</v>
      </c>
      <c r="G929" s="11" t="s">
        <v>253</v>
      </c>
      <c r="H929" s="11" t="s">
        <v>253</v>
      </c>
      <c r="I929" s="3" t="s">
        <v>253</v>
      </c>
      <c r="J929" s="3" t="s">
        <v>253</v>
      </c>
      <c r="K929" s="3" t="s">
        <v>253</v>
      </c>
      <c r="L929" s="3" t="s">
        <v>253</v>
      </c>
      <c r="M929" t="str">
        <f>IF(LEN(H929),MATCH(H929,'MPIO_SFIO Table'!$A$11:$A$65525,0)-1,"")</f>
        <v/>
      </c>
      <c r="N929" t="str">
        <f>IF(LEN(I929),MATCH(I929,'MPIO_SFIO Table'!$A$11:$A$65525,0)-1,"")</f>
        <v/>
      </c>
      <c r="O929" t="str">
        <f>IF(LEN(J929),MATCH(J929,'MPIO_SFIO Table'!$A$11:$A$65525,0)-1,"")</f>
        <v/>
      </c>
      <c r="P929" t="str">
        <f>IF(LEN(K929),MATCH(K929,'MPIO_SFIO Table'!$A$11:$A$65525,0)-1,"")</f>
        <v/>
      </c>
      <c r="Q929" t="str">
        <f>IF(LEN(L929),MATCH(L929,'MPIO_SFIO Table'!$A$11:$A$65525,0)-1,"")</f>
        <v/>
      </c>
      <c r="R929" t="str">
        <f ca="1">IF(ISNUMBER(M929),OFFSET('MPIO_SFIO Table'!$AJ$11,M929,0),"")</f>
        <v/>
      </c>
      <c r="S929" t="str">
        <f ca="1">IF(ISNUMBER(N929),OFFSET('MPIO_SFIO Table'!$AJ$11,N929,0),"")</f>
        <v/>
      </c>
      <c r="T929" t="str">
        <f ca="1">IF(ISNUMBER(O929),OFFSET('MPIO_SFIO Table'!$AJ$11,O929,0),"")</f>
        <v/>
      </c>
      <c r="U929" t="str">
        <f ca="1">IF(ISNUMBER(P929),OFFSET('MPIO_SFIO Table'!$AJ$11,P929,0),"")</f>
        <v/>
      </c>
      <c r="V929" t="str">
        <f ca="1">IF(ISNUMBER(Q929),OFFSET('MPIO_SFIO Table'!$AJ$11,Q929,0),"")</f>
        <v/>
      </c>
      <c r="W929">
        <f t="shared" ca="1" si="123"/>
        <v>0</v>
      </c>
      <c r="X929">
        <f t="shared" ca="1" si="124"/>
        <v>0</v>
      </c>
      <c r="Y929">
        <f t="shared" ca="1" si="125"/>
        <v>0</v>
      </c>
      <c r="Z929">
        <f t="shared" ca="1" si="126"/>
        <v>0</v>
      </c>
      <c r="AA929">
        <f t="shared" ca="1" si="127"/>
        <v>0</v>
      </c>
    </row>
    <row r="930" spans="1:27" x14ac:dyDescent="0.25">
      <c r="A930">
        <f t="shared" ca="1" si="120"/>
        <v>0</v>
      </c>
      <c r="B930" t="str">
        <f t="shared" ca="1" si="121"/>
        <v/>
      </c>
      <c r="C930" t="str">
        <f t="shared" si="122"/>
        <v/>
      </c>
      <c r="D930" t="s">
        <v>253</v>
      </c>
      <c r="E930" t="s">
        <v>253</v>
      </c>
      <c r="F930" s="3" t="s">
        <v>253</v>
      </c>
      <c r="G930" s="11" t="s">
        <v>253</v>
      </c>
      <c r="H930" s="11" t="s">
        <v>253</v>
      </c>
      <c r="I930" s="3" t="s">
        <v>253</v>
      </c>
      <c r="J930" s="3" t="s">
        <v>253</v>
      </c>
      <c r="K930" s="3" t="s">
        <v>253</v>
      </c>
      <c r="L930" s="3" t="s">
        <v>253</v>
      </c>
      <c r="M930" t="str">
        <f>IF(LEN(H930),MATCH(H930,'MPIO_SFIO Table'!$A$11:$A$65525,0)-1,"")</f>
        <v/>
      </c>
      <c r="N930" t="str">
        <f>IF(LEN(I930),MATCH(I930,'MPIO_SFIO Table'!$A$11:$A$65525,0)-1,"")</f>
        <v/>
      </c>
      <c r="O930" t="str">
        <f>IF(LEN(J930),MATCH(J930,'MPIO_SFIO Table'!$A$11:$A$65525,0)-1,"")</f>
        <v/>
      </c>
      <c r="P930" t="str">
        <f>IF(LEN(K930),MATCH(K930,'MPIO_SFIO Table'!$A$11:$A$65525,0)-1,"")</f>
        <v/>
      </c>
      <c r="Q930" t="str">
        <f>IF(LEN(L930),MATCH(L930,'MPIO_SFIO Table'!$A$11:$A$65525,0)-1,"")</f>
        <v/>
      </c>
      <c r="R930" t="str">
        <f ca="1">IF(ISNUMBER(M930),OFFSET('MPIO_SFIO Table'!$AJ$11,M930,0),"")</f>
        <v/>
      </c>
      <c r="S930" t="str">
        <f ca="1">IF(ISNUMBER(N930),OFFSET('MPIO_SFIO Table'!$AJ$11,N930,0),"")</f>
        <v/>
      </c>
      <c r="T930" t="str">
        <f ca="1">IF(ISNUMBER(O930),OFFSET('MPIO_SFIO Table'!$AJ$11,O930,0),"")</f>
        <v/>
      </c>
      <c r="U930" t="str">
        <f ca="1">IF(ISNUMBER(P930),OFFSET('MPIO_SFIO Table'!$AJ$11,P930,0),"")</f>
        <v/>
      </c>
      <c r="V930" t="str">
        <f ca="1">IF(ISNUMBER(Q930),OFFSET('MPIO_SFIO Table'!$AJ$11,Q930,0),"")</f>
        <v/>
      </c>
      <c r="W930">
        <f t="shared" ca="1" si="123"/>
        <v>0</v>
      </c>
      <c r="X930">
        <f t="shared" ca="1" si="124"/>
        <v>0</v>
      </c>
      <c r="Y930">
        <f t="shared" ca="1" si="125"/>
        <v>0</v>
      </c>
      <c r="Z930">
        <f t="shared" ca="1" si="126"/>
        <v>0</v>
      </c>
      <c r="AA930">
        <f t="shared" ca="1" si="127"/>
        <v>0</v>
      </c>
    </row>
    <row r="931" spans="1:27" x14ac:dyDescent="0.25">
      <c r="A931">
        <f t="shared" ca="1" si="120"/>
        <v>0</v>
      </c>
      <c r="B931" t="str">
        <f t="shared" ca="1" si="121"/>
        <v/>
      </c>
      <c r="C931" t="str">
        <f t="shared" si="122"/>
        <v/>
      </c>
      <c r="D931" t="s">
        <v>253</v>
      </c>
      <c r="E931" t="s">
        <v>253</v>
      </c>
      <c r="F931" s="3" t="s">
        <v>253</v>
      </c>
      <c r="G931" s="11" t="s">
        <v>253</v>
      </c>
      <c r="H931" s="11" t="s">
        <v>253</v>
      </c>
      <c r="I931" s="3" t="s">
        <v>253</v>
      </c>
      <c r="J931" s="3" t="s">
        <v>253</v>
      </c>
      <c r="K931" s="3" t="s">
        <v>253</v>
      </c>
      <c r="L931" s="3" t="s">
        <v>253</v>
      </c>
      <c r="M931" t="str">
        <f>IF(LEN(H931),MATCH(H931,'MPIO_SFIO Table'!$A$11:$A$65525,0)-1,"")</f>
        <v/>
      </c>
      <c r="N931" t="str">
        <f>IF(LEN(I931),MATCH(I931,'MPIO_SFIO Table'!$A$11:$A$65525,0)-1,"")</f>
        <v/>
      </c>
      <c r="O931" t="str">
        <f>IF(LEN(J931),MATCH(J931,'MPIO_SFIO Table'!$A$11:$A$65525,0)-1,"")</f>
        <v/>
      </c>
      <c r="P931" t="str">
        <f>IF(LEN(K931),MATCH(K931,'MPIO_SFIO Table'!$A$11:$A$65525,0)-1,"")</f>
        <v/>
      </c>
      <c r="Q931" t="str">
        <f>IF(LEN(L931),MATCH(L931,'MPIO_SFIO Table'!$A$11:$A$65525,0)-1,"")</f>
        <v/>
      </c>
      <c r="R931" t="str">
        <f ca="1">IF(ISNUMBER(M931),OFFSET('MPIO_SFIO Table'!$AJ$11,M931,0),"")</f>
        <v/>
      </c>
      <c r="S931" t="str">
        <f ca="1">IF(ISNUMBER(N931),OFFSET('MPIO_SFIO Table'!$AJ$11,N931,0),"")</f>
        <v/>
      </c>
      <c r="T931" t="str">
        <f ca="1">IF(ISNUMBER(O931),OFFSET('MPIO_SFIO Table'!$AJ$11,O931,0),"")</f>
        <v/>
      </c>
      <c r="U931" t="str">
        <f ca="1">IF(ISNUMBER(P931),OFFSET('MPIO_SFIO Table'!$AJ$11,P931,0),"")</f>
        <v/>
      </c>
      <c r="V931" t="str">
        <f ca="1">IF(ISNUMBER(Q931),OFFSET('MPIO_SFIO Table'!$AJ$11,Q931,0),"")</f>
        <v/>
      </c>
      <c r="W931">
        <f t="shared" ca="1" si="123"/>
        <v>0</v>
      </c>
      <c r="X931">
        <f t="shared" ca="1" si="124"/>
        <v>0</v>
      </c>
      <c r="Y931">
        <f t="shared" ca="1" si="125"/>
        <v>0</v>
      </c>
      <c r="Z931">
        <f t="shared" ca="1" si="126"/>
        <v>0</v>
      </c>
      <c r="AA931">
        <f t="shared" ca="1" si="127"/>
        <v>0</v>
      </c>
    </row>
    <row r="932" spans="1:27" x14ac:dyDescent="0.25">
      <c r="A932">
        <f t="shared" ca="1" si="120"/>
        <v>0</v>
      </c>
      <c r="B932" t="str">
        <f t="shared" ca="1" si="121"/>
        <v/>
      </c>
      <c r="C932" t="str">
        <f t="shared" si="122"/>
        <v/>
      </c>
      <c r="D932" t="s">
        <v>253</v>
      </c>
      <c r="E932" t="s">
        <v>253</v>
      </c>
      <c r="F932" s="3" t="s">
        <v>253</v>
      </c>
      <c r="G932" s="11" t="s">
        <v>253</v>
      </c>
      <c r="H932" s="11" t="s">
        <v>253</v>
      </c>
      <c r="I932" s="3" t="s">
        <v>253</v>
      </c>
      <c r="J932" s="3" t="s">
        <v>253</v>
      </c>
      <c r="K932" s="3" t="s">
        <v>253</v>
      </c>
      <c r="L932" s="3" t="s">
        <v>253</v>
      </c>
      <c r="M932" t="str">
        <f>IF(LEN(H932),MATCH(H932,'MPIO_SFIO Table'!$A$11:$A$65525,0)-1,"")</f>
        <v/>
      </c>
      <c r="N932" t="str">
        <f>IF(LEN(I932),MATCH(I932,'MPIO_SFIO Table'!$A$11:$A$65525,0)-1,"")</f>
        <v/>
      </c>
      <c r="O932" t="str">
        <f>IF(LEN(J932),MATCH(J932,'MPIO_SFIO Table'!$A$11:$A$65525,0)-1,"")</f>
        <v/>
      </c>
      <c r="P932" t="str">
        <f>IF(LEN(K932),MATCH(K932,'MPIO_SFIO Table'!$A$11:$A$65525,0)-1,"")</f>
        <v/>
      </c>
      <c r="Q932" t="str">
        <f>IF(LEN(L932),MATCH(L932,'MPIO_SFIO Table'!$A$11:$A$65525,0)-1,"")</f>
        <v/>
      </c>
      <c r="R932" t="str">
        <f ca="1">IF(ISNUMBER(M932),OFFSET('MPIO_SFIO Table'!$AJ$11,M932,0),"")</f>
        <v/>
      </c>
      <c r="S932" t="str">
        <f ca="1">IF(ISNUMBER(N932),OFFSET('MPIO_SFIO Table'!$AJ$11,N932,0),"")</f>
        <v/>
      </c>
      <c r="T932" t="str">
        <f ca="1">IF(ISNUMBER(O932),OFFSET('MPIO_SFIO Table'!$AJ$11,O932,0),"")</f>
        <v/>
      </c>
      <c r="U932" t="str">
        <f ca="1">IF(ISNUMBER(P932),OFFSET('MPIO_SFIO Table'!$AJ$11,P932,0),"")</f>
        <v/>
      </c>
      <c r="V932" t="str">
        <f ca="1">IF(ISNUMBER(Q932),OFFSET('MPIO_SFIO Table'!$AJ$11,Q932,0),"")</f>
        <v/>
      </c>
      <c r="W932">
        <f t="shared" ca="1" si="123"/>
        <v>0</v>
      </c>
      <c r="X932">
        <f t="shared" ca="1" si="124"/>
        <v>0</v>
      </c>
      <c r="Y932">
        <f t="shared" ca="1" si="125"/>
        <v>0</v>
      </c>
      <c r="Z932">
        <f t="shared" ca="1" si="126"/>
        <v>0</v>
      </c>
      <c r="AA932">
        <f t="shared" ca="1" si="127"/>
        <v>0</v>
      </c>
    </row>
    <row r="933" spans="1:27" x14ac:dyDescent="0.25">
      <c r="A933">
        <f t="shared" ca="1" si="120"/>
        <v>0</v>
      </c>
      <c r="B933" t="str">
        <f t="shared" ca="1" si="121"/>
        <v/>
      </c>
      <c r="C933" t="str">
        <f t="shared" si="122"/>
        <v/>
      </c>
      <c r="D933" t="s">
        <v>253</v>
      </c>
      <c r="E933" t="s">
        <v>253</v>
      </c>
      <c r="F933" s="3" t="s">
        <v>253</v>
      </c>
      <c r="G933" s="11" t="s">
        <v>253</v>
      </c>
      <c r="H933" s="11" t="s">
        <v>253</v>
      </c>
      <c r="I933" s="3" t="s">
        <v>253</v>
      </c>
      <c r="J933" s="3" t="s">
        <v>253</v>
      </c>
      <c r="K933" s="3" t="s">
        <v>253</v>
      </c>
      <c r="L933" s="3" t="s">
        <v>253</v>
      </c>
      <c r="M933" t="str">
        <f>IF(LEN(H933),MATCH(H933,'MPIO_SFIO Table'!$A$11:$A$65525,0)-1,"")</f>
        <v/>
      </c>
      <c r="N933" t="str">
        <f>IF(LEN(I933),MATCH(I933,'MPIO_SFIO Table'!$A$11:$A$65525,0)-1,"")</f>
        <v/>
      </c>
      <c r="O933" t="str">
        <f>IF(LEN(J933),MATCH(J933,'MPIO_SFIO Table'!$A$11:$A$65525,0)-1,"")</f>
        <v/>
      </c>
      <c r="P933" t="str">
        <f>IF(LEN(K933),MATCH(K933,'MPIO_SFIO Table'!$A$11:$A$65525,0)-1,"")</f>
        <v/>
      </c>
      <c r="Q933" t="str">
        <f>IF(LEN(L933),MATCH(L933,'MPIO_SFIO Table'!$A$11:$A$65525,0)-1,"")</f>
        <v/>
      </c>
      <c r="R933" t="str">
        <f ca="1">IF(ISNUMBER(M933),OFFSET('MPIO_SFIO Table'!$AJ$11,M933,0),"")</f>
        <v/>
      </c>
      <c r="S933" t="str">
        <f ca="1">IF(ISNUMBER(N933),OFFSET('MPIO_SFIO Table'!$AJ$11,N933,0),"")</f>
        <v/>
      </c>
      <c r="T933" t="str">
        <f ca="1">IF(ISNUMBER(O933),OFFSET('MPIO_SFIO Table'!$AJ$11,O933,0),"")</f>
        <v/>
      </c>
      <c r="U933" t="str">
        <f ca="1">IF(ISNUMBER(P933),OFFSET('MPIO_SFIO Table'!$AJ$11,P933,0),"")</f>
        <v/>
      </c>
      <c r="V933" t="str">
        <f ca="1">IF(ISNUMBER(Q933),OFFSET('MPIO_SFIO Table'!$AJ$11,Q933,0),"")</f>
        <v/>
      </c>
      <c r="W933">
        <f t="shared" ca="1" si="123"/>
        <v>0</v>
      </c>
      <c r="X933">
        <f t="shared" ca="1" si="124"/>
        <v>0</v>
      </c>
      <c r="Y933">
        <f t="shared" ca="1" si="125"/>
        <v>0</v>
      </c>
      <c r="Z933">
        <f t="shared" ca="1" si="126"/>
        <v>0</v>
      </c>
      <c r="AA933">
        <f t="shared" ca="1" si="127"/>
        <v>0</v>
      </c>
    </row>
    <row r="934" spans="1:27" x14ac:dyDescent="0.25">
      <c r="A934">
        <f t="shared" ca="1" si="120"/>
        <v>0</v>
      </c>
      <c r="B934" t="str">
        <f t="shared" ca="1" si="121"/>
        <v/>
      </c>
      <c r="C934" t="str">
        <f t="shared" si="122"/>
        <v/>
      </c>
      <c r="D934" t="s">
        <v>253</v>
      </c>
      <c r="E934" t="s">
        <v>253</v>
      </c>
      <c r="F934" s="3" t="s">
        <v>253</v>
      </c>
      <c r="G934" s="11" t="s">
        <v>253</v>
      </c>
      <c r="H934" s="11" t="s">
        <v>253</v>
      </c>
      <c r="I934" s="3" t="s">
        <v>253</v>
      </c>
      <c r="J934" s="3" t="s">
        <v>253</v>
      </c>
      <c r="K934" s="3" t="s">
        <v>253</v>
      </c>
      <c r="L934" s="3" t="s">
        <v>253</v>
      </c>
      <c r="M934" t="str">
        <f>IF(LEN(H934),MATCH(H934,'MPIO_SFIO Table'!$A$11:$A$65525,0)-1,"")</f>
        <v/>
      </c>
      <c r="N934" t="str">
        <f>IF(LEN(I934),MATCH(I934,'MPIO_SFIO Table'!$A$11:$A$65525,0)-1,"")</f>
        <v/>
      </c>
      <c r="O934" t="str">
        <f>IF(LEN(J934),MATCH(J934,'MPIO_SFIO Table'!$A$11:$A$65525,0)-1,"")</f>
        <v/>
      </c>
      <c r="P934" t="str">
        <f>IF(LEN(K934),MATCH(K934,'MPIO_SFIO Table'!$A$11:$A$65525,0)-1,"")</f>
        <v/>
      </c>
      <c r="Q934" t="str">
        <f>IF(LEN(L934),MATCH(L934,'MPIO_SFIO Table'!$A$11:$A$65525,0)-1,"")</f>
        <v/>
      </c>
      <c r="R934" t="str">
        <f ca="1">IF(ISNUMBER(M934),OFFSET('MPIO_SFIO Table'!$AJ$11,M934,0),"")</f>
        <v/>
      </c>
      <c r="S934" t="str">
        <f ca="1">IF(ISNUMBER(N934),OFFSET('MPIO_SFIO Table'!$AJ$11,N934,0),"")</f>
        <v/>
      </c>
      <c r="T934" t="str">
        <f ca="1">IF(ISNUMBER(O934),OFFSET('MPIO_SFIO Table'!$AJ$11,O934,0),"")</f>
        <v/>
      </c>
      <c r="U934" t="str">
        <f ca="1">IF(ISNUMBER(P934),OFFSET('MPIO_SFIO Table'!$AJ$11,P934,0),"")</f>
        <v/>
      </c>
      <c r="V934" t="str">
        <f ca="1">IF(ISNUMBER(Q934),OFFSET('MPIO_SFIO Table'!$AJ$11,Q934,0),"")</f>
        <v/>
      </c>
      <c r="W934">
        <f t="shared" ca="1" si="123"/>
        <v>0</v>
      </c>
      <c r="X934">
        <f t="shared" ca="1" si="124"/>
        <v>0</v>
      </c>
      <c r="Y934">
        <f t="shared" ca="1" si="125"/>
        <v>0</v>
      </c>
      <c r="Z934">
        <f t="shared" ca="1" si="126"/>
        <v>0</v>
      </c>
      <c r="AA934">
        <f t="shared" ca="1" si="127"/>
        <v>0</v>
      </c>
    </row>
    <row r="935" spans="1:27" x14ac:dyDescent="0.25">
      <c r="A935">
        <f t="shared" ca="1" si="120"/>
        <v>0</v>
      </c>
      <c r="B935" t="str">
        <f t="shared" ca="1" si="121"/>
        <v/>
      </c>
      <c r="C935" t="str">
        <f t="shared" si="122"/>
        <v/>
      </c>
      <c r="D935" t="s">
        <v>253</v>
      </c>
      <c r="E935" t="s">
        <v>253</v>
      </c>
      <c r="F935" s="3" t="s">
        <v>253</v>
      </c>
      <c r="G935" s="11" t="s">
        <v>253</v>
      </c>
      <c r="H935" s="11" t="s">
        <v>253</v>
      </c>
      <c r="I935" s="3" t="s">
        <v>253</v>
      </c>
      <c r="J935" s="3" t="s">
        <v>253</v>
      </c>
      <c r="K935" s="3" t="s">
        <v>253</v>
      </c>
      <c r="L935" s="3" t="s">
        <v>253</v>
      </c>
      <c r="M935" t="str">
        <f>IF(LEN(H935),MATCH(H935,'MPIO_SFIO Table'!$A$11:$A$65525,0)-1,"")</f>
        <v/>
      </c>
      <c r="N935" t="str">
        <f>IF(LEN(I935),MATCH(I935,'MPIO_SFIO Table'!$A$11:$A$65525,0)-1,"")</f>
        <v/>
      </c>
      <c r="O935" t="str">
        <f>IF(LEN(J935),MATCH(J935,'MPIO_SFIO Table'!$A$11:$A$65525,0)-1,"")</f>
        <v/>
      </c>
      <c r="P935" t="str">
        <f>IF(LEN(K935),MATCH(K935,'MPIO_SFIO Table'!$A$11:$A$65525,0)-1,"")</f>
        <v/>
      </c>
      <c r="Q935" t="str">
        <f>IF(LEN(L935),MATCH(L935,'MPIO_SFIO Table'!$A$11:$A$65525,0)-1,"")</f>
        <v/>
      </c>
      <c r="R935" t="str">
        <f ca="1">IF(ISNUMBER(M935),OFFSET('MPIO_SFIO Table'!$AJ$11,M935,0),"")</f>
        <v/>
      </c>
      <c r="S935" t="str">
        <f ca="1">IF(ISNUMBER(N935),OFFSET('MPIO_SFIO Table'!$AJ$11,N935,0),"")</f>
        <v/>
      </c>
      <c r="T935" t="str">
        <f ca="1">IF(ISNUMBER(O935),OFFSET('MPIO_SFIO Table'!$AJ$11,O935,0),"")</f>
        <v/>
      </c>
      <c r="U935" t="str">
        <f ca="1">IF(ISNUMBER(P935),OFFSET('MPIO_SFIO Table'!$AJ$11,P935,0),"")</f>
        <v/>
      </c>
      <c r="V935" t="str">
        <f ca="1">IF(ISNUMBER(Q935),OFFSET('MPIO_SFIO Table'!$AJ$11,Q935,0),"")</f>
        <v/>
      </c>
      <c r="W935">
        <f t="shared" ca="1" si="123"/>
        <v>0</v>
      </c>
      <c r="X935">
        <f t="shared" ca="1" si="124"/>
        <v>0</v>
      </c>
      <c r="Y935">
        <f t="shared" ca="1" si="125"/>
        <v>0</v>
      </c>
      <c r="Z935">
        <f t="shared" ca="1" si="126"/>
        <v>0</v>
      </c>
      <c r="AA935">
        <f t="shared" ca="1" si="127"/>
        <v>0</v>
      </c>
    </row>
    <row r="936" spans="1:27" x14ac:dyDescent="0.25">
      <c r="A936">
        <f t="shared" ca="1" si="120"/>
        <v>0</v>
      </c>
      <c r="B936" t="str">
        <f t="shared" ca="1" si="121"/>
        <v/>
      </c>
      <c r="C936" t="str">
        <f t="shared" si="122"/>
        <v/>
      </c>
      <c r="D936" t="s">
        <v>253</v>
      </c>
      <c r="E936" t="s">
        <v>253</v>
      </c>
      <c r="F936" s="3" t="s">
        <v>253</v>
      </c>
      <c r="G936" s="11" t="s">
        <v>253</v>
      </c>
      <c r="H936" s="11" t="s">
        <v>253</v>
      </c>
      <c r="I936" s="3" t="s">
        <v>253</v>
      </c>
      <c r="J936" s="3" t="s">
        <v>253</v>
      </c>
      <c r="K936" s="3" t="s">
        <v>253</v>
      </c>
      <c r="L936" s="3" t="s">
        <v>253</v>
      </c>
      <c r="M936" t="str">
        <f>IF(LEN(H936),MATCH(H936,'MPIO_SFIO Table'!$A$11:$A$65525,0)-1,"")</f>
        <v/>
      </c>
      <c r="N936" t="str">
        <f>IF(LEN(I936),MATCH(I936,'MPIO_SFIO Table'!$A$11:$A$65525,0)-1,"")</f>
        <v/>
      </c>
      <c r="O936" t="str">
        <f>IF(LEN(J936),MATCH(J936,'MPIO_SFIO Table'!$A$11:$A$65525,0)-1,"")</f>
        <v/>
      </c>
      <c r="P936" t="str">
        <f>IF(LEN(K936),MATCH(K936,'MPIO_SFIO Table'!$A$11:$A$65525,0)-1,"")</f>
        <v/>
      </c>
      <c r="Q936" t="str">
        <f>IF(LEN(L936),MATCH(L936,'MPIO_SFIO Table'!$A$11:$A$65525,0)-1,"")</f>
        <v/>
      </c>
      <c r="R936" t="str">
        <f ca="1">IF(ISNUMBER(M936),OFFSET('MPIO_SFIO Table'!$AJ$11,M936,0),"")</f>
        <v/>
      </c>
      <c r="S936" t="str">
        <f ca="1">IF(ISNUMBER(N936),OFFSET('MPIO_SFIO Table'!$AJ$11,N936,0),"")</f>
        <v/>
      </c>
      <c r="T936" t="str">
        <f ca="1">IF(ISNUMBER(O936),OFFSET('MPIO_SFIO Table'!$AJ$11,O936,0),"")</f>
        <v/>
      </c>
      <c r="U936" t="str">
        <f ca="1">IF(ISNUMBER(P936),OFFSET('MPIO_SFIO Table'!$AJ$11,P936,0),"")</f>
        <v/>
      </c>
      <c r="V936" t="str">
        <f ca="1">IF(ISNUMBER(Q936),OFFSET('MPIO_SFIO Table'!$AJ$11,Q936,0),"")</f>
        <v/>
      </c>
      <c r="W936">
        <f t="shared" ca="1" si="123"/>
        <v>0</v>
      </c>
      <c r="X936">
        <f t="shared" ca="1" si="124"/>
        <v>0</v>
      </c>
      <c r="Y936">
        <f t="shared" ca="1" si="125"/>
        <v>0</v>
      </c>
      <c r="Z936">
        <f t="shared" ca="1" si="126"/>
        <v>0</v>
      </c>
      <c r="AA936">
        <f t="shared" ca="1" si="127"/>
        <v>0</v>
      </c>
    </row>
    <row r="937" spans="1:27" x14ac:dyDescent="0.25">
      <c r="A937">
        <f t="shared" ca="1" si="120"/>
        <v>0</v>
      </c>
      <c r="B937" t="str">
        <f t="shared" ca="1" si="121"/>
        <v/>
      </c>
      <c r="C937" t="str">
        <f t="shared" si="122"/>
        <v/>
      </c>
      <c r="D937" t="s">
        <v>253</v>
      </c>
      <c r="E937" t="s">
        <v>253</v>
      </c>
      <c r="F937" s="3" t="s">
        <v>253</v>
      </c>
      <c r="G937" s="11" t="s">
        <v>253</v>
      </c>
      <c r="H937" s="11" t="s">
        <v>253</v>
      </c>
      <c r="I937" s="3" t="s">
        <v>253</v>
      </c>
      <c r="J937" s="3" t="s">
        <v>253</v>
      </c>
      <c r="K937" s="3" t="s">
        <v>253</v>
      </c>
      <c r="L937" s="3" t="s">
        <v>253</v>
      </c>
      <c r="M937" t="str">
        <f>IF(LEN(H937),MATCH(H937,'MPIO_SFIO Table'!$A$11:$A$65525,0)-1,"")</f>
        <v/>
      </c>
      <c r="N937" t="str">
        <f>IF(LEN(I937),MATCH(I937,'MPIO_SFIO Table'!$A$11:$A$65525,0)-1,"")</f>
        <v/>
      </c>
      <c r="O937" t="str">
        <f>IF(LEN(J937),MATCH(J937,'MPIO_SFIO Table'!$A$11:$A$65525,0)-1,"")</f>
        <v/>
      </c>
      <c r="P937" t="str">
        <f>IF(LEN(K937),MATCH(K937,'MPIO_SFIO Table'!$A$11:$A$65525,0)-1,"")</f>
        <v/>
      </c>
      <c r="Q937" t="str">
        <f>IF(LEN(L937),MATCH(L937,'MPIO_SFIO Table'!$A$11:$A$65525,0)-1,"")</f>
        <v/>
      </c>
      <c r="R937" t="str">
        <f ca="1">IF(ISNUMBER(M937),OFFSET('MPIO_SFIO Table'!$AJ$11,M937,0),"")</f>
        <v/>
      </c>
      <c r="S937" t="str">
        <f ca="1">IF(ISNUMBER(N937),OFFSET('MPIO_SFIO Table'!$AJ$11,N937,0),"")</f>
        <v/>
      </c>
      <c r="T937" t="str">
        <f ca="1">IF(ISNUMBER(O937),OFFSET('MPIO_SFIO Table'!$AJ$11,O937,0),"")</f>
        <v/>
      </c>
      <c r="U937" t="str">
        <f ca="1">IF(ISNUMBER(P937),OFFSET('MPIO_SFIO Table'!$AJ$11,P937,0),"")</f>
        <v/>
      </c>
      <c r="V937" t="str">
        <f ca="1">IF(ISNUMBER(Q937),OFFSET('MPIO_SFIO Table'!$AJ$11,Q937,0),"")</f>
        <v/>
      </c>
      <c r="W937">
        <f t="shared" ca="1" si="123"/>
        <v>0</v>
      </c>
      <c r="X937">
        <f t="shared" ca="1" si="124"/>
        <v>0</v>
      </c>
      <c r="Y937">
        <f t="shared" ca="1" si="125"/>
        <v>0</v>
      </c>
      <c r="Z937">
        <f t="shared" ca="1" si="126"/>
        <v>0</v>
      </c>
      <c r="AA937">
        <f t="shared" ca="1" si="127"/>
        <v>0</v>
      </c>
    </row>
    <row r="938" spans="1:27" x14ac:dyDescent="0.25">
      <c r="A938">
        <f t="shared" ca="1" si="120"/>
        <v>0</v>
      </c>
      <c r="B938" t="str">
        <f t="shared" ca="1" si="121"/>
        <v/>
      </c>
      <c r="C938" t="str">
        <f t="shared" si="122"/>
        <v/>
      </c>
      <c r="D938" t="s">
        <v>253</v>
      </c>
      <c r="E938" t="s">
        <v>253</v>
      </c>
      <c r="F938" s="3" t="s">
        <v>253</v>
      </c>
      <c r="G938" s="11" t="s">
        <v>253</v>
      </c>
      <c r="H938" s="11" t="s">
        <v>253</v>
      </c>
      <c r="I938" s="3" t="s">
        <v>253</v>
      </c>
      <c r="J938" s="3" t="s">
        <v>253</v>
      </c>
      <c r="K938" s="3" t="s">
        <v>253</v>
      </c>
      <c r="L938" s="3" t="s">
        <v>253</v>
      </c>
      <c r="M938" t="str">
        <f>IF(LEN(H938),MATCH(H938,'MPIO_SFIO Table'!$A$11:$A$65525,0)-1,"")</f>
        <v/>
      </c>
      <c r="N938" t="str">
        <f>IF(LEN(I938),MATCH(I938,'MPIO_SFIO Table'!$A$11:$A$65525,0)-1,"")</f>
        <v/>
      </c>
      <c r="O938" t="str">
        <f>IF(LEN(J938),MATCH(J938,'MPIO_SFIO Table'!$A$11:$A$65525,0)-1,"")</f>
        <v/>
      </c>
      <c r="P938" t="str">
        <f>IF(LEN(K938),MATCH(K938,'MPIO_SFIO Table'!$A$11:$A$65525,0)-1,"")</f>
        <v/>
      </c>
      <c r="Q938" t="str">
        <f>IF(LEN(L938),MATCH(L938,'MPIO_SFIO Table'!$A$11:$A$65525,0)-1,"")</f>
        <v/>
      </c>
      <c r="R938" t="str">
        <f ca="1">IF(ISNUMBER(M938),OFFSET('MPIO_SFIO Table'!$AJ$11,M938,0),"")</f>
        <v/>
      </c>
      <c r="S938" t="str">
        <f ca="1">IF(ISNUMBER(N938),OFFSET('MPIO_SFIO Table'!$AJ$11,N938,0),"")</f>
        <v/>
      </c>
      <c r="T938" t="str">
        <f ca="1">IF(ISNUMBER(O938),OFFSET('MPIO_SFIO Table'!$AJ$11,O938,0),"")</f>
        <v/>
      </c>
      <c r="U938" t="str">
        <f ca="1">IF(ISNUMBER(P938),OFFSET('MPIO_SFIO Table'!$AJ$11,P938,0),"")</f>
        <v/>
      </c>
      <c r="V938" t="str">
        <f ca="1">IF(ISNUMBER(Q938),OFFSET('MPIO_SFIO Table'!$AJ$11,Q938,0),"")</f>
        <v/>
      </c>
      <c r="W938">
        <f t="shared" ca="1" si="123"/>
        <v>0</v>
      </c>
      <c r="X938">
        <f t="shared" ca="1" si="124"/>
        <v>0</v>
      </c>
      <c r="Y938">
        <f t="shared" ca="1" si="125"/>
        <v>0</v>
      </c>
      <c r="Z938">
        <f t="shared" ca="1" si="126"/>
        <v>0</v>
      </c>
      <c r="AA938">
        <f t="shared" ca="1" si="127"/>
        <v>0</v>
      </c>
    </row>
    <row r="939" spans="1:27" x14ac:dyDescent="0.25">
      <c r="A939">
        <f t="shared" ca="1" si="120"/>
        <v>0</v>
      </c>
      <c r="B939" t="str">
        <f t="shared" ca="1" si="121"/>
        <v/>
      </c>
      <c r="C939" t="str">
        <f t="shared" si="122"/>
        <v/>
      </c>
      <c r="D939" t="s">
        <v>253</v>
      </c>
      <c r="E939" t="s">
        <v>253</v>
      </c>
      <c r="F939" s="3" t="s">
        <v>253</v>
      </c>
      <c r="G939" s="11" t="s">
        <v>253</v>
      </c>
      <c r="H939" s="11" t="s">
        <v>253</v>
      </c>
      <c r="I939" s="3" t="s">
        <v>253</v>
      </c>
      <c r="J939" s="3" t="s">
        <v>253</v>
      </c>
      <c r="K939" s="3" t="s">
        <v>253</v>
      </c>
      <c r="L939" s="3" t="s">
        <v>253</v>
      </c>
      <c r="M939" t="str">
        <f>IF(LEN(H939),MATCH(H939,'MPIO_SFIO Table'!$A$11:$A$65525,0)-1,"")</f>
        <v/>
      </c>
      <c r="N939" t="str">
        <f>IF(LEN(I939),MATCH(I939,'MPIO_SFIO Table'!$A$11:$A$65525,0)-1,"")</f>
        <v/>
      </c>
      <c r="O939" t="str">
        <f>IF(LEN(J939),MATCH(J939,'MPIO_SFIO Table'!$A$11:$A$65525,0)-1,"")</f>
        <v/>
      </c>
      <c r="P939" t="str">
        <f>IF(LEN(K939),MATCH(K939,'MPIO_SFIO Table'!$A$11:$A$65525,0)-1,"")</f>
        <v/>
      </c>
      <c r="Q939" t="str">
        <f>IF(LEN(L939),MATCH(L939,'MPIO_SFIO Table'!$A$11:$A$65525,0)-1,"")</f>
        <v/>
      </c>
      <c r="R939" t="str">
        <f ca="1">IF(ISNUMBER(M939),OFFSET('MPIO_SFIO Table'!$AJ$11,M939,0),"")</f>
        <v/>
      </c>
      <c r="S939" t="str">
        <f ca="1">IF(ISNUMBER(N939),OFFSET('MPIO_SFIO Table'!$AJ$11,N939,0),"")</f>
        <v/>
      </c>
      <c r="T939" t="str">
        <f ca="1">IF(ISNUMBER(O939),OFFSET('MPIO_SFIO Table'!$AJ$11,O939,0),"")</f>
        <v/>
      </c>
      <c r="U939" t="str">
        <f ca="1">IF(ISNUMBER(P939),OFFSET('MPIO_SFIO Table'!$AJ$11,P939,0),"")</f>
        <v/>
      </c>
      <c r="V939" t="str">
        <f ca="1">IF(ISNUMBER(Q939),OFFSET('MPIO_SFIO Table'!$AJ$11,Q939,0),"")</f>
        <v/>
      </c>
      <c r="W939">
        <f t="shared" ca="1" si="123"/>
        <v>0</v>
      </c>
      <c r="X939">
        <f t="shared" ca="1" si="124"/>
        <v>0</v>
      </c>
      <c r="Y939">
        <f t="shared" ca="1" si="125"/>
        <v>0</v>
      </c>
      <c r="Z939">
        <f t="shared" ca="1" si="126"/>
        <v>0</v>
      </c>
      <c r="AA939">
        <f t="shared" ca="1" si="127"/>
        <v>0</v>
      </c>
    </row>
    <row r="940" spans="1:27" x14ac:dyDescent="0.25">
      <c r="A940">
        <f t="shared" ca="1" si="120"/>
        <v>0</v>
      </c>
      <c r="B940" t="str">
        <f t="shared" ca="1" si="121"/>
        <v/>
      </c>
      <c r="C940" t="str">
        <f t="shared" si="122"/>
        <v/>
      </c>
      <c r="D940" t="s">
        <v>253</v>
      </c>
      <c r="E940" t="s">
        <v>253</v>
      </c>
      <c r="F940" s="3" t="s">
        <v>253</v>
      </c>
      <c r="G940" s="11" t="s">
        <v>253</v>
      </c>
      <c r="H940" s="11" t="s">
        <v>253</v>
      </c>
      <c r="I940" s="3" t="s">
        <v>253</v>
      </c>
      <c r="J940" s="3" t="s">
        <v>253</v>
      </c>
      <c r="K940" s="3" t="s">
        <v>253</v>
      </c>
      <c r="L940" s="3" t="s">
        <v>253</v>
      </c>
      <c r="M940" t="str">
        <f>IF(LEN(H940),MATCH(H940,'MPIO_SFIO Table'!$A$11:$A$65525,0)-1,"")</f>
        <v/>
      </c>
      <c r="N940" t="str">
        <f>IF(LEN(I940),MATCH(I940,'MPIO_SFIO Table'!$A$11:$A$65525,0)-1,"")</f>
        <v/>
      </c>
      <c r="O940" t="str">
        <f>IF(LEN(J940),MATCH(J940,'MPIO_SFIO Table'!$A$11:$A$65525,0)-1,"")</f>
        <v/>
      </c>
      <c r="P940" t="str">
        <f>IF(LEN(K940),MATCH(K940,'MPIO_SFIO Table'!$A$11:$A$65525,0)-1,"")</f>
        <v/>
      </c>
      <c r="Q940" t="str">
        <f>IF(LEN(L940),MATCH(L940,'MPIO_SFIO Table'!$A$11:$A$65525,0)-1,"")</f>
        <v/>
      </c>
      <c r="R940" t="str">
        <f ca="1">IF(ISNUMBER(M940),OFFSET('MPIO_SFIO Table'!$AJ$11,M940,0),"")</f>
        <v/>
      </c>
      <c r="S940" t="str">
        <f ca="1">IF(ISNUMBER(N940),OFFSET('MPIO_SFIO Table'!$AJ$11,N940,0),"")</f>
        <v/>
      </c>
      <c r="T940" t="str">
        <f ca="1">IF(ISNUMBER(O940),OFFSET('MPIO_SFIO Table'!$AJ$11,O940,0),"")</f>
        <v/>
      </c>
      <c r="U940" t="str">
        <f ca="1">IF(ISNUMBER(P940),OFFSET('MPIO_SFIO Table'!$AJ$11,P940,0),"")</f>
        <v/>
      </c>
      <c r="V940" t="str">
        <f ca="1">IF(ISNUMBER(Q940),OFFSET('MPIO_SFIO Table'!$AJ$11,Q940,0),"")</f>
        <v/>
      </c>
      <c r="W940">
        <f t="shared" ca="1" si="123"/>
        <v>0</v>
      </c>
      <c r="X940">
        <f t="shared" ca="1" si="124"/>
        <v>0</v>
      </c>
      <c r="Y940">
        <f t="shared" ca="1" si="125"/>
        <v>0</v>
      </c>
      <c r="Z940">
        <f t="shared" ca="1" si="126"/>
        <v>0</v>
      </c>
      <c r="AA940">
        <f t="shared" ca="1" si="127"/>
        <v>0</v>
      </c>
    </row>
    <row r="941" spans="1:27" x14ac:dyDescent="0.25">
      <c r="A941">
        <f t="shared" ca="1" si="120"/>
        <v>0</v>
      </c>
      <c r="B941" t="str">
        <f t="shared" ca="1" si="121"/>
        <v/>
      </c>
      <c r="C941" t="str">
        <f t="shared" si="122"/>
        <v/>
      </c>
      <c r="D941" t="s">
        <v>253</v>
      </c>
      <c r="E941" t="s">
        <v>253</v>
      </c>
      <c r="F941" s="3" t="s">
        <v>253</v>
      </c>
      <c r="G941" s="11" t="s">
        <v>253</v>
      </c>
      <c r="H941" s="11" t="s">
        <v>253</v>
      </c>
      <c r="I941" s="3" t="s">
        <v>253</v>
      </c>
      <c r="J941" s="3" t="s">
        <v>253</v>
      </c>
      <c r="K941" s="3" t="s">
        <v>253</v>
      </c>
      <c r="L941" s="3" t="s">
        <v>253</v>
      </c>
      <c r="M941" t="str">
        <f>IF(LEN(H941),MATCH(H941,'MPIO_SFIO Table'!$A$11:$A$65525,0)-1,"")</f>
        <v/>
      </c>
      <c r="N941" t="str">
        <f>IF(LEN(I941),MATCH(I941,'MPIO_SFIO Table'!$A$11:$A$65525,0)-1,"")</f>
        <v/>
      </c>
      <c r="O941" t="str">
        <f>IF(LEN(J941),MATCH(J941,'MPIO_SFIO Table'!$A$11:$A$65525,0)-1,"")</f>
        <v/>
      </c>
      <c r="P941" t="str">
        <f>IF(LEN(K941),MATCH(K941,'MPIO_SFIO Table'!$A$11:$A$65525,0)-1,"")</f>
        <v/>
      </c>
      <c r="Q941" t="str">
        <f>IF(LEN(L941),MATCH(L941,'MPIO_SFIO Table'!$A$11:$A$65525,0)-1,"")</f>
        <v/>
      </c>
      <c r="R941" t="str">
        <f ca="1">IF(ISNUMBER(M941),OFFSET('MPIO_SFIO Table'!$AJ$11,M941,0),"")</f>
        <v/>
      </c>
      <c r="S941" t="str">
        <f ca="1">IF(ISNUMBER(N941),OFFSET('MPIO_SFIO Table'!$AJ$11,N941,0),"")</f>
        <v/>
      </c>
      <c r="T941" t="str">
        <f ca="1">IF(ISNUMBER(O941),OFFSET('MPIO_SFIO Table'!$AJ$11,O941,0),"")</f>
        <v/>
      </c>
      <c r="U941" t="str">
        <f ca="1">IF(ISNUMBER(P941),OFFSET('MPIO_SFIO Table'!$AJ$11,P941,0),"")</f>
        <v/>
      </c>
      <c r="V941" t="str">
        <f ca="1">IF(ISNUMBER(Q941),OFFSET('MPIO_SFIO Table'!$AJ$11,Q941,0),"")</f>
        <v/>
      </c>
      <c r="W941">
        <f t="shared" ca="1" si="123"/>
        <v>0</v>
      </c>
      <c r="X941">
        <f t="shared" ca="1" si="124"/>
        <v>0</v>
      </c>
      <c r="Y941">
        <f t="shared" ca="1" si="125"/>
        <v>0</v>
      </c>
      <c r="Z941">
        <f t="shared" ca="1" si="126"/>
        <v>0</v>
      </c>
      <c r="AA941">
        <f t="shared" ca="1" si="127"/>
        <v>0</v>
      </c>
    </row>
    <row r="942" spans="1:27" x14ac:dyDescent="0.25">
      <c r="A942">
        <f t="shared" ca="1" si="120"/>
        <v>0</v>
      </c>
      <c r="B942" t="str">
        <f t="shared" ca="1" si="121"/>
        <v/>
      </c>
      <c r="C942" t="str">
        <f t="shared" si="122"/>
        <v/>
      </c>
      <c r="D942" t="s">
        <v>253</v>
      </c>
      <c r="E942" t="s">
        <v>253</v>
      </c>
      <c r="F942" s="3" t="s">
        <v>253</v>
      </c>
      <c r="G942" s="11" t="s">
        <v>253</v>
      </c>
      <c r="H942" s="11" t="s">
        <v>253</v>
      </c>
      <c r="I942" s="3" t="s">
        <v>253</v>
      </c>
      <c r="J942" s="3" t="s">
        <v>253</v>
      </c>
      <c r="K942" s="3" t="s">
        <v>253</v>
      </c>
      <c r="L942" s="3" t="s">
        <v>253</v>
      </c>
      <c r="M942" t="str">
        <f>IF(LEN(H942),MATCH(H942,'MPIO_SFIO Table'!$A$11:$A$65525,0)-1,"")</f>
        <v/>
      </c>
      <c r="N942" t="str">
        <f>IF(LEN(I942),MATCH(I942,'MPIO_SFIO Table'!$A$11:$A$65525,0)-1,"")</f>
        <v/>
      </c>
      <c r="O942" t="str">
        <f>IF(LEN(J942),MATCH(J942,'MPIO_SFIO Table'!$A$11:$A$65525,0)-1,"")</f>
        <v/>
      </c>
      <c r="P942" t="str">
        <f>IF(LEN(K942),MATCH(K942,'MPIO_SFIO Table'!$A$11:$A$65525,0)-1,"")</f>
        <v/>
      </c>
      <c r="Q942" t="str">
        <f>IF(LEN(L942),MATCH(L942,'MPIO_SFIO Table'!$A$11:$A$65525,0)-1,"")</f>
        <v/>
      </c>
      <c r="R942" t="str">
        <f ca="1">IF(ISNUMBER(M942),OFFSET('MPIO_SFIO Table'!$AJ$11,M942,0),"")</f>
        <v/>
      </c>
      <c r="S942" t="str">
        <f ca="1">IF(ISNUMBER(N942),OFFSET('MPIO_SFIO Table'!$AJ$11,N942,0),"")</f>
        <v/>
      </c>
      <c r="T942" t="str">
        <f ca="1">IF(ISNUMBER(O942),OFFSET('MPIO_SFIO Table'!$AJ$11,O942,0),"")</f>
        <v/>
      </c>
      <c r="U942" t="str">
        <f ca="1">IF(ISNUMBER(P942),OFFSET('MPIO_SFIO Table'!$AJ$11,P942,0),"")</f>
        <v/>
      </c>
      <c r="V942" t="str">
        <f ca="1">IF(ISNUMBER(Q942),OFFSET('MPIO_SFIO Table'!$AJ$11,Q942,0),"")</f>
        <v/>
      </c>
      <c r="W942">
        <f t="shared" ca="1" si="123"/>
        <v>0</v>
      </c>
      <c r="X942">
        <f t="shared" ca="1" si="124"/>
        <v>0</v>
      </c>
      <c r="Y942">
        <f t="shared" ca="1" si="125"/>
        <v>0</v>
      </c>
      <c r="Z942">
        <f t="shared" ca="1" si="126"/>
        <v>0</v>
      </c>
      <c r="AA942">
        <f t="shared" ca="1" si="127"/>
        <v>0</v>
      </c>
    </row>
    <row r="943" spans="1:27" x14ac:dyDescent="0.25">
      <c r="A943">
        <f t="shared" ca="1" si="120"/>
        <v>0</v>
      </c>
      <c r="B943" t="str">
        <f t="shared" ca="1" si="121"/>
        <v/>
      </c>
      <c r="C943" t="str">
        <f t="shared" si="122"/>
        <v/>
      </c>
      <c r="D943" t="s">
        <v>253</v>
      </c>
      <c r="E943" t="s">
        <v>253</v>
      </c>
      <c r="F943" s="3" t="s">
        <v>253</v>
      </c>
      <c r="G943" s="11" t="s">
        <v>253</v>
      </c>
      <c r="H943" s="11" t="s">
        <v>253</v>
      </c>
      <c r="I943" s="3" t="s">
        <v>253</v>
      </c>
      <c r="J943" s="3" t="s">
        <v>253</v>
      </c>
      <c r="K943" s="3" t="s">
        <v>253</v>
      </c>
      <c r="L943" s="3" t="s">
        <v>253</v>
      </c>
      <c r="M943" t="str">
        <f>IF(LEN(H943),MATCH(H943,'MPIO_SFIO Table'!$A$11:$A$65525,0)-1,"")</f>
        <v/>
      </c>
      <c r="N943" t="str">
        <f>IF(LEN(I943),MATCH(I943,'MPIO_SFIO Table'!$A$11:$A$65525,0)-1,"")</f>
        <v/>
      </c>
      <c r="O943" t="str">
        <f>IF(LEN(J943),MATCH(J943,'MPIO_SFIO Table'!$A$11:$A$65525,0)-1,"")</f>
        <v/>
      </c>
      <c r="P943" t="str">
        <f>IF(LEN(K943),MATCH(K943,'MPIO_SFIO Table'!$A$11:$A$65525,0)-1,"")</f>
        <v/>
      </c>
      <c r="Q943" t="str">
        <f>IF(LEN(L943),MATCH(L943,'MPIO_SFIO Table'!$A$11:$A$65525,0)-1,"")</f>
        <v/>
      </c>
      <c r="R943" t="str">
        <f ca="1">IF(ISNUMBER(M943),OFFSET('MPIO_SFIO Table'!$AJ$11,M943,0),"")</f>
        <v/>
      </c>
      <c r="S943" t="str">
        <f ca="1">IF(ISNUMBER(N943),OFFSET('MPIO_SFIO Table'!$AJ$11,N943,0),"")</f>
        <v/>
      </c>
      <c r="T943" t="str">
        <f ca="1">IF(ISNUMBER(O943),OFFSET('MPIO_SFIO Table'!$AJ$11,O943,0),"")</f>
        <v/>
      </c>
      <c r="U943" t="str">
        <f ca="1">IF(ISNUMBER(P943),OFFSET('MPIO_SFIO Table'!$AJ$11,P943,0),"")</f>
        <v/>
      </c>
      <c r="V943" t="str">
        <f ca="1">IF(ISNUMBER(Q943),OFFSET('MPIO_SFIO Table'!$AJ$11,Q943,0),"")</f>
        <v/>
      </c>
      <c r="W943">
        <f t="shared" ca="1" si="123"/>
        <v>0</v>
      </c>
      <c r="X943">
        <f t="shared" ca="1" si="124"/>
        <v>0</v>
      </c>
      <c r="Y943">
        <f t="shared" ca="1" si="125"/>
        <v>0</v>
      </c>
      <c r="Z943">
        <f t="shared" ca="1" si="126"/>
        <v>0</v>
      </c>
      <c r="AA943">
        <f t="shared" ca="1" si="127"/>
        <v>0</v>
      </c>
    </row>
    <row r="944" spans="1:27" x14ac:dyDescent="0.25">
      <c r="A944">
        <f t="shared" ca="1" si="120"/>
        <v>0</v>
      </c>
      <c r="B944" t="str">
        <f t="shared" ca="1" si="121"/>
        <v/>
      </c>
      <c r="C944" t="str">
        <f t="shared" si="122"/>
        <v/>
      </c>
      <c r="D944" t="s">
        <v>253</v>
      </c>
      <c r="E944" t="s">
        <v>253</v>
      </c>
      <c r="F944" s="3" t="s">
        <v>253</v>
      </c>
      <c r="G944" s="11" t="s">
        <v>253</v>
      </c>
      <c r="H944" s="11" t="s">
        <v>253</v>
      </c>
      <c r="I944" s="3" t="s">
        <v>253</v>
      </c>
      <c r="J944" s="3" t="s">
        <v>253</v>
      </c>
      <c r="K944" s="3" t="s">
        <v>253</v>
      </c>
      <c r="L944" s="3" t="s">
        <v>253</v>
      </c>
      <c r="M944" t="str">
        <f>IF(LEN(H944),MATCH(H944,'MPIO_SFIO Table'!$A$11:$A$65525,0)-1,"")</f>
        <v/>
      </c>
      <c r="N944" t="str">
        <f>IF(LEN(I944),MATCH(I944,'MPIO_SFIO Table'!$A$11:$A$65525,0)-1,"")</f>
        <v/>
      </c>
      <c r="O944" t="str">
        <f>IF(LEN(J944),MATCH(J944,'MPIO_SFIO Table'!$A$11:$A$65525,0)-1,"")</f>
        <v/>
      </c>
      <c r="P944" t="str">
        <f>IF(LEN(K944),MATCH(K944,'MPIO_SFIO Table'!$A$11:$A$65525,0)-1,"")</f>
        <v/>
      </c>
      <c r="Q944" t="str">
        <f>IF(LEN(L944),MATCH(L944,'MPIO_SFIO Table'!$A$11:$A$65525,0)-1,"")</f>
        <v/>
      </c>
      <c r="R944" t="str">
        <f ca="1">IF(ISNUMBER(M944),OFFSET('MPIO_SFIO Table'!$AJ$11,M944,0),"")</f>
        <v/>
      </c>
      <c r="S944" t="str">
        <f ca="1">IF(ISNUMBER(N944),OFFSET('MPIO_SFIO Table'!$AJ$11,N944,0),"")</f>
        <v/>
      </c>
      <c r="T944" t="str">
        <f ca="1">IF(ISNUMBER(O944),OFFSET('MPIO_SFIO Table'!$AJ$11,O944,0),"")</f>
        <v/>
      </c>
      <c r="U944" t="str">
        <f ca="1">IF(ISNUMBER(P944),OFFSET('MPIO_SFIO Table'!$AJ$11,P944,0),"")</f>
        <v/>
      </c>
      <c r="V944" t="str">
        <f ca="1">IF(ISNUMBER(Q944),OFFSET('MPIO_SFIO Table'!$AJ$11,Q944,0),"")</f>
        <v/>
      </c>
      <c r="W944">
        <f t="shared" ca="1" si="123"/>
        <v>0</v>
      </c>
      <c r="X944">
        <f t="shared" ca="1" si="124"/>
        <v>0</v>
      </c>
      <c r="Y944">
        <f t="shared" ca="1" si="125"/>
        <v>0</v>
      </c>
      <c r="Z944">
        <f t="shared" ca="1" si="126"/>
        <v>0</v>
      </c>
      <c r="AA944">
        <f t="shared" ca="1" si="127"/>
        <v>0</v>
      </c>
    </row>
    <row r="945" spans="1:27" x14ac:dyDescent="0.25">
      <c r="A945">
        <f t="shared" ca="1" si="120"/>
        <v>0</v>
      </c>
      <c r="B945" t="str">
        <f t="shared" ca="1" si="121"/>
        <v/>
      </c>
      <c r="C945" t="str">
        <f t="shared" si="122"/>
        <v/>
      </c>
      <c r="D945" t="s">
        <v>253</v>
      </c>
      <c r="E945" t="s">
        <v>253</v>
      </c>
      <c r="F945" s="3" t="s">
        <v>253</v>
      </c>
      <c r="G945" s="11" t="s">
        <v>253</v>
      </c>
      <c r="H945" s="11" t="s">
        <v>253</v>
      </c>
      <c r="I945" s="3" t="s">
        <v>253</v>
      </c>
      <c r="J945" s="3" t="s">
        <v>253</v>
      </c>
      <c r="K945" s="3" t="s">
        <v>253</v>
      </c>
      <c r="L945" s="3" t="s">
        <v>253</v>
      </c>
      <c r="M945" t="str">
        <f>IF(LEN(H945),MATCH(H945,'MPIO_SFIO Table'!$A$11:$A$65525,0)-1,"")</f>
        <v/>
      </c>
      <c r="N945" t="str">
        <f>IF(LEN(I945),MATCH(I945,'MPIO_SFIO Table'!$A$11:$A$65525,0)-1,"")</f>
        <v/>
      </c>
      <c r="O945" t="str">
        <f>IF(LEN(J945),MATCH(J945,'MPIO_SFIO Table'!$A$11:$A$65525,0)-1,"")</f>
        <v/>
      </c>
      <c r="P945" t="str">
        <f>IF(LEN(K945),MATCH(K945,'MPIO_SFIO Table'!$A$11:$A$65525,0)-1,"")</f>
        <v/>
      </c>
      <c r="Q945" t="str">
        <f>IF(LEN(L945),MATCH(L945,'MPIO_SFIO Table'!$A$11:$A$65525,0)-1,"")</f>
        <v/>
      </c>
      <c r="R945" t="str">
        <f ca="1">IF(ISNUMBER(M945),OFFSET('MPIO_SFIO Table'!$AJ$11,M945,0),"")</f>
        <v/>
      </c>
      <c r="S945" t="str">
        <f ca="1">IF(ISNUMBER(N945),OFFSET('MPIO_SFIO Table'!$AJ$11,N945,0),"")</f>
        <v/>
      </c>
      <c r="T945" t="str">
        <f ca="1">IF(ISNUMBER(O945),OFFSET('MPIO_SFIO Table'!$AJ$11,O945,0),"")</f>
        <v/>
      </c>
      <c r="U945" t="str">
        <f ca="1">IF(ISNUMBER(P945),OFFSET('MPIO_SFIO Table'!$AJ$11,P945,0),"")</f>
        <v/>
      </c>
      <c r="V945" t="str">
        <f ca="1">IF(ISNUMBER(Q945),OFFSET('MPIO_SFIO Table'!$AJ$11,Q945,0),"")</f>
        <v/>
      </c>
      <c r="W945">
        <f t="shared" ca="1" si="123"/>
        <v>0</v>
      </c>
      <c r="X945">
        <f t="shared" ca="1" si="124"/>
        <v>0</v>
      </c>
      <c r="Y945">
        <f t="shared" ca="1" si="125"/>
        <v>0</v>
      </c>
      <c r="Z945">
        <f t="shared" ca="1" si="126"/>
        <v>0</v>
      </c>
      <c r="AA945">
        <f t="shared" ca="1" si="127"/>
        <v>0</v>
      </c>
    </row>
    <row r="946" spans="1:27" x14ac:dyDescent="0.25">
      <c r="A946">
        <f t="shared" ca="1" si="120"/>
        <v>0</v>
      </c>
      <c r="B946" t="str">
        <f t="shared" ca="1" si="121"/>
        <v/>
      </c>
      <c r="C946" t="str">
        <f t="shared" si="122"/>
        <v/>
      </c>
      <c r="D946" t="s">
        <v>253</v>
      </c>
      <c r="E946" t="s">
        <v>253</v>
      </c>
      <c r="F946" s="3" t="s">
        <v>253</v>
      </c>
      <c r="G946" s="11" t="s">
        <v>253</v>
      </c>
      <c r="H946" s="11" t="s">
        <v>253</v>
      </c>
      <c r="I946" s="3" t="s">
        <v>253</v>
      </c>
      <c r="J946" s="3" t="s">
        <v>253</v>
      </c>
      <c r="K946" s="3" t="s">
        <v>253</v>
      </c>
      <c r="L946" s="3" t="s">
        <v>253</v>
      </c>
      <c r="M946" t="str">
        <f>IF(LEN(H946),MATCH(H946,'MPIO_SFIO Table'!$A$11:$A$65525,0)-1,"")</f>
        <v/>
      </c>
      <c r="N946" t="str">
        <f>IF(LEN(I946),MATCH(I946,'MPIO_SFIO Table'!$A$11:$A$65525,0)-1,"")</f>
        <v/>
      </c>
      <c r="O946" t="str">
        <f>IF(LEN(J946),MATCH(J946,'MPIO_SFIO Table'!$A$11:$A$65525,0)-1,"")</f>
        <v/>
      </c>
      <c r="P946" t="str">
        <f>IF(LEN(K946),MATCH(K946,'MPIO_SFIO Table'!$A$11:$A$65525,0)-1,"")</f>
        <v/>
      </c>
      <c r="Q946" t="str">
        <f>IF(LEN(L946),MATCH(L946,'MPIO_SFIO Table'!$A$11:$A$65525,0)-1,"")</f>
        <v/>
      </c>
      <c r="R946" t="str">
        <f ca="1">IF(ISNUMBER(M946),OFFSET('MPIO_SFIO Table'!$AJ$11,M946,0),"")</f>
        <v/>
      </c>
      <c r="S946" t="str">
        <f ca="1">IF(ISNUMBER(N946),OFFSET('MPIO_SFIO Table'!$AJ$11,N946,0),"")</f>
        <v/>
      </c>
      <c r="T946" t="str">
        <f ca="1">IF(ISNUMBER(O946),OFFSET('MPIO_SFIO Table'!$AJ$11,O946,0),"")</f>
        <v/>
      </c>
      <c r="U946" t="str">
        <f ca="1">IF(ISNUMBER(P946),OFFSET('MPIO_SFIO Table'!$AJ$11,P946,0),"")</f>
        <v/>
      </c>
      <c r="V946" t="str">
        <f ca="1">IF(ISNUMBER(Q946),OFFSET('MPIO_SFIO Table'!$AJ$11,Q946,0),"")</f>
        <v/>
      </c>
      <c r="W946">
        <f t="shared" ca="1" si="123"/>
        <v>0</v>
      </c>
      <c r="X946">
        <f t="shared" ca="1" si="124"/>
        <v>0</v>
      </c>
      <c r="Y946">
        <f t="shared" ca="1" si="125"/>
        <v>0</v>
      </c>
      <c r="Z946">
        <f t="shared" ca="1" si="126"/>
        <v>0</v>
      </c>
      <c r="AA946">
        <f t="shared" ca="1" si="127"/>
        <v>0</v>
      </c>
    </row>
    <row r="947" spans="1:27" x14ac:dyDescent="0.25">
      <c r="A947">
        <f t="shared" ca="1" si="120"/>
        <v>0</v>
      </c>
      <c r="B947" t="str">
        <f t="shared" ca="1" si="121"/>
        <v/>
      </c>
      <c r="C947" t="str">
        <f t="shared" si="122"/>
        <v/>
      </c>
      <c r="D947" t="s">
        <v>253</v>
      </c>
      <c r="E947" t="s">
        <v>253</v>
      </c>
      <c r="F947" s="3" t="s">
        <v>253</v>
      </c>
      <c r="G947" s="11" t="s">
        <v>253</v>
      </c>
      <c r="H947" s="11" t="s">
        <v>253</v>
      </c>
      <c r="I947" s="3" t="s">
        <v>253</v>
      </c>
      <c r="J947" s="3" t="s">
        <v>253</v>
      </c>
      <c r="K947" s="3" t="s">
        <v>253</v>
      </c>
      <c r="L947" s="3" t="s">
        <v>253</v>
      </c>
      <c r="M947" t="str">
        <f>IF(LEN(H947),MATCH(H947,'MPIO_SFIO Table'!$A$11:$A$65525,0)-1,"")</f>
        <v/>
      </c>
      <c r="N947" t="str">
        <f>IF(LEN(I947),MATCH(I947,'MPIO_SFIO Table'!$A$11:$A$65525,0)-1,"")</f>
        <v/>
      </c>
      <c r="O947" t="str">
        <f>IF(LEN(J947),MATCH(J947,'MPIO_SFIO Table'!$A$11:$A$65525,0)-1,"")</f>
        <v/>
      </c>
      <c r="P947" t="str">
        <f>IF(LEN(K947),MATCH(K947,'MPIO_SFIO Table'!$A$11:$A$65525,0)-1,"")</f>
        <v/>
      </c>
      <c r="Q947" t="str">
        <f>IF(LEN(L947),MATCH(L947,'MPIO_SFIO Table'!$A$11:$A$65525,0)-1,"")</f>
        <v/>
      </c>
      <c r="R947" t="str">
        <f ca="1">IF(ISNUMBER(M947),OFFSET('MPIO_SFIO Table'!$AJ$11,M947,0),"")</f>
        <v/>
      </c>
      <c r="S947" t="str">
        <f ca="1">IF(ISNUMBER(N947),OFFSET('MPIO_SFIO Table'!$AJ$11,N947,0),"")</f>
        <v/>
      </c>
      <c r="T947" t="str">
        <f ca="1">IF(ISNUMBER(O947),OFFSET('MPIO_SFIO Table'!$AJ$11,O947,0),"")</f>
        <v/>
      </c>
      <c r="U947" t="str">
        <f ca="1">IF(ISNUMBER(P947),OFFSET('MPIO_SFIO Table'!$AJ$11,P947,0),"")</f>
        <v/>
      </c>
      <c r="V947" t="str">
        <f ca="1">IF(ISNUMBER(Q947),OFFSET('MPIO_SFIO Table'!$AJ$11,Q947,0),"")</f>
        <v/>
      </c>
      <c r="W947">
        <f t="shared" ca="1" si="123"/>
        <v>0</v>
      </c>
      <c r="X947">
        <f t="shared" ca="1" si="124"/>
        <v>0</v>
      </c>
      <c r="Y947">
        <f t="shared" ca="1" si="125"/>
        <v>0</v>
      </c>
      <c r="Z947">
        <f t="shared" ca="1" si="126"/>
        <v>0</v>
      </c>
      <c r="AA947">
        <f t="shared" ca="1" si="127"/>
        <v>0</v>
      </c>
    </row>
    <row r="948" spans="1:27" x14ac:dyDescent="0.25">
      <c r="A948">
        <f t="shared" ca="1" si="120"/>
        <v>0</v>
      </c>
      <c r="B948" t="str">
        <f t="shared" ca="1" si="121"/>
        <v/>
      </c>
      <c r="C948" t="str">
        <f t="shared" si="122"/>
        <v/>
      </c>
      <c r="D948" t="s">
        <v>253</v>
      </c>
      <c r="E948" t="s">
        <v>253</v>
      </c>
      <c r="F948" s="3" t="s">
        <v>253</v>
      </c>
      <c r="G948" s="11" t="s">
        <v>253</v>
      </c>
      <c r="H948" s="11" t="s">
        <v>253</v>
      </c>
      <c r="I948" s="3" t="s">
        <v>253</v>
      </c>
      <c r="J948" s="3" t="s">
        <v>253</v>
      </c>
      <c r="K948" s="3" t="s">
        <v>253</v>
      </c>
      <c r="L948" s="3" t="s">
        <v>253</v>
      </c>
      <c r="M948" t="str">
        <f>IF(LEN(H948),MATCH(H948,'MPIO_SFIO Table'!$A$11:$A$65525,0)-1,"")</f>
        <v/>
      </c>
      <c r="N948" t="str">
        <f>IF(LEN(I948),MATCH(I948,'MPIO_SFIO Table'!$A$11:$A$65525,0)-1,"")</f>
        <v/>
      </c>
      <c r="O948" t="str">
        <f>IF(LEN(J948),MATCH(J948,'MPIO_SFIO Table'!$A$11:$A$65525,0)-1,"")</f>
        <v/>
      </c>
      <c r="P948" t="str">
        <f>IF(LEN(K948),MATCH(K948,'MPIO_SFIO Table'!$A$11:$A$65525,0)-1,"")</f>
        <v/>
      </c>
      <c r="Q948" t="str">
        <f>IF(LEN(L948),MATCH(L948,'MPIO_SFIO Table'!$A$11:$A$65525,0)-1,"")</f>
        <v/>
      </c>
      <c r="R948" t="str">
        <f ca="1">IF(ISNUMBER(M948),OFFSET('MPIO_SFIO Table'!$AJ$11,M948,0),"")</f>
        <v/>
      </c>
      <c r="S948" t="str">
        <f ca="1">IF(ISNUMBER(N948),OFFSET('MPIO_SFIO Table'!$AJ$11,N948,0),"")</f>
        <v/>
      </c>
      <c r="T948" t="str">
        <f ca="1">IF(ISNUMBER(O948),OFFSET('MPIO_SFIO Table'!$AJ$11,O948,0),"")</f>
        <v/>
      </c>
      <c r="U948" t="str">
        <f ca="1">IF(ISNUMBER(P948),OFFSET('MPIO_SFIO Table'!$AJ$11,P948,0),"")</f>
        <v/>
      </c>
      <c r="V948" t="str">
        <f ca="1">IF(ISNUMBER(Q948),OFFSET('MPIO_SFIO Table'!$AJ$11,Q948,0),"")</f>
        <v/>
      </c>
      <c r="W948">
        <f t="shared" ca="1" si="123"/>
        <v>0</v>
      </c>
      <c r="X948">
        <f t="shared" ca="1" si="124"/>
        <v>0</v>
      </c>
      <c r="Y948">
        <f t="shared" ca="1" si="125"/>
        <v>0</v>
      </c>
      <c r="Z948">
        <f t="shared" ca="1" si="126"/>
        <v>0</v>
      </c>
      <c r="AA948">
        <f t="shared" ca="1" si="127"/>
        <v>0</v>
      </c>
    </row>
    <row r="949" spans="1:27" x14ac:dyDescent="0.25">
      <c r="A949">
        <f t="shared" ca="1" si="120"/>
        <v>0</v>
      </c>
      <c r="B949" t="str">
        <f t="shared" ca="1" si="121"/>
        <v/>
      </c>
      <c r="C949" t="str">
        <f t="shared" si="122"/>
        <v/>
      </c>
      <c r="D949" t="s">
        <v>253</v>
      </c>
      <c r="E949" t="s">
        <v>253</v>
      </c>
      <c r="F949" s="3" t="s">
        <v>253</v>
      </c>
      <c r="G949" s="11" t="s">
        <v>253</v>
      </c>
      <c r="H949" s="11" t="s">
        <v>253</v>
      </c>
      <c r="I949" s="3" t="s">
        <v>253</v>
      </c>
      <c r="J949" s="3" t="s">
        <v>253</v>
      </c>
      <c r="K949" s="3" t="s">
        <v>253</v>
      </c>
      <c r="L949" s="3" t="s">
        <v>253</v>
      </c>
      <c r="M949" t="str">
        <f>IF(LEN(H949),MATCH(H949,'MPIO_SFIO Table'!$A$11:$A$65525,0)-1,"")</f>
        <v/>
      </c>
      <c r="N949" t="str">
        <f>IF(LEN(I949),MATCH(I949,'MPIO_SFIO Table'!$A$11:$A$65525,0)-1,"")</f>
        <v/>
      </c>
      <c r="O949" t="str">
        <f>IF(LEN(J949),MATCH(J949,'MPIO_SFIO Table'!$A$11:$A$65525,0)-1,"")</f>
        <v/>
      </c>
      <c r="P949" t="str">
        <f>IF(LEN(K949),MATCH(K949,'MPIO_SFIO Table'!$A$11:$A$65525,0)-1,"")</f>
        <v/>
      </c>
      <c r="Q949" t="str">
        <f>IF(LEN(L949),MATCH(L949,'MPIO_SFIO Table'!$A$11:$A$65525,0)-1,"")</f>
        <v/>
      </c>
      <c r="R949" t="str">
        <f ca="1">IF(ISNUMBER(M949),OFFSET('MPIO_SFIO Table'!$AJ$11,M949,0),"")</f>
        <v/>
      </c>
      <c r="S949" t="str">
        <f ca="1">IF(ISNUMBER(N949),OFFSET('MPIO_SFIO Table'!$AJ$11,N949,0),"")</f>
        <v/>
      </c>
      <c r="T949" t="str">
        <f ca="1">IF(ISNUMBER(O949),OFFSET('MPIO_SFIO Table'!$AJ$11,O949,0),"")</f>
        <v/>
      </c>
      <c r="U949" t="str">
        <f ca="1">IF(ISNUMBER(P949),OFFSET('MPIO_SFIO Table'!$AJ$11,P949,0),"")</f>
        <v/>
      </c>
      <c r="V949" t="str">
        <f ca="1">IF(ISNUMBER(Q949),OFFSET('MPIO_SFIO Table'!$AJ$11,Q949,0),"")</f>
        <v/>
      </c>
      <c r="W949">
        <f t="shared" ca="1" si="123"/>
        <v>0</v>
      </c>
      <c r="X949">
        <f t="shared" ca="1" si="124"/>
        <v>0</v>
      </c>
      <c r="Y949">
        <f t="shared" ca="1" si="125"/>
        <v>0</v>
      </c>
      <c r="Z949">
        <f t="shared" ca="1" si="126"/>
        <v>0</v>
      </c>
      <c r="AA949">
        <f t="shared" ca="1" si="127"/>
        <v>0</v>
      </c>
    </row>
    <row r="950" spans="1:27" x14ac:dyDescent="0.25">
      <c r="A950">
        <f t="shared" ca="1" si="120"/>
        <v>0</v>
      </c>
      <c r="B950" t="str">
        <f t="shared" ca="1" si="121"/>
        <v/>
      </c>
      <c r="C950" t="str">
        <f t="shared" si="122"/>
        <v/>
      </c>
      <c r="D950" t="s">
        <v>253</v>
      </c>
      <c r="E950" t="s">
        <v>253</v>
      </c>
      <c r="F950" s="3" t="s">
        <v>253</v>
      </c>
      <c r="G950" s="11" t="s">
        <v>253</v>
      </c>
      <c r="H950" s="11" t="s">
        <v>253</v>
      </c>
      <c r="I950" s="3" t="s">
        <v>253</v>
      </c>
      <c r="J950" s="3" t="s">
        <v>253</v>
      </c>
      <c r="K950" s="3" t="s">
        <v>253</v>
      </c>
      <c r="L950" s="3" t="s">
        <v>253</v>
      </c>
      <c r="M950" t="str">
        <f>IF(LEN(H950),MATCH(H950,'MPIO_SFIO Table'!$A$11:$A$65525,0)-1,"")</f>
        <v/>
      </c>
      <c r="N950" t="str">
        <f>IF(LEN(I950),MATCH(I950,'MPIO_SFIO Table'!$A$11:$A$65525,0)-1,"")</f>
        <v/>
      </c>
      <c r="O950" t="str">
        <f>IF(LEN(J950),MATCH(J950,'MPIO_SFIO Table'!$A$11:$A$65525,0)-1,"")</f>
        <v/>
      </c>
      <c r="P950" t="str">
        <f>IF(LEN(K950),MATCH(K950,'MPIO_SFIO Table'!$A$11:$A$65525,0)-1,"")</f>
        <v/>
      </c>
      <c r="Q950" t="str">
        <f>IF(LEN(L950),MATCH(L950,'MPIO_SFIO Table'!$A$11:$A$65525,0)-1,"")</f>
        <v/>
      </c>
      <c r="R950" t="str">
        <f ca="1">IF(ISNUMBER(M950),OFFSET('MPIO_SFIO Table'!$AJ$11,M950,0),"")</f>
        <v/>
      </c>
      <c r="S950" t="str">
        <f ca="1">IF(ISNUMBER(N950),OFFSET('MPIO_SFIO Table'!$AJ$11,N950,0),"")</f>
        <v/>
      </c>
      <c r="T950" t="str">
        <f ca="1">IF(ISNUMBER(O950),OFFSET('MPIO_SFIO Table'!$AJ$11,O950,0),"")</f>
        <v/>
      </c>
      <c r="U950" t="str">
        <f ca="1">IF(ISNUMBER(P950),OFFSET('MPIO_SFIO Table'!$AJ$11,P950,0),"")</f>
        <v/>
      </c>
      <c r="V950" t="str">
        <f ca="1">IF(ISNUMBER(Q950),OFFSET('MPIO_SFIO Table'!$AJ$11,Q950,0),"")</f>
        <v/>
      </c>
      <c r="W950">
        <f t="shared" ca="1" si="123"/>
        <v>0</v>
      </c>
      <c r="X950">
        <f t="shared" ca="1" si="124"/>
        <v>0</v>
      </c>
      <c r="Y950">
        <f t="shared" ca="1" si="125"/>
        <v>0</v>
      </c>
      <c r="Z950">
        <f t="shared" ca="1" si="126"/>
        <v>0</v>
      </c>
      <c r="AA950">
        <f t="shared" ca="1" si="127"/>
        <v>0</v>
      </c>
    </row>
    <row r="951" spans="1:27" x14ac:dyDescent="0.25">
      <c r="A951">
        <f t="shared" ca="1" si="120"/>
        <v>0</v>
      </c>
      <c r="B951" t="str">
        <f t="shared" ca="1" si="121"/>
        <v/>
      </c>
      <c r="C951" t="str">
        <f t="shared" si="122"/>
        <v/>
      </c>
      <c r="D951" t="s">
        <v>253</v>
      </c>
      <c r="E951" t="s">
        <v>253</v>
      </c>
      <c r="F951" s="3" t="s">
        <v>253</v>
      </c>
      <c r="G951" s="11" t="s">
        <v>253</v>
      </c>
      <c r="H951" s="11" t="s">
        <v>253</v>
      </c>
      <c r="I951" s="3" t="s">
        <v>253</v>
      </c>
      <c r="J951" s="3" t="s">
        <v>253</v>
      </c>
      <c r="K951" s="3" t="s">
        <v>253</v>
      </c>
      <c r="L951" s="3" t="s">
        <v>253</v>
      </c>
      <c r="M951" t="str">
        <f>IF(LEN(H951),MATCH(H951,'MPIO_SFIO Table'!$A$11:$A$65525,0)-1,"")</f>
        <v/>
      </c>
      <c r="N951" t="str">
        <f>IF(LEN(I951),MATCH(I951,'MPIO_SFIO Table'!$A$11:$A$65525,0)-1,"")</f>
        <v/>
      </c>
      <c r="O951" t="str">
        <f>IF(LEN(J951),MATCH(J951,'MPIO_SFIO Table'!$A$11:$A$65525,0)-1,"")</f>
        <v/>
      </c>
      <c r="P951" t="str">
        <f>IF(LEN(K951),MATCH(K951,'MPIO_SFIO Table'!$A$11:$A$65525,0)-1,"")</f>
        <v/>
      </c>
      <c r="Q951" t="str">
        <f>IF(LEN(L951),MATCH(L951,'MPIO_SFIO Table'!$A$11:$A$65525,0)-1,"")</f>
        <v/>
      </c>
      <c r="R951" t="str">
        <f ca="1">IF(ISNUMBER(M951),OFFSET('MPIO_SFIO Table'!$AJ$11,M951,0),"")</f>
        <v/>
      </c>
      <c r="S951" t="str">
        <f ca="1">IF(ISNUMBER(N951),OFFSET('MPIO_SFIO Table'!$AJ$11,N951,0),"")</f>
        <v/>
      </c>
      <c r="T951" t="str">
        <f ca="1">IF(ISNUMBER(O951),OFFSET('MPIO_SFIO Table'!$AJ$11,O951,0),"")</f>
        <v/>
      </c>
      <c r="U951" t="str">
        <f ca="1">IF(ISNUMBER(P951),OFFSET('MPIO_SFIO Table'!$AJ$11,P951,0),"")</f>
        <v/>
      </c>
      <c r="V951" t="str">
        <f ca="1">IF(ISNUMBER(Q951),OFFSET('MPIO_SFIO Table'!$AJ$11,Q951,0),"")</f>
        <v/>
      </c>
      <c r="W951">
        <f t="shared" ca="1" si="123"/>
        <v>0</v>
      </c>
      <c r="X951">
        <f t="shared" ca="1" si="124"/>
        <v>0</v>
      </c>
      <c r="Y951">
        <f t="shared" ca="1" si="125"/>
        <v>0</v>
      </c>
      <c r="Z951">
        <f t="shared" ca="1" si="126"/>
        <v>0</v>
      </c>
      <c r="AA951">
        <f t="shared" ca="1" si="127"/>
        <v>0</v>
      </c>
    </row>
    <row r="952" spans="1:27" x14ac:dyDescent="0.25">
      <c r="A952">
        <f t="shared" ca="1" si="120"/>
        <v>0</v>
      </c>
      <c r="B952" t="str">
        <f t="shared" ca="1" si="121"/>
        <v/>
      </c>
      <c r="C952" t="str">
        <f t="shared" si="122"/>
        <v/>
      </c>
      <c r="D952" t="s">
        <v>253</v>
      </c>
      <c r="E952" t="s">
        <v>253</v>
      </c>
      <c r="F952" s="3" t="s">
        <v>253</v>
      </c>
      <c r="G952" s="11" t="s">
        <v>253</v>
      </c>
      <c r="H952" s="11" t="s">
        <v>253</v>
      </c>
      <c r="I952" s="3" t="s">
        <v>253</v>
      </c>
      <c r="J952" s="3" t="s">
        <v>253</v>
      </c>
      <c r="K952" s="3" t="s">
        <v>253</v>
      </c>
      <c r="L952" s="3" t="s">
        <v>253</v>
      </c>
      <c r="M952" t="str">
        <f>IF(LEN(H952),MATCH(H952,'MPIO_SFIO Table'!$A$11:$A$65525,0)-1,"")</f>
        <v/>
      </c>
      <c r="N952" t="str">
        <f>IF(LEN(I952),MATCH(I952,'MPIO_SFIO Table'!$A$11:$A$65525,0)-1,"")</f>
        <v/>
      </c>
      <c r="O952" t="str">
        <f>IF(LEN(J952),MATCH(J952,'MPIO_SFIO Table'!$A$11:$A$65525,0)-1,"")</f>
        <v/>
      </c>
      <c r="P952" t="str">
        <f>IF(LEN(K952),MATCH(K952,'MPIO_SFIO Table'!$A$11:$A$65525,0)-1,"")</f>
        <v/>
      </c>
      <c r="Q952" t="str">
        <f>IF(LEN(L952),MATCH(L952,'MPIO_SFIO Table'!$A$11:$A$65525,0)-1,"")</f>
        <v/>
      </c>
      <c r="R952" t="str">
        <f ca="1">IF(ISNUMBER(M952),OFFSET('MPIO_SFIO Table'!$AJ$11,M952,0),"")</f>
        <v/>
      </c>
      <c r="S952" t="str">
        <f ca="1">IF(ISNUMBER(N952),OFFSET('MPIO_SFIO Table'!$AJ$11,N952,0),"")</f>
        <v/>
      </c>
      <c r="T952" t="str">
        <f ca="1">IF(ISNUMBER(O952),OFFSET('MPIO_SFIO Table'!$AJ$11,O952,0),"")</f>
        <v/>
      </c>
      <c r="U952" t="str">
        <f ca="1">IF(ISNUMBER(P952),OFFSET('MPIO_SFIO Table'!$AJ$11,P952,0),"")</f>
        <v/>
      </c>
      <c r="V952" t="str">
        <f ca="1">IF(ISNUMBER(Q952),OFFSET('MPIO_SFIO Table'!$AJ$11,Q952,0),"")</f>
        <v/>
      </c>
      <c r="W952">
        <f t="shared" ca="1" si="123"/>
        <v>0</v>
      </c>
      <c r="X952">
        <f t="shared" ca="1" si="124"/>
        <v>0</v>
      </c>
      <c r="Y952">
        <f t="shared" ca="1" si="125"/>
        <v>0</v>
      </c>
      <c r="Z952">
        <f t="shared" ca="1" si="126"/>
        <v>0</v>
      </c>
      <c r="AA952">
        <f t="shared" ca="1" si="127"/>
        <v>0</v>
      </c>
    </row>
    <row r="953" spans="1:27" x14ac:dyDescent="0.25">
      <c r="A953">
        <f t="shared" ca="1" si="120"/>
        <v>0</v>
      </c>
      <c r="B953" t="str">
        <f t="shared" ca="1" si="121"/>
        <v/>
      </c>
      <c r="C953" t="str">
        <f t="shared" si="122"/>
        <v/>
      </c>
      <c r="D953" t="s">
        <v>253</v>
      </c>
      <c r="E953" t="s">
        <v>253</v>
      </c>
      <c r="F953" s="3" t="s">
        <v>253</v>
      </c>
      <c r="G953" s="11" t="s">
        <v>253</v>
      </c>
      <c r="H953" s="11" t="s">
        <v>253</v>
      </c>
      <c r="I953" s="3" t="s">
        <v>253</v>
      </c>
      <c r="J953" s="3" t="s">
        <v>253</v>
      </c>
      <c r="K953" s="3" t="s">
        <v>253</v>
      </c>
      <c r="L953" s="3" t="s">
        <v>253</v>
      </c>
      <c r="M953" t="str">
        <f>IF(LEN(H953),MATCH(H953,'MPIO_SFIO Table'!$A$11:$A$65525,0)-1,"")</f>
        <v/>
      </c>
      <c r="N953" t="str">
        <f>IF(LEN(I953),MATCH(I953,'MPIO_SFIO Table'!$A$11:$A$65525,0)-1,"")</f>
        <v/>
      </c>
      <c r="O953" t="str">
        <f>IF(LEN(J953),MATCH(J953,'MPIO_SFIO Table'!$A$11:$A$65525,0)-1,"")</f>
        <v/>
      </c>
      <c r="P953" t="str">
        <f>IF(LEN(K953),MATCH(K953,'MPIO_SFIO Table'!$A$11:$A$65525,0)-1,"")</f>
        <v/>
      </c>
      <c r="Q953" t="str">
        <f>IF(LEN(L953),MATCH(L953,'MPIO_SFIO Table'!$A$11:$A$65525,0)-1,"")</f>
        <v/>
      </c>
      <c r="R953" t="str">
        <f ca="1">IF(ISNUMBER(M953),OFFSET('MPIO_SFIO Table'!$AJ$11,M953,0),"")</f>
        <v/>
      </c>
      <c r="S953" t="str">
        <f ca="1">IF(ISNUMBER(N953),OFFSET('MPIO_SFIO Table'!$AJ$11,N953,0),"")</f>
        <v/>
      </c>
      <c r="T953" t="str">
        <f ca="1">IF(ISNUMBER(O953),OFFSET('MPIO_SFIO Table'!$AJ$11,O953,0),"")</f>
        <v/>
      </c>
      <c r="U953" t="str">
        <f ca="1">IF(ISNUMBER(P953),OFFSET('MPIO_SFIO Table'!$AJ$11,P953,0),"")</f>
        <v/>
      </c>
      <c r="V953" t="str">
        <f ca="1">IF(ISNUMBER(Q953),OFFSET('MPIO_SFIO Table'!$AJ$11,Q953,0),"")</f>
        <v/>
      </c>
      <c r="W953">
        <f t="shared" ca="1" si="123"/>
        <v>0</v>
      </c>
      <c r="X953">
        <f t="shared" ca="1" si="124"/>
        <v>0</v>
      </c>
      <c r="Y953">
        <f t="shared" ca="1" si="125"/>
        <v>0</v>
      </c>
      <c r="Z953">
        <f t="shared" ca="1" si="126"/>
        <v>0</v>
      </c>
      <c r="AA953">
        <f t="shared" ca="1" si="127"/>
        <v>0</v>
      </c>
    </row>
    <row r="954" spans="1:27" x14ac:dyDescent="0.25">
      <c r="A954">
        <f t="shared" ca="1" si="120"/>
        <v>0</v>
      </c>
      <c r="B954" t="str">
        <f t="shared" ca="1" si="121"/>
        <v/>
      </c>
      <c r="C954" t="str">
        <f t="shared" si="122"/>
        <v/>
      </c>
      <c r="D954" t="s">
        <v>253</v>
      </c>
      <c r="E954" t="s">
        <v>253</v>
      </c>
      <c r="F954" s="3" t="s">
        <v>253</v>
      </c>
      <c r="G954" s="11" t="s">
        <v>253</v>
      </c>
      <c r="H954" s="11" t="s">
        <v>253</v>
      </c>
      <c r="I954" s="3" t="s">
        <v>253</v>
      </c>
      <c r="J954" s="3" t="s">
        <v>253</v>
      </c>
      <c r="K954" s="3" t="s">
        <v>253</v>
      </c>
      <c r="L954" s="3" t="s">
        <v>253</v>
      </c>
      <c r="M954" t="str">
        <f>IF(LEN(H954),MATCH(H954,'MPIO_SFIO Table'!$A$11:$A$65525,0)-1,"")</f>
        <v/>
      </c>
      <c r="N954" t="str">
        <f>IF(LEN(I954),MATCH(I954,'MPIO_SFIO Table'!$A$11:$A$65525,0)-1,"")</f>
        <v/>
      </c>
      <c r="O954" t="str">
        <f>IF(LEN(J954),MATCH(J954,'MPIO_SFIO Table'!$A$11:$A$65525,0)-1,"")</f>
        <v/>
      </c>
      <c r="P954" t="str">
        <f>IF(LEN(K954),MATCH(K954,'MPIO_SFIO Table'!$A$11:$A$65525,0)-1,"")</f>
        <v/>
      </c>
      <c r="Q954" t="str">
        <f>IF(LEN(L954),MATCH(L954,'MPIO_SFIO Table'!$A$11:$A$65525,0)-1,"")</f>
        <v/>
      </c>
      <c r="R954" t="str">
        <f ca="1">IF(ISNUMBER(M954),OFFSET('MPIO_SFIO Table'!$AJ$11,M954,0),"")</f>
        <v/>
      </c>
      <c r="S954" t="str">
        <f ca="1">IF(ISNUMBER(N954),OFFSET('MPIO_SFIO Table'!$AJ$11,N954,0),"")</f>
        <v/>
      </c>
      <c r="T954" t="str">
        <f ca="1">IF(ISNUMBER(O954),OFFSET('MPIO_SFIO Table'!$AJ$11,O954,0),"")</f>
        <v/>
      </c>
      <c r="U954" t="str">
        <f ca="1">IF(ISNUMBER(P954),OFFSET('MPIO_SFIO Table'!$AJ$11,P954,0),"")</f>
        <v/>
      </c>
      <c r="V954" t="str">
        <f ca="1">IF(ISNUMBER(Q954),OFFSET('MPIO_SFIO Table'!$AJ$11,Q954,0),"")</f>
        <v/>
      </c>
      <c r="W954">
        <f t="shared" ca="1" si="123"/>
        <v>0</v>
      </c>
      <c r="X954">
        <f t="shared" ca="1" si="124"/>
        <v>0</v>
      </c>
      <c r="Y954">
        <f t="shared" ca="1" si="125"/>
        <v>0</v>
      </c>
      <c r="Z954">
        <f t="shared" ca="1" si="126"/>
        <v>0</v>
      </c>
      <c r="AA954">
        <f t="shared" ca="1" si="127"/>
        <v>0</v>
      </c>
    </row>
    <row r="955" spans="1:27" x14ac:dyDescent="0.25">
      <c r="A955">
        <f t="shared" ca="1" si="120"/>
        <v>0</v>
      </c>
      <c r="B955" t="str">
        <f t="shared" ca="1" si="121"/>
        <v/>
      </c>
      <c r="C955" t="str">
        <f t="shared" si="122"/>
        <v/>
      </c>
      <c r="D955" t="s">
        <v>253</v>
      </c>
      <c r="E955" t="s">
        <v>253</v>
      </c>
      <c r="F955" s="3" t="s">
        <v>253</v>
      </c>
      <c r="G955" s="11" t="s">
        <v>253</v>
      </c>
      <c r="H955" s="11" t="s">
        <v>253</v>
      </c>
      <c r="I955" s="3" t="s">
        <v>253</v>
      </c>
      <c r="J955" s="3" t="s">
        <v>253</v>
      </c>
      <c r="K955" s="3" t="s">
        <v>253</v>
      </c>
      <c r="L955" s="3" t="s">
        <v>253</v>
      </c>
      <c r="M955" t="str">
        <f>IF(LEN(H955),MATCH(H955,'MPIO_SFIO Table'!$A$11:$A$65525,0)-1,"")</f>
        <v/>
      </c>
      <c r="N955" t="str">
        <f>IF(LEN(I955),MATCH(I955,'MPIO_SFIO Table'!$A$11:$A$65525,0)-1,"")</f>
        <v/>
      </c>
      <c r="O955" t="str">
        <f>IF(LEN(J955),MATCH(J955,'MPIO_SFIO Table'!$A$11:$A$65525,0)-1,"")</f>
        <v/>
      </c>
      <c r="P955" t="str">
        <f>IF(LEN(K955),MATCH(K955,'MPIO_SFIO Table'!$A$11:$A$65525,0)-1,"")</f>
        <v/>
      </c>
      <c r="Q955" t="str">
        <f>IF(LEN(L955),MATCH(L955,'MPIO_SFIO Table'!$A$11:$A$65525,0)-1,"")</f>
        <v/>
      </c>
      <c r="R955" t="str">
        <f ca="1">IF(ISNUMBER(M955),OFFSET('MPIO_SFIO Table'!$AJ$11,M955,0),"")</f>
        <v/>
      </c>
      <c r="S955" t="str">
        <f ca="1">IF(ISNUMBER(N955),OFFSET('MPIO_SFIO Table'!$AJ$11,N955,0),"")</f>
        <v/>
      </c>
      <c r="T955" t="str">
        <f ca="1">IF(ISNUMBER(O955),OFFSET('MPIO_SFIO Table'!$AJ$11,O955,0),"")</f>
        <v/>
      </c>
      <c r="U955" t="str">
        <f ca="1">IF(ISNUMBER(P955),OFFSET('MPIO_SFIO Table'!$AJ$11,P955,0),"")</f>
        <v/>
      </c>
      <c r="V955" t="str">
        <f ca="1">IF(ISNUMBER(Q955),OFFSET('MPIO_SFIO Table'!$AJ$11,Q955,0),"")</f>
        <v/>
      </c>
      <c r="W955">
        <f t="shared" ca="1" si="123"/>
        <v>0</v>
      </c>
      <c r="X955">
        <f t="shared" ca="1" si="124"/>
        <v>0</v>
      </c>
      <c r="Y955">
        <f t="shared" ca="1" si="125"/>
        <v>0</v>
      </c>
      <c r="Z955">
        <f t="shared" ca="1" si="126"/>
        <v>0</v>
      </c>
      <c r="AA955">
        <f t="shared" ca="1" si="127"/>
        <v>0</v>
      </c>
    </row>
    <row r="956" spans="1:27" x14ac:dyDescent="0.25">
      <c r="A956">
        <f t="shared" ca="1" si="120"/>
        <v>0</v>
      </c>
      <c r="B956" t="str">
        <f t="shared" ca="1" si="121"/>
        <v/>
      </c>
      <c r="C956" t="str">
        <f t="shared" si="122"/>
        <v/>
      </c>
      <c r="D956" t="s">
        <v>253</v>
      </c>
      <c r="E956" t="s">
        <v>253</v>
      </c>
      <c r="F956" s="3" t="s">
        <v>253</v>
      </c>
      <c r="G956" s="11" t="s">
        <v>253</v>
      </c>
      <c r="H956" s="11" t="s">
        <v>253</v>
      </c>
      <c r="I956" s="3" t="s">
        <v>253</v>
      </c>
      <c r="J956" s="3" t="s">
        <v>253</v>
      </c>
      <c r="K956" s="3" t="s">
        <v>253</v>
      </c>
      <c r="L956" s="3" t="s">
        <v>253</v>
      </c>
      <c r="M956" t="str">
        <f>IF(LEN(H956),MATCH(H956,'MPIO_SFIO Table'!$A$11:$A$65525,0)-1,"")</f>
        <v/>
      </c>
      <c r="N956" t="str">
        <f>IF(LEN(I956),MATCH(I956,'MPIO_SFIO Table'!$A$11:$A$65525,0)-1,"")</f>
        <v/>
      </c>
      <c r="O956" t="str">
        <f>IF(LEN(J956),MATCH(J956,'MPIO_SFIO Table'!$A$11:$A$65525,0)-1,"")</f>
        <v/>
      </c>
      <c r="P956" t="str">
        <f>IF(LEN(K956),MATCH(K956,'MPIO_SFIO Table'!$A$11:$A$65525,0)-1,"")</f>
        <v/>
      </c>
      <c r="Q956" t="str">
        <f>IF(LEN(L956),MATCH(L956,'MPIO_SFIO Table'!$A$11:$A$65525,0)-1,"")</f>
        <v/>
      </c>
      <c r="R956" t="str">
        <f ca="1">IF(ISNUMBER(M956),OFFSET('MPIO_SFIO Table'!$AJ$11,M956,0),"")</f>
        <v/>
      </c>
      <c r="S956" t="str">
        <f ca="1">IF(ISNUMBER(N956),OFFSET('MPIO_SFIO Table'!$AJ$11,N956,0),"")</f>
        <v/>
      </c>
      <c r="T956" t="str">
        <f ca="1">IF(ISNUMBER(O956),OFFSET('MPIO_SFIO Table'!$AJ$11,O956,0),"")</f>
        <v/>
      </c>
      <c r="U956" t="str">
        <f ca="1">IF(ISNUMBER(P956),OFFSET('MPIO_SFIO Table'!$AJ$11,P956,0),"")</f>
        <v/>
      </c>
      <c r="V956" t="str">
        <f ca="1">IF(ISNUMBER(Q956),OFFSET('MPIO_SFIO Table'!$AJ$11,Q956,0),"")</f>
        <v/>
      </c>
      <c r="W956">
        <f t="shared" ca="1" si="123"/>
        <v>0</v>
      </c>
      <c r="X956">
        <f t="shared" ca="1" si="124"/>
        <v>0</v>
      </c>
      <c r="Y956">
        <f t="shared" ca="1" si="125"/>
        <v>0</v>
      </c>
      <c r="Z956">
        <f t="shared" ca="1" si="126"/>
        <v>0</v>
      </c>
      <c r="AA956">
        <f t="shared" ca="1" si="127"/>
        <v>0</v>
      </c>
    </row>
    <row r="957" spans="1:27" x14ac:dyDescent="0.25">
      <c r="A957">
        <f t="shared" ca="1" si="120"/>
        <v>0</v>
      </c>
      <c r="B957" t="str">
        <f t="shared" ca="1" si="121"/>
        <v/>
      </c>
      <c r="C957" t="str">
        <f t="shared" si="122"/>
        <v/>
      </c>
      <c r="D957" t="s">
        <v>253</v>
      </c>
      <c r="E957" t="s">
        <v>253</v>
      </c>
      <c r="F957" s="3" t="s">
        <v>253</v>
      </c>
      <c r="G957" s="11" t="s">
        <v>253</v>
      </c>
      <c r="H957" s="11" t="s">
        <v>253</v>
      </c>
      <c r="I957" s="3" t="s">
        <v>253</v>
      </c>
      <c r="J957" s="3" t="s">
        <v>253</v>
      </c>
      <c r="K957" s="3" t="s">
        <v>253</v>
      </c>
      <c r="L957" s="3" t="s">
        <v>253</v>
      </c>
      <c r="M957" t="str">
        <f>IF(LEN(H957),MATCH(H957,'MPIO_SFIO Table'!$A$11:$A$65525,0)-1,"")</f>
        <v/>
      </c>
      <c r="N957" t="str">
        <f>IF(LEN(I957),MATCH(I957,'MPIO_SFIO Table'!$A$11:$A$65525,0)-1,"")</f>
        <v/>
      </c>
      <c r="O957" t="str">
        <f>IF(LEN(J957),MATCH(J957,'MPIO_SFIO Table'!$A$11:$A$65525,0)-1,"")</f>
        <v/>
      </c>
      <c r="P957" t="str">
        <f>IF(LEN(K957),MATCH(K957,'MPIO_SFIO Table'!$A$11:$A$65525,0)-1,"")</f>
        <v/>
      </c>
      <c r="Q957" t="str">
        <f>IF(LEN(L957),MATCH(L957,'MPIO_SFIO Table'!$A$11:$A$65525,0)-1,"")</f>
        <v/>
      </c>
      <c r="R957" t="str">
        <f ca="1">IF(ISNUMBER(M957),OFFSET('MPIO_SFIO Table'!$AJ$11,M957,0),"")</f>
        <v/>
      </c>
      <c r="S957" t="str">
        <f ca="1">IF(ISNUMBER(N957),OFFSET('MPIO_SFIO Table'!$AJ$11,N957,0),"")</f>
        <v/>
      </c>
      <c r="T957" t="str">
        <f ca="1">IF(ISNUMBER(O957),OFFSET('MPIO_SFIO Table'!$AJ$11,O957,0),"")</f>
        <v/>
      </c>
      <c r="U957" t="str">
        <f ca="1">IF(ISNUMBER(P957),OFFSET('MPIO_SFIO Table'!$AJ$11,P957,0),"")</f>
        <v/>
      </c>
      <c r="V957" t="str">
        <f ca="1">IF(ISNUMBER(Q957),OFFSET('MPIO_SFIO Table'!$AJ$11,Q957,0),"")</f>
        <v/>
      </c>
      <c r="W957">
        <f t="shared" ca="1" si="123"/>
        <v>0</v>
      </c>
      <c r="X957">
        <f t="shared" ca="1" si="124"/>
        <v>0</v>
      </c>
      <c r="Y957">
        <f t="shared" ca="1" si="125"/>
        <v>0</v>
      </c>
      <c r="Z957">
        <f t="shared" ca="1" si="126"/>
        <v>0</v>
      </c>
      <c r="AA957">
        <f t="shared" ca="1" si="127"/>
        <v>0</v>
      </c>
    </row>
    <row r="958" spans="1:27" x14ac:dyDescent="0.25">
      <c r="A958">
        <f t="shared" ca="1" si="120"/>
        <v>0</v>
      </c>
      <c r="B958" t="str">
        <f t="shared" ca="1" si="121"/>
        <v/>
      </c>
      <c r="C958" t="str">
        <f t="shared" si="122"/>
        <v/>
      </c>
      <c r="D958" t="s">
        <v>253</v>
      </c>
      <c r="E958" t="s">
        <v>253</v>
      </c>
      <c r="F958" s="3" t="s">
        <v>253</v>
      </c>
      <c r="G958" s="11" t="s">
        <v>253</v>
      </c>
      <c r="H958" s="11" t="s">
        <v>253</v>
      </c>
      <c r="I958" s="3" t="s">
        <v>253</v>
      </c>
      <c r="J958" s="3" t="s">
        <v>253</v>
      </c>
      <c r="K958" s="3" t="s">
        <v>253</v>
      </c>
      <c r="L958" s="3" t="s">
        <v>253</v>
      </c>
      <c r="M958" t="str">
        <f>IF(LEN(H958),MATCH(H958,'MPIO_SFIO Table'!$A$11:$A$65525,0)-1,"")</f>
        <v/>
      </c>
      <c r="N958" t="str">
        <f>IF(LEN(I958),MATCH(I958,'MPIO_SFIO Table'!$A$11:$A$65525,0)-1,"")</f>
        <v/>
      </c>
      <c r="O958" t="str">
        <f>IF(LEN(J958),MATCH(J958,'MPIO_SFIO Table'!$A$11:$A$65525,0)-1,"")</f>
        <v/>
      </c>
      <c r="P958" t="str">
        <f>IF(LEN(K958),MATCH(K958,'MPIO_SFIO Table'!$A$11:$A$65525,0)-1,"")</f>
        <v/>
      </c>
      <c r="Q958" t="str">
        <f>IF(LEN(L958),MATCH(L958,'MPIO_SFIO Table'!$A$11:$A$65525,0)-1,"")</f>
        <v/>
      </c>
      <c r="R958" t="str">
        <f ca="1">IF(ISNUMBER(M958),OFFSET('MPIO_SFIO Table'!$AJ$11,M958,0),"")</f>
        <v/>
      </c>
      <c r="S958" t="str">
        <f ca="1">IF(ISNUMBER(N958),OFFSET('MPIO_SFIO Table'!$AJ$11,N958,0),"")</f>
        <v/>
      </c>
      <c r="T958" t="str">
        <f ca="1">IF(ISNUMBER(O958),OFFSET('MPIO_SFIO Table'!$AJ$11,O958,0),"")</f>
        <v/>
      </c>
      <c r="U958" t="str">
        <f ca="1">IF(ISNUMBER(P958),OFFSET('MPIO_SFIO Table'!$AJ$11,P958,0),"")</f>
        <v/>
      </c>
      <c r="V958" t="str">
        <f ca="1">IF(ISNUMBER(Q958),OFFSET('MPIO_SFIO Table'!$AJ$11,Q958,0),"")</f>
        <v/>
      </c>
      <c r="W958">
        <f t="shared" ca="1" si="123"/>
        <v>0</v>
      </c>
      <c r="X958">
        <f t="shared" ca="1" si="124"/>
        <v>0</v>
      </c>
      <c r="Y958">
        <f t="shared" ca="1" si="125"/>
        <v>0</v>
      </c>
      <c r="Z958">
        <f t="shared" ca="1" si="126"/>
        <v>0</v>
      </c>
      <c r="AA958">
        <f t="shared" ca="1" si="127"/>
        <v>0</v>
      </c>
    </row>
    <row r="959" spans="1:27" x14ac:dyDescent="0.25">
      <c r="A959">
        <f t="shared" ca="1" si="120"/>
        <v>0</v>
      </c>
      <c r="B959" t="str">
        <f t="shared" ca="1" si="121"/>
        <v/>
      </c>
      <c r="C959" t="str">
        <f t="shared" si="122"/>
        <v/>
      </c>
      <c r="D959" t="s">
        <v>253</v>
      </c>
      <c r="E959" t="s">
        <v>253</v>
      </c>
      <c r="F959" s="3" t="s">
        <v>253</v>
      </c>
      <c r="G959" s="11" t="s">
        <v>253</v>
      </c>
      <c r="H959" s="11" t="s">
        <v>253</v>
      </c>
      <c r="I959" s="3" t="s">
        <v>253</v>
      </c>
      <c r="J959" s="3" t="s">
        <v>253</v>
      </c>
      <c r="K959" s="3" t="s">
        <v>253</v>
      </c>
      <c r="L959" s="3" t="s">
        <v>253</v>
      </c>
      <c r="M959" t="str">
        <f>IF(LEN(H959),MATCH(H959,'MPIO_SFIO Table'!$A$11:$A$65525,0)-1,"")</f>
        <v/>
      </c>
      <c r="N959" t="str">
        <f>IF(LEN(I959),MATCH(I959,'MPIO_SFIO Table'!$A$11:$A$65525,0)-1,"")</f>
        <v/>
      </c>
      <c r="O959" t="str">
        <f>IF(LEN(J959),MATCH(J959,'MPIO_SFIO Table'!$A$11:$A$65525,0)-1,"")</f>
        <v/>
      </c>
      <c r="P959" t="str">
        <f>IF(LEN(K959),MATCH(K959,'MPIO_SFIO Table'!$A$11:$A$65525,0)-1,"")</f>
        <v/>
      </c>
      <c r="Q959" t="str">
        <f>IF(LEN(L959),MATCH(L959,'MPIO_SFIO Table'!$A$11:$A$65525,0)-1,"")</f>
        <v/>
      </c>
      <c r="R959" t="str">
        <f ca="1">IF(ISNUMBER(M959),OFFSET('MPIO_SFIO Table'!$AJ$11,M959,0),"")</f>
        <v/>
      </c>
      <c r="S959" t="str">
        <f ca="1">IF(ISNUMBER(N959),OFFSET('MPIO_SFIO Table'!$AJ$11,N959,0),"")</f>
        <v/>
      </c>
      <c r="T959" t="str">
        <f ca="1">IF(ISNUMBER(O959),OFFSET('MPIO_SFIO Table'!$AJ$11,O959,0),"")</f>
        <v/>
      </c>
      <c r="U959" t="str">
        <f ca="1">IF(ISNUMBER(P959),OFFSET('MPIO_SFIO Table'!$AJ$11,P959,0),"")</f>
        <v/>
      </c>
      <c r="V959" t="str">
        <f ca="1">IF(ISNUMBER(Q959),OFFSET('MPIO_SFIO Table'!$AJ$11,Q959,0),"")</f>
        <v/>
      </c>
      <c r="W959">
        <f t="shared" ca="1" si="123"/>
        <v>0</v>
      </c>
      <c r="X959">
        <f t="shared" ca="1" si="124"/>
        <v>0</v>
      </c>
      <c r="Y959">
        <f t="shared" ca="1" si="125"/>
        <v>0</v>
      </c>
      <c r="Z959">
        <f t="shared" ca="1" si="126"/>
        <v>0</v>
      </c>
      <c r="AA959">
        <f t="shared" ca="1" si="127"/>
        <v>0</v>
      </c>
    </row>
    <row r="960" spans="1:27" x14ac:dyDescent="0.25">
      <c r="A960">
        <f t="shared" ca="1" si="120"/>
        <v>0</v>
      </c>
      <c r="B960" t="str">
        <f t="shared" ca="1" si="121"/>
        <v/>
      </c>
      <c r="C960" t="str">
        <f t="shared" si="122"/>
        <v/>
      </c>
      <c r="D960" t="s">
        <v>253</v>
      </c>
      <c r="E960" t="s">
        <v>253</v>
      </c>
      <c r="F960" s="3" t="s">
        <v>253</v>
      </c>
      <c r="G960" s="11" t="s">
        <v>253</v>
      </c>
      <c r="H960" s="11" t="s">
        <v>253</v>
      </c>
      <c r="I960" s="3" t="s">
        <v>253</v>
      </c>
      <c r="J960" s="3" t="s">
        <v>253</v>
      </c>
      <c r="K960" s="3" t="s">
        <v>253</v>
      </c>
      <c r="L960" s="3" t="s">
        <v>253</v>
      </c>
      <c r="M960" t="str">
        <f>IF(LEN(H960),MATCH(H960,'MPIO_SFIO Table'!$A$11:$A$65525,0)-1,"")</f>
        <v/>
      </c>
      <c r="N960" t="str">
        <f>IF(LEN(I960),MATCH(I960,'MPIO_SFIO Table'!$A$11:$A$65525,0)-1,"")</f>
        <v/>
      </c>
      <c r="O960" t="str">
        <f>IF(LEN(J960),MATCH(J960,'MPIO_SFIO Table'!$A$11:$A$65525,0)-1,"")</f>
        <v/>
      </c>
      <c r="P960" t="str">
        <f>IF(LEN(K960),MATCH(K960,'MPIO_SFIO Table'!$A$11:$A$65525,0)-1,"")</f>
        <v/>
      </c>
      <c r="Q960" t="str">
        <f>IF(LEN(L960),MATCH(L960,'MPIO_SFIO Table'!$A$11:$A$65525,0)-1,"")</f>
        <v/>
      </c>
      <c r="R960" t="str">
        <f ca="1">IF(ISNUMBER(M960),OFFSET('MPIO_SFIO Table'!$AJ$11,M960,0),"")</f>
        <v/>
      </c>
      <c r="S960" t="str">
        <f ca="1">IF(ISNUMBER(N960),OFFSET('MPIO_SFIO Table'!$AJ$11,N960,0),"")</f>
        <v/>
      </c>
      <c r="T960" t="str">
        <f ca="1">IF(ISNUMBER(O960),OFFSET('MPIO_SFIO Table'!$AJ$11,O960,0),"")</f>
        <v/>
      </c>
      <c r="U960" t="str">
        <f ca="1">IF(ISNUMBER(P960),OFFSET('MPIO_SFIO Table'!$AJ$11,P960,0),"")</f>
        <v/>
      </c>
      <c r="V960" t="str">
        <f ca="1">IF(ISNUMBER(Q960),OFFSET('MPIO_SFIO Table'!$AJ$11,Q960,0),"")</f>
        <v/>
      </c>
      <c r="W960">
        <f t="shared" ca="1" si="123"/>
        <v>0</v>
      </c>
      <c r="X960">
        <f t="shared" ca="1" si="124"/>
        <v>0</v>
      </c>
      <c r="Y960">
        <f t="shared" ca="1" si="125"/>
        <v>0</v>
      </c>
      <c r="Z960">
        <f t="shared" ca="1" si="126"/>
        <v>0</v>
      </c>
      <c r="AA960">
        <f t="shared" ca="1" si="127"/>
        <v>0</v>
      </c>
    </row>
    <row r="961" spans="1:27" x14ac:dyDescent="0.25">
      <c r="A961">
        <f t="shared" ca="1" si="120"/>
        <v>0</v>
      </c>
      <c r="B961" t="str">
        <f t="shared" ca="1" si="121"/>
        <v/>
      </c>
      <c r="C961" t="str">
        <f t="shared" si="122"/>
        <v/>
      </c>
      <c r="D961" t="s">
        <v>253</v>
      </c>
      <c r="E961" t="s">
        <v>253</v>
      </c>
      <c r="F961" s="3" t="s">
        <v>253</v>
      </c>
      <c r="G961" s="11" t="s">
        <v>253</v>
      </c>
      <c r="H961" s="11" t="s">
        <v>253</v>
      </c>
      <c r="I961" s="3" t="s">
        <v>253</v>
      </c>
      <c r="J961" s="3" t="s">
        <v>253</v>
      </c>
      <c r="K961" s="3" t="s">
        <v>253</v>
      </c>
      <c r="L961" s="3" t="s">
        <v>253</v>
      </c>
      <c r="M961" t="str">
        <f>IF(LEN(H961),MATCH(H961,'MPIO_SFIO Table'!$A$11:$A$65525,0)-1,"")</f>
        <v/>
      </c>
      <c r="N961" t="str">
        <f>IF(LEN(I961),MATCH(I961,'MPIO_SFIO Table'!$A$11:$A$65525,0)-1,"")</f>
        <v/>
      </c>
      <c r="O961" t="str">
        <f>IF(LEN(J961),MATCH(J961,'MPIO_SFIO Table'!$A$11:$A$65525,0)-1,"")</f>
        <v/>
      </c>
      <c r="P961" t="str">
        <f>IF(LEN(K961),MATCH(K961,'MPIO_SFIO Table'!$A$11:$A$65525,0)-1,"")</f>
        <v/>
      </c>
      <c r="Q961" t="str">
        <f>IF(LEN(L961),MATCH(L961,'MPIO_SFIO Table'!$A$11:$A$65525,0)-1,"")</f>
        <v/>
      </c>
      <c r="R961" t="str">
        <f ca="1">IF(ISNUMBER(M961),OFFSET('MPIO_SFIO Table'!$AJ$11,M961,0),"")</f>
        <v/>
      </c>
      <c r="S961" t="str">
        <f ca="1">IF(ISNUMBER(N961),OFFSET('MPIO_SFIO Table'!$AJ$11,N961,0),"")</f>
        <v/>
      </c>
      <c r="T961" t="str">
        <f ca="1">IF(ISNUMBER(O961),OFFSET('MPIO_SFIO Table'!$AJ$11,O961,0),"")</f>
        <v/>
      </c>
      <c r="U961" t="str">
        <f ca="1">IF(ISNUMBER(P961),OFFSET('MPIO_SFIO Table'!$AJ$11,P961,0),"")</f>
        <v/>
      </c>
      <c r="V961" t="str">
        <f ca="1">IF(ISNUMBER(Q961),OFFSET('MPIO_SFIO Table'!$AJ$11,Q961,0),"")</f>
        <v/>
      </c>
      <c r="W961">
        <f t="shared" ca="1" si="123"/>
        <v>0</v>
      </c>
      <c r="X961">
        <f t="shared" ca="1" si="124"/>
        <v>0</v>
      </c>
      <c r="Y961">
        <f t="shared" ca="1" si="125"/>
        <v>0</v>
      </c>
      <c r="Z961">
        <f t="shared" ca="1" si="126"/>
        <v>0</v>
      </c>
      <c r="AA961">
        <f t="shared" ca="1" si="127"/>
        <v>0</v>
      </c>
    </row>
    <row r="962" spans="1:27" x14ac:dyDescent="0.25">
      <c r="A962">
        <f t="shared" ca="1" si="120"/>
        <v>0</v>
      </c>
      <c r="B962" t="str">
        <f t="shared" ca="1" si="121"/>
        <v/>
      </c>
      <c r="C962" t="str">
        <f t="shared" si="122"/>
        <v/>
      </c>
      <c r="D962" t="s">
        <v>253</v>
      </c>
      <c r="E962" t="s">
        <v>253</v>
      </c>
      <c r="F962" s="3" t="s">
        <v>253</v>
      </c>
      <c r="G962" s="11" t="s">
        <v>253</v>
      </c>
      <c r="H962" s="11" t="s">
        <v>253</v>
      </c>
      <c r="I962" s="3" t="s">
        <v>253</v>
      </c>
      <c r="J962" s="3" t="s">
        <v>253</v>
      </c>
      <c r="K962" s="3" t="s">
        <v>253</v>
      </c>
      <c r="L962" s="3" t="s">
        <v>253</v>
      </c>
      <c r="M962" t="str">
        <f>IF(LEN(H962),MATCH(H962,'MPIO_SFIO Table'!$A$11:$A$65525,0)-1,"")</f>
        <v/>
      </c>
      <c r="N962" t="str">
        <f>IF(LEN(I962),MATCH(I962,'MPIO_SFIO Table'!$A$11:$A$65525,0)-1,"")</f>
        <v/>
      </c>
      <c r="O962" t="str">
        <f>IF(LEN(J962),MATCH(J962,'MPIO_SFIO Table'!$A$11:$A$65525,0)-1,"")</f>
        <v/>
      </c>
      <c r="P962" t="str">
        <f>IF(LEN(K962),MATCH(K962,'MPIO_SFIO Table'!$A$11:$A$65525,0)-1,"")</f>
        <v/>
      </c>
      <c r="Q962" t="str">
        <f>IF(LEN(L962),MATCH(L962,'MPIO_SFIO Table'!$A$11:$A$65525,0)-1,"")</f>
        <v/>
      </c>
      <c r="R962" t="str">
        <f ca="1">IF(ISNUMBER(M962),OFFSET('MPIO_SFIO Table'!$AJ$11,M962,0),"")</f>
        <v/>
      </c>
      <c r="S962" t="str">
        <f ca="1">IF(ISNUMBER(N962),OFFSET('MPIO_SFIO Table'!$AJ$11,N962,0),"")</f>
        <v/>
      </c>
      <c r="T962" t="str">
        <f ca="1">IF(ISNUMBER(O962),OFFSET('MPIO_SFIO Table'!$AJ$11,O962,0),"")</f>
        <v/>
      </c>
      <c r="U962" t="str">
        <f ca="1">IF(ISNUMBER(P962),OFFSET('MPIO_SFIO Table'!$AJ$11,P962,0),"")</f>
        <v/>
      </c>
      <c r="V962" t="str">
        <f ca="1">IF(ISNUMBER(Q962),OFFSET('MPIO_SFIO Table'!$AJ$11,Q962,0),"")</f>
        <v/>
      </c>
      <c r="W962">
        <f t="shared" ca="1" si="123"/>
        <v>0</v>
      </c>
      <c r="X962">
        <f t="shared" ca="1" si="124"/>
        <v>0</v>
      </c>
      <c r="Y962">
        <f t="shared" ca="1" si="125"/>
        <v>0</v>
      </c>
      <c r="Z962">
        <f t="shared" ca="1" si="126"/>
        <v>0</v>
      </c>
      <c r="AA962">
        <f t="shared" ca="1" si="127"/>
        <v>0</v>
      </c>
    </row>
    <row r="963" spans="1:27" x14ac:dyDescent="0.25">
      <c r="A963">
        <f t="shared" ca="1" si="120"/>
        <v>0</v>
      </c>
      <c r="B963" t="str">
        <f t="shared" ca="1" si="121"/>
        <v/>
      </c>
      <c r="C963" t="str">
        <f t="shared" si="122"/>
        <v/>
      </c>
      <c r="D963" t="s">
        <v>253</v>
      </c>
      <c r="E963" t="s">
        <v>253</v>
      </c>
      <c r="F963" s="3" t="s">
        <v>253</v>
      </c>
      <c r="G963" s="11" t="s">
        <v>253</v>
      </c>
      <c r="H963" s="11" t="s">
        <v>253</v>
      </c>
      <c r="I963" s="3" t="s">
        <v>253</v>
      </c>
      <c r="J963" s="3" t="s">
        <v>253</v>
      </c>
      <c r="K963" s="3" t="s">
        <v>253</v>
      </c>
      <c r="L963" s="3" t="s">
        <v>253</v>
      </c>
      <c r="M963" t="str">
        <f>IF(LEN(H963),MATCH(H963,'MPIO_SFIO Table'!$A$11:$A$65525,0)-1,"")</f>
        <v/>
      </c>
      <c r="N963" t="str">
        <f>IF(LEN(I963),MATCH(I963,'MPIO_SFIO Table'!$A$11:$A$65525,0)-1,"")</f>
        <v/>
      </c>
      <c r="O963" t="str">
        <f>IF(LEN(J963),MATCH(J963,'MPIO_SFIO Table'!$A$11:$A$65525,0)-1,"")</f>
        <v/>
      </c>
      <c r="P963" t="str">
        <f>IF(LEN(K963),MATCH(K963,'MPIO_SFIO Table'!$A$11:$A$65525,0)-1,"")</f>
        <v/>
      </c>
      <c r="Q963" t="str">
        <f>IF(LEN(L963),MATCH(L963,'MPIO_SFIO Table'!$A$11:$A$65525,0)-1,"")</f>
        <v/>
      </c>
      <c r="R963" t="str">
        <f ca="1">IF(ISNUMBER(M963),OFFSET('MPIO_SFIO Table'!$AJ$11,M963,0),"")</f>
        <v/>
      </c>
      <c r="S963" t="str">
        <f ca="1">IF(ISNUMBER(N963),OFFSET('MPIO_SFIO Table'!$AJ$11,N963,0),"")</f>
        <v/>
      </c>
      <c r="T963" t="str">
        <f ca="1">IF(ISNUMBER(O963),OFFSET('MPIO_SFIO Table'!$AJ$11,O963,0),"")</f>
        <v/>
      </c>
      <c r="U963" t="str">
        <f ca="1">IF(ISNUMBER(P963),OFFSET('MPIO_SFIO Table'!$AJ$11,P963,0),"")</f>
        <v/>
      </c>
      <c r="V963" t="str">
        <f ca="1">IF(ISNUMBER(Q963),OFFSET('MPIO_SFIO Table'!$AJ$11,Q963,0),"")</f>
        <v/>
      </c>
      <c r="W963">
        <f t="shared" ca="1" si="123"/>
        <v>0</v>
      </c>
      <c r="X963">
        <f t="shared" ca="1" si="124"/>
        <v>0</v>
      </c>
      <c r="Y963">
        <f t="shared" ca="1" si="125"/>
        <v>0</v>
      </c>
      <c r="Z963">
        <f t="shared" ca="1" si="126"/>
        <v>0</v>
      </c>
      <c r="AA963">
        <f t="shared" ca="1" si="127"/>
        <v>0</v>
      </c>
    </row>
    <row r="964" spans="1:27" x14ac:dyDescent="0.25">
      <c r="A964">
        <f t="shared" ca="1" si="120"/>
        <v>0</v>
      </c>
      <c r="B964" t="str">
        <f t="shared" ca="1" si="121"/>
        <v/>
      </c>
      <c r="C964" t="str">
        <f t="shared" si="122"/>
        <v/>
      </c>
      <c r="D964" t="s">
        <v>253</v>
      </c>
      <c r="E964" t="s">
        <v>253</v>
      </c>
      <c r="F964" s="3" t="s">
        <v>253</v>
      </c>
      <c r="G964" s="11" t="s">
        <v>253</v>
      </c>
      <c r="H964" s="11" t="s">
        <v>253</v>
      </c>
      <c r="I964" s="3" t="s">
        <v>253</v>
      </c>
      <c r="J964" s="3" t="s">
        <v>253</v>
      </c>
      <c r="K964" s="3" t="s">
        <v>253</v>
      </c>
      <c r="L964" s="3" t="s">
        <v>253</v>
      </c>
      <c r="M964" t="str">
        <f>IF(LEN(H964),MATCH(H964,'MPIO_SFIO Table'!$A$11:$A$65525,0)-1,"")</f>
        <v/>
      </c>
      <c r="N964" t="str">
        <f>IF(LEN(I964),MATCH(I964,'MPIO_SFIO Table'!$A$11:$A$65525,0)-1,"")</f>
        <v/>
      </c>
      <c r="O964" t="str">
        <f>IF(LEN(J964),MATCH(J964,'MPIO_SFIO Table'!$A$11:$A$65525,0)-1,"")</f>
        <v/>
      </c>
      <c r="P964" t="str">
        <f>IF(LEN(K964),MATCH(K964,'MPIO_SFIO Table'!$A$11:$A$65525,0)-1,"")</f>
        <v/>
      </c>
      <c r="Q964" t="str">
        <f>IF(LEN(L964),MATCH(L964,'MPIO_SFIO Table'!$A$11:$A$65525,0)-1,"")</f>
        <v/>
      </c>
      <c r="R964" t="str">
        <f ca="1">IF(ISNUMBER(M964),OFFSET('MPIO_SFIO Table'!$AJ$11,M964,0),"")</f>
        <v/>
      </c>
      <c r="S964" t="str">
        <f ca="1">IF(ISNUMBER(N964),OFFSET('MPIO_SFIO Table'!$AJ$11,N964,0),"")</f>
        <v/>
      </c>
      <c r="T964" t="str">
        <f ca="1">IF(ISNUMBER(O964),OFFSET('MPIO_SFIO Table'!$AJ$11,O964,0),"")</f>
        <v/>
      </c>
      <c r="U964" t="str">
        <f ca="1">IF(ISNUMBER(P964),OFFSET('MPIO_SFIO Table'!$AJ$11,P964,0),"")</f>
        <v/>
      </c>
      <c r="V964" t="str">
        <f ca="1">IF(ISNUMBER(Q964),OFFSET('MPIO_SFIO Table'!$AJ$11,Q964,0),"")</f>
        <v/>
      </c>
      <c r="W964">
        <f t="shared" ca="1" si="123"/>
        <v>0</v>
      </c>
      <c r="X964">
        <f t="shared" ca="1" si="124"/>
        <v>0</v>
      </c>
      <c r="Y964">
        <f t="shared" ca="1" si="125"/>
        <v>0</v>
      </c>
      <c r="Z964">
        <f t="shared" ca="1" si="126"/>
        <v>0</v>
      </c>
      <c r="AA964">
        <f t="shared" ca="1" si="127"/>
        <v>0</v>
      </c>
    </row>
    <row r="965" spans="1:27" x14ac:dyDescent="0.25">
      <c r="A965">
        <f t="shared" ca="1" si="120"/>
        <v>0</v>
      </c>
      <c r="B965" t="str">
        <f t="shared" ca="1" si="121"/>
        <v/>
      </c>
      <c r="C965" t="str">
        <f t="shared" si="122"/>
        <v/>
      </c>
      <c r="D965" t="s">
        <v>253</v>
      </c>
      <c r="E965" t="s">
        <v>253</v>
      </c>
      <c r="F965" s="3" t="s">
        <v>253</v>
      </c>
      <c r="G965" s="11" t="s">
        <v>253</v>
      </c>
      <c r="H965" s="11" t="s">
        <v>253</v>
      </c>
      <c r="I965" s="3" t="s">
        <v>253</v>
      </c>
      <c r="J965" s="3" t="s">
        <v>253</v>
      </c>
      <c r="K965" s="3" t="s">
        <v>253</v>
      </c>
      <c r="L965" s="3" t="s">
        <v>253</v>
      </c>
      <c r="M965" t="str">
        <f>IF(LEN(H965),MATCH(H965,'MPIO_SFIO Table'!$A$11:$A$65525,0)-1,"")</f>
        <v/>
      </c>
      <c r="N965" t="str">
        <f>IF(LEN(I965),MATCH(I965,'MPIO_SFIO Table'!$A$11:$A$65525,0)-1,"")</f>
        <v/>
      </c>
      <c r="O965" t="str">
        <f>IF(LEN(J965),MATCH(J965,'MPIO_SFIO Table'!$A$11:$A$65525,0)-1,"")</f>
        <v/>
      </c>
      <c r="P965" t="str">
        <f>IF(LEN(K965),MATCH(K965,'MPIO_SFIO Table'!$A$11:$A$65525,0)-1,"")</f>
        <v/>
      </c>
      <c r="Q965" t="str">
        <f>IF(LEN(L965),MATCH(L965,'MPIO_SFIO Table'!$A$11:$A$65525,0)-1,"")</f>
        <v/>
      </c>
      <c r="R965" t="str">
        <f ca="1">IF(ISNUMBER(M965),OFFSET('MPIO_SFIO Table'!$AJ$11,M965,0),"")</f>
        <v/>
      </c>
      <c r="S965" t="str">
        <f ca="1">IF(ISNUMBER(N965),OFFSET('MPIO_SFIO Table'!$AJ$11,N965,0),"")</f>
        <v/>
      </c>
      <c r="T965" t="str">
        <f ca="1">IF(ISNUMBER(O965),OFFSET('MPIO_SFIO Table'!$AJ$11,O965,0),"")</f>
        <v/>
      </c>
      <c r="U965" t="str">
        <f ca="1">IF(ISNUMBER(P965),OFFSET('MPIO_SFIO Table'!$AJ$11,P965,0),"")</f>
        <v/>
      </c>
      <c r="V965" t="str">
        <f ca="1">IF(ISNUMBER(Q965),OFFSET('MPIO_SFIO Table'!$AJ$11,Q965,0),"")</f>
        <v/>
      </c>
      <c r="W965">
        <f t="shared" ca="1" si="123"/>
        <v>0</v>
      </c>
      <c r="X965">
        <f t="shared" ca="1" si="124"/>
        <v>0</v>
      </c>
      <c r="Y965">
        <f t="shared" ca="1" si="125"/>
        <v>0</v>
      </c>
      <c r="Z965">
        <f t="shared" ca="1" si="126"/>
        <v>0</v>
      </c>
      <c r="AA965">
        <f t="shared" ca="1" si="127"/>
        <v>0</v>
      </c>
    </row>
    <row r="966" spans="1:27" x14ac:dyDescent="0.25">
      <c r="A966">
        <f t="shared" ca="1" si="120"/>
        <v>0</v>
      </c>
      <c r="B966" t="str">
        <f t="shared" ca="1" si="121"/>
        <v/>
      </c>
      <c r="C966" t="str">
        <f t="shared" si="122"/>
        <v/>
      </c>
      <c r="D966" t="s">
        <v>253</v>
      </c>
      <c r="E966" t="s">
        <v>253</v>
      </c>
      <c r="F966" s="3" t="s">
        <v>253</v>
      </c>
      <c r="G966" s="11" t="s">
        <v>253</v>
      </c>
      <c r="H966" s="11" t="s">
        <v>253</v>
      </c>
      <c r="I966" s="3" t="s">
        <v>253</v>
      </c>
      <c r="J966" s="3" t="s">
        <v>253</v>
      </c>
      <c r="K966" s="3" t="s">
        <v>253</v>
      </c>
      <c r="L966" s="3" t="s">
        <v>253</v>
      </c>
      <c r="M966" t="str">
        <f>IF(LEN(H966),MATCH(H966,'MPIO_SFIO Table'!$A$11:$A$65525,0)-1,"")</f>
        <v/>
      </c>
      <c r="N966" t="str">
        <f>IF(LEN(I966),MATCH(I966,'MPIO_SFIO Table'!$A$11:$A$65525,0)-1,"")</f>
        <v/>
      </c>
      <c r="O966" t="str">
        <f>IF(LEN(J966),MATCH(J966,'MPIO_SFIO Table'!$A$11:$A$65525,0)-1,"")</f>
        <v/>
      </c>
      <c r="P966" t="str">
        <f>IF(LEN(K966),MATCH(K966,'MPIO_SFIO Table'!$A$11:$A$65525,0)-1,"")</f>
        <v/>
      </c>
      <c r="Q966" t="str">
        <f>IF(LEN(L966),MATCH(L966,'MPIO_SFIO Table'!$A$11:$A$65525,0)-1,"")</f>
        <v/>
      </c>
      <c r="R966" t="str">
        <f ca="1">IF(ISNUMBER(M966),OFFSET('MPIO_SFIO Table'!$AJ$11,M966,0),"")</f>
        <v/>
      </c>
      <c r="S966" t="str">
        <f ca="1">IF(ISNUMBER(N966),OFFSET('MPIO_SFIO Table'!$AJ$11,N966,0),"")</f>
        <v/>
      </c>
      <c r="T966" t="str">
        <f ca="1">IF(ISNUMBER(O966),OFFSET('MPIO_SFIO Table'!$AJ$11,O966,0),"")</f>
        <v/>
      </c>
      <c r="U966" t="str">
        <f ca="1">IF(ISNUMBER(P966),OFFSET('MPIO_SFIO Table'!$AJ$11,P966,0),"")</f>
        <v/>
      </c>
      <c r="V966" t="str">
        <f ca="1">IF(ISNUMBER(Q966),OFFSET('MPIO_SFIO Table'!$AJ$11,Q966,0),"")</f>
        <v/>
      </c>
      <c r="W966">
        <f t="shared" ca="1" si="123"/>
        <v>0</v>
      </c>
      <c r="X966">
        <f t="shared" ca="1" si="124"/>
        <v>0</v>
      </c>
      <c r="Y966">
        <f t="shared" ca="1" si="125"/>
        <v>0</v>
      </c>
      <c r="Z966">
        <f t="shared" ca="1" si="126"/>
        <v>0</v>
      </c>
      <c r="AA966">
        <f t="shared" ca="1" si="127"/>
        <v>0</v>
      </c>
    </row>
    <row r="967" spans="1:27" x14ac:dyDescent="0.25">
      <c r="A967">
        <f t="shared" ca="1" si="120"/>
        <v>0</v>
      </c>
      <c r="B967" t="str">
        <f t="shared" ca="1" si="121"/>
        <v/>
      </c>
      <c r="C967" t="str">
        <f t="shared" si="122"/>
        <v/>
      </c>
      <c r="D967" t="s">
        <v>253</v>
      </c>
      <c r="E967" t="s">
        <v>253</v>
      </c>
      <c r="F967" s="3" t="s">
        <v>253</v>
      </c>
      <c r="G967" s="11" t="s">
        <v>253</v>
      </c>
      <c r="H967" s="11" t="s">
        <v>253</v>
      </c>
      <c r="I967" s="3" t="s">
        <v>253</v>
      </c>
      <c r="J967" s="3" t="s">
        <v>253</v>
      </c>
      <c r="K967" s="3" t="s">
        <v>253</v>
      </c>
      <c r="L967" s="3" t="s">
        <v>253</v>
      </c>
      <c r="M967" t="str">
        <f>IF(LEN(H967),MATCH(H967,'MPIO_SFIO Table'!$A$11:$A$65525,0)-1,"")</f>
        <v/>
      </c>
      <c r="N967" t="str">
        <f>IF(LEN(I967),MATCH(I967,'MPIO_SFIO Table'!$A$11:$A$65525,0)-1,"")</f>
        <v/>
      </c>
      <c r="O967" t="str">
        <f>IF(LEN(J967),MATCH(J967,'MPIO_SFIO Table'!$A$11:$A$65525,0)-1,"")</f>
        <v/>
      </c>
      <c r="P967" t="str">
        <f>IF(LEN(K967),MATCH(K967,'MPIO_SFIO Table'!$A$11:$A$65525,0)-1,"")</f>
        <v/>
      </c>
      <c r="Q967" t="str">
        <f>IF(LEN(L967),MATCH(L967,'MPIO_SFIO Table'!$A$11:$A$65525,0)-1,"")</f>
        <v/>
      </c>
      <c r="R967" t="str">
        <f ca="1">IF(ISNUMBER(M967),OFFSET('MPIO_SFIO Table'!$AJ$11,M967,0),"")</f>
        <v/>
      </c>
      <c r="S967" t="str">
        <f ca="1">IF(ISNUMBER(N967),OFFSET('MPIO_SFIO Table'!$AJ$11,N967,0),"")</f>
        <v/>
      </c>
      <c r="T967" t="str">
        <f ca="1">IF(ISNUMBER(O967),OFFSET('MPIO_SFIO Table'!$AJ$11,O967,0),"")</f>
        <v/>
      </c>
      <c r="U967" t="str">
        <f ca="1">IF(ISNUMBER(P967),OFFSET('MPIO_SFIO Table'!$AJ$11,P967,0),"")</f>
        <v/>
      </c>
      <c r="V967" t="str">
        <f ca="1">IF(ISNUMBER(Q967),OFFSET('MPIO_SFIO Table'!$AJ$11,Q967,0),"")</f>
        <v/>
      </c>
      <c r="W967">
        <f t="shared" ca="1" si="123"/>
        <v>0</v>
      </c>
      <c r="X967">
        <f t="shared" ca="1" si="124"/>
        <v>0</v>
      </c>
      <c r="Y967">
        <f t="shared" ca="1" si="125"/>
        <v>0</v>
      </c>
      <c r="Z967">
        <f t="shared" ca="1" si="126"/>
        <v>0</v>
      </c>
      <c r="AA967">
        <f t="shared" ca="1" si="127"/>
        <v>0</v>
      </c>
    </row>
    <row r="968" spans="1:27" x14ac:dyDescent="0.25">
      <c r="A968">
        <f t="shared" ref="A968:A1031" ca="1" si="128">SUM($W968:$AA968)</f>
        <v>0</v>
      </c>
      <c r="B968" t="str">
        <f t="shared" ref="B968:B1031" ca="1" si="129">IF(A968&lt;&gt;0,REPLACE(G968,FIND("-",G968),LEN(G968),""),"")</f>
        <v/>
      </c>
      <c r="C968" t="str">
        <f t="shared" si="122"/>
        <v/>
      </c>
      <c r="D968" t="s">
        <v>253</v>
      </c>
      <c r="E968" t="s">
        <v>253</v>
      </c>
      <c r="F968" s="3" t="s">
        <v>253</v>
      </c>
      <c r="G968" s="11" t="s">
        <v>253</v>
      </c>
      <c r="H968" s="11" t="s">
        <v>253</v>
      </c>
      <c r="I968" s="3" t="s">
        <v>253</v>
      </c>
      <c r="J968" s="3" t="s">
        <v>253</v>
      </c>
      <c r="K968" s="3" t="s">
        <v>253</v>
      </c>
      <c r="L968" s="3" t="s">
        <v>253</v>
      </c>
      <c r="M968" t="str">
        <f>IF(LEN(H968),MATCH(H968,'MPIO_SFIO Table'!$A$11:$A$65525,0)-1,"")</f>
        <v/>
      </c>
      <c r="N968" t="str">
        <f>IF(LEN(I968),MATCH(I968,'MPIO_SFIO Table'!$A$11:$A$65525,0)-1,"")</f>
        <v/>
      </c>
      <c r="O968" t="str">
        <f>IF(LEN(J968),MATCH(J968,'MPIO_SFIO Table'!$A$11:$A$65525,0)-1,"")</f>
        <v/>
      </c>
      <c r="P968" t="str">
        <f>IF(LEN(K968),MATCH(K968,'MPIO_SFIO Table'!$A$11:$A$65525,0)-1,"")</f>
        <v/>
      </c>
      <c r="Q968" t="str">
        <f>IF(LEN(L968),MATCH(L968,'MPIO_SFIO Table'!$A$11:$A$65525,0)-1,"")</f>
        <v/>
      </c>
      <c r="R968" t="str">
        <f ca="1">IF(ISNUMBER(M968),OFFSET('MPIO_SFIO Table'!$AJ$11,M968,0),"")</f>
        <v/>
      </c>
      <c r="S968" t="str">
        <f ca="1">IF(ISNUMBER(N968),OFFSET('MPIO_SFIO Table'!$AJ$11,N968,0),"")</f>
        <v/>
      </c>
      <c r="T968" t="str">
        <f ca="1">IF(ISNUMBER(O968),OFFSET('MPIO_SFIO Table'!$AJ$11,O968,0),"")</f>
        <v/>
      </c>
      <c r="U968" t="str">
        <f ca="1">IF(ISNUMBER(P968),OFFSET('MPIO_SFIO Table'!$AJ$11,P968,0),"")</f>
        <v/>
      </c>
      <c r="V968" t="str">
        <f ca="1">IF(ISNUMBER(Q968),OFFSET('MPIO_SFIO Table'!$AJ$11,Q968,0),"")</f>
        <v/>
      </c>
      <c r="W968">
        <f t="shared" ca="1" si="123"/>
        <v>0</v>
      </c>
      <c r="X968">
        <f t="shared" ca="1" si="124"/>
        <v>0</v>
      </c>
      <c r="Y968">
        <f t="shared" ca="1" si="125"/>
        <v>0</v>
      </c>
      <c r="Z968">
        <f t="shared" ca="1" si="126"/>
        <v>0</v>
      </c>
      <c r="AA968">
        <f t="shared" ca="1" si="127"/>
        <v>0</v>
      </c>
    </row>
    <row r="969" spans="1:27" x14ac:dyDescent="0.25">
      <c r="A969">
        <f t="shared" ca="1" si="128"/>
        <v>0</v>
      </c>
      <c r="B969" t="str">
        <f t="shared" ca="1" si="129"/>
        <v/>
      </c>
      <c r="C969" t="str">
        <f t="shared" ref="C969:C1032" si="130">REPLACE(G969,FIND(".",CONCATENATE(REPLACE(G969,FIND("-",CONCATENATE(G969,"-")),LEN(G969),""),".")),LEN(G969),"")</f>
        <v/>
      </c>
      <c r="D969" t="s">
        <v>253</v>
      </c>
      <c r="E969" t="s">
        <v>253</v>
      </c>
      <c r="F969" s="3" t="s">
        <v>253</v>
      </c>
      <c r="G969" s="11" t="s">
        <v>253</v>
      </c>
      <c r="H969" s="11" t="s">
        <v>253</v>
      </c>
      <c r="I969" s="3" t="s">
        <v>253</v>
      </c>
      <c r="J969" s="3" t="s">
        <v>253</v>
      </c>
      <c r="K969" s="3" t="s">
        <v>253</v>
      </c>
      <c r="L969" s="3" t="s">
        <v>253</v>
      </c>
      <c r="M969" t="str">
        <f>IF(LEN(H969),MATCH(H969,'MPIO_SFIO Table'!$A$11:$A$65525,0)-1,"")</f>
        <v/>
      </c>
      <c r="N969" t="str">
        <f>IF(LEN(I969),MATCH(I969,'MPIO_SFIO Table'!$A$11:$A$65525,0)-1,"")</f>
        <v/>
      </c>
      <c r="O969" t="str">
        <f>IF(LEN(J969),MATCH(J969,'MPIO_SFIO Table'!$A$11:$A$65525,0)-1,"")</f>
        <v/>
      </c>
      <c r="P969" t="str">
        <f>IF(LEN(K969),MATCH(K969,'MPIO_SFIO Table'!$A$11:$A$65525,0)-1,"")</f>
        <v/>
      </c>
      <c r="Q969" t="str">
        <f>IF(LEN(L969),MATCH(L969,'MPIO_SFIO Table'!$A$11:$A$65525,0)-1,"")</f>
        <v/>
      </c>
      <c r="R969" t="str">
        <f ca="1">IF(ISNUMBER(M969),OFFSET('MPIO_SFIO Table'!$AJ$11,M969,0),"")</f>
        <v/>
      </c>
      <c r="S969" t="str">
        <f ca="1">IF(ISNUMBER(N969),OFFSET('MPIO_SFIO Table'!$AJ$11,N969,0),"")</f>
        <v/>
      </c>
      <c r="T969" t="str">
        <f ca="1">IF(ISNUMBER(O969),OFFSET('MPIO_SFIO Table'!$AJ$11,O969,0),"")</f>
        <v/>
      </c>
      <c r="U969" t="str">
        <f ca="1">IF(ISNUMBER(P969),OFFSET('MPIO_SFIO Table'!$AJ$11,P969,0),"")</f>
        <v/>
      </c>
      <c r="V969" t="str">
        <f ca="1">IF(ISNUMBER(Q969),OFFSET('MPIO_SFIO Table'!$AJ$11,Q969,0),"")</f>
        <v/>
      </c>
      <c r="W969">
        <f t="shared" ref="W969:W1032" ca="1" si="131">1*AND(ISTEXT(R969),LEN(R969),R969=$G969)</f>
        <v>0</v>
      </c>
      <c r="X969">
        <f t="shared" ref="X969:X1032" ca="1" si="132">1*AND(ISTEXT(S969),LEN(S969),S969=$G969)</f>
        <v>0</v>
      </c>
      <c r="Y969">
        <f t="shared" ref="Y969:Y1032" ca="1" si="133">1*AND(ISTEXT(T969),LEN(T969),T969=$G969)</f>
        <v>0</v>
      </c>
      <c r="Z969">
        <f t="shared" ref="Z969:Z1032" ca="1" si="134">1*AND(ISTEXT(U969),LEN(U969),U969=$G969)</f>
        <v>0</v>
      </c>
      <c r="AA969">
        <f t="shared" ref="AA969:AA1032" ca="1" si="135">1*AND(ISTEXT(V969),LEN(V969),V969=$G969)</f>
        <v>0</v>
      </c>
    </row>
    <row r="970" spans="1:27" x14ac:dyDescent="0.25">
      <c r="A970">
        <f t="shared" ca="1" si="128"/>
        <v>0</v>
      </c>
      <c r="B970" t="str">
        <f t="shared" ca="1" si="129"/>
        <v/>
      </c>
      <c r="C970" t="str">
        <f t="shared" si="130"/>
        <v/>
      </c>
      <c r="D970" t="s">
        <v>253</v>
      </c>
      <c r="E970" t="s">
        <v>253</v>
      </c>
      <c r="F970" s="3" t="s">
        <v>253</v>
      </c>
      <c r="G970" s="11" t="s">
        <v>253</v>
      </c>
      <c r="H970" s="11" t="s">
        <v>253</v>
      </c>
      <c r="I970" s="3" t="s">
        <v>253</v>
      </c>
      <c r="J970" s="3" t="s">
        <v>253</v>
      </c>
      <c r="K970" s="3" t="s">
        <v>253</v>
      </c>
      <c r="L970" s="3" t="s">
        <v>253</v>
      </c>
      <c r="M970" t="str">
        <f>IF(LEN(H970),MATCH(H970,'MPIO_SFIO Table'!$A$11:$A$65525,0)-1,"")</f>
        <v/>
      </c>
      <c r="N970" t="str">
        <f>IF(LEN(I970),MATCH(I970,'MPIO_SFIO Table'!$A$11:$A$65525,0)-1,"")</f>
        <v/>
      </c>
      <c r="O970" t="str">
        <f>IF(LEN(J970),MATCH(J970,'MPIO_SFIO Table'!$A$11:$A$65525,0)-1,"")</f>
        <v/>
      </c>
      <c r="P970" t="str">
        <f>IF(LEN(K970),MATCH(K970,'MPIO_SFIO Table'!$A$11:$A$65525,0)-1,"")</f>
        <v/>
      </c>
      <c r="Q970" t="str">
        <f>IF(LEN(L970),MATCH(L970,'MPIO_SFIO Table'!$A$11:$A$65525,0)-1,"")</f>
        <v/>
      </c>
      <c r="R970" t="str">
        <f ca="1">IF(ISNUMBER(M970),OFFSET('MPIO_SFIO Table'!$AJ$11,M970,0),"")</f>
        <v/>
      </c>
      <c r="S970" t="str">
        <f ca="1">IF(ISNUMBER(N970),OFFSET('MPIO_SFIO Table'!$AJ$11,N970,0),"")</f>
        <v/>
      </c>
      <c r="T970" t="str">
        <f ca="1">IF(ISNUMBER(O970),OFFSET('MPIO_SFIO Table'!$AJ$11,O970,0),"")</f>
        <v/>
      </c>
      <c r="U970" t="str">
        <f ca="1">IF(ISNUMBER(P970),OFFSET('MPIO_SFIO Table'!$AJ$11,P970,0),"")</f>
        <v/>
      </c>
      <c r="V970" t="str">
        <f ca="1">IF(ISNUMBER(Q970),OFFSET('MPIO_SFIO Table'!$AJ$11,Q970,0),"")</f>
        <v/>
      </c>
      <c r="W970">
        <f t="shared" ca="1" si="131"/>
        <v>0</v>
      </c>
      <c r="X970">
        <f t="shared" ca="1" si="132"/>
        <v>0</v>
      </c>
      <c r="Y970">
        <f t="shared" ca="1" si="133"/>
        <v>0</v>
      </c>
      <c r="Z970">
        <f t="shared" ca="1" si="134"/>
        <v>0</v>
      </c>
      <c r="AA970">
        <f t="shared" ca="1" si="135"/>
        <v>0</v>
      </c>
    </row>
    <row r="971" spans="1:27" x14ac:dyDescent="0.25">
      <c r="A971">
        <f t="shared" ca="1" si="128"/>
        <v>0</v>
      </c>
      <c r="B971" t="str">
        <f t="shared" ca="1" si="129"/>
        <v/>
      </c>
      <c r="C971" t="str">
        <f t="shared" si="130"/>
        <v/>
      </c>
      <c r="D971" t="s">
        <v>253</v>
      </c>
      <c r="E971" t="s">
        <v>253</v>
      </c>
      <c r="F971" s="3" t="s">
        <v>253</v>
      </c>
      <c r="G971" s="11" t="s">
        <v>253</v>
      </c>
      <c r="H971" s="11" t="s">
        <v>253</v>
      </c>
      <c r="I971" s="3" t="s">
        <v>253</v>
      </c>
      <c r="J971" s="3" t="s">
        <v>253</v>
      </c>
      <c r="K971" s="3" t="s">
        <v>253</v>
      </c>
      <c r="L971" s="3" t="s">
        <v>253</v>
      </c>
      <c r="M971" t="str">
        <f>IF(LEN(H971),MATCH(H971,'MPIO_SFIO Table'!$A$11:$A$65525,0)-1,"")</f>
        <v/>
      </c>
      <c r="N971" t="str">
        <f>IF(LEN(I971),MATCH(I971,'MPIO_SFIO Table'!$A$11:$A$65525,0)-1,"")</f>
        <v/>
      </c>
      <c r="O971" t="str">
        <f>IF(LEN(J971),MATCH(J971,'MPIO_SFIO Table'!$A$11:$A$65525,0)-1,"")</f>
        <v/>
      </c>
      <c r="P971" t="str">
        <f>IF(LEN(K971),MATCH(K971,'MPIO_SFIO Table'!$A$11:$A$65525,0)-1,"")</f>
        <v/>
      </c>
      <c r="Q971" t="str">
        <f>IF(LEN(L971),MATCH(L971,'MPIO_SFIO Table'!$A$11:$A$65525,0)-1,"")</f>
        <v/>
      </c>
      <c r="R971" t="str">
        <f ca="1">IF(ISNUMBER(M971),OFFSET('MPIO_SFIO Table'!$AJ$11,M971,0),"")</f>
        <v/>
      </c>
      <c r="S971" t="str">
        <f ca="1">IF(ISNUMBER(N971),OFFSET('MPIO_SFIO Table'!$AJ$11,N971,0),"")</f>
        <v/>
      </c>
      <c r="T971" t="str">
        <f ca="1">IF(ISNUMBER(O971),OFFSET('MPIO_SFIO Table'!$AJ$11,O971,0),"")</f>
        <v/>
      </c>
      <c r="U971" t="str">
        <f ca="1">IF(ISNUMBER(P971),OFFSET('MPIO_SFIO Table'!$AJ$11,P971,0),"")</f>
        <v/>
      </c>
      <c r="V971" t="str">
        <f ca="1">IF(ISNUMBER(Q971),OFFSET('MPIO_SFIO Table'!$AJ$11,Q971,0),"")</f>
        <v/>
      </c>
      <c r="W971">
        <f t="shared" ca="1" si="131"/>
        <v>0</v>
      </c>
      <c r="X971">
        <f t="shared" ca="1" si="132"/>
        <v>0</v>
      </c>
      <c r="Y971">
        <f t="shared" ca="1" si="133"/>
        <v>0</v>
      </c>
      <c r="Z971">
        <f t="shared" ca="1" si="134"/>
        <v>0</v>
      </c>
      <c r="AA971">
        <f t="shared" ca="1" si="135"/>
        <v>0</v>
      </c>
    </row>
    <row r="972" spans="1:27" x14ac:dyDescent="0.25">
      <c r="A972">
        <f t="shared" ca="1" si="128"/>
        <v>0</v>
      </c>
      <c r="B972" t="str">
        <f t="shared" ca="1" si="129"/>
        <v/>
      </c>
      <c r="C972" t="str">
        <f t="shared" si="130"/>
        <v/>
      </c>
      <c r="D972" t="s">
        <v>253</v>
      </c>
      <c r="E972" t="s">
        <v>253</v>
      </c>
      <c r="F972" s="3" t="s">
        <v>253</v>
      </c>
      <c r="G972" s="11" t="s">
        <v>253</v>
      </c>
      <c r="H972" s="11" t="s">
        <v>253</v>
      </c>
      <c r="I972" s="3" t="s">
        <v>253</v>
      </c>
      <c r="J972" s="3" t="s">
        <v>253</v>
      </c>
      <c r="K972" s="3" t="s">
        <v>253</v>
      </c>
      <c r="L972" s="3" t="s">
        <v>253</v>
      </c>
      <c r="M972" t="str">
        <f>IF(LEN(H972),MATCH(H972,'MPIO_SFIO Table'!$A$11:$A$65525,0)-1,"")</f>
        <v/>
      </c>
      <c r="N972" t="str">
        <f>IF(LEN(I972),MATCH(I972,'MPIO_SFIO Table'!$A$11:$A$65525,0)-1,"")</f>
        <v/>
      </c>
      <c r="O972" t="str">
        <f>IF(LEN(J972),MATCH(J972,'MPIO_SFIO Table'!$A$11:$A$65525,0)-1,"")</f>
        <v/>
      </c>
      <c r="P972" t="str">
        <f>IF(LEN(K972),MATCH(K972,'MPIO_SFIO Table'!$A$11:$A$65525,0)-1,"")</f>
        <v/>
      </c>
      <c r="Q972" t="str">
        <f>IF(LEN(L972),MATCH(L972,'MPIO_SFIO Table'!$A$11:$A$65525,0)-1,"")</f>
        <v/>
      </c>
      <c r="R972" t="str">
        <f ca="1">IF(ISNUMBER(M972),OFFSET('MPIO_SFIO Table'!$AJ$11,M972,0),"")</f>
        <v/>
      </c>
      <c r="S972" t="str">
        <f ca="1">IF(ISNUMBER(N972),OFFSET('MPIO_SFIO Table'!$AJ$11,N972,0),"")</f>
        <v/>
      </c>
      <c r="T972" t="str">
        <f ca="1">IF(ISNUMBER(O972),OFFSET('MPIO_SFIO Table'!$AJ$11,O972,0),"")</f>
        <v/>
      </c>
      <c r="U972" t="str">
        <f ca="1">IF(ISNUMBER(P972),OFFSET('MPIO_SFIO Table'!$AJ$11,P972,0),"")</f>
        <v/>
      </c>
      <c r="V972" t="str">
        <f ca="1">IF(ISNUMBER(Q972),OFFSET('MPIO_SFIO Table'!$AJ$11,Q972,0),"")</f>
        <v/>
      </c>
      <c r="W972">
        <f t="shared" ca="1" si="131"/>
        <v>0</v>
      </c>
      <c r="X972">
        <f t="shared" ca="1" si="132"/>
        <v>0</v>
      </c>
      <c r="Y972">
        <f t="shared" ca="1" si="133"/>
        <v>0</v>
      </c>
      <c r="Z972">
        <f t="shared" ca="1" si="134"/>
        <v>0</v>
      </c>
      <c r="AA972">
        <f t="shared" ca="1" si="135"/>
        <v>0</v>
      </c>
    </row>
    <row r="973" spans="1:27" x14ac:dyDescent="0.25">
      <c r="A973">
        <f t="shared" ca="1" si="128"/>
        <v>0</v>
      </c>
      <c r="B973" t="str">
        <f t="shared" ca="1" si="129"/>
        <v/>
      </c>
      <c r="C973" t="str">
        <f t="shared" si="130"/>
        <v/>
      </c>
      <c r="D973" t="s">
        <v>253</v>
      </c>
      <c r="E973" t="s">
        <v>253</v>
      </c>
      <c r="F973" s="3" t="s">
        <v>253</v>
      </c>
      <c r="G973" s="11" t="s">
        <v>253</v>
      </c>
      <c r="H973" s="11" t="s">
        <v>253</v>
      </c>
      <c r="I973" s="3" t="s">
        <v>253</v>
      </c>
      <c r="J973" s="3" t="s">
        <v>253</v>
      </c>
      <c r="K973" s="3" t="s">
        <v>253</v>
      </c>
      <c r="L973" s="3" t="s">
        <v>253</v>
      </c>
      <c r="M973" t="str">
        <f>IF(LEN(H973),MATCH(H973,'MPIO_SFIO Table'!$A$11:$A$65525,0)-1,"")</f>
        <v/>
      </c>
      <c r="N973" t="str">
        <f>IF(LEN(I973),MATCH(I973,'MPIO_SFIO Table'!$A$11:$A$65525,0)-1,"")</f>
        <v/>
      </c>
      <c r="O973" t="str">
        <f>IF(LEN(J973),MATCH(J973,'MPIO_SFIO Table'!$A$11:$A$65525,0)-1,"")</f>
        <v/>
      </c>
      <c r="P973" t="str">
        <f>IF(LEN(K973),MATCH(K973,'MPIO_SFIO Table'!$A$11:$A$65525,0)-1,"")</f>
        <v/>
      </c>
      <c r="Q973" t="str">
        <f>IF(LEN(L973),MATCH(L973,'MPIO_SFIO Table'!$A$11:$A$65525,0)-1,"")</f>
        <v/>
      </c>
      <c r="R973" t="str">
        <f ca="1">IF(ISNUMBER(M973),OFFSET('MPIO_SFIO Table'!$AJ$11,M973,0),"")</f>
        <v/>
      </c>
      <c r="S973" t="str">
        <f ca="1">IF(ISNUMBER(N973),OFFSET('MPIO_SFIO Table'!$AJ$11,N973,0),"")</f>
        <v/>
      </c>
      <c r="T973" t="str">
        <f ca="1">IF(ISNUMBER(O973),OFFSET('MPIO_SFIO Table'!$AJ$11,O973,0),"")</f>
        <v/>
      </c>
      <c r="U973" t="str">
        <f ca="1">IF(ISNUMBER(P973),OFFSET('MPIO_SFIO Table'!$AJ$11,P973,0),"")</f>
        <v/>
      </c>
      <c r="V973" t="str">
        <f ca="1">IF(ISNUMBER(Q973),OFFSET('MPIO_SFIO Table'!$AJ$11,Q973,0),"")</f>
        <v/>
      </c>
      <c r="W973">
        <f t="shared" ca="1" si="131"/>
        <v>0</v>
      </c>
      <c r="X973">
        <f t="shared" ca="1" si="132"/>
        <v>0</v>
      </c>
      <c r="Y973">
        <f t="shared" ca="1" si="133"/>
        <v>0</v>
      </c>
      <c r="Z973">
        <f t="shared" ca="1" si="134"/>
        <v>0</v>
      </c>
      <c r="AA973">
        <f t="shared" ca="1" si="135"/>
        <v>0</v>
      </c>
    </row>
    <row r="974" spans="1:27" x14ac:dyDescent="0.25">
      <c r="A974">
        <f t="shared" ca="1" si="128"/>
        <v>0</v>
      </c>
      <c r="B974" t="str">
        <f t="shared" ca="1" si="129"/>
        <v/>
      </c>
      <c r="C974" t="str">
        <f t="shared" si="130"/>
        <v/>
      </c>
      <c r="D974" t="s">
        <v>253</v>
      </c>
      <c r="E974" t="s">
        <v>253</v>
      </c>
      <c r="F974" s="3" t="s">
        <v>253</v>
      </c>
      <c r="G974" s="11" t="s">
        <v>253</v>
      </c>
      <c r="H974" s="11" t="s">
        <v>253</v>
      </c>
      <c r="I974" s="3" t="s">
        <v>253</v>
      </c>
      <c r="J974" s="3" t="s">
        <v>253</v>
      </c>
      <c r="K974" s="3" t="s">
        <v>253</v>
      </c>
      <c r="L974" s="3" t="s">
        <v>253</v>
      </c>
      <c r="M974" t="str">
        <f>IF(LEN(H974),MATCH(H974,'MPIO_SFIO Table'!$A$11:$A$65525,0)-1,"")</f>
        <v/>
      </c>
      <c r="N974" t="str">
        <f>IF(LEN(I974),MATCH(I974,'MPIO_SFIO Table'!$A$11:$A$65525,0)-1,"")</f>
        <v/>
      </c>
      <c r="O974" t="str">
        <f>IF(LEN(J974),MATCH(J974,'MPIO_SFIO Table'!$A$11:$A$65525,0)-1,"")</f>
        <v/>
      </c>
      <c r="P974" t="str">
        <f>IF(LEN(K974),MATCH(K974,'MPIO_SFIO Table'!$A$11:$A$65525,0)-1,"")</f>
        <v/>
      </c>
      <c r="Q974" t="str">
        <f>IF(LEN(L974),MATCH(L974,'MPIO_SFIO Table'!$A$11:$A$65525,0)-1,"")</f>
        <v/>
      </c>
      <c r="R974" t="str">
        <f ca="1">IF(ISNUMBER(M974),OFFSET('MPIO_SFIO Table'!$AJ$11,M974,0),"")</f>
        <v/>
      </c>
      <c r="S974" t="str">
        <f ca="1">IF(ISNUMBER(N974),OFFSET('MPIO_SFIO Table'!$AJ$11,N974,0),"")</f>
        <v/>
      </c>
      <c r="T974" t="str">
        <f ca="1">IF(ISNUMBER(O974),OFFSET('MPIO_SFIO Table'!$AJ$11,O974,0),"")</f>
        <v/>
      </c>
      <c r="U974" t="str">
        <f ca="1">IF(ISNUMBER(P974),OFFSET('MPIO_SFIO Table'!$AJ$11,P974,0),"")</f>
        <v/>
      </c>
      <c r="V974" t="str">
        <f ca="1">IF(ISNUMBER(Q974),OFFSET('MPIO_SFIO Table'!$AJ$11,Q974,0),"")</f>
        <v/>
      </c>
      <c r="W974">
        <f t="shared" ca="1" si="131"/>
        <v>0</v>
      </c>
      <c r="X974">
        <f t="shared" ca="1" si="132"/>
        <v>0</v>
      </c>
      <c r="Y974">
        <f t="shared" ca="1" si="133"/>
        <v>0</v>
      </c>
      <c r="Z974">
        <f t="shared" ca="1" si="134"/>
        <v>0</v>
      </c>
      <c r="AA974">
        <f t="shared" ca="1" si="135"/>
        <v>0</v>
      </c>
    </row>
    <row r="975" spans="1:27" x14ac:dyDescent="0.25">
      <c r="A975">
        <f t="shared" ca="1" si="128"/>
        <v>0</v>
      </c>
      <c r="B975" t="str">
        <f t="shared" ca="1" si="129"/>
        <v/>
      </c>
      <c r="C975" t="str">
        <f t="shared" si="130"/>
        <v/>
      </c>
      <c r="D975" t="s">
        <v>253</v>
      </c>
      <c r="E975" t="s">
        <v>253</v>
      </c>
      <c r="F975" s="3" t="s">
        <v>253</v>
      </c>
      <c r="G975" s="11" t="s">
        <v>253</v>
      </c>
      <c r="H975" s="11" t="s">
        <v>253</v>
      </c>
      <c r="I975" s="3" t="s">
        <v>253</v>
      </c>
      <c r="J975" s="3" t="s">
        <v>253</v>
      </c>
      <c r="K975" s="3" t="s">
        <v>253</v>
      </c>
      <c r="L975" s="3" t="s">
        <v>253</v>
      </c>
      <c r="M975" t="str">
        <f>IF(LEN(H975),MATCH(H975,'MPIO_SFIO Table'!$A$11:$A$65525,0)-1,"")</f>
        <v/>
      </c>
      <c r="N975" t="str">
        <f>IF(LEN(I975),MATCH(I975,'MPIO_SFIO Table'!$A$11:$A$65525,0)-1,"")</f>
        <v/>
      </c>
      <c r="O975" t="str">
        <f>IF(LEN(J975),MATCH(J975,'MPIO_SFIO Table'!$A$11:$A$65525,0)-1,"")</f>
        <v/>
      </c>
      <c r="P975" t="str">
        <f>IF(LEN(K975),MATCH(K975,'MPIO_SFIO Table'!$A$11:$A$65525,0)-1,"")</f>
        <v/>
      </c>
      <c r="Q975" t="str">
        <f>IF(LEN(L975),MATCH(L975,'MPIO_SFIO Table'!$A$11:$A$65525,0)-1,"")</f>
        <v/>
      </c>
      <c r="R975" t="str">
        <f ca="1">IF(ISNUMBER(M975),OFFSET('MPIO_SFIO Table'!$AJ$11,M975,0),"")</f>
        <v/>
      </c>
      <c r="S975" t="str">
        <f ca="1">IF(ISNUMBER(N975),OFFSET('MPIO_SFIO Table'!$AJ$11,N975,0),"")</f>
        <v/>
      </c>
      <c r="T975" t="str">
        <f ca="1">IF(ISNUMBER(O975),OFFSET('MPIO_SFIO Table'!$AJ$11,O975,0),"")</f>
        <v/>
      </c>
      <c r="U975" t="str">
        <f ca="1">IF(ISNUMBER(P975),OFFSET('MPIO_SFIO Table'!$AJ$11,P975,0),"")</f>
        <v/>
      </c>
      <c r="V975" t="str">
        <f ca="1">IF(ISNUMBER(Q975),OFFSET('MPIO_SFIO Table'!$AJ$11,Q975,0),"")</f>
        <v/>
      </c>
      <c r="W975">
        <f t="shared" ca="1" si="131"/>
        <v>0</v>
      </c>
      <c r="X975">
        <f t="shared" ca="1" si="132"/>
        <v>0</v>
      </c>
      <c r="Y975">
        <f t="shared" ca="1" si="133"/>
        <v>0</v>
      </c>
      <c r="Z975">
        <f t="shared" ca="1" si="134"/>
        <v>0</v>
      </c>
      <c r="AA975">
        <f t="shared" ca="1" si="135"/>
        <v>0</v>
      </c>
    </row>
    <row r="976" spans="1:27" x14ac:dyDescent="0.25">
      <c r="A976">
        <f t="shared" ca="1" si="128"/>
        <v>0</v>
      </c>
      <c r="B976" t="str">
        <f t="shared" ca="1" si="129"/>
        <v/>
      </c>
      <c r="C976" t="str">
        <f t="shared" si="130"/>
        <v/>
      </c>
      <c r="D976" t="s">
        <v>253</v>
      </c>
      <c r="E976" t="s">
        <v>253</v>
      </c>
      <c r="F976" s="3" t="s">
        <v>253</v>
      </c>
      <c r="G976" s="11" t="s">
        <v>253</v>
      </c>
      <c r="H976" s="11" t="s">
        <v>253</v>
      </c>
      <c r="I976" s="3" t="s">
        <v>253</v>
      </c>
      <c r="J976" s="3" t="s">
        <v>253</v>
      </c>
      <c r="K976" s="3" t="s">
        <v>253</v>
      </c>
      <c r="L976" s="3" t="s">
        <v>253</v>
      </c>
      <c r="M976" t="str">
        <f>IF(LEN(H976),MATCH(H976,'MPIO_SFIO Table'!$A$11:$A$65525,0)-1,"")</f>
        <v/>
      </c>
      <c r="N976" t="str">
        <f>IF(LEN(I976),MATCH(I976,'MPIO_SFIO Table'!$A$11:$A$65525,0)-1,"")</f>
        <v/>
      </c>
      <c r="O976" t="str">
        <f>IF(LEN(J976),MATCH(J976,'MPIO_SFIO Table'!$A$11:$A$65525,0)-1,"")</f>
        <v/>
      </c>
      <c r="P976" t="str">
        <f>IF(LEN(K976),MATCH(K976,'MPIO_SFIO Table'!$A$11:$A$65525,0)-1,"")</f>
        <v/>
      </c>
      <c r="Q976" t="str">
        <f>IF(LEN(L976),MATCH(L976,'MPIO_SFIO Table'!$A$11:$A$65525,0)-1,"")</f>
        <v/>
      </c>
      <c r="R976" t="str">
        <f ca="1">IF(ISNUMBER(M976),OFFSET('MPIO_SFIO Table'!$AJ$11,M976,0),"")</f>
        <v/>
      </c>
      <c r="S976" t="str">
        <f ca="1">IF(ISNUMBER(N976),OFFSET('MPIO_SFIO Table'!$AJ$11,N976,0),"")</f>
        <v/>
      </c>
      <c r="T976" t="str">
        <f ca="1">IF(ISNUMBER(O976),OFFSET('MPIO_SFIO Table'!$AJ$11,O976,0),"")</f>
        <v/>
      </c>
      <c r="U976" t="str">
        <f ca="1">IF(ISNUMBER(P976),OFFSET('MPIO_SFIO Table'!$AJ$11,P976,0),"")</f>
        <v/>
      </c>
      <c r="V976" t="str">
        <f ca="1">IF(ISNUMBER(Q976),OFFSET('MPIO_SFIO Table'!$AJ$11,Q976,0),"")</f>
        <v/>
      </c>
      <c r="W976">
        <f t="shared" ca="1" si="131"/>
        <v>0</v>
      </c>
      <c r="X976">
        <f t="shared" ca="1" si="132"/>
        <v>0</v>
      </c>
      <c r="Y976">
        <f t="shared" ca="1" si="133"/>
        <v>0</v>
      </c>
      <c r="Z976">
        <f t="shared" ca="1" si="134"/>
        <v>0</v>
      </c>
      <c r="AA976">
        <f t="shared" ca="1" si="135"/>
        <v>0</v>
      </c>
    </row>
    <row r="977" spans="1:27" x14ac:dyDescent="0.25">
      <c r="A977">
        <f t="shared" ca="1" si="128"/>
        <v>0</v>
      </c>
      <c r="B977" t="str">
        <f t="shared" ca="1" si="129"/>
        <v/>
      </c>
      <c r="C977" t="str">
        <f t="shared" si="130"/>
        <v/>
      </c>
      <c r="D977" t="s">
        <v>253</v>
      </c>
      <c r="E977" t="s">
        <v>253</v>
      </c>
      <c r="F977" s="3" t="s">
        <v>253</v>
      </c>
      <c r="G977" s="11" t="s">
        <v>253</v>
      </c>
      <c r="H977" s="11" t="s">
        <v>253</v>
      </c>
      <c r="I977" s="3" t="s">
        <v>253</v>
      </c>
      <c r="J977" s="3" t="s">
        <v>253</v>
      </c>
      <c r="K977" s="3" t="s">
        <v>253</v>
      </c>
      <c r="L977" s="3" t="s">
        <v>253</v>
      </c>
      <c r="M977" t="str">
        <f>IF(LEN(H977),MATCH(H977,'MPIO_SFIO Table'!$A$11:$A$65525,0)-1,"")</f>
        <v/>
      </c>
      <c r="N977" t="str">
        <f>IF(LEN(I977),MATCH(I977,'MPIO_SFIO Table'!$A$11:$A$65525,0)-1,"")</f>
        <v/>
      </c>
      <c r="O977" t="str">
        <f>IF(LEN(J977),MATCH(J977,'MPIO_SFIO Table'!$A$11:$A$65525,0)-1,"")</f>
        <v/>
      </c>
      <c r="P977" t="str">
        <f>IF(LEN(K977),MATCH(K977,'MPIO_SFIO Table'!$A$11:$A$65525,0)-1,"")</f>
        <v/>
      </c>
      <c r="Q977" t="str">
        <f>IF(LEN(L977),MATCH(L977,'MPIO_SFIO Table'!$A$11:$A$65525,0)-1,"")</f>
        <v/>
      </c>
      <c r="R977" t="str">
        <f ca="1">IF(ISNUMBER(M977),OFFSET('MPIO_SFIO Table'!$AJ$11,M977,0),"")</f>
        <v/>
      </c>
      <c r="S977" t="str">
        <f ca="1">IF(ISNUMBER(N977),OFFSET('MPIO_SFIO Table'!$AJ$11,N977,0),"")</f>
        <v/>
      </c>
      <c r="T977" t="str">
        <f ca="1">IF(ISNUMBER(O977),OFFSET('MPIO_SFIO Table'!$AJ$11,O977,0),"")</f>
        <v/>
      </c>
      <c r="U977" t="str">
        <f ca="1">IF(ISNUMBER(P977),OFFSET('MPIO_SFIO Table'!$AJ$11,P977,0),"")</f>
        <v/>
      </c>
      <c r="V977" t="str">
        <f ca="1">IF(ISNUMBER(Q977),OFFSET('MPIO_SFIO Table'!$AJ$11,Q977,0),"")</f>
        <v/>
      </c>
      <c r="W977">
        <f t="shared" ca="1" si="131"/>
        <v>0</v>
      </c>
      <c r="X977">
        <f t="shared" ca="1" si="132"/>
        <v>0</v>
      </c>
      <c r="Y977">
        <f t="shared" ca="1" si="133"/>
        <v>0</v>
      </c>
      <c r="Z977">
        <f t="shared" ca="1" si="134"/>
        <v>0</v>
      </c>
      <c r="AA977">
        <f t="shared" ca="1" si="135"/>
        <v>0</v>
      </c>
    </row>
    <row r="978" spans="1:27" x14ac:dyDescent="0.25">
      <c r="A978">
        <f t="shared" ca="1" si="128"/>
        <v>0</v>
      </c>
      <c r="B978" t="str">
        <f t="shared" ca="1" si="129"/>
        <v/>
      </c>
      <c r="C978" t="str">
        <f t="shared" si="130"/>
        <v/>
      </c>
      <c r="D978" t="s">
        <v>253</v>
      </c>
      <c r="E978" t="s">
        <v>253</v>
      </c>
      <c r="F978" s="3" t="s">
        <v>253</v>
      </c>
      <c r="G978" s="11" t="s">
        <v>253</v>
      </c>
      <c r="H978" s="11" t="s">
        <v>253</v>
      </c>
      <c r="I978" s="3" t="s">
        <v>253</v>
      </c>
      <c r="J978" s="3" t="s">
        <v>253</v>
      </c>
      <c r="K978" s="3" t="s">
        <v>253</v>
      </c>
      <c r="L978" s="3" t="s">
        <v>253</v>
      </c>
      <c r="M978" t="str">
        <f>IF(LEN(H978),MATCH(H978,'MPIO_SFIO Table'!$A$11:$A$65525,0)-1,"")</f>
        <v/>
      </c>
      <c r="N978" t="str">
        <f>IF(LEN(I978),MATCH(I978,'MPIO_SFIO Table'!$A$11:$A$65525,0)-1,"")</f>
        <v/>
      </c>
      <c r="O978" t="str">
        <f>IF(LEN(J978),MATCH(J978,'MPIO_SFIO Table'!$A$11:$A$65525,0)-1,"")</f>
        <v/>
      </c>
      <c r="P978" t="str">
        <f>IF(LEN(K978),MATCH(K978,'MPIO_SFIO Table'!$A$11:$A$65525,0)-1,"")</f>
        <v/>
      </c>
      <c r="Q978" t="str">
        <f>IF(LEN(L978),MATCH(L978,'MPIO_SFIO Table'!$A$11:$A$65525,0)-1,"")</f>
        <v/>
      </c>
      <c r="R978" t="str">
        <f ca="1">IF(ISNUMBER(M978),OFFSET('MPIO_SFIO Table'!$AJ$11,M978,0),"")</f>
        <v/>
      </c>
      <c r="S978" t="str">
        <f ca="1">IF(ISNUMBER(N978),OFFSET('MPIO_SFIO Table'!$AJ$11,N978,0),"")</f>
        <v/>
      </c>
      <c r="T978" t="str">
        <f ca="1">IF(ISNUMBER(O978),OFFSET('MPIO_SFIO Table'!$AJ$11,O978,0),"")</f>
        <v/>
      </c>
      <c r="U978" t="str">
        <f ca="1">IF(ISNUMBER(P978),OFFSET('MPIO_SFIO Table'!$AJ$11,P978,0),"")</f>
        <v/>
      </c>
      <c r="V978" t="str">
        <f ca="1">IF(ISNUMBER(Q978),OFFSET('MPIO_SFIO Table'!$AJ$11,Q978,0),"")</f>
        <v/>
      </c>
      <c r="W978">
        <f t="shared" ca="1" si="131"/>
        <v>0</v>
      </c>
      <c r="X978">
        <f t="shared" ca="1" si="132"/>
        <v>0</v>
      </c>
      <c r="Y978">
        <f t="shared" ca="1" si="133"/>
        <v>0</v>
      </c>
      <c r="Z978">
        <f t="shared" ca="1" si="134"/>
        <v>0</v>
      </c>
      <c r="AA978">
        <f t="shared" ca="1" si="135"/>
        <v>0</v>
      </c>
    </row>
    <row r="979" spans="1:27" x14ac:dyDescent="0.25">
      <c r="A979">
        <f t="shared" ca="1" si="128"/>
        <v>0</v>
      </c>
      <c r="B979" t="str">
        <f t="shared" ca="1" si="129"/>
        <v/>
      </c>
      <c r="C979" t="str">
        <f t="shared" si="130"/>
        <v/>
      </c>
      <c r="D979" t="s">
        <v>253</v>
      </c>
      <c r="E979" t="s">
        <v>253</v>
      </c>
      <c r="F979" s="3" t="s">
        <v>253</v>
      </c>
      <c r="G979" s="11" t="s">
        <v>253</v>
      </c>
      <c r="H979" s="11" t="s">
        <v>253</v>
      </c>
      <c r="I979" s="3" t="s">
        <v>253</v>
      </c>
      <c r="J979" s="3" t="s">
        <v>253</v>
      </c>
      <c r="K979" s="3" t="s">
        <v>253</v>
      </c>
      <c r="L979" s="3" t="s">
        <v>253</v>
      </c>
      <c r="M979" t="str">
        <f>IF(LEN(H979),MATCH(H979,'MPIO_SFIO Table'!$A$11:$A$65525,0)-1,"")</f>
        <v/>
      </c>
      <c r="N979" t="str">
        <f>IF(LEN(I979),MATCH(I979,'MPIO_SFIO Table'!$A$11:$A$65525,0)-1,"")</f>
        <v/>
      </c>
      <c r="O979" t="str">
        <f>IF(LEN(J979),MATCH(J979,'MPIO_SFIO Table'!$A$11:$A$65525,0)-1,"")</f>
        <v/>
      </c>
      <c r="P979" t="str">
        <f>IF(LEN(K979),MATCH(K979,'MPIO_SFIO Table'!$A$11:$A$65525,0)-1,"")</f>
        <v/>
      </c>
      <c r="Q979" t="str">
        <f>IF(LEN(L979),MATCH(L979,'MPIO_SFIO Table'!$A$11:$A$65525,0)-1,"")</f>
        <v/>
      </c>
      <c r="R979" t="str">
        <f ca="1">IF(ISNUMBER(M979),OFFSET('MPIO_SFIO Table'!$AJ$11,M979,0),"")</f>
        <v/>
      </c>
      <c r="S979" t="str">
        <f ca="1">IF(ISNUMBER(N979),OFFSET('MPIO_SFIO Table'!$AJ$11,N979,0),"")</f>
        <v/>
      </c>
      <c r="T979" t="str">
        <f ca="1">IF(ISNUMBER(O979),OFFSET('MPIO_SFIO Table'!$AJ$11,O979,0),"")</f>
        <v/>
      </c>
      <c r="U979" t="str">
        <f ca="1">IF(ISNUMBER(P979),OFFSET('MPIO_SFIO Table'!$AJ$11,P979,0),"")</f>
        <v/>
      </c>
      <c r="V979" t="str">
        <f ca="1">IF(ISNUMBER(Q979),OFFSET('MPIO_SFIO Table'!$AJ$11,Q979,0),"")</f>
        <v/>
      </c>
      <c r="W979">
        <f t="shared" ca="1" si="131"/>
        <v>0</v>
      </c>
      <c r="X979">
        <f t="shared" ca="1" si="132"/>
        <v>0</v>
      </c>
      <c r="Y979">
        <f t="shared" ca="1" si="133"/>
        <v>0</v>
      </c>
      <c r="Z979">
        <f t="shared" ca="1" si="134"/>
        <v>0</v>
      </c>
      <c r="AA979">
        <f t="shared" ca="1" si="135"/>
        <v>0</v>
      </c>
    </row>
    <row r="980" spans="1:27" x14ac:dyDescent="0.25">
      <c r="A980">
        <f t="shared" ca="1" si="128"/>
        <v>0</v>
      </c>
      <c r="B980" t="str">
        <f t="shared" ca="1" si="129"/>
        <v/>
      </c>
      <c r="C980" t="str">
        <f t="shared" si="130"/>
        <v/>
      </c>
      <c r="D980" t="s">
        <v>253</v>
      </c>
      <c r="E980" t="s">
        <v>253</v>
      </c>
      <c r="F980" s="3" t="s">
        <v>253</v>
      </c>
      <c r="G980" s="11" t="s">
        <v>253</v>
      </c>
      <c r="H980" s="11" t="s">
        <v>253</v>
      </c>
      <c r="I980" s="3" t="s">
        <v>253</v>
      </c>
      <c r="J980" s="3" t="s">
        <v>253</v>
      </c>
      <c r="K980" s="3" t="s">
        <v>253</v>
      </c>
      <c r="L980" s="3" t="s">
        <v>253</v>
      </c>
      <c r="M980" t="str">
        <f>IF(LEN(H980),MATCH(H980,'MPIO_SFIO Table'!$A$11:$A$65525,0)-1,"")</f>
        <v/>
      </c>
      <c r="N980" t="str">
        <f>IF(LEN(I980),MATCH(I980,'MPIO_SFIO Table'!$A$11:$A$65525,0)-1,"")</f>
        <v/>
      </c>
      <c r="O980" t="str">
        <f>IF(LEN(J980),MATCH(J980,'MPIO_SFIO Table'!$A$11:$A$65525,0)-1,"")</f>
        <v/>
      </c>
      <c r="P980" t="str">
        <f>IF(LEN(K980),MATCH(K980,'MPIO_SFIO Table'!$A$11:$A$65525,0)-1,"")</f>
        <v/>
      </c>
      <c r="Q980" t="str">
        <f>IF(LEN(L980),MATCH(L980,'MPIO_SFIO Table'!$A$11:$A$65525,0)-1,"")</f>
        <v/>
      </c>
      <c r="R980" t="str">
        <f ca="1">IF(ISNUMBER(M980),OFFSET('MPIO_SFIO Table'!$AJ$11,M980,0),"")</f>
        <v/>
      </c>
      <c r="S980" t="str">
        <f ca="1">IF(ISNUMBER(N980),OFFSET('MPIO_SFIO Table'!$AJ$11,N980,0),"")</f>
        <v/>
      </c>
      <c r="T980" t="str">
        <f ca="1">IF(ISNUMBER(O980),OFFSET('MPIO_SFIO Table'!$AJ$11,O980,0),"")</f>
        <v/>
      </c>
      <c r="U980" t="str">
        <f ca="1">IF(ISNUMBER(P980),OFFSET('MPIO_SFIO Table'!$AJ$11,P980,0),"")</f>
        <v/>
      </c>
      <c r="V980" t="str">
        <f ca="1">IF(ISNUMBER(Q980),OFFSET('MPIO_SFIO Table'!$AJ$11,Q980,0),"")</f>
        <v/>
      </c>
      <c r="W980">
        <f t="shared" ca="1" si="131"/>
        <v>0</v>
      </c>
      <c r="X980">
        <f t="shared" ca="1" si="132"/>
        <v>0</v>
      </c>
      <c r="Y980">
        <f t="shared" ca="1" si="133"/>
        <v>0</v>
      </c>
      <c r="Z980">
        <f t="shared" ca="1" si="134"/>
        <v>0</v>
      </c>
      <c r="AA980">
        <f t="shared" ca="1" si="135"/>
        <v>0</v>
      </c>
    </row>
    <row r="981" spans="1:27" x14ac:dyDescent="0.25">
      <c r="A981">
        <f t="shared" ca="1" si="128"/>
        <v>0</v>
      </c>
      <c r="B981" t="str">
        <f t="shared" ca="1" si="129"/>
        <v/>
      </c>
      <c r="C981" t="str">
        <f t="shared" si="130"/>
        <v/>
      </c>
      <c r="D981" t="s">
        <v>253</v>
      </c>
      <c r="E981" t="s">
        <v>253</v>
      </c>
      <c r="F981" s="3" t="s">
        <v>253</v>
      </c>
      <c r="G981" s="11" t="s">
        <v>253</v>
      </c>
      <c r="H981" s="11" t="s">
        <v>253</v>
      </c>
      <c r="I981" s="3" t="s">
        <v>253</v>
      </c>
      <c r="J981" s="3" t="s">
        <v>253</v>
      </c>
      <c r="K981" s="3" t="s">
        <v>253</v>
      </c>
      <c r="L981" s="3" t="s">
        <v>253</v>
      </c>
      <c r="M981" t="str">
        <f>IF(LEN(H981),MATCH(H981,'MPIO_SFIO Table'!$A$11:$A$65525,0)-1,"")</f>
        <v/>
      </c>
      <c r="N981" t="str">
        <f>IF(LEN(I981),MATCH(I981,'MPIO_SFIO Table'!$A$11:$A$65525,0)-1,"")</f>
        <v/>
      </c>
      <c r="O981" t="str">
        <f>IF(LEN(J981),MATCH(J981,'MPIO_SFIO Table'!$A$11:$A$65525,0)-1,"")</f>
        <v/>
      </c>
      <c r="P981" t="str">
        <f>IF(LEN(K981),MATCH(K981,'MPIO_SFIO Table'!$A$11:$A$65525,0)-1,"")</f>
        <v/>
      </c>
      <c r="Q981" t="str">
        <f>IF(LEN(L981),MATCH(L981,'MPIO_SFIO Table'!$A$11:$A$65525,0)-1,"")</f>
        <v/>
      </c>
      <c r="R981" t="str">
        <f ca="1">IF(ISNUMBER(M981),OFFSET('MPIO_SFIO Table'!$AJ$11,M981,0),"")</f>
        <v/>
      </c>
      <c r="S981" t="str">
        <f ca="1">IF(ISNUMBER(N981),OFFSET('MPIO_SFIO Table'!$AJ$11,N981,0),"")</f>
        <v/>
      </c>
      <c r="T981" t="str">
        <f ca="1">IF(ISNUMBER(O981),OFFSET('MPIO_SFIO Table'!$AJ$11,O981,0),"")</f>
        <v/>
      </c>
      <c r="U981" t="str">
        <f ca="1">IF(ISNUMBER(P981),OFFSET('MPIO_SFIO Table'!$AJ$11,P981,0),"")</f>
        <v/>
      </c>
      <c r="V981" t="str">
        <f ca="1">IF(ISNUMBER(Q981),OFFSET('MPIO_SFIO Table'!$AJ$11,Q981,0),"")</f>
        <v/>
      </c>
      <c r="W981">
        <f t="shared" ca="1" si="131"/>
        <v>0</v>
      </c>
      <c r="X981">
        <f t="shared" ca="1" si="132"/>
        <v>0</v>
      </c>
      <c r="Y981">
        <f t="shared" ca="1" si="133"/>
        <v>0</v>
      </c>
      <c r="Z981">
        <f t="shared" ca="1" si="134"/>
        <v>0</v>
      </c>
      <c r="AA981">
        <f t="shared" ca="1" si="135"/>
        <v>0</v>
      </c>
    </row>
    <row r="982" spans="1:27" x14ac:dyDescent="0.25">
      <c r="A982">
        <f t="shared" ca="1" si="128"/>
        <v>0</v>
      </c>
      <c r="B982" t="str">
        <f t="shared" ca="1" si="129"/>
        <v/>
      </c>
      <c r="C982" t="str">
        <f t="shared" si="130"/>
        <v/>
      </c>
      <c r="D982" t="s">
        <v>253</v>
      </c>
      <c r="E982" t="s">
        <v>253</v>
      </c>
      <c r="F982" s="3" t="s">
        <v>253</v>
      </c>
      <c r="G982" s="11" t="s">
        <v>253</v>
      </c>
      <c r="H982" s="11" t="s">
        <v>253</v>
      </c>
      <c r="I982" s="3" t="s">
        <v>253</v>
      </c>
      <c r="J982" s="3" t="s">
        <v>253</v>
      </c>
      <c r="K982" s="3" t="s">
        <v>253</v>
      </c>
      <c r="L982" s="3" t="s">
        <v>253</v>
      </c>
      <c r="M982" t="str">
        <f>IF(LEN(H982),MATCH(H982,'MPIO_SFIO Table'!$A$11:$A$65525,0)-1,"")</f>
        <v/>
      </c>
      <c r="N982" t="str">
        <f>IF(LEN(I982),MATCH(I982,'MPIO_SFIO Table'!$A$11:$A$65525,0)-1,"")</f>
        <v/>
      </c>
      <c r="O982" t="str">
        <f>IF(LEN(J982),MATCH(J982,'MPIO_SFIO Table'!$A$11:$A$65525,0)-1,"")</f>
        <v/>
      </c>
      <c r="P982" t="str">
        <f>IF(LEN(K982),MATCH(K982,'MPIO_SFIO Table'!$A$11:$A$65525,0)-1,"")</f>
        <v/>
      </c>
      <c r="Q982" t="str">
        <f>IF(LEN(L982),MATCH(L982,'MPIO_SFIO Table'!$A$11:$A$65525,0)-1,"")</f>
        <v/>
      </c>
      <c r="R982" t="str">
        <f ca="1">IF(ISNUMBER(M982),OFFSET('MPIO_SFIO Table'!$AJ$11,M982,0),"")</f>
        <v/>
      </c>
      <c r="S982" t="str">
        <f ca="1">IF(ISNUMBER(N982),OFFSET('MPIO_SFIO Table'!$AJ$11,N982,0),"")</f>
        <v/>
      </c>
      <c r="T982" t="str">
        <f ca="1">IF(ISNUMBER(O982),OFFSET('MPIO_SFIO Table'!$AJ$11,O982,0),"")</f>
        <v/>
      </c>
      <c r="U982" t="str">
        <f ca="1">IF(ISNUMBER(P982),OFFSET('MPIO_SFIO Table'!$AJ$11,P982,0),"")</f>
        <v/>
      </c>
      <c r="V982" t="str">
        <f ca="1">IF(ISNUMBER(Q982),OFFSET('MPIO_SFIO Table'!$AJ$11,Q982,0),"")</f>
        <v/>
      </c>
      <c r="W982">
        <f t="shared" ca="1" si="131"/>
        <v>0</v>
      </c>
      <c r="X982">
        <f t="shared" ca="1" si="132"/>
        <v>0</v>
      </c>
      <c r="Y982">
        <f t="shared" ca="1" si="133"/>
        <v>0</v>
      </c>
      <c r="Z982">
        <f t="shared" ca="1" si="134"/>
        <v>0</v>
      </c>
      <c r="AA982">
        <f t="shared" ca="1" si="135"/>
        <v>0</v>
      </c>
    </row>
    <row r="983" spans="1:27" x14ac:dyDescent="0.25">
      <c r="A983">
        <f t="shared" ca="1" si="128"/>
        <v>0</v>
      </c>
      <c r="B983" t="str">
        <f t="shared" ca="1" si="129"/>
        <v/>
      </c>
      <c r="C983" t="str">
        <f t="shared" si="130"/>
        <v/>
      </c>
      <c r="D983" t="s">
        <v>253</v>
      </c>
      <c r="E983" t="s">
        <v>253</v>
      </c>
      <c r="F983" s="3" t="s">
        <v>253</v>
      </c>
      <c r="G983" s="11" t="s">
        <v>253</v>
      </c>
      <c r="H983" s="11" t="s">
        <v>253</v>
      </c>
      <c r="I983" s="3" t="s">
        <v>253</v>
      </c>
      <c r="J983" s="3" t="s">
        <v>253</v>
      </c>
      <c r="K983" s="3" t="s">
        <v>253</v>
      </c>
      <c r="L983" s="3" t="s">
        <v>253</v>
      </c>
      <c r="M983" t="str">
        <f>IF(LEN(H983),MATCH(H983,'MPIO_SFIO Table'!$A$11:$A$65525,0)-1,"")</f>
        <v/>
      </c>
      <c r="N983" t="str">
        <f>IF(LEN(I983),MATCH(I983,'MPIO_SFIO Table'!$A$11:$A$65525,0)-1,"")</f>
        <v/>
      </c>
      <c r="O983" t="str">
        <f>IF(LEN(J983),MATCH(J983,'MPIO_SFIO Table'!$A$11:$A$65525,0)-1,"")</f>
        <v/>
      </c>
      <c r="P983" t="str">
        <f>IF(LEN(K983),MATCH(K983,'MPIO_SFIO Table'!$A$11:$A$65525,0)-1,"")</f>
        <v/>
      </c>
      <c r="Q983" t="str">
        <f>IF(LEN(L983),MATCH(L983,'MPIO_SFIO Table'!$A$11:$A$65525,0)-1,"")</f>
        <v/>
      </c>
      <c r="R983" t="str">
        <f ca="1">IF(ISNUMBER(M983),OFFSET('MPIO_SFIO Table'!$AJ$11,M983,0),"")</f>
        <v/>
      </c>
      <c r="S983" t="str">
        <f ca="1">IF(ISNUMBER(N983),OFFSET('MPIO_SFIO Table'!$AJ$11,N983,0),"")</f>
        <v/>
      </c>
      <c r="T983" t="str">
        <f ca="1">IF(ISNUMBER(O983),OFFSET('MPIO_SFIO Table'!$AJ$11,O983,0),"")</f>
        <v/>
      </c>
      <c r="U983" t="str">
        <f ca="1">IF(ISNUMBER(P983),OFFSET('MPIO_SFIO Table'!$AJ$11,P983,0),"")</f>
        <v/>
      </c>
      <c r="V983" t="str">
        <f ca="1">IF(ISNUMBER(Q983),OFFSET('MPIO_SFIO Table'!$AJ$11,Q983,0),"")</f>
        <v/>
      </c>
      <c r="W983">
        <f t="shared" ca="1" si="131"/>
        <v>0</v>
      </c>
      <c r="X983">
        <f t="shared" ca="1" si="132"/>
        <v>0</v>
      </c>
      <c r="Y983">
        <f t="shared" ca="1" si="133"/>
        <v>0</v>
      </c>
      <c r="Z983">
        <f t="shared" ca="1" si="134"/>
        <v>0</v>
      </c>
      <c r="AA983">
        <f t="shared" ca="1" si="135"/>
        <v>0</v>
      </c>
    </row>
    <row r="984" spans="1:27" x14ac:dyDescent="0.25">
      <c r="A984">
        <f t="shared" ca="1" si="128"/>
        <v>0</v>
      </c>
      <c r="B984" t="str">
        <f t="shared" ca="1" si="129"/>
        <v/>
      </c>
      <c r="C984" t="str">
        <f t="shared" si="130"/>
        <v/>
      </c>
      <c r="D984" t="s">
        <v>253</v>
      </c>
      <c r="E984" t="s">
        <v>253</v>
      </c>
      <c r="F984" s="3" t="s">
        <v>253</v>
      </c>
      <c r="G984" s="11" t="s">
        <v>253</v>
      </c>
      <c r="H984" s="11" t="s">
        <v>253</v>
      </c>
      <c r="I984" s="3" t="s">
        <v>253</v>
      </c>
      <c r="J984" s="3" t="s">
        <v>253</v>
      </c>
      <c r="K984" s="3" t="s">
        <v>253</v>
      </c>
      <c r="L984" s="3" t="s">
        <v>253</v>
      </c>
      <c r="M984" t="str">
        <f>IF(LEN(H984),MATCH(H984,'MPIO_SFIO Table'!$A$11:$A$65525,0)-1,"")</f>
        <v/>
      </c>
      <c r="N984" t="str">
        <f>IF(LEN(I984),MATCH(I984,'MPIO_SFIO Table'!$A$11:$A$65525,0)-1,"")</f>
        <v/>
      </c>
      <c r="O984" t="str">
        <f>IF(LEN(J984),MATCH(J984,'MPIO_SFIO Table'!$A$11:$A$65525,0)-1,"")</f>
        <v/>
      </c>
      <c r="P984" t="str">
        <f>IF(LEN(K984),MATCH(K984,'MPIO_SFIO Table'!$A$11:$A$65525,0)-1,"")</f>
        <v/>
      </c>
      <c r="Q984" t="str">
        <f>IF(LEN(L984),MATCH(L984,'MPIO_SFIO Table'!$A$11:$A$65525,0)-1,"")</f>
        <v/>
      </c>
      <c r="R984" t="str">
        <f ca="1">IF(ISNUMBER(M984),OFFSET('MPIO_SFIO Table'!$AJ$11,M984,0),"")</f>
        <v/>
      </c>
      <c r="S984" t="str">
        <f ca="1">IF(ISNUMBER(N984),OFFSET('MPIO_SFIO Table'!$AJ$11,N984,0),"")</f>
        <v/>
      </c>
      <c r="T984" t="str">
        <f ca="1">IF(ISNUMBER(O984),OFFSET('MPIO_SFIO Table'!$AJ$11,O984,0),"")</f>
        <v/>
      </c>
      <c r="U984" t="str">
        <f ca="1">IF(ISNUMBER(P984),OFFSET('MPIO_SFIO Table'!$AJ$11,P984,0),"")</f>
        <v/>
      </c>
      <c r="V984" t="str">
        <f ca="1">IF(ISNUMBER(Q984),OFFSET('MPIO_SFIO Table'!$AJ$11,Q984,0),"")</f>
        <v/>
      </c>
      <c r="W984">
        <f t="shared" ca="1" si="131"/>
        <v>0</v>
      </c>
      <c r="X984">
        <f t="shared" ca="1" si="132"/>
        <v>0</v>
      </c>
      <c r="Y984">
        <f t="shared" ca="1" si="133"/>
        <v>0</v>
      </c>
      <c r="Z984">
        <f t="shared" ca="1" si="134"/>
        <v>0</v>
      </c>
      <c r="AA984">
        <f t="shared" ca="1" si="135"/>
        <v>0</v>
      </c>
    </row>
    <row r="985" spans="1:27" x14ac:dyDescent="0.25">
      <c r="A985">
        <f t="shared" ca="1" si="128"/>
        <v>0</v>
      </c>
      <c r="B985" t="str">
        <f t="shared" ca="1" si="129"/>
        <v/>
      </c>
      <c r="C985" t="str">
        <f t="shared" si="130"/>
        <v/>
      </c>
      <c r="D985" t="s">
        <v>253</v>
      </c>
      <c r="E985" t="s">
        <v>253</v>
      </c>
      <c r="F985" s="3" t="s">
        <v>253</v>
      </c>
      <c r="G985" s="11" t="s">
        <v>253</v>
      </c>
      <c r="H985" s="11" t="s">
        <v>253</v>
      </c>
      <c r="I985" s="3" t="s">
        <v>253</v>
      </c>
      <c r="J985" s="3" t="s">
        <v>253</v>
      </c>
      <c r="K985" s="3" t="s">
        <v>253</v>
      </c>
      <c r="L985" s="3" t="s">
        <v>253</v>
      </c>
      <c r="M985" t="str">
        <f>IF(LEN(H985),MATCH(H985,'MPIO_SFIO Table'!$A$11:$A$65525,0)-1,"")</f>
        <v/>
      </c>
      <c r="N985" t="str">
        <f>IF(LEN(I985),MATCH(I985,'MPIO_SFIO Table'!$A$11:$A$65525,0)-1,"")</f>
        <v/>
      </c>
      <c r="O985" t="str">
        <f>IF(LEN(J985),MATCH(J985,'MPIO_SFIO Table'!$A$11:$A$65525,0)-1,"")</f>
        <v/>
      </c>
      <c r="P985" t="str">
        <f>IF(LEN(K985),MATCH(K985,'MPIO_SFIO Table'!$A$11:$A$65525,0)-1,"")</f>
        <v/>
      </c>
      <c r="Q985" t="str">
        <f>IF(LEN(L985),MATCH(L985,'MPIO_SFIO Table'!$A$11:$A$65525,0)-1,"")</f>
        <v/>
      </c>
      <c r="R985" t="str">
        <f ca="1">IF(ISNUMBER(M985),OFFSET('MPIO_SFIO Table'!$AJ$11,M985,0),"")</f>
        <v/>
      </c>
      <c r="S985" t="str">
        <f ca="1">IF(ISNUMBER(N985),OFFSET('MPIO_SFIO Table'!$AJ$11,N985,0),"")</f>
        <v/>
      </c>
      <c r="T985" t="str">
        <f ca="1">IF(ISNUMBER(O985),OFFSET('MPIO_SFIO Table'!$AJ$11,O985,0),"")</f>
        <v/>
      </c>
      <c r="U985" t="str">
        <f ca="1">IF(ISNUMBER(P985),OFFSET('MPIO_SFIO Table'!$AJ$11,P985,0),"")</f>
        <v/>
      </c>
      <c r="V985" t="str">
        <f ca="1">IF(ISNUMBER(Q985),OFFSET('MPIO_SFIO Table'!$AJ$11,Q985,0),"")</f>
        <v/>
      </c>
      <c r="W985">
        <f t="shared" ca="1" si="131"/>
        <v>0</v>
      </c>
      <c r="X985">
        <f t="shared" ca="1" si="132"/>
        <v>0</v>
      </c>
      <c r="Y985">
        <f t="shared" ca="1" si="133"/>
        <v>0</v>
      </c>
      <c r="Z985">
        <f t="shared" ca="1" si="134"/>
        <v>0</v>
      </c>
      <c r="AA985">
        <f t="shared" ca="1" si="135"/>
        <v>0</v>
      </c>
    </row>
    <row r="986" spans="1:27" x14ac:dyDescent="0.25">
      <c r="A986">
        <f t="shared" ca="1" si="128"/>
        <v>0</v>
      </c>
      <c r="B986" t="str">
        <f t="shared" ca="1" si="129"/>
        <v/>
      </c>
      <c r="C986" t="str">
        <f t="shared" si="130"/>
        <v/>
      </c>
      <c r="D986" t="s">
        <v>253</v>
      </c>
      <c r="E986" t="s">
        <v>253</v>
      </c>
      <c r="F986" s="3" t="s">
        <v>253</v>
      </c>
      <c r="G986" s="11" t="s">
        <v>253</v>
      </c>
      <c r="H986" s="11" t="s">
        <v>253</v>
      </c>
      <c r="I986" s="3" t="s">
        <v>253</v>
      </c>
      <c r="J986" s="3" t="s">
        <v>253</v>
      </c>
      <c r="K986" s="3" t="s">
        <v>253</v>
      </c>
      <c r="L986" s="3" t="s">
        <v>253</v>
      </c>
      <c r="M986" t="str">
        <f>IF(LEN(H986),MATCH(H986,'MPIO_SFIO Table'!$A$11:$A$65525,0)-1,"")</f>
        <v/>
      </c>
      <c r="N986" t="str">
        <f>IF(LEN(I986),MATCH(I986,'MPIO_SFIO Table'!$A$11:$A$65525,0)-1,"")</f>
        <v/>
      </c>
      <c r="O986" t="str">
        <f>IF(LEN(J986),MATCH(J986,'MPIO_SFIO Table'!$A$11:$A$65525,0)-1,"")</f>
        <v/>
      </c>
      <c r="P986" t="str">
        <f>IF(LEN(K986),MATCH(K986,'MPIO_SFIO Table'!$A$11:$A$65525,0)-1,"")</f>
        <v/>
      </c>
      <c r="Q986" t="str">
        <f>IF(LEN(L986),MATCH(L986,'MPIO_SFIO Table'!$A$11:$A$65525,0)-1,"")</f>
        <v/>
      </c>
      <c r="R986" t="str">
        <f ca="1">IF(ISNUMBER(M986),OFFSET('MPIO_SFIO Table'!$AJ$11,M986,0),"")</f>
        <v/>
      </c>
      <c r="S986" t="str">
        <f ca="1">IF(ISNUMBER(N986),OFFSET('MPIO_SFIO Table'!$AJ$11,N986,0),"")</f>
        <v/>
      </c>
      <c r="T986" t="str">
        <f ca="1">IF(ISNUMBER(O986),OFFSET('MPIO_SFIO Table'!$AJ$11,O986,0),"")</f>
        <v/>
      </c>
      <c r="U986" t="str">
        <f ca="1">IF(ISNUMBER(P986),OFFSET('MPIO_SFIO Table'!$AJ$11,P986,0),"")</f>
        <v/>
      </c>
      <c r="V986" t="str">
        <f ca="1">IF(ISNUMBER(Q986),OFFSET('MPIO_SFIO Table'!$AJ$11,Q986,0),"")</f>
        <v/>
      </c>
      <c r="W986">
        <f t="shared" ca="1" si="131"/>
        <v>0</v>
      </c>
      <c r="X986">
        <f t="shared" ca="1" si="132"/>
        <v>0</v>
      </c>
      <c r="Y986">
        <f t="shared" ca="1" si="133"/>
        <v>0</v>
      </c>
      <c r="Z986">
        <f t="shared" ca="1" si="134"/>
        <v>0</v>
      </c>
      <c r="AA986">
        <f t="shared" ca="1" si="135"/>
        <v>0</v>
      </c>
    </row>
    <row r="987" spans="1:27" x14ac:dyDescent="0.25">
      <c r="A987">
        <f t="shared" ca="1" si="128"/>
        <v>0</v>
      </c>
      <c r="B987" t="str">
        <f t="shared" ca="1" si="129"/>
        <v/>
      </c>
      <c r="C987" t="str">
        <f t="shared" si="130"/>
        <v/>
      </c>
      <c r="D987" t="s">
        <v>253</v>
      </c>
      <c r="E987" t="s">
        <v>253</v>
      </c>
      <c r="F987" s="3" t="s">
        <v>253</v>
      </c>
      <c r="G987" s="11" t="s">
        <v>253</v>
      </c>
      <c r="H987" s="11" t="s">
        <v>253</v>
      </c>
      <c r="I987" s="3" t="s">
        <v>253</v>
      </c>
      <c r="J987" s="3" t="s">
        <v>253</v>
      </c>
      <c r="K987" s="3" t="s">
        <v>253</v>
      </c>
      <c r="L987" s="3" t="s">
        <v>253</v>
      </c>
      <c r="M987" t="str">
        <f>IF(LEN(H987),MATCH(H987,'MPIO_SFIO Table'!$A$11:$A$65525,0)-1,"")</f>
        <v/>
      </c>
      <c r="N987" t="str">
        <f>IF(LEN(I987),MATCH(I987,'MPIO_SFIO Table'!$A$11:$A$65525,0)-1,"")</f>
        <v/>
      </c>
      <c r="O987" t="str">
        <f>IF(LEN(J987),MATCH(J987,'MPIO_SFIO Table'!$A$11:$A$65525,0)-1,"")</f>
        <v/>
      </c>
      <c r="P987" t="str">
        <f>IF(LEN(K987),MATCH(K987,'MPIO_SFIO Table'!$A$11:$A$65525,0)-1,"")</f>
        <v/>
      </c>
      <c r="Q987" t="str">
        <f>IF(LEN(L987),MATCH(L987,'MPIO_SFIO Table'!$A$11:$A$65525,0)-1,"")</f>
        <v/>
      </c>
      <c r="R987" t="str">
        <f ca="1">IF(ISNUMBER(M987),OFFSET('MPIO_SFIO Table'!$AJ$11,M987,0),"")</f>
        <v/>
      </c>
      <c r="S987" t="str">
        <f ca="1">IF(ISNUMBER(N987),OFFSET('MPIO_SFIO Table'!$AJ$11,N987,0),"")</f>
        <v/>
      </c>
      <c r="T987" t="str">
        <f ca="1">IF(ISNUMBER(O987),OFFSET('MPIO_SFIO Table'!$AJ$11,O987,0),"")</f>
        <v/>
      </c>
      <c r="U987" t="str">
        <f ca="1">IF(ISNUMBER(P987),OFFSET('MPIO_SFIO Table'!$AJ$11,P987,0),"")</f>
        <v/>
      </c>
      <c r="V987" t="str">
        <f ca="1">IF(ISNUMBER(Q987),OFFSET('MPIO_SFIO Table'!$AJ$11,Q987,0),"")</f>
        <v/>
      </c>
      <c r="W987">
        <f t="shared" ca="1" si="131"/>
        <v>0</v>
      </c>
      <c r="X987">
        <f t="shared" ca="1" si="132"/>
        <v>0</v>
      </c>
      <c r="Y987">
        <f t="shared" ca="1" si="133"/>
        <v>0</v>
      </c>
      <c r="Z987">
        <f t="shared" ca="1" si="134"/>
        <v>0</v>
      </c>
      <c r="AA987">
        <f t="shared" ca="1" si="135"/>
        <v>0</v>
      </c>
    </row>
    <row r="988" spans="1:27" x14ac:dyDescent="0.25">
      <c r="A988">
        <f t="shared" ca="1" si="128"/>
        <v>0</v>
      </c>
      <c r="B988" t="str">
        <f t="shared" ca="1" si="129"/>
        <v/>
      </c>
      <c r="C988" t="str">
        <f t="shared" si="130"/>
        <v/>
      </c>
      <c r="D988" t="s">
        <v>253</v>
      </c>
      <c r="E988" t="s">
        <v>253</v>
      </c>
      <c r="F988" s="3" t="s">
        <v>253</v>
      </c>
      <c r="G988" s="11" t="s">
        <v>253</v>
      </c>
      <c r="H988" s="11" t="s">
        <v>253</v>
      </c>
      <c r="I988" s="3" t="s">
        <v>253</v>
      </c>
      <c r="J988" s="3" t="s">
        <v>253</v>
      </c>
      <c r="K988" s="3" t="s">
        <v>253</v>
      </c>
      <c r="L988" s="3" t="s">
        <v>253</v>
      </c>
      <c r="M988" t="str">
        <f>IF(LEN(H988),MATCH(H988,'MPIO_SFIO Table'!$A$11:$A$65525,0)-1,"")</f>
        <v/>
      </c>
      <c r="N988" t="str">
        <f>IF(LEN(I988),MATCH(I988,'MPIO_SFIO Table'!$A$11:$A$65525,0)-1,"")</f>
        <v/>
      </c>
      <c r="O988" t="str">
        <f>IF(LEN(J988),MATCH(J988,'MPIO_SFIO Table'!$A$11:$A$65525,0)-1,"")</f>
        <v/>
      </c>
      <c r="P988" t="str">
        <f>IF(LEN(K988),MATCH(K988,'MPIO_SFIO Table'!$A$11:$A$65525,0)-1,"")</f>
        <v/>
      </c>
      <c r="Q988" t="str">
        <f>IF(LEN(L988),MATCH(L988,'MPIO_SFIO Table'!$A$11:$A$65525,0)-1,"")</f>
        <v/>
      </c>
      <c r="R988" t="str">
        <f ca="1">IF(ISNUMBER(M988),OFFSET('MPIO_SFIO Table'!$AJ$11,M988,0),"")</f>
        <v/>
      </c>
      <c r="S988" t="str">
        <f ca="1">IF(ISNUMBER(N988),OFFSET('MPIO_SFIO Table'!$AJ$11,N988,0),"")</f>
        <v/>
      </c>
      <c r="T988" t="str">
        <f ca="1">IF(ISNUMBER(O988),OFFSET('MPIO_SFIO Table'!$AJ$11,O988,0),"")</f>
        <v/>
      </c>
      <c r="U988" t="str">
        <f ca="1">IF(ISNUMBER(P988),OFFSET('MPIO_SFIO Table'!$AJ$11,P988,0),"")</f>
        <v/>
      </c>
      <c r="V988" t="str">
        <f ca="1">IF(ISNUMBER(Q988),OFFSET('MPIO_SFIO Table'!$AJ$11,Q988,0),"")</f>
        <v/>
      </c>
      <c r="W988">
        <f t="shared" ca="1" si="131"/>
        <v>0</v>
      </c>
      <c r="X988">
        <f t="shared" ca="1" si="132"/>
        <v>0</v>
      </c>
      <c r="Y988">
        <f t="shared" ca="1" si="133"/>
        <v>0</v>
      </c>
      <c r="Z988">
        <f t="shared" ca="1" si="134"/>
        <v>0</v>
      </c>
      <c r="AA988">
        <f t="shared" ca="1" si="135"/>
        <v>0</v>
      </c>
    </row>
    <row r="989" spans="1:27" x14ac:dyDescent="0.25">
      <c r="A989">
        <f t="shared" ca="1" si="128"/>
        <v>0</v>
      </c>
      <c r="B989" t="str">
        <f t="shared" ca="1" si="129"/>
        <v/>
      </c>
      <c r="C989" t="str">
        <f t="shared" si="130"/>
        <v/>
      </c>
      <c r="D989" t="s">
        <v>253</v>
      </c>
      <c r="E989" t="s">
        <v>253</v>
      </c>
      <c r="F989" s="3" t="s">
        <v>253</v>
      </c>
      <c r="G989" s="11" t="s">
        <v>253</v>
      </c>
      <c r="H989" s="11" t="s">
        <v>253</v>
      </c>
      <c r="I989" s="3" t="s">
        <v>253</v>
      </c>
      <c r="J989" s="3" t="s">
        <v>253</v>
      </c>
      <c r="K989" s="3" t="s">
        <v>253</v>
      </c>
      <c r="L989" s="3" t="s">
        <v>253</v>
      </c>
      <c r="M989" t="str">
        <f>IF(LEN(H989),MATCH(H989,'MPIO_SFIO Table'!$A$11:$A$65525,0)-1,"")</f>
        <v/>
      </c>
      <c r="N989" t="str">
        <f>IF(LEN(I989),MATCH(I989,'MPIO_SFIO Table'!$A$11:$A$65525,0)-1,"")</f>
        <v/>
      </c>
      <c r="O989" t="str">
        <f>IF(LEN(J989),MATCH(J989,'MPIO_SFIO Table'!$A$11:$A$65525,0)-1,"")</f>
        <v/>
      </c>
      <c r="P989" t="str">
        <f>IF(LEN(K989),MATCH(K989,'MPIO_SFIO Table'!$A$11:$A$65525,0)-1,"")</f>
        <v/>
      </c>
      <c r="Q989" t="str">
        <f>IF(LEN(L989),MATCH(L989,'MPIO_SFIO Table'!$A$11:$A$65525,0)-1,"")</f>
        <v/>
      </c>
      <c r="R989" t="str">
        <f ca="1">IF(ISNUMBER(M989),OFFSET('MPIO_SFIO Table'!$AJ$11,M989,0),"")</f>
        <v/>
      </c>
      <c r="S989" t="str">
        <f ca="1">IF(ISNUMBER(N989),OFFSET('MPIO_SFIO Table'!$AJ$11,N989,0),"")</f>
        <v/>
      </c>
      <c r="T989" t="str">
        <f ca="1">IF(ISNUMBER(O989),OFFSET('MPIO_SFIO Table'!$AJ$11,O989,0),"")</f>
        <v/>
      </c>
      <c r="U989" t="str">
        <f ca="1">IF(ISNUMBER(P989),OFFSET('MPIO_SFIO Table'!$AJ$11,P989,0),"")</f>
        <v/>
      </c>
      <c r="V989" t="str">
        <f ca="1">IF(ISNUMBER(Q989),OFFSET('MPIO_SFIO Table'!$AJ$11,Q989,0),"")</f>
        <v/>
      </c>
      <c r="W989">
        <f t="shared" ca="1" si="131"/>
        <v>0</v>
      </c>
      <c r="X989">
        <f t="shared" ca="1" si="132"/>
        <v>0</v>
      </c>
      <c r="Y989">
        <f t="shared" ca="1" si="133"/>
        <v>0</v>
      </c>
      <c r="Z989">
        <f t="shared" ca="1" si="134"/>
        <v>0</v>
      </c>
      <c r="AA989">
        <f t="shared" ca="1" si="135"/>
        <v>0</v>
      </c>
    </row>
    <row r="990" spans="1:27" x14ac:dyDescent="0.25">
      <c r="A990">
        <f t="shared" ca="1" si="128"/>
        <v>0</v>
      </c>
      <c r="B990" t="str">
        <f t="shared" ca="1" si="129"/>
        <v/>
      </c>
      <c r="C990" t="str">
        <f t="shared" si="130"/>
        <v/>
      </c>
      <c r="D990" t="s">
        <v>253</v>
      </c>
      <c r="E990" t="s">
        <v>253</v>
      </c>
      <c r="F990" s="3" t="s">
        <v>253</v>
      </c>
      <c r="G990" s="11" t="s">
        <v>253</v>
      </c>
      <c r="H990" s="11" t="s">
        <v>253</v>
      </c>
      <c r="I990" s="3" t="s">
        <v>253</v>
      </c>
      <c r="J990" s="3" t="s">
        <v>253</v>
      </c>
      <c r="K990" s="3" t="s">
        <v>253</v>
      </c>
      <c r="L990" s="3" t="s">
        <v>253</v>
      </c>
      <c r="M990" t="str">
        <f>IF(LEN(H990),MATCH(H990,'MPIO_SFIO Table'!$A$11:$A$65525,0)-1,"")</f>
        <v/>
      </c>
      <c r="N990" t="str">
        <f>IF(LEN(I990),MATCH(I990,'MPIO_SFIO Table'!$A$11:$A$65525,0)-1,"")</f>
        <v/>
      </c>
      <c r="O990" t="str">
        <f>IF(LEN(J990),MATCH(J990,'MPIO_SFIO Table'!$A$11:$A$65525,0)-1,"")</f>
        <v/>
      </c>
      <c r="P990" t="str">
        <f>IF(LEN(K990),MATCH(K990,'MPIO_SFIO Table'!$A$11:$A$65525,0)-1,"")</f>
        <v/>
      </c>
      <c r="Q990" t="str">
        <f>IF(LEN(L990),MATCH(L990,'MPIO_SFIO Table'!$A$11:$A$65525,0)-1,"")</f>
        <v/>
      </c>
      <c r="R990" t="str">
        <f ca="1">IF(ISNUMBER(M990),OFFSET('MPIO_SFIO Table'!$AJ$11,M990,0),"")</f>
        <v/>
      </c>
      <c r="S990" t="str">
        <f ca="1">IF(ISNUMBER(N990),OFFSET('MPIO_SFIO Table'!$AJ$11,N990,0),"")</f>
        <v/>
      </c>
      <c r="T990" t="str">
        <f ca="1">IF(ISNUMBER(O990),OFFSET('MPIO_SFIO Table'!$AJ$11,O990,0),"")</f>
        <v/>
      </c>
      <c r="U990" t="str">
        <f ca="1">IF(ISNUMBER(P990),OFFSET('MPIO_SFIO Table'!$AJ$11,P990,0),"")</f>
        <v/>
      </c>
      <c r="V990" t="str">
        <f ca="1">IF(ISNUMBER(Q990),OFFSET('MPIO_SFIO Table'!$AJ$11,Q990,0),"")</f>
        <v/>
      </c>
      <c r="W990">
        <f t="shared" ca="1" si="131"/>
        <v>0</v>
      </c>
      <c r="X990">
        <f t="shared" ca="1" si="132"/>
        <v>0</v>
      </c>
      <c r="Y990">
        <f t="shared" ca="1" si="133"/>
        <v>0</v>
      </c>
      <c r="Z990">
        <f t="shared" ca="1" si="134"/>
        <v>0</v>
      </c>
      <c r="AA990">
        <f t="shared" ca="1" si="135"/>
        <v>0</v>
      </c>
    </row>
    <row r="991" spans="1:27" x14ac:dyDescent="0.25">
      <c r="A991">
        <f t="shared" ca="1" si="128"/>
        <v>0</v>
      </c>
      <c r="B991" t="str">
        <f t="shared" ca="1" si="129"/>
        <v/>
      </c>
      <c r="C991" t="str">
        <f t="shared" si="130"/>
        <v/>
      </c>
      <c r="D991" t="s">
        <v>253</v>
      </c>
      <c r="E991" t="s">
        <v>253</v>
      </c>
      <c r="F991" s="3" t="s">
        <v>253</v>
      </c>
      <c r="G991" s="11" t="s">
        <v>253</v>
      </c>
      <c r="H991" s="11" t="s">
        <v>253</v>
      </c>
      <c r="I991" s="3" t="s">
        <v>253</v>
      </c>
      <c r="J991" s="3" t="s">
        <v>253</v>
      </c>
      <c r="K991" s="3" t="s">
        <v>253</v>
      </c>
      <c r="L991" s="3" t="s">
        <v>253</v>
      </c>
      <c r="M991" t="str">
        <f>IF(LEN(H991),MATCH(H991,'MPIO_SFIO Table'!$A$11:$A$65525,0)-1,"")</f>
        <v/>
      </c>
      <c r="N991" t="str">
        <f>IF(LEN(I991),MATCH(I991,'MPIO_SFIO Table'!$A$11:$A$65525,0)-1,"")</f>
        <v/>
      </c>
      <c r="O991" t="str">
        <f>IF(LEN(J991),MATCH(J991,'MPIO_SFIO Table'!$A$11:$A$65525,0)-1,"")</f>
        <v/>
      </c>
      <c r="P991" t="str">
        <f>IF(LEN(K991),MATCH(K991,'MPIO_SFIO Table'!$A$11:$A$65525,0)-1,"")</f>
        <v/>
      </c>
      <c r="Q991" t="str">
        <f>IF(LEN(L991),MATCH(L991,'MPIO_SFIO Table'!$A$11:$A$65525,0)-1,"")</f>
        <v/>
      </c>
      <c r="R991" t="str">
        <f ca="1">IF(ISNUMBER(M991),OFFSET('MPIO_SFIO Table'!$AJ$11,M991,0),"")</f>
        <v/>
      </c>
      <c r="S991" t="str">
        <f ca="1">IF(ISNUMBER(N991),OFFSET('MPIO_SFIO Table'!$AJ$11,N991,0),"")</f>
        <v/>
      </c>
      <c r="T991" t="str">
        <f ca="1">IF(ISNUMBER(O991),OFFSET('MPIO_SFIO Table'!$AJ$11,O991,0),"")</f>
        <v/>
      </c>
      <c r="U991" t="str">
        <f ca="1">IF(ISNUMBER(P991),OFFSET('MPIO_SFIO Table'!$AJ$11,P991,0),"")</f>
        <v/>
      </c>
      <c r="V991" t="str">
        <f ca="1">IF(ISNUMBER(Q991),OFFSET('MPIO_SFIO Table'!$AJ$11,Q991,0),"")</f>
        <v/>
      </c>
      <c r="W991">
        <f t="shared" ca="1" si="131"/>
        <v>0</v>
      </c>
      <c r="X991">
        <f t="shared" ca="1" si="132"/>
        <v>0</v>
      </c>
      <c r="Y991">
        <f t="shared" ca="1" si="133"/>
        <v>0</v>
      </c>
      <c r="Z991">
        <f t="shared" ca="1" si="134"/>
        <v>0</v>
      </c>
      <c r="AA991">
        <f t="shared" ca="1" si="135"/>
        <v>0</v>
      </c>
    </row>
    <row r="992" spans="1:27" x14ac:dyDescent="0.25">
      <c r="A992">
        <f t="shared" ca="1" si="128"/>
        <v>0</v>
      </c>
      <c r="B992" t="str">
        <f t="shared" ca="1" si="129"/>
        <v/>
      </c>
      <c r="C992" t="str">
        <f t="shared" si="130"/>
        <v/>
      </c>
      <c r="D992" t="s">
        <v>253</v>
      </c>
      <c r="E992" t="s">
        <v>253</v>
      </c>
      <c r="F992" s="3" t="s">
        <v>253</v>
      </c>
      <c r="G992" s="11" t="s">
        <v>253</v>
      </c>
      <c r="H992" s="11" t="s">
        <v>253</v>
      </c>
      <c r="I992" s="3" t="s">
        <v>253</v>
      </c>
      <c r="J992" s="3" t="s">
        <v>253</v>
      </c>
      <c r="K992" s="3" t="s">
        <v>253</v>
      </c>
      <c r="L992" s="3" t="s">
        <v>253</v>
      </c>
      <c r="M992" t="str">
        <f>IF(LEN(H992),MATCH(H992,'MPIO_SFIO Table'!$A$11:$A$65525,0)-1,"")</f>
        <v/>
      </c>
      <c r="N992" t="str">
        <f>IF(LEN(I992),MATCH(I992,'MPIO_SFIO Table'!$A$11:$A$65525,0)-1,"")</f>
        <v/>
      </c>
      <c r="O992" t="str">
        <f>IF(LEN(J992),MATCH(J992,'MPIO_SFIO Table'!$A$11:$A$65525,0)-1,"")</f>
        <v/>
      </c>
      <c r="P992" t="str">
        <f>IF(LEN(K992),MATCH(K992,'MPIO_SFIO Table'!$A$11:$A$65525,0)-1,"")</f>
        <v/>
      </c>
      <c r="Q992" t="str">
        <f>IF(LEN(L992),MATCH(L992,'MPIO_SFIO Table'!$A$11:$A$65525,0)-1,"")</f>
        <v/>
      </c>
      <c r="R992" t="str">
        <f ca="1">IF(ISNUMBER(M992),OFFSET('MPIO_SFIO Table'!$AJ$11,M992,0),"")</f>
        <v/>
      </c>
      <c r="S992" t="str">
        <f ca="1">IF(ISNUMBER(N992),OFFSET('MPIO_SFIO Table'!$AJ$11,N992,0),"")</f>
        <v/>
      </c>
      <c r="T992" t="str">
        <f ca="1">IF(ISNUMBER(O992),OFFSET('MPIO_SFIO Table'!$AJ$11,O992,0),"")</f>
        <v/>
      </c>
      <c r="U992" t="str">
        <f ca="1">IF(ISNUMBER(P992),OFFSET('MPIO_SFIO Table'!$AJ$11,P992,0),"")</f>
        <v/>
      </c>
      <c r="V992" t="str">
        <f ca="1">IF(ISNUMBER(Q992),OFFSET('MPIO_SFIO Table'!$AJ$11,Q992,0),"")</f>
        <v/>
      </c>
      <c r="W992">
        <f t="shared" ca="1" si="131"/>
        <v>0</v>
      </c>
      <c r="X992">
        <f t="shared" ca="1" si="132"/>
        <v>0</v>
      </c>
      <c r="Y992">
        <f t="shared" ca="1" si="133"/>
        <v>0</v>
      </c>
      <c r="Z992">
        <f t="shared" ca="1" si="134"/>
        <v>0</v>
      </c>
      <c r="AA992">
        <f t="shared" ca="1" si="135"/>
        <v>0</v>
      </c>
    </row>
    <row r="993" spans="1:27" x14ac:dyDescent="0.25">
      <c r="A993">
        <f t="shared" ca="1" si="128"/>
        <v>0</v>
      </c>
      <c r="B993" t="str">
        <f t="shared" ca="1" si="129"/>
        <v/>
      </c>
      <c r="C993" t="str">
        <f t="shared" si="130"/>
        <v/>
      </c>
      <c r="D993" t="s">
        <v>253</v>
      </c>
      <c r="E993" t="s">
        <v>253</v>
      </c>
      <c r="F993" s="3" t="s">
        <v>253</v>
      </c>
      <c r="G993" s="11" t="s">
        <v>253</v>
      </c>
      <c r="H993" s="11" t="s">
        <v>253</v>
      </c>
      <c r="I993" s="3" t="s">
        <v>253</v>
      </c>
      <c r="J993" s="3" t="s">
        <v>253</v>
      </c>
      <c r="K993" s="3" t="s">
        <v>253</v>
      </c>
      <c r="L993" s="3" t="s">
        <v>253</v>
      </c>
      <c r="M993" t="str">
        <f>IF(LEN(H993),MATCH(H993,'MPIO_SFIO Table'!$A$11:$A$65525,0)-1,"")</f>
        <v/>
      </c>
      <c r="N993" t="str">
        <f>IF(LEN(I993),MATCH(I993,'MPIO_SFIO Table'!$A$11:$A$65525,0)-1,"")</f>
        <v/>
      </c>
      <c r="O993" t="str">
        <f>IF(LEN(J993),MATCH(J993,'MPIO_SFIO Table'!$A$11:$A$65525,0)-1,"")</f>
        <v/>
      </c>
      <c r="P993" t="str">
        <f>IF(LEN(K993),MATCH(K993,'MPIO_SFIO Table'!$A$11:$A$65525,0)-1,"")</f>
        <v/>
      </c>
      <c r="Q993" t="str">
        <f>IF(LEN(L993),MATCH(L993,'MPIO_SFIO Table'!$A$11:$A$65525,0)-1,"")</f>
        <v/>
      </c>
      <c r="R993" t="str">
        <f ca="1">IF(ISNUMBER(M993),OFFSET('MPIO_SFIO Table'!$AJ$11,M993,0),"")</f>
        <v/>
      </c>
      <c r="S993" t="str">
        <f ca="1">IF(ISNUMBER(N993),OFFSET('MPIO_SFIO Table'!$AJ$11,N993,0),"")</f>
        <v/>
      </c>
      <c r="T993" t="str">
        <f ca="1">IF(ISNUMBER(O993),OFFSET('MPIO_SFIO Table'!$AJ$11,O993,0),"")</f>
        <v/>
      </c>
      <c r="U993" t="str">
        <f ca="1">IF(ISNUMBER(P993),OFFSET('MPIO_SFIO Table'!$AJ$11,P993,0),"")</f>
        <v/>
      </c>
      <c r="V993" t="str">
        <f ca="1">IF(ISNUMBER(Q993),OFFSET('MPIO_SFIO Table'!$AJ$11,Q993,0),"")</f>
        <v/>
      </c>
      <c r="W993">
        <f t="shared" ca="1" si="131"/>
        <v>0</v>
      </c>
      <c r="X993">
        <f t="shared" ca="1" si="132"/>
        <v>0</v>
      </c>
      <c r="Y993">
        <f t="shared" ca="1" si="133"/>
        <v>0</v>
      </c>
      <c r="Z993">
        <f t="shared" ca="1" si="134"/>
        <v>0</v>
      </c>
      <c r="AA993">
        <f t="shared" ca="1" si="135"/>
        <v>0</v>
      </c>
    </row>
    <row r="994" spans="1:27" x14ac:dyDescent="0.25">
      <c r="A994">
        <f t="shared" ca="1" si="128"/>
        <v>0</v>
      </c>
      <c r="B994" t="str">
        <f t="shared" ca="1" si="129"/>
        <v/>
      </c>
      <c r="C994" t="str">
        <f t="shared" si="130"/>
        <v/>
      </c>
      <c r="D994" t="s">
        <v>253</v>
      </c>
      <c r="E994" t="s">
        <v>253</v>
      </c>
      <c r="F994" s="3" t="s">
        <v>253</v>
      </c>
      <c r="G994" s="11" t="s">
        <v>253</v>
      </c>
      <c r="H994" s="11" t="s">
        <v>253</v>
      </c>
      <c r="I994" s="3" t="s">
        <v>253</v>
      </c>
      <c r="J994" s="3" t="s">
        <v>253</v>
      </c>
      <c r="K994" s="3" t="s">
        <v>253</v>
      </c>
      <c r="L994" s="3" t="s">
        <v>253</v>
      </c>
      <c r="M994" t="str">
        <f>IF(LEN(H994),MATCH(H994,'MPIO_SFIO Table'!$A$11:$A$65525,0)-1,"")</f>
        <v/>
      </c>
      <c r="N994" t="str">
        <f>IF(LEN(I994),MATCH(I994,'MPIO_SFIO Table'!$A$11:$A$65525,0)-1,"")</f>
        <v/>
      </c>
      <c r="O994" t="str">
        <f>IF(LEN(J994),MATCH(J994,'MPIO_SFIO Table'!$A$11:$A$65525,0)-1,"")</f>
        <v/>
      </c>
      <c r="P994" t="str">
        <f>IF(LEN(K994),MATCH(K994,'MPIO_SFIO Table'!$A$11:$A$65525,0)-1,"")</f>
        <v/>
      </c>
      <c r="Q994" t="str">
        <f>IF(LEN(L994),MATCH(L994,'MPIO_SFIO Table'!$A$11:$A$65525,0)-1,"")</f>
        <v/>
      </c>
      <c r="R994" t="str">
        <f ca="1">IF(ISNUMBER(M994),OFFSET('MPIO_SFIO Table'!$AJ$11,M994,0),"")</f>
        <v/>
      </c>
      <c r="S994" t="str">
        <f ca="1">IF(ISNUMBER(N994),OFFSET('MPIO_SFIO Table'!$AJ$11,N994,0),"")</f>
        <v/>
      </c>
      <c r="T994" t="str">
        <f ca="1">IF(ISNUMBER(O994),OFFSET('MPIO_SFIO Table'!$AJ$11,O994,0),"")</f>
        <v/>
      </c>
      <c r="U994" t="str">
        <f ca="1">IF(ISNUMBER(P994),OFFSET('MPIO_SFIO Table'!$AJ$11,P994,0),"")</f>
        <v/>
      </c>
      <c r="V994" t="str">
        <f ca="1">IF(ISNUMBER(Q994),OFFSET('MPIO_SFIO Table'!$AJ$11,Q994,0),"")</f>
        <v/>
      </c>
      <c r="W994">
        <f t="shared" ca="1" si="131"/>
        <v>0</v>
      </c>
      <c r="X994">
        <f t="shared" ca="1" si="132"/>
        <v>0</v>
      </c>
      <c r="Y994">
        <f t="shared" ca="1" si="133"/>
        <v>0</v>
      </c>
      <c r="Z994">
        <f t="shared" ca="1" si="134"/>
        <v>0</v>
      </c>
      <c r="AA994">
        <f t="shared" ca="1" si="135"/>
        <v>0</v>
      </c>
    </row>
    <row r="995" spans="1:27" x14ac:dyDescent="0.25">
      <c r="A995">
        <f t="shared" ca="1" si="128"/>
        <v>0</v>
      </c>
      <c r="B995" t="str">
        <f t="shared" ca="1" si="129"/>
        <v/>
      </c>
      <c r="C995" t="str">
        <f t="shared" si="130"/>
        <v/>
      </c>
      <c r="D995" t="s">
        <v>253</v>
      </c>
      <c r="E995" t="s">
        <v>253</v>
      </c>
      <c r="F995" s="3" t="s">
        <v>253</v>
      </c>
      <c r="G995" s="11" t="s">
        <v>253</v>
      </c>
      <c r="H995" s="11" t="s">
        <v>253</v>
      </c>
      <c r="I995" s="3" t="s">
        <v>253</v>
      </c>
      <c r="J995" s="3" t="s">
        <v>253</v>
      </c>
      <c r="K995" s="3" t="s">
        <v>253</v>
      </c>
      <c r="L995" s="3" t="s">
        <v>253</v>
      </c>
      <c r="M995" t="str">
        <f>IF(LEN(H995),MATCH(H995,'MPIO_SFIO Table'!$A$11:$A$65525,0)-1,"")</f>
        <v/>
      </c>
      <c r="N995" t="str">
        <f>IF(LEN(I995),MATCH(I995,'MPIO_SFIO Table'!$A$11:$A$65525,0)-1,"")</f>
        <v/>
      </c>
      <c r="O995" t="str">
        <f>IF(LEN(J995),MATCH(J995,'MPIO_SFIO Table'!$A$11:$A$65525,0)-1,"")</f>
        <v/>
      </c>
      <c r="P995" t="str">
        <f>IF(LEN(K995),MATCH(K995,'MPIO_SFIO Table'!$A$11:$A$65525,0)-1,"")</f>
        <v/>
      </c>
      <c r="Q995" t="str">
        <f>IF(LEN(L995),MATCH(L995,'MPIO_SFIO Table'!$A$11:$A$65525,0)-1,"")</f>
        <v/>
      </c>
      <c r="R995" t="str">
        <f ca="1">IF(ISNUMBER(M995),OFFSET('MPIO_SFIO Table'!$AJ$11,M995,0),"")</f>
        <v/>
      </c>
      <c r="S995" t="str">
        <f ca="1">IF(ISNUMBER(N995),OFFSET('MPIO_SFIO Table'!$AJ$11,N995,0),"")</f>
        <v/>
      </c>
      <c r="T995" t="str">
        <f ca="1">IF(ISNUMBER(O995),OFFSET('MPIO_SFIO Table'!$AJ$11,O995,0),"")</f>
        <v/>
      </c>
      <c r="U995" t="str">
        <f ca="1">IF(ISNUMBER(P995),OFFSET('MPIO_SFIO Table'!$AJ$11,P995,0),"")</f>
        <v/>
      </c>
      <c r="V995" t="str">
        <f ca="1">IF(ISNUMBER(Q995),OFFSET('MPIO_SFIO Table'!$AJ$11,Q995,0),"")</f>
        <v/>
      </c>
      <c r="W995">
        <f t="shared" ca="1" si="131"/>
        <v>0</v>
      </c>
      <c r="X995">
        <f t="shared" ca="1" si="132"/>
        <v>0</v>
      </c>
      <c r="Y995">
        <f t="shared" ca="1" si="133"/>
        <v>0</v>
      </c>
      <c r="Z995">
        <f t="shared" ca="1" si="134"/>
        <v>0</v>
      </c>
      <c r="AA995">
        <f t="shared" ca="1" si="135"/>
        <v>0</v>
      </c>
    </row>
    <row r="996" spans="1:27" x14ac:dyDescent="0.25">
      <c r="A996">
        <f t="shared" ca="1" si="128"/>
        <v>0</v>
      </c>
      <c r="B996" t="str">
        <f t="shared" ca="1" si="129"/>
        <v/>
      </c>
      <c r="C996" t="str">
        <f t="shared" si="130"/>
        <v/>
      </c>
      <c r="D996" t="s">
        <v>253</v>
      </c>
      <c r="E996" t="s">
        <v>253</v>
      </c>
      <c r="F996" s="3" t="s">
        <v>253</v>
      </c>
      <c r="G996" s="11" t="s">
        <v>253</v>
      </c>
      <c r="H996" s="11" t="s">
        <v>253</v>
      </c>
      <c r="I996" s="3" t="s">
        <v>253</v>
      </c>
      <c r="J996" s="3" t="s">
        <v>253</v>
      </c>
      <c r="K996" s="3" t="s">
        <v>253</v>
      </c>
      <c r="L996" s="3" t="s">
        <v>253</v>
      </c>
      <c r="M996" t="str">
        <f>IF(LEN(H996),MATCH(H996,'MPIO_SFIO Table'!$A$11:$A$65525,0)-1,"")</f>
        <v/>
      </c>
      <c r="N996" t="str">
        <f>IF(LEN(I996),MATCH(I996,'MPIO_SFIO Table'!$A$11:$A$65525,0)-1,"")</f>
        <v/>
      </c>
      <c r="O996" t="str">
        <f>IF(LEN(J996),MATCH(J996,'MPIO_SFIO Table'!$A$11:$A$65525,0)-1,"")</f>
        <v/>
      </c>
      <c r="P996" t="str">
        <f>IF(LEN(K996),MATCH(K996,'MPIO_SFIO Table'!$A$11:$A$65525,0)-1,"")</f>
        <v/>
      </c>
      <c r="Q996" t="str">
        <f>IF(LEN(L996),MATCH(L996,'MPIO_SFIO Table'!$A$11:$A$65525,0)-1,"")</f>
        <v/>
      </c>
      <c r="R996" t="str">
        <f ca="1">IF(ISNUMBER(M996),OFFSET('MPIO_SFIO Table'!$AJ$11,M996,0),"")</f>
        <v/>
      </c>
      <c r="S996" t="str">
        <f ca="1">IF(ISNUMBER(N996),OFFSET('MPIO_SFIO Table'!$AJ$11,N996,0),"")</f>
        <v/>
      </c>
      <c r="T996" t="str">
        <f ca="1">IF(ISNUMBER(O996),OFFSET('MPIO_SFIO Table'!$AJ$11,O996,0),"")</f>
        <v/>
      </c>
      <c r="U996" t="str">
        <f ca="1">IF(ISNUMBER(P996),OFFSET('MPIO_SFIO Table'!$AJ$11,P996,0),"")</f>
        <v/>
      </c>
      <c r="V996" t="str">
        <f ca="1">IF(ISNUMBER(Q996),OFFSET('MPIO_SFIO Table'!$AJ$11,Q996,0),"")</f>
        <v/>
      </c>
      <c r="W996">
        <f t="shared" ca="1" si="131"/>
        <v>0</v>
      </c>
      <c r="X996">
        <f t="shared" ca="1" si="132"/>
        <v>0</v>
      </c>
      <c r="Y996">
        <f t="shared" ca="1" si="133"/>
        <v>0</v>
      </c>
      <c r="Z996">
        <f t="shared" ca="1" si="134"/>
        <v>0</v>
      </c>
      <c r="AA996">
        <f t="shared" ca="1" si="135"/>
        <v>0</v>
      </c>
    </row>
    <row r="997" spans="1:27" x14ac:dyDescent="0.25">
      <c r="A997">
        <f t="shared" ca="1" si="128"/>
        <v>0</v>
      </c>
      <c r="B997" t="str">
        <f t="shared" ca="1" si="129"/>
        <v/>
      </c>
      <c r="C997" t="str">
        <f t="shared" si="130"/>
        <v/>
      </c>
      <c r="D997" t="s">
        <v>253</v>
      </c>
      <c r="E997" t="s">
        <v>253</v>
      </c>
      <c r="F997" s="3" t="s">
        <v>253</v>
      </c>
      <c r="G997" s="11" t="s">
        <v>253</v>
      </c>
      <c r="H997" s="11" t="s">
        <v>253</v>
      </c>
      <c r="I997" s="3" t="s">
        <v>253</v>
      </c>
      <c r="J997" s="3" t="s">
        <v>253</v>
      </c>
      <c r="K997" s="3" t="s">
        <v>253</v>
      </c>
      <c r="L997" s="3" t="s">
        <v>253</v>
      </c>
      <c r="M997" t="str">
        <f>IF(LEN(H997),MATCH(H997,'MPIO_SFIO Table'!$A$11:$A$65525,0)-1,"")</f>
        <v/>
      </c>
      <c r="N997" t="str">
        <f>IF(LEN(I997),MATCH(I997,'MPIO_SFIO Table'!$A$11:$A$65525,0)-1,"")</f>
        <v/>
      </c>
      <c r="O997" t="str">
        <f>IF(LEN(J997),MATCH(J997,'MPIO_SFIO Table'!$A$11:$A$65525,0)-1,"")</f>
        <v/>
      </c>
      <c r="P997" t="str">
        <f>IF(LEN(K997),MATCH(K997,'MPIO_SFIO Table'!$A$11:$A$65525,0)-1,"")</f>
        <v/>
      </c>
      <c r="Q997" t="str">
        <f>IF(LEN(L997),MATCH(L997,'MPIO_SFIO Table'!$A$11:$A$65525,0)-1,"")</f>
        <v/>
      </c>
      <c r="R997" t="str">
        <f ca="1">IF(ISNUMBER(M997),OFFSET('MPIO_SFIO Table'!$AJ$11,M997,0),"")</f>
        <v/>
      </c>
      <c r="S997" t="str">
        <f ca="1">IF(ISNUMBER(N997),OFFSET('MPIO_SFIO Table'!$AJ$11,N997,0),"")</f>
        <v/>
      </c>
      <c r="T997" t="str">
        <f ca="1">IF(ISNUMBER(O997),OFFSET('MPIO_SFIO Table'!$AJ$11,O997,0),"")</f>
        <v/>
      </c>
      <c r="U997" t="str">
        <f ca="1">IF(ISNUMBER(P997),OFFSET('MPIO_SFIO Table'!$AJ$11,P997,0),"")</f>
        <v/>
      </c>
      <c r="V997" t="str">
        <f ca="1">IF(ISNUMBER(Q997),OFFSET('MPIO_SFIO Table'!$AJ$11,Q997,0),"")</f>
        <v/>
      </c>
      <c r="W997">
        <f t="shared" ca="1" si="131"/>
        <v>0</v>
      </c>
      <c r="X997">
        <f t="shared" ca="1" si="132"/>
        <v>0</v>
      </c>
      <c r="Y997">
        <f t="shared" ca="1" si="133"/>
        <v>0</v>
      </c>
      <c r="Z997">
        <f t="shared" ca="1" si="134"/>
        <v>0</v>
      </c>
      <c r="AA997">
        <f t="shared" ca="1" si="135"/>
        <v>0</v>
      </c>
    </row>
    <row r="998" spans="1:27" x14ac:dyDescent="0.25">
      <c r="A998">
        <f t="shared" ca="1" si="128"/>
        <v>0</v>
      </c>
      <c r="B998" t="str">
        <f t="shared" ca="1" si="129"/>
        <v/>
      </c>
      <c r="C998" t="str">
        <f t="shared" si="130"/>
        <v/>
      </c>
      <c r="D998" t="s">
        <v>253</v>
      </c>
      <c r="E998" t="s">
        <v>253</v>
      </c>
      <c r="F998" s="3" t="s">
        <v>253</v>
      </c>
      <c r="G998" s="11" t="s">
        <v>253</v>
      </c>
      <c r="H998" s="11" t="s">
        <v>253</v>
      </c>
      <c r="I998" s="3" t="s">
        <v>253</v>
      </c>
      <c r="J998" s="3" t="s">
        <v>253</v>
      </c>
      <c r="K998" s="3" t="s">
        <v>253</v>
      </c>
      <c r="L998" s="3" t="s">
        <v>253</v>
      </c>
      <c r="M998" t="str">
        <f>IF(LEN(H998),MATCH(H998,'MPIO_SFIO Table'!$A$11:$A$65525,0)-1,"")</f>
        <v/>
      </c>
      <c r="N998" t="str">
        <f>IF(LEN(I998),MATCH(I998,'MPIO_SFIO Table'!$A$11:$A$65525,0)-1,"")</f>
        <v/>
      </c>
      <c r="O998" t="str">
        <f>IF(LEN(J998),MATCH(J998,'MPIO_SFIO Table'!$A$11:$A$65525,0)-1,"")</f>
        <v/>
      </c>
      <c r="P998" t="str">
        <f>IF(LEN(K998),MATCH(K998,'MPIO_SFIO Table'!$A$11:$A$65525,0)-1,"")</f>
        <v/>
      </c>
      <c r="Q998" t="str">
        <f>IF(LEN(L998),MATCH(L998,'MPIO_SFIO Table'!$A$11:$A$65525,0)-1,"")</f>
        <v/>
      </c>
      <c r="R998" t="str">
        <f ca="1">IF(ISNUMBER(M998),OFFSET('MPIO_SFIO Table'!$AJ$11,M998,0),"")</f>
        <v/>
      </c>
      <c r="S998" t="str">
        <f ca="1">IF(ISNUMBER(N998),OFFSET('MPIO_SFIO Table'!$AJ$11,N998,0),"")</f>
        <v/>
      </c>
      <c r="T998" t="str">
        <f ca="1">IF(ISNUMBER(O998),OFFSET('MPIO_SFIO Table'!$AJ$11,O998,0),"")</f>
        <v/>
      </c>
      <c r="U998" t="str">
        <f ca="1">IF(ISNUMBER(P998),OFFSET('MPIO_SFIO Table'!$AJ$11,P998,0),"")</f>
        <v/>
      </c>
      <c r="V998" t="str">
        <f ca="1">IF(ISNUMBER(Q998),OFFSET('MPIO_SFIO Table'!$AJ$11,Q998,0),"")</f>
        <v/>
      </c>
      <c r="W998">
        <f t="shared" ca="1" si="131"/>
        <v>0</v>
      </c>
      <c r="X998">
        <f t="shared" ca="1" si="132"/>
        <v>0</v>
      </c>
      <c r="Y998">
        <f t="shared" ca="1" si="133"/>
        <v>0</v>
      </c>
      <c r="Z998">
        <f t="shared" ca="1" si="134"/>
        <v>0</v>
      </c>
      <c r="AA998">
        <f t="shared" ca="1" si="135"/>
        <v>0</v>
      </c>
    </row>
    <row r="999" spans="1:27" x14ac:dyDescent="0.25">
      <c r="A999">
        <f t="shared" ca="1" si="128"/>
        <v>0</v>
      </c>
      <c r="B999" t="str">
        <f t="shared" ca="1" si="129"/>
        <v/>
      </c>
      <c r="C999" t="str">
        <f t="shared" si="130"/>
        <v/>
      </c>
      <c r="D999" t="s">
        <v>253</v>
      </c>
      <c r="E999" t="s">
        <v>253</v>
      </c>
      <c r="F999" s="3" t="s">
        <v>253</v>
      </c>
      <c r="G999" s="11" t="s">
        <v>253</v>
      </c>
      <c r="H999" s="11" t="s">
        <v>253</v>
      </c>
      <c r="I999" s="3" t="s">
        <v>253</v>
      </c>
      <c r="J999" s="3" t="s">
        <v>253</v>
      </c>
      <c r="K999" s="3" t="s">
        <v>253</v>
      </c>
      <c r="L999" s="3" t="s">
        <v>253</v>
      </c>
      <c r="M999" t="str">
        <f>IF(LEN(H999),MATCH(H999,'MPIO_SFIO Table'!$A$11:$A$65525,0)-1,"")</f>
        <v/>
      </c>
      <c r="N999" t="str">
        <f>IF(LEN(I999),MATCH(I999,'MPIO_SFIO Table'!$A$11:$A$65525,0)-1,"")</f>
        <v/>
      </c>
      <c r="O999" t="str">
        <f>IF(LEN(J999),MATCH(J999,'MPIO_SFIO Table'!$A$11:$A$65525,0)-1,"")</f>
        <v/>
      </c>
      <c r="P999" t="str">
        <f>IF(LEN(K999),MATCH(K999,'MPIO_SFIO Table'!$A$11:$A$65525,0)-1,"")</f>
        <v/>
      </c>
      <c r="Q999" t="str">
        <f>IF(LEN(L999),MATCH(L999,'MPIO_SFIO Table'!$A$11:$A$65525,0)-1,"")</f>
        <v/>
      </c>
      <c r="R999" t="str">
        <f ca="1">IF(ISNUMBER(M999),OFFSET('MPIO_SFIO Table'!$AJ$11,M999,0),"")</f>
        <v/>
      </c>
      <c r="S999" t="str">
        <f ca="1">IF(ISNUMBER(N999),OFFSET('MPIO_SFIO Table'!$AJ$11,N999,0),"")</f>
        <v/>
      </c>
      <c r="T999" t="str">
        <f ca="1">IF(ISNUMBER(O999),OFFSET('MPIO_SFIO Table'!$AJ$11,O999,0),"")</f>
        <v/>
      </c>
      <c r="U999" t="str">
        <f ca="1">IF(ISNUMBER(P999),OFFSET('MPIO_SFIO Table'!$AJ$11,P999,0),"")</f>
        <v/>
      </c>
      <c r="V999" t="str">
        <f ca="1">IF(ISNUMBER(Q999),OFFSET('MPIO_SFIO Table'!$AJ$11,Q999,0),"")</f>
        <v/>
      </c>
      <c r="W999">
        <f t="shared" ca="1" si="131"/>
        <v>0</v>
      </c>
      <c r="X999">
        <f t="shared" ca="1" si="132"/>
        <v>0</v>
      </c>
      <c r="Y999">
        <f t="shared" ca="1" si="133"/>
        <v>0</v>
      </c>
      <c r="Z999">
        <f t="shared" ca="1" si="134"/>
        <v>0</v>
      </c>
      <c r="AA999">
        <f t="shared" ca="1" si="135"/>
        <v>0</v>
      </c>
    </row>
    <row r="1000" spans="1:27" x14ac:dyDescent="0.25">
      <c r="A1000">
        <f t="shared" ca="1" si="128"/>
        <v>0</v>
      </c>
      <c r="B1000" t="str">
        <f t="shared" ca="1" si="129"/>
        <v/>
      </c>
      <c r="C1000" t="str">
        <f t="shared" si="130"/>
        <v/>
      </c>
      <c r="D1000" t="s">
        <v>253</v>
      </c>
      <c r="E1000" t="s">
        <v>253</v>
      </c>
      <c r="F1000" s="3" t="s">
        <v>253</v>
      </c>
      <c r="G1000" s="11" t="s">
        <v>253</v>
      </c>
      <c r="H1000" s="11" t="s">
        <v>253</v>
      </c>
      <c r="I1000" s="3" t="s">
        <v>253</v>
      </c>
      <c r="J1000" s="3" t="s">
        <v>253</v>
      </c>
      <c r="K1000" s="3" t="s">
        <v>253</v>
      </c>
      <c r="L1000" s="3" t="s">
        <v>253</v>
      </c>
      <c r="M1000" t="str">
        <f>IF(LEN(H1000),MATCH(H1000,'MPIO_SFIO Table'!$A$11:$A$65525,0)-1,"")</f>
        <v/>
      </c>
      <c r="N1000" t="str">
        <f>IF(LEN(I1000),MATCH(I1000,'MPIO_SFIO Table'!$A$11:$A$65525,0)-1,"")</f>
        <v/>
      </c>
      <c r="O1000" t="str">
        <f>IF(LEN(J1000),MATCH(J1000,'MPIO_SFIO Table'!$A$11:$A$65525,0)-1,"")</f>
        <v/>
      </c>
      <c r="P1000" t="str">
        <f>IF(LEN(K1000),MATCH(K1000,'MPIO_SFIO Table'!$A$11:$A$65525,0)-1,"")</f>
        <v/>
      </c>
      <c r="Q1000" t="str">
        <f>IF(LEN(L1000),MATCH(L1000,'MPIO_SFIO Table'!$A$11:$A$65525,0)-1,"")</f>
        <v/>
      </c>
      <c r="R1000" t="str">
        <f ca="1">IF(ISNUMBER(M1000),OFFSET('MPIO_SFIO Table'!$AJ$11,M1000,0),"")</f>
        <v/>
      </c>
      <c r="S1000" t="str">
        <f ca="1">IF(ISNUMBER(N1000),OFFSET('MPIO_SFIO Table'!$AJ$11,N1000,0),"")</f>
        <v/>
      </c>
      <c r="T1000" t="str">
        <f ca="1">IF(ISNUMBER(O1000),OFFSET('MPIO_SFIO Table'!$AJ$11,O1000,0),"")</f>
        <v/>
      </c>
      <c r="U1000" t="str">
        <f ca="1">IF(ISNUMBER(P1000),OFFSET('MPIO_SFIO Table'!$AJ$11,P1000,0),"")</f>
        <v/>
      </c>
      <c r="V1000" t="str">
        <f ca="1">IF(ISNUMBER(Q1000),OFFSET('MPIO_SFIO Table'!$AJ$11,Q1000,0),"")</f>
        <v/>
      </c>
      <c r="W1000">
        <f t="shared" ca="1" si="131"/>
        <v>0</v>
      </c>
      <c r="X1000">
        <f t="shared" ca="1" si="132"/>
        <v>0</v>
      </c>
      <c r="Y1000">
        <f t="shared" ca="1" si="133"/>
        <v>0</v>
      </c>
      <c r="Z1000">
        <f t="shared" ca="1" si="134"/>
        <v>0</v>
      </c>
      <c r="AA1000">
        <f t="shared" ca="1" si="135"/>
        <v>0</v>
      </c>
    </row>
    <row r="1001" spans="1:27" x14ac:dyDescent="0.25">
      <c r="A1001">
        <f t="shared" ca="1" si="128"/>
        <v>0</v>
      </c>
      <c r="B1001" t="str">
        <f t="shared" ca="1" si="129"/>
        <v/>
      </c>
      <c r="C1001" t="str">
        <f t="shared" si="130"/>
        <v/>
      </c>
      <c r="D1001" t="s">
        <v>253</v>
      </c>
      <c r="E1001" t="s">
        <v>253</v>
      </c>
      <c r="F1001" s="3" t="s">
        <v>253</v>
      </c>
      <c r="G1001" s="11" t="s">
        <v>253</v>
      </c>
      <c r="H1001" s="11" t="s">
        <v>253</v>
      </c>
      <c r="I1001" s="3" t="s">
        <v>253</v>
      </c>
      <c r="J1001" s="3" t="s">
        <v>253</v>
      </c>
      <c r="K1001" s="3" t="s">
        <v>253</v>
      </c>
      <c r="L1001" s="3" t="s">
        <v>253</v>
      </c>
      <c r="M1001" t="str">
        <f>IF(LEN(H1001),MATCH(H1001,'MPIO_SFIO Table'!$A$11:$A$65525,0)-1,"")</f>
        <v/>
      </c>
      <c r="N1001" t="str">
        <f>IF(LEN(I1001),MATCH(I1001,'MPIO_SFIO Table'!$A$11:$A$65525,0)-1,"")</f>
        <v/>
      </c>
      <c r="O1001" t="str">
        <f>IF(LEN(J1001),MATCH(J1001,'MPIO_SFIO Table'!$A$11:$A$65525,0)-1,"")</f>
        <v/>
      </c>
      <c r="P1001" t="str">
        <f>IF(LEN(K1001),MATCH(K1001,'MPIO_SFIO Table'!$A$11:$A$65525,0)-1,"")</f>
        <v/>
      </c>
      <c r="Q1001" t="str">
        <f>IF(LEN(L1001),MATCH(L1001,'MPIO_SFIO Table'!$A$11:$A$65525,0)-1,"")</f>
        <v/>
      </c>
      <c r="R1001" t="str">
        <f ca="1">IF(ISNUMBER(M1001),OFFSET('MPIO_SFIO Table'!$AJ$11,M1001,0),"")</f>
        <v/>
      </c>
      <c r="S1001" t="str">
        <f ca="1">IF(ISNUMBER(N1001),OFFSET('MPIO_SFIO Table'!$AJ$11,N1001,0),"")</f>
        <v/>
      </c>
      <c r="T1001" t="str">
        <f ca="1">IF(ISNUMBER(O1001),OFFSET('MPIO_SFIO Table'!$AJ$11,O1001,0),"")</f>
        <v/>
      </c>
      <c r="U1001" t="str">
        <f ca="1">IF(ISNUMBER(P1001),OFFSET('MPIO_SFIO Table'!$AJ$11,P1001,0),"")</f>
        <v/>
      </c>
      <c r="V1001" t="str">
        <f ca="1">IF(ISNUMBER(Q1001),OFFSET('MPIO_SFIO Table'!$AJ$11,Q1001,0),"")</f>
        <v/>
      </c>
      <c r="W1001">
        <f t="shared" ca="1" si="131"/>
        <v>0</v>
      </c>
      <c r="X1001">
        <f t="shared" ca="1" si="132"/>
        <v>0</v>
      </c>
      <c r="Y1001">
        <f t="shared" ca="1" si="133"/>
        <v>0</v>
      </c>
      <c r="Z1001">
        <f t="shared" ca="1" si="134"/>
        <v>0</v>
      </c>
      <c r="AA1001">
        <f t="shared" ca="1" si="135"/>
        <v>0</v>
      </c>
    </row>
    <row r="1002" spans="1:27" x14ac:dyDescent="0.25">
      <c r="A1002">
        <f t="shared" ca="1" si="128"/>
        <v>0</v>
      </c>
      <c r="B1002" t="str">
        <f t="shared" ca="1" si="129"/>
        <v/>
      </c>
      <c r="C1002" t="str">
        <f t="shared" si="130"/>
        <v/>
      </c>
      <c r="D1002" t="s">
        <v>253</v>
      </c>
      <c r="E1002" t="s">
        <v>253</v>
      </c>
      <c r="F1002" s="3" t="s">
        <v>253</v>
      </c>
      <c r="G1002" s="11" t="s">
        <v>253</v>
      </c>
      <c r="H1002" s="11" t="s">
        <v>253</v>
      </c>
      <c r="I1002" s="3" t="s">
        <v>253</v>
      </c>
      <c r="J1002" s="3" t="s">
        <v>253</v>
      </c>
      <c r="K1002" s="3" t="s">
        <v>253</v>
      </c>
      <c r="L1002" s="3" t="s">
        <v>253</v>
      </c>
      <c r="M1002" t="str">
        <f>IF(LEN(H1002),MATCH(H1002,'MPIO_SFIO Table'!$A$11:$A$65525,0)-1,"")</f>
        <v/>
      </c>
      <c r="N1002" t="str">
        <f>IF(LEN(I1002),MATCH(I1002,'MPIO_SFIO Table'!$A$11:$A$65525,0)-1,"")</f>
        <v/>
      </c>
      <c r="O1002" t="str">
        <f>IF(LEN(J1002),MATCH(J1002,'MPIO_SFIO Table'!$A$11:$A$65525,0)-1,"")</f>
        <v/>
      </c>
      <c r="P1002" t="str">
        <f>IF(LEN(K1002),MATCH(K1002,'MPIO_SFIO Table'!$A$11:$A$65525,0)-1,"")</f>
        <v/>
      </c>
      <c r="Q1002" t="str">
        <f>IF(LEN(L1002),MATCH(L1002,'MPIO_SFIO Table'!$A$11:$A$65525,0)-1,"")</f>
        <v/>
      </c>
      <c r="R1002" t="str">
        <f ca="1">IF(ISNUMBER(M1002),OFFSET('MPIO_SFIO Table'!$AJ$11,M1002,0),"")</f>
        <v/>
      </c>
      <c r="S1002" t="str">
        <f ca="1">IF(ISNUMBER(N1002),OFFSET('MPIO_SFIO Table'!$AJ$11,N1002,0),"")</f>
        <v/>
      </c>
      <c r="T1002" t="str">
        <f ca="1">IF(ISNUMBER(O1002),OFFSET('MPIO_SFIO Table'!$AJ$11,O1002,0),"")</f>
        <v/>
      </c>
      <c r="U1002" t="str">
        <f ca="1">IF(ISNUMBER(P1002),OFFSET('MPIO_SFIO Table'!$AJ$11,P1002,0),"")</f>
        <v/>
      </c>
      <c r="V1002" t="str">
        <f ca="1">IF(ISNUMBER(Q1002),OFFSET('MPIO_SFIO Table'!$AJ$11,Q1002,0),"")</f>
        <v/>
      </c>
      <c r="W1002">
        <f t="shared" ca="1" si="131"/>
        <v>0</v>
      </c>
      <c r="X1002">
        <f t="shared" ca="1" si="132"/>
        <v>0</v>
      </c>
      <c r="Y1002">
        <f t="shared" ca="1" si="133"/>
        <v>0</v>
      </c>
      <c r="Z1002">
        <f t="shared" ca="1" si="134"/>
        <v>0</v>
      </c>
      <c r="AA1002">
        <f t="shared" ca="1" si="135"/>
        <v>0</v>
      </c>
    </row>
    <row r="1003" spans="1:27" x14ac:dyDescent="0.25">
      <c r="A1003">
        <f t="shared" ca="1" si="128"/>
        <v>0</v>
      </c>
      <c r="B1003" t="str">
        <f t="shared" ca="1" si="129"/>
        <v/>
      </c>
      <c r="C1003" t="str">
        <f t="shared" si="130"/>
        <v/>
      </c>
      <c r="D1003" t="s">
        <v>253</v>
      </c>
      <c r="E1003" t="s">
        <v>253</v>
      </c>
      <c r="F1003" s="3" t="s">
        <v>253</v>
      </c>
      <c r="G1003" s="11" t="s">
        <v>253</v>
      </c>
      <c r="H1003" s="11" t="s">
        <v>253</v>
      </c>
      <c r="I1003" s="3" t="s">
        <v>253</v>
      </c>
      <c r="J1003" s="3" t="s">
        <v>253</v>
      </c>
      <c r="K1003" s="3" t="s">
        <v>253</v>
      </c>
      <c r="L1003" s="3" t="s">
        <v>253</v>
      </c>
      <c r="M1003" t="str">
        <f>IF(LEN(H1003),MATCH(H1003,'MPIO_SFIO Table'!$A$11:$A$65525,0)-1,"")</f>
        <v/>
      </c>
      <c r="N1003" t="str">
        <f>IF(LEN(I1003),MATCH(I1003,'MPIO_SFIO Table'!$A$11:$A$65525,0)-1,"")</f>
        <v/>
      </c>
      <c r="O1003" t="str">
        <f>IF(LEN(J1003),MATCH(J1003,'MPIO_SFIO Table'!$A$11:$A$65525,0)-1,"")</f>
        <v/>
      </c>
      <c r="P1003" t="str">
        <f>IF(LEN(K1003),MATCH(K1003,'MPIO_SFIO Table'!$A$11:$A$65525,0)-1,"")</f>
        <v/>
      </c>
      <c r="Q1003" t="str">
        <f>IF(LEN(L1003),MATCH(L1003,'MPIO_SFIO Table'!$A$11:$A$65525,0)-1,"")</f>
        <v/>
      </c>
      <c r="R1003" t="str">
        <f ca="1">IF(ISNUMBER(M1003),OFFSET('MPIO_SFIO Table'!$AJ$11,M1003,0),"")</f>
        <v/>
      </c>
      <c r="S1003" t="str">
        <f ca="1">IF(ISNUMBER(N1003),OFFSET('MPIO_SFIO Table'!$AJ$11,N1003,0),"")</f>
        <v/>
      </c>
      <c r="T1003" t="str">
        <f ca="1">IF(ISNUMBER(O1003),OFFSET('MPIO_SFIO Table'!$AJ$11,O1003,0),"")</f>
        <v/>
      </c>
      <c r="U1003" t="str">
        <f ca="1">IF(ISNUMBER(P1003),OFFSET('MPIO_SFIO Table'!$AJ$11,P1003,0),"")</f>
        <v/>
      </c>
      <c r="V1003" t="str">
        <f ca="1">IF(ISNUMBER(Q1003),OFFSET('MPIO_SFIO Table'!$AJ$11,Q1003,0),"")</f>
        <v/>
      </c>
      <c r="W1003">
        <f t="shared" ca="1" si="131"/>
        <v>0</v>
      </c>
      <c r="X1003">
        <f t="shared" ca="1" si="132"/>
        <v>0</v>
      </c>
      <c r="Y1003">
        <f t="shared" ca="1" si="133"/>
        <v>0</v>
      </c>
      <c r="Z1003">
        <f t="shared" ca="1" si="134"/>
        <v>0</v>
      </c>
      <c r="AA1003">
        <f t="shared" ca="1" si="135"/>
        <v>0</v>
      </c>
    </row>
    <row r="1004" spans="1:27" x14ac:dyDescent="0.25">
      <c r="A1004">
        <f t="shared" ca="1" si="128"/>
        <v>0</v>
      </c>
      <c r="B1004" t="str">
        <f t="shared" ca="1" si="129"/>
        <v/>
      </c>
      <c r="C1004" t="str">
        <f t="shared" si="130"/>
        <v/>
      </c>
      <c r="D1004" t="s">
        <v>253</v>
      </c>
      <c r="E1004" t="s">
        <v>253</v>
      </c>
      <c r="F1004" s="3" t="s">
        <v>253</v>
      </c>
      <c r="G1004" s="11" t="s">
        <v>253</v>
      </c>
      <c r="H1004" s="11" t="s">
        <v>253</v>
      </c>
      <c r="I1004" s="3" t="s">
        <v>253</v>
      </c>
      <c r="J1004" s="3" t="s">
        <v>253</v>
      </c>
      <c r="K1004" s="3" t="s">
        <v>253</v>
      </c>
      <c r="L1004" s="3" t="s">
        <v>253</v>
      </c>
      <c r="M1004" t="str">
        <f>IF(LEN(H1004),MATCH(H1004,'MPIO_SFIO Table'!$A$11:$A$65525,0)-1,"")</f>
        <v/>
      </c>
      <c r="N1004" t="str">
        <f>IF(LEN(I1004),MATCH(I1004,'MPIO_SFIO Table'!$A$11:$A$65525,0)-1,"")</f>
        <v/>
      </c>
      <c r="O1004" t="str">
        <f>IF(LEN(J1004),MATCH(J1004,'MPIO_SFIO Table'!$A$11:$A$65525,0)-1,"")</f>
        <v/>
      </c>
      <c r="P1004" t="str">
        <f>IF(LEN(K1004),MATCH(K1004,'MPIO_SFIO Table'!$A$11:$A$65525,0)-1,"")</f>
        <v/>
      </c>
      <c r="Q1004" t="str">
        <f>IF(LEN(L1004),MATCH(L1004,'MPIO_SFIO Table'!$A$11:$A$65525,0)-1,"")</f>
        <v/>
      </c>
      <c r="R1004" t="str">
        <f ca="1">IF(ISNUMBER(M1004),OFFSET('MPIO_SFIO Table'!$AJ$11,M1004,0),"")</f>
        <v/>
      </c>
      <c r="S1004" t="str">
        <f ca="1">IF(ISNUMBER(N1004),OFFSET('MPIO_SFIO Table'!$AJ$11,N1004,0),"")</f>
        <v/>
      </c>
      <c r="T1004" t="str">
        <f ca="1">IF(ISNUMBER(O1004),OFFSET('MPIO_SFIO Table'!$AJ$11,O1004,0),"")</f>
        <v/>
      </c>
      <c r="U1004" t="str">
        <f ca="1">IF(ISNUMBER(P1004),OFFSET('MPIO_SFIO Table'!$AJ$11,P1004,0),"")</f>
        <v/>
      </c>
      <c r="V1004" t="str">
        <f ca="1">IF(ISNUMBER(Q1004),OFFSET('MPIO_SFIO Table'!$AJ$11,Q1004,0),"")</f>
        <v/>
      </c>
      <c r="W1004">
        <f t="shared" ca="1" si="131"/>
        <v>0</v>
      </c>
      <c r="X1004">
        <f t="shared" ca="1" si="132"/>
        <v>0</v>
      </c>
      <c r="Y1004">
        <f t="shared" ca="1" si="133"/>
        <v>0</v>
      </c>
      <c r="Z1004">
        <f t="shared" ca="1" si="134"/>
        <v>0</v>
      </c>
      <c r="AA1004">
        <f t="shared" ca="1" si="135"/>
        <v>0</v>
      </c>
    </row>
    <row r="1005" spans="1:27" x14ac:dyDescent="0.25">
      <c r="A1005">
        <f t="shared" ca="1" si="128"/>
        <v>0</v>
      </c>
      <c r="B1005" t="str">
        <f t="shared" ca="1" si="129"/>
        <v/>
      </c>
      <c r="C1005" t="str">
        <f t="shared" si="130"/>
        <v/>
      </c>
      <c r="D1005" t="s">
        <v>253</v>
      </c>
      <c r="E1005" t="s">
        <v>253</v>
      </c>
      <c r="F1005" s="3" t="s">
        <v>253</v>
      </c>
      <c r="G1005" s="11" t="s">
        <v>253</v>
      </c>
      <c r="H1005" s="11" t="s">
        <v>253</v>
      </c>
      <c r="I1005" s="3" t="s">
        <v>253</v>
      </c>
      <c r="J1005" s="3" t="s">
        <v>253</v>
      </c>
      <c r="K1005" s="3" t="s">
        <v>253</v>
      </c>
      <c r="L1005" s="3" t="s">
        <v>253</v>
      </c>
      <c r="M1005" t="str">
        <f>IF(LEN(H1005),MATCH(H1005,'MPIO_SFIO Table'!$A$11:$A$65525,0)-1,"")</f>
        <v/>
      </c>
      <c r="N1005" t="str">
        <f>IF(LEN(I1005),MATCH(I1005,'MPIO_SFIO Table'!$A$11:$A$65525,0)-1,"")</f>
        <v/>
      </c>
      <c r="O1005" t="str">
        <f>IF(LEN(J1005),MATCH(J1005,'MPIO_SFIO Table'!$A$11:$A$65525,0)-1,"")</f>
        <v/>
      </c>
      <c r="P1005" t="str">
        <f>IF(LEN(K1005),MATCH(K1005,'MPIO_SFIO Table'!$A$11:$A$65525,0)-1,"")</f>
        <v/>
      </c>
      <c r="Q1005" t="str">
        <f>IF(LEN(L1005),MATCH(L1005,'MPIO_SFIO Table'!$A$11:$A$65525,0)-1,"")</f>
        <v/>
      </c>
      <c r="R1005" t="str">
        <f ca="1">IF(ISNUMBER(M1005),OFFSET('MPIO_SFIO Table'!$AJ$11,M1005,0),"")</f>
        <v/>
      </c>
      <c r="S1005" t="str">
        <f ca="1">IF(ISNUMBER(N1005),OFFSET('MPIO_SFIO Table'!$AJ$11,N1005,0),"")</f>
        <v/>
      </c>
      <c r="T1005" t="str">
        <f ca="1">IF(ISNUMBER(O1005),OFFSET('MPIO_SFIO Table'!$AJ$11,O1005,0),"")</f>
        <v/>
      </c>
      <c r="U1005" t="str">
        <f ca="1">IF(ISNUMBER(P1005),OFFSET('MPIO_SFIO Table'!$AJ$11,P1005,0),"")</f>
        <v/>
      </c>
      <c r="V1005" t="str">
        <f ca="1">IF(ISNUMBER(Q1005),OFFSET('MPIO_SFIO Table'!$AJ$11,Q1005,0),"")</f>
        <v/>
      </c>
      <c r="W1005">
        <f t="shared" ca="1" si="131"/>
        <v>0</v>
      </c>
      <c r="X1005">
        <f t="shared" ca="1" si="132"/>
        <v>0</v>
      </c>
      <c r="Y1005">
        <f t="shared" ca="1" si="133"/>
        <v>0</v>
      </c>
      <c r="Z1005">
        <f t="shared" ca="1" si="134"/>
        <v>0</v>
      </c>
      <c r="AA1005">
        <f t="shared" ca="1" si="135"/>
        <v>0</v>
      </c>
    </row>
    <row r="1006" spans="1:27" x14ac:dyDescent="0.25">
      <c r="A1006">
        <f t="shared" ca="1" si="128"/>
        <v>0</v>
      </c>
      <c r="B1006" t="str">
        <f t="shared" ca="1" si="129"/>
        <v/>
      </c>
      <c r="C1006" t="str">
        <f t="shared" si="130"/>
        <v/>
      </c>
      <c r="D1006" t="s">
        <v>253</v>
      </c>
      <c r="E1006" t="s">
        <v>253</v>
      </c>
      <c r="F1006" s="3" t="s">
        <v>253</v>
      </c>
      <c r="G1006" s="11" t="s">
        <v>253</v>
      </c>
      <c r="H1006" s="11" t="s">
        <v>253</v>
      </c>
      <c r="I1006" s="3" t="s">
        <v>253</v>
      </c>
      <c r="J1006" s="3" t="s">
        <v>253</v>
      </c>
      <c r="K1006" s="3" t="s">
        <v>253</v>
      </c>
      <c r="L1006" s="3" t="s">
        <v>253</v>
      </c>
      <c r="M1006" t="str">
        <f>IF(LEN(H1006),MATCH(H1006,'MPIO_SFIO Table'!$A$11:$A$65525,0)-1,"")</f>
        <v/>
      </c>
      <c r="N1006" t="str">
        <f>IF(LEN(I1006),MATCH(I1006,'MPIO_SFIO Table'!$A$11:$A$65525,0)-1,"")</f>
        <v/>
      </c>
      <c r="O1006" t="str">
        <f>IF(LEN(J1006),MATCH(J1006,'MPIO_SFIO Table'!$A$11:$A$65525,0)-1,"")</f>
        <v/>
      </c>
      <c r="P1006" t="str">
        <f>IF(LEN(K1006),MATCH(K1006,'MPIO_SFIO Table'!$A$11:$A$65525,0)-1,"")</f>
        <v/>
      </c>
      <c r="Q1006" t="str">
        <f>IF(LEN(L1006),MATCH(L1006,'MPIO_SFIO Table'!$A$11:$A$65525,0)-1,"")</f>
        <v/>
      </c>
      <c r="R1006" t="str">
        <f ca="1">IF(ISNUMBER(M1006),OFFSET('MPIO_SFIO Table'!$AJ$11,M1006,0),"")</f>
        <v/>
      </c>
      <c r="S1006" t="str">
        <f ca="1">IF(ISNUMBER(N1006),OFFSET('MPIO_SFIO Table'!$AJ$11,N1006,0),"")</f>
        <v/>
      </c>
      <c r="T1006" t="str">
        <f ca="1">IF(ISNUMBER(O1006),OFFSET('MPIO_SFIO Table'!$AJ$11,O1006,0),"")</f>
        <v/>
      </c>
      <c r="U1006" t="str">
        <f ca="1">IF(ISNUMBER(P1006),OFFSET('MPIO_SFIO Table'!$AJ$11,P1006,0),"")</f>
        <v/>
      </c>
      <c r="V1006" t="str">
        <f ca="1">IF(ISNUMBER(Q1006),OFFSET('MPIO_SFIO Table'!$AJ$11,Q1006,0),"")</f>
        <v/>
      </c>
      <c r="W1006">
        <f t="shared" ca="1" si="131"/>
        <v>0</v>
      </c>
      <c r="X1006">
        <f t="shared" ca="1" si="132"/>
        <v>0</v>
      </c>
      <c r="Y1006">
        <f t="shared" ca="1" si="133"/>
        <v>0</v>
      </c>
      <c r="Z1006">
        <f t="shared" ca="1" si="134"/>
        <v>0</v>
      </c>
      <c r="AA1006">
        <f t="shared" ca="1" si="135"/>
        <v>0</v>
      </c>
    </row>
    <row r="1007" spans="1:27" x14ac:dyDescent="0.25">
      <c r="A1007">
        <f t="shared" ca="1" si="128"/>
        <v>0</v>
      </c>
      <c r="B1007" t="str">
        <f t="shared" ca="1" si="129"/>
        <v/>
      </c>
      <c r="C1007" t="str">
        <f t="shared" si="130"/>
        <v/>
      </c>
      <c r="D1007" t="s">
        <v>253</v>
      </c>
      <c r="E1007" t="s">
        <v>253</v>
      </c>
      <c r="F1007" s="3" t="s">
        <v>253</v>
      </c>
      <c r="G1007" s="11" t="s">
        <v>253</v>
      </c>
      <c r="H1007" s="11" t="s">
        <v>253</v>
      </c>
      <c r="I1007" s="3" t="s">
        <v>253</v>
      </c>
      <c r="J1007" s="3" t="s">
        <v>253</v>
      </c>
      <c r="K1007" s="3" t="s">
        <v>253</v>
      </c>
      <c r="L1007" s="3" t="s">
        <v>253</v>
      </c>
      <c r="M1007" t="str">
        <f>IF(LEN(H1007),MATCH(H1007,'MPIO_SFIO Table'!$A$11:$A$65525,0)-1,"")</f>
        <v/>
      </c>
      <c r="N1007" t="str">
        <f>IF(LEN(I1007),MATCH(I1007,'MPIO_SFIO Table'!$A$11:$A$65525,0)-1,"")</f>
        <v/>
      </c>
      <c r="O1007" t="str">
        <f>IF(LEN(J1007),MATCH(J1007,'MPIO_SFIO Table'!$A$11:$A$65525,0)-1,"")</f>
        <v/>
      </c>
      <c r="P1007" t="str">
        <f>IF(LEN(K1007),MATCH(K1007,'MPIO_SFIO Table'!$A$11:$A$65525,0)-1,"")</f>
        <v/>
      </c>
      <c r="Q1007" t="str">
        <f>IF(LEN(L1007),MATCH(L1007,'MPIO_SFIO Table'!$A$11:$A$65525,0)-1,"")</f>
        <v/>
      </c>
      <c r="R1007" t="str">
        <f ca="1">IF(ISNUMBER(M1007),OFFSET('MPIO_SFIO Table'!$AJ$11,M1007,0),"")</f>
        <v/>
      </c>
      <c r="S1007" t="str">
        <f ca="1">IF(ISNUMBER(N1007),OFFSET('MPIO_SFIO Table'!$AJ$11,N1007,0),"")</f>
        <v/>
      </c>
      <c r="T1007" t="str">
        <f ca="1">IF(ISNUMBER(O1007),OFFSET('MPIO_SFIO Table'!$AJ$11,O1007,0),"")</f>
        <v/>
      </c>
      <c r="U1007" t="str">
        <f ca="1">IF(ISNUMBER(P1007),OFFSET('MPIO_SFIO Table'!$AJ$11,P1007,0),"")</f>
        <v/>
      </c>
      <c r="V1007" t="str">
        <f ca="1">IF(ISNUMBER(Q1007),OFFSET('MPIO_SFIO Table'!$AJ$11,Q1007,0),"")</f>
        <v/>
      </c>
      <c r="W1007">
        <f t="shared" ca="1" si="131"/>
        <v>0</v>
      </c>
      <c r="X1007">
        <f t="shared" ca="1" si="132"/>
        <v>0</v>
      </c>
      <c r="Y1007">
        <f t="shared" ca="1" si="133"/>
        <v>0</v>
      </c>
      <c r="Z1007">
        <f t="shared" ca="1" si="134"/>
        <v>0</v>
      </c>
      <c r="AA1007">
        <f t="shared" ca="1" si="135"/>
        <v>0</v>
      </c>
    </row>
    <row r="1008" spans="1:27" x14ac:dyDescent="0.25">
      <c r="A1008">
        <f t="shared" ca="1" si="128"/>
        <v>0</v>
      </c>
      <c r="B1008" t="str">
        <f t="shared" ca="1" si="129"/>
        <v/>
      </c>
      <c r="C1008" t="str">
        <f t="shared" si="130"/>
        <v/>
      </c>
      <c r="D1008" t="s">
        <v>253</v>
      </c>
      <c r="E1008" t="s">
        <v>253</v>
      </c>
      <c r="F1008" s="3" t="s">
        <v>253</v>
      </c>
      <c r="G1008" s="11" t="s">
        <v>253</v>
      </c>
      <c r="H1008" s="11" t="s">
        <v>253</v>
      </c>
      <c r="I1008" s="3" t="s">
        <v>253</v>
      </c>
      <c r="J1008" s="3" t="s">
        <v>253</v>
      </c>
      <c r="K1008" s="3" t="s">
        <v>253</v>
      </c>
      <c r="L1008" s="3" t="s">
        <v>253</v>
      </c>
      <c r="M1008" t="str">
        <f>IF(LEN(H1008),MATCH(H1008,'MPIO_SFIO Table'!$A$11:$A$65525,0)-1,"")</f>
        <v/>
      </c>
      <c r="N1008" t="str">
        <f>IF(LEN(I1008),MATCH(I1008,'MPIO_SFIO Table'!$A$11:$A$65525,0)-1,"")</f>
        <v/>
      </c>
      <c r="O1008" t="str">
        <f>IF(LEN(J1008),MATCH(J1008,'MPIO_SFIO Table'!$A$11:$A$65525,0)-1,"")</f>
        <v/>
      </c>
      <c r="P1008" t="str">
        <f>IF(LEN(K1008),MATCH(K1008,'MPIO_SFIO Table'!$A$11:$A$65525,0)-1,"")</f>
        <v/>
      </c>
      <c r="Q1008" t="str">
        <f>IF(LEN(L1008),MATCH(L1008,'MPIO_SFIO Table'!$A$11:$A$65525,0)-1,"")</f>
        <v/>
      </c>
      <c r="R1008" t="str">
        <f ca="1">IF(ISNUMBER(M1008),OFFSET('MPIO_SFIO Table'!$AJ$11,M1008,0),"")</f>
        <v/>
      </c>
      <c r="S1008" t="str">
        <f ca="1">IF(ISNUMBER(N1008),OFFSET('MPIO_SFIO Table'!$AJ$11,N1008,0),"")</f>
        <v/>
      </c>
      <c r="T1008" t="str">
        <f ca="1">IF(ISNUMBER(O1008),OFFSET('MPIO_SFIO Table'!$AJ$11,O1008,0),"")</f>
        <v/>
      </c>
      <c r="U1008" t="str">
        <f ca="1">IF(ISNUMBER(P1008),OFFSET('MPIO_SFIO Table'!$AJ$11,P1008,0),"")</f>
        <v/>
      </c>
      <c r="V1008" t="str">
        <f ca="1">IF(ISNUMBER(Q1008),OFFSET('MPIO_SFIO Table'!$AJ$11,Q1008,0),"")</f>
        <v/>
      </c>
      <c r="W1008">
        <f t="shared" ca="1" si="131"/>
        <v>0</v>
      </c>
      <c r="X1008">
        <f t="shared" ca="1" si="132"/>
        <v>0</v>
      </c>
      <c r="Y1008">
        <f t="shared" ca="1" si="133"/>
        <v>0</v>
      </c>
      <c r="Z1008">
        <f t="shared" ca="1" si="134"/>
        <v>0</v>
      </c>
      <c r="AA1008">
        <f t="shared" ca="1" si="135"/>
        <v>0</v>
      </c>
    </row>
    <row r="1009" spans="1:27" x14ac:dyDescent="0.25">
      <c r="A1009">
        <f t="shared" ca="1" si="128"/>
        <v>0</v>
      </c>
      <c r="B1009" t="str">
        <f t="shared" ca="1" si="129"/>
        <v/>
      </c>
      <c r="C1009" t="str">
        <f t="shared" si="130"/>
        <v/>
      </c>
      <c r="D1009" t="s">
        <v>253</v>
      </c>
      <c r="E1009" t="s">
        <v>253</v>
      </c>
      <c r="F1009" s="3" t="s">
        <v>253</v>
      </c>
      <c r="G1009" s="11" t="s">
        <v>253</v>
      </c>
      <c r="H1009" s="11" t="s">
        <v>253</v>
      </c>
      <c r="I1009" s="3" t="s">
        <v>253</v>
      </c>
      <c r="J1009" s="3" t="s">
        <v>253</v>
      </c>
      <c r="K1009" s="3" t="s">
        <v>253</v>
      </c>
      <c r="L1009" s="3" t="s">
        <v>253</v>
      </c>
      <c r="M1009" t="str">
        <f>IF(LEN(H1009),MATCH(H1009,'MPIO_SFIO Table'!$A$11:$A$65525,0)-1,"")</f>
        <v/>
      </c>
      <c r="N1009" t="str">
        <f>IF(LEN(I1009),MATCH(I1009,'MPIO_SFIO Table'!$A$11:$A$65525,0)-1,"")</f>
        <v/>
      </c>
      <c r="O1009" t="str">
        <f>IF(LEN(J1009),MATCH(J1009,'MPIO_SFIO Table'!$A$11:$A$65525,0)-1,"")</f>
        <v/>
      </c>
      <c r="P1009" t="str">
        <f>IF(LEN(K1009),MATCH(K1009,'MPIO_SFIO Table'!$A$11:$A$65525,0)-1,"")</f>
        <v/>
      </c>
      <c r="Q1009" t="str">
        <f>IF(LEN(L1009),MATCH(L1009,'MPIO_SFIO Table'!$A$11:$A$65525,0)-1,"")</f>
        <v/>
      </c>
      <c r="R1009" t="str">
        <f ca="1">IF(ISNUMBER(M1009),OFFSET('MPIO_SFIO Table'!$AJ$11,M1009,0),"")</f>
        <v/>
      </c>
      <c r="S1009" t="str">
        <f ca="1">IF(ISNUMBER(N1009),OFFSET('MPIO_SFIO Table'!$AJ$11,N1009,0),"")</f>
        <v/>
      </c>
      <c r="T1009" t="str">
        <f ca="1">IF(ISNUMBER(O1009),OFFSET('MPIO_SFIO Table'!$AJ$11,O1009,0),"")</f>
        <v/>
      </c>
      <c r="U1009" t="str">
        <f ca="1">IF(ISNUMBER(P1009),OFFSET('MPIO_SFIO Table'!$AJ$11,P1009,0),"")</f>
        <v/>
      </c>
      <c r="V1009" t="str">
        <f ca="1">IF(ISNUMBER(Q1009),OFFSET('MPIO_SFIO Table'!$AJ$11,Q1009,0),"")</f>
        <v/>
      </c>
      <c r="W1009">
        <f t="shared" ca="1" si="131"/>
        <v>0</v>
      </c>
      <c r="X1009">
        <f t="shared" ca="1" si="132"/>
        <v>0</v>
      </c>
      <c r="Y1009">
        <f t="shared" ca="1" si="133"/>
        <v>0</v>
      </c>
      <c r="Z1009">
        <f t="shared" ca="1" si="134"/>
        <v>0</v>
      </c>
      <c r="AA1009">
        <f t="shared" ca="1" si="135"/>
        <v>0</v>
      </c>
    </row>
    <row r="1010" spans="1:27" x14ac:dyDescent="0.25">
      <c r="A1010">
        <f t="shared" ca="1" si="128"/>
        <v>0</v>
      </c>
      <c r="B1010" t="str">
        <f t="shared" ca="1" si="129"/>
        <v/>
      </c>
      <c r="C1010" t="str">
        <f t="shared" si="130"/>
        <v/>
      </c>
      <c r="D1010" t="s">
        <v>253</v>
      </c>
      <c r="E1010" t="s">
        <v>253</v>
      </c>
      <c r="F1010" s="3" t="s">
        <v>253</v>
      </c>
      <c r="G1010" s="11" t="s">
        <v>253</v>
      </c>
      <c r="H1010" s="11" t="s">
        <v>253</v>
      </c>
      <c r="I1010" s="3" t="s">
        <v>253</v>
      </c>
      <c r="J1010" s="3" t="s">
        <v>253</v>
      </c>
      <c r="K1010" s="3" t="s">
        <v>253</v>
      </c>
      <c r="L1010" s="3" t="s">
        <v>253</v>
      </c>
      <c r="M1010" t="str">
        <f>IF(LEN(H1010),MATCH(H1010,'MPIO_SFIO Table'!$A$11:$A$65525,0)-1,"")</f>
        <v/>
      </c>
      <c r="N1010" t="str">
        <f>IF(LEN(I1010),MATCH(I1010,'MPIO_SFIO Table'!$A$11:$A$65525,0)-1,"")</f>
        <v/>
      </c>
      <c r="O1010" t="str">
        <f>IF(LEN(J1010),MATCH(J1010,'MPIO_SFIO Table'!$A$11:$A$65525,0)-1,"")</f>
        <v/>
      </c>
      <c r="P1010" t="str">
        <f>IF(LEN(K1010),MATCH(K1010,'MPIO_SFIO Table'!$A$11:$A$65525,0)-1,"")</f>
        <v/>
      </c>
      <c r="Q1010" t="str">
        <f>IF(LEN(L1010),MATCH(L1010,'MPIO_SFIO Table'!$A$11:$A$65525,0)-1,"")</f>
        <v/>
      </c>
      <c r="R1010" t="str">
        <f ca="1">IF(ISNUMBER(M1010),OFFSET('MPIO_SFIO Table'!$AJ$11,M1010,0),"")</f>
        <v/>
      </c>
      <c r="S1010" t="str">
        <f ca="1">IF(ISNUMBER(N1010),OFFSET('MPIO_SFIO Table'!$AJ$11,N1010,0),"")</f>
        <v/>
      </c>
      <c r="T1010" t="str">
        <f ca="1">IF(ISNUMBER(O1010),OFFSET('MPIO_SFIO Table'!$AJ$11,O1010,0),"")</f>
        <v/>
      </c>
      <c r="U1010" t="str">
        <f ca="1">IF(ISNUMBER(P1010),OFFSET('MPIO_SFIO Table'!$AJ$11,P1010,0),"")</f>
        <v/>
      </c>
      <c r="V1010" t="str">
        <f ca="1">IF(ISNUMBER(Q1010),OFFSET('MPIO_SFIO Table'!$AJ$11,Q1010,0),"")</f>
        <v/>
      </c>
      <c r="W1010">
        <f t="shared" ca="1" si="131"/>
        <v>0</v>
      </c>
      <c r="X1010">
        <f t="shared" ca="1" si="132"/>
        <v>0</v>
      </c>
      <c r="Y1010">
        <f t="shared" ca="1" si="133"/>
        <v>0</v>
      </c>
      <c r="Z1010">
        <f t="shared" ca="1" si="134"/>
        <v>0</v>
      </c>
      <c r="AA1010">
        <f t="shared" ca="1" si="135"/>
        <v>0</v>
      </c>
    </row>
    <row r="1011" spans="1:27" x14ac:dyDescent="0.25">
      <c r="A1011">
        <f t="shared" ca="1" si="128"/>
        <v>0</v>
      </c>
      <c r="B1011" t="str">
        <f t="shared" ca="1" si="129"/>
        <v/>
      </c>
      <c r="C1011" t="str">
        <f t="shared" si="130"/>
        <v/>
      </c>
      <c r="D1011" t="s">
        <v>253</v>
      </c>
      <c r="E1011" t="s">
        <v>253</v>
      </c>
      <c r="F1011" s="3" t="s">
        <v>253</v>
      </c>
      <c r="G1011" s="11" t="s">
        <v>253</v>
      </c>
      <c r="H1011" s="11" t="s">
        <v>253</v>
      </c>
      <c r="I1011" s="3" t="s">
        <v>253</v>
      </c>
      <c r="J1011" s="3" t="s">
        <v>253</v>
      </c>
      <c r="K1011" s="3" t="s">
        <v>253</v>
      </c>
      <c r="L1011" s="3" t="s">
        <v>253</v>
      </c>
      <c r="M1011" t="str">
        <f>IF(LEN(H1011),MATCH(H1011,'MPIO_SFIO Table'!$A$11:$A$65525,0)-1,"")</f>
        <v/>
      </c>
      <c r="N1011" t="str">
        <f>IF(LEN(I1011),MATCH(I1011,'MPIO_SFIO Table'!$A$11:$A$65525,0)-1,"")</f>
        <v/>
      </c>
      <c r="O1011" t="str">
        <f>IF(LEN(J1011),MATCH(J1011,'MPIO_SFIO Table'!$A$11:$A$65525,0)-1,"")</f>
        <v/>
      </c>
      <c r="P1011" t="str">
        <f>IF(LEN(K1011),MATCH(K1011,'MPIO_SFIO Table'!$A$11:$A$65525,0)-1,"")</f>
        <v/>
      </c>
      <c r="Q1011" t="str">
        <f>IF(LEN(L1011),MATCH(L1011,'MPIO_SFIO Table'!$A$11:$A$65525,0)-1,"")</f>
        <v/>
      </c>
      <c r="R1011" t="str">
        <f ca="1">IF(ISNUMBER(M1011),OFFSET('MPIO_SFIO Table'!$AJ$11,M1011,0),"")</f>
        <v/>
      </c>
      <c r="S1011" t="str">
        <f ca="1">IF(ISNUMBER(N1011),OFFSET('MPIO_SFIO Table'!$AJ$11,N1011,0),"")</f>
        <v/>
      </c>
      <c r="T1011" t="str">
        <f ca="1">IF(ISNUMBER(O1011),OFFSET('MPIO_SFIO Table'!$AJ$11,O1011,0),"")</f>
        <v/>
      </c>
      <c r="U1011" t="str">
        <f ca="1">IF(ISNUMBER(P1011),OFFSET('MPIO_SFIO Table'!$AJ$11,P1011,0),"")</f>
        <v/>
      </c>
      <c r="V1011" t="str">
        <f ca="1">IF(ISNUMBER(Q1011),OFFSET('MPIO_SFIO Table'!$AJ$11,Q1011,0),"")</f>
        <v/>
      </c>
      <c r="W1011">
        <f t="shared" ca="1" si="131"/>
        <v>0</v>
      </c>
      <c r="X1011">
        <f t="shared" ca="1" si="132"/>
        <v>0</v>
      </c>
      <c r="Y1011">
        <f t="shared" ca="1" si="133"/>
        <v>0</v>
      </c>
      <c r="Z1011">
        <f t="shared" ca="1" si="134"/>
        <v>0</v>
      </c>
      <c r="AA1011">
        <f t="shared" ca="1" si="135"/>
        <v>0</v>
      </c>
    </row>
    <row r="1012" spans="1:27" x14ac:dyDescent="0.25">
      <c r="A1012">
        <f t="shared" ca="1" si="128"/>
        <v>0</v>
      </c>
      <c r="B1012" t="str">
        <f t="shared" ca="1" si="129"/>
        <v/>
      </c>
      <c r="C1012" t="str">
        <f t="shared" si="130"/>
        <v/>
      </c>
      <c r="D1012" t="s">
        <v>253</v>
      </c>
      <c r="E1012" t="s">
        <v>253</v>
      </c>
      <c r="F1012" s="3" t="s">
        <v>253</v>
      </c>
      <c r="G1012" s="11" t="s">
        <v>253</v>
      </c>
      <c r="H1012" s="11" t="s">
        <v>253</v>
      </c>
      <c r="I1012" s="3" t="s">
        <v>253</v>
      </c>
      <c r="J1012" s="3" t="s">
        <v>253</v>
      </c>
      <c r="K1012" s="3" t="s">
        <v>253</v>
      </c>
      <c r="L1012" s="3" t="s">
        <v>253</v>
      </c>
      <c r="M1012" t="str">
        <f>IF(LEN(H1012),MATCH(H1012,'MPIO_SFIO Table'!$A$11:$A$65525,0)-1,"")</f>
        <v/>
      </c>
      <c r="N1012" t="str">
        <f>IF(LEN(I1012),MATCH(I1012,'MPIO_SFIO Table'!$A$11:$A$65525,0)-1,"")</f>
        <v/>
      </c>
      <c r="O1012" t="str">
        <f>IF(LEN(J1012),MATCH(J1012,'MPIO_SFIO Table'!$A$11:$A$65525,0)-1,"")</f>
        <v/>
      </c>
      <c r="P1012" t="str">
        <f>IF(LEN(K1012),MATCH(K1012,'MPIO_SFIO Table'!$A$11:$A$65525,0)-1,"")</f>
        <v/>
      </c>
      <c r="Q1012" t="str">
        <f>IF(LEN(L1012),MATCH(L1012,'MPIO_SFIO Table'!$A$11:$A$65525,0)-1,"")</f>
        <v/>
      </c>
      <c r="R1012" t="str">
        <f ca="1">IF(ISNUMBER(M1012),OFFSET('MPIO_SFIO Table'!$AJ$11,M1012,0),"")</f>
        <v/>
      </c>
      <c r="S1012" t="str">
        <f ca="1">IF(ISNUMBER(N1012),OFFSET('MPIO_SFIO Table'!$AJ$11,N1012,0),"")</f>
        <v/>
      </c>
      <c r="T1012" t="str">
        <f ca="1">IF(ISNUMBER(O1012),OFFSET('MPIO_SFIO Table'!$AJ$11,O1012,0),"")</f>
        <v/>
      </c>
      <c r="U1012" t="str">
        <f ca="1">IF(ISNUMBER(P1012),OFFSET('MPIO_SFIO Table'!$AJ$11,P1012,0),"")</f>
        <v/>
      </c>
      <c r="V1012" t="str">
        <f ca="1">IF(ISNUMBER(Q1012),OFFSET('MPIO_SFIO Table'!$AJ$11,Q1012,0),"")</f>
        <v/>
      </c>
      <c r="W1012">
        <f t="shared" ca="1" si="131"/>
        <v>0</v>
      </c>
      <c r="X1012">
        <f t="shared" ca="1" si="132"/>
        <v>0</v>
      </c>
      <c r="Y1012">
        <f t="shared" ca="1" si="133"/>
        <v>0</v>
      </c>
      <c r="Z1012">
        <f t="shared" ca="1" si="134"/>
        <v>0</v>
      </c>
      <c r="AA1012">
        <f t="shared" ca="1" si="135"/>
        <v>0</v>
      </c>
    </row>
    <row r="1013" spans="1:27" x14ac:dyDescent="0.25">
      <c r="A1013">
        <f t="shared" ca="1" si="128"/>
        <v>0</v>
      </c>
      <c r="B1013" t="str">
        <f t="shared" ca="1" si="129"/>
        <v/>
      </c>
      <c r="C1013" t="str">
        <f t="shared" si="130"/>
        <v/>
      </c>
      <c r="D1013" t="s">
        <v>253</v>
      </c>
      <c r="E1013" t="s">
        <v>253</v>
      </c>
      <c r="F1013" s="3" t="s">
        <v>253</v>
      </c>
      <c r="G1013" s="11" t="s">
        <v>253</v>
      </c>
      <c r="H1013" s="11" t="s">
        <v>253</v>
      </c>
      <c r="I1013" s="3" t="s">
        <v>253</v>
      </c>
      <c r="J1013" s="3" t="s">
        <v>253</v>
      </c>
      <c r="K1013" s="3" t="s">
        <v>253</v>
      </c>
      <c r="L1013" s="3" t="s">
        <v>253</v>
      </c>
      <c r="M1013" t="str">
        <f>IF(LEN(H1013),MATCH(H1013,'MPIO_SFIO Table'!$A$11:$A$65525,0)-1,"")</f>
        <v/>
      </c>
      <c r="N1013" t="str">
        <f>IF(LEN(I1013),MATCH(I1013,'MPIO_SFIO Table'!$A$11:$A$65525,0)-1,"")</f>
        <v/>
      </c>
      <c r="O1013" t="str">
        <f>IF(LEN(J1013),MATCH(J1013,'MPIO_SFIO Table'!$A$11:$A$65525,0)-1,"")</f>
        <v/>
      </c>
      <c r="P1013" t="str">
        <f>IF(LEN(K1013),MATCH(K1013,'MPIO_SFIO Table'!$A$11:$A$65525,0)-1,"")</f>
        <v/>
      </c>
      <c r="Q1013" t="str">
        <f>IF(LEN(L1013),MATCH(L1013,'MPIO_SFIO Table'!$A$11:$A$65525,0)-1,"")</f>
        <v/>
      </c>
      <c r="R1013" t="str">
        <f ca="1">IF(ISNUMBER(M1013),OFFSET('MPIO_SFIO Table'!$AJ$11,M1013,0),"")</f>
        <v/>
      </c>
      <c r="S1013" t="str">
        <f ca="1">IF(ISNUMBER(N1013),OFFSET('MPIO_SFIO Table'!$AJ$11,N1013,0),"")</f>
        <v/>
      </c>
      <c r="T1013" t="str">
        <f ca="1">IF(ISNUMBER(O1013),OFFSET('MPIO_SFIO Table'!$AJ$11,O1013,0),"")</f>
        <v/>
      </c>
      <c r="U1013" t="str">
        <f ca="1">IF(ISNUMBER(P1013),OFFSET('MPIO_SFIO Table'!$AJ$11,P1013,0),"")</f>
        <v/>
      </c>
      <c r="V1013" t="str">
        <f ca="1">IF(ISNUMBER(Q1013),OFFSET('MPIO_SFIO Table'!$AJ$11,Q1013,0),"")</f>
        <v/>
      </c>
      <c r="W1013">
        <f t="shared" ca="1" si="131"/>
        <v>0</v>
      </c>
      <c r="X1013">
        <f t="shared" ca="1" si="132"/>
        <v>0</v>
      </c>
      <c r="Y1013">
        <f t="shared" ca="1" si="133"/>
        <v>0</v>
      </c>
      <c r="Z1013">
        <f t="shared" ca="1" si="134"/>
        <v>0</v>
      </c>
      <c r="AA1013">
        <f t="shared" ca="1" si="135"/>
        <v>0</v>
      </c>
    </row>
    <row r="1014" spans="1:27" x14ac:dyDescent="0.25">
      <c r="A1014">
        <f t="shared" ca="1" si="128"/>
        <v>0</v>
      </c>
      <c r="B1014" t="str">
        <f t="shared" ca="1" si="129"/>
        <v/>
      </c>
      <c r="C1014" t="str">
        <f t="shared" si="130"/>
        <v/>
      </c>
      <c r="D1014" t="s">
        <v>253</v>
      </c>
      <c r="E1014" t="s">
        <v>253</v>
      </c>
      <c r="F1014" s="3" t="s">
        <v>253</v>
      </c>
      <c r="G1014" s="11" t="s">
        <v>253</v>
      </c>
      <c r="H1014" s="11" t="s">
        <v>253</v>
      </c>
      <c r="I1014" s="3" t="s">
        <v>253</v>
      </c>
      <c r="J1014" s="3" t="s">
        <v>253</v>
      </c>
      <c r="K1014" s="3" t="s">
        <v>253</v>
      </c>
      <c r="L1014" s="3" t="s">
        <v>253</v>
      </c>
      <c r="M1014" t="str">
        <f>IF(LEN(H1014),MATCH(H1014,'MPIO_SFIO Table'!$A$11:$A$65525,0)-1,"")</f>
        <v/>
      </c>
      <c r="N1014" t="str">
        <f>IF(LEN(I1014),MATCH(I1014,'MPIO_SFIO Table'!$A$11:$A$65525,0)-1,"")</f>
        <v/>
      </c>
      <c r="O1014" t="str">
        <f>IF(LEN(J1014),MATCH(J1014,'MPIO_SFIO Table'!$A$11:$A$65525,0)-1,"")</f>
        <v/>
      </c>
      <c r="P1014" t="str">
        <f>IF(LEN(K1014),MATCH(K1014,'MPIO_SFIO Table'!$A$11:$A$65525,0)-1,"")</f>
        <v/>
      </c>
      <c r="Q1014" t="str">
        <f>IF(LEN(L1014),MATCH(L1014,'MPIO_SFIO Table'!$A$11:$A$65525,0)-1,"")</f>
        <v/>
      </c>
      <c r="R1014" t="str">
        <f ca="1">IF(ISNUMBER(M1014),OFFSET('MPIO_SFIO Table'!$AJ$11,M1014,0),"")</f>
        <v/>
      </c>
      <c r="S1014" t="str">
        <f ca="1">IF(ISNUMBER(N1014),OFFSET('MPIO_SFIO Table'!$AJ$11,N1014,0),"")</f>
        <v/>
      </c>
      <c r="T1014" t="str">
        <f ca="1">IF(ISNUMBER(O1014),OFFSET('MPIO_SFIO Table'!$AJ$11,O1014,0),"")</f>
        <v/>
      </c>
      <c r="U1014" t="str">
        <f ca="1">IF(ISNUMBER(P1014),OFFSET('MPIO_SFIO Table'!$AJ$11,P1014,0),"")</f>
        <v/>
      </c>
      <c r="V1014" t="str">
        <f ca="1">IF(ISNUMBER(Q1014),OFFSET('MPIO_SFIO Table'!$AJ$11,Q1014,0),"")</f>
        <v/>
      </c>
      <c r="W1014">
        <f t="shared" ca="1" si="131"/>
        <v>0</v>
      </c>
      <c r="X1014">
        <f t="shared" ca="1" si="132"/>
        <v>0</v>
      </c>
      <c r="Y1014">
        <f t="shared" ca="1" si="133"/>
        <v>0</v>
      </c>
      <c r="Z1014">
        <f t="shared" ca="1" si="134"/>
        <v>0</v>
      </c>
      <c r="AA1014">
        <f t="shared" ca="1" si="135"/>
        <v>0</v>
      </c>
    </row>
    <row r="1015" spans="1:27" x14ac:dyDescent="0.25">
      <c r="A1015">
        <f t="shared" ca="1" si="128"/>
        <v>0</v>
      </c>
      <c r="B1015" t="str">
        <f t="shared" ca="1" si="129"/>
        <v/>
      </c>
      <c r="C1015" t="str">
        <f t="shared" si="130"/>
        <v/>
      </c>
      <c r="D1015" t="s">
        <v>253</v>
      </c>
      <c r="E1015" t="s">
        <v>253</v>
      </c>
      <c r="F1015" s="3" t="s">
        <v>253</v>
      </c>
      <c r="G1015" s="11" t="s">
        <v>253</v>
      </c>
      <c r="H1015" s="11" t="s">
        <v>253</v>
      </c>
      <c r="I1015" s="3" t="s">
        <v>253</v>
      </c>
      <c r="J1015" s="3" t="s">
        <v>253</v>
      </c>
      <c r="K1015" s="3" t="s">
        <v>253</v>
      </c>
      <c r="L1015" s="3" t="s">
        <v>253</v>
      </c>
      <c r="M1015" t="str">
        <f>IF(LEN(H1015),MATCH(H1015,'MPIO_SFIO Table'!$A$11:$A$65525,0)-1,"")</f>
        <v/>
      </c>
      <c r="N1015" t="str">
        <f>IF(LEN(I1015),MATCH(I1015,'MPIO_SFIO Table'!$A$11:$A$65525,0)-1,"")</f>
        <v/>
      </c>
      <c r="O1015" t="str">
        <f>IF(LEN(J1015),MATCH(J1015,'MPIO_SFIO Table'!$A$11:$A$65525,0)-1,"")</f>
        <v/>
      </c>
      <c r="P1015" t="str">
        <f>IF(LEN(K1015),MATCH(K1015,'MPIO_SFIO Table'!$A$11:$A$65525,0)-1,"")</f>
        <v/>
      </c>
      <c r="Q1015" t="str">
        <f>IF(LEN(L1015),MATCH(L1015,'MPIO_SFIO Table'!$A$11:$A$65525,0)-1,"")</f>
        <v/>
      </c>
      <c r="R1015" t="str">
        <f ca="1">IF(ISNUMBER(M1015),OFFSET('MPIO_SFIO Table'!$AJ$11,M1015,0),"")</f>
        <v/>
      </c>
      <c r="S1015" t="str">
        <f ca="1">IF(ISNUMBER(N1015),OFFSET('MPIO_SFIO Table'!$AJ$11,N1015,0),"")</f>
        <v/>
      </c>
      <c r="T1015" t="str">
        <f ca="1">IF(ISNUMBER(O1015),OFFSET('MPIO_SFIO Table'!$AJ$11,O1015,0),"")</f>
        <v/>
      </c>
      <c r="U1015" t="str">
        <f ca="1">IF(ISNUMBER(P1015),OFFSET('MPIO_SFIO Table'!$AJ$11,P1015,0),"")</f>
        <v/>
      </c>
      <c r="V1015" t="str">
        <f ca="1">IF(ISNUMBER(Q1015),OFFSET('MPIO_SFIO Table'!$AJ$11,Q1015,0),"")</f>
        <v/>
      </c>
      <c r="W1015">
        <f t="shared" ca="1" si="131"/>
        <v>0</v>
      </c>
      <c r="X1015">
        <f t="shared" ca="1" si="132"/>
        <v>0</v>
      </c>
      <c r="Y1015">
        <f t="shared" ca="1" si="133"/>
        <v>0</v>
      </c>
      <c r="Z1015">
        <f t="shared" ca="1" si="134"/>
        <v>0</v>
      </c>
      <c r="AA1015">
        <f t="shared" ca="1" si="135"/>
        <v>0</v>
      </c>
    </row>
    <row r="1016" spans="1:27" x14ac:dyDescent="0.25">
      <c r="A1016">
        <f t="shared" ca="1" si="128"/>
        <v>0</v>
      </c>
      <c r="B1016" t="str">
        <f t="shared" ca="1" si="129"/>
        <v/>
      </c>
      <c r="C1016" t="str">
        <f t="shared" si="130"/>
        <v/>
      </c>
      <c r="D1016" t="s">
        <v>253</v>
      </c>
      <c r="E1016" t="s">
        <v>253</v>
      </c>
      <c r="F1016" s="3" t="s">
        <v>253</v>
      </c>
      <c r="G1016" s="11" t="s">
        <v>253</v>
      </c>
      <c r="H1016" s="11" t="s">
        <v>253</v>
      </c>
      <c r="I1016" s="3" t="s">
        <v>253</v>
      </c>
      <c r="J1016" s="3" t="s">
        <v>253</v>
      </c>
      <c r="K1016" s="3" t="s">
        <v>253</v>
      </c>
      <c r="L1016" s="3" t="s">
        <v>253</v>
      </c>
      <c r="M1016" t="str">
        <f>IF(LEN(H1016),MATCH(H1016,'MPIO_SFIO Table'!$A$11:$A$65525,0)-1,"")</f>
        <v/>
      </c>
      <c r="N1016" t="str">
        <f>IF(LEN(I1016),MATCH(I1016,'MPIO_SFIO Table'!$A$11:$A$65525,0)-1,"")</f>
        <v/>
      </c>
      <c r="O1016" t="str">
        <f>IF(LEN(J1016),MATCH(J1016,'MPIO_SFIO Table'!$A$11:$A$65525,0)-1,"")</f>
        <v/>
      </c>
      <c r="P1016" t="str">
        <f>IF(LEN(K1016),MATCH(K1016,'MPIO_SFIO Table'!$A$11:$A$65525,0)-1,"")</f>
        <v/>
      </c>
      <c r="Q1016" t="str">
        <f>IF(LEN(L1016),MATCH(L1016,'MPIO_SFIO Table'!$A$11:$A$65525,0)-1,"")</f>
        <v/>
      </c>
      <c r="R1016" t="str">
        <f ca="1">IF(ISNUMBER(M1016),OFFSET('MPIO_SFIO Table'!$AJ$11,M1016,0),"")</f>
        <v/>
      </c>
      <c r="S1016" t="str">
        <f ca="1">IF(ISNUMBER(N1016),OFFSET('MPIO_SFIO Table'!$AJ$11,N1016,0),"")</f>
        <v/>
      </c>
      <c r="T1016" t="str">
        <f ca="1">IF(ISNUMBER(O1016),OFFSET('MPIO_SFIO Table'!$AJ$11,O1016,0),"")</f>
        <v/>
      </c>
      <c r="U1016" t="str">
        <f ca="1">IF(ISNUMBER(P1016),OFFSET('MPIO_SFIO Table'!$AJ$11,P1016,0),"")</f>
        <v/>
      </c>
      <c r="V1016" t="str">
        <f ca="1">IF(ISNUMBER(Q1016),OFFSET('MPIO_SFIO Table'!$AJ$11,Q1016,0),"")</f>
        <v/>
      </c>
      <c r="W1016">
        <f t="shared" ca="1" si="131"/>
        <v>0</v>
      </c>
      <c r="X1016">
        <f t="shared" ca="1" si="132"/>
        <v>0</v>
      </c>
      <c r="Y1016">
        <f t="shared" ca="1" si="133"/>
        <v>0</v>
      </c>
      <c r="Z1016">
        <f t="shared" ca="1" si="134"/>
        <v>0</v>
      </c>
      <c r="AA1016">
        <f t="shared" ca="1" si="135"/>
        <v>0</v>
      </c>
    </row>
    <row r="1017" spans="1:27" x14ac:dyDescent="0.25">
      <c r="A1017">
        <f t="shared" ca="1" si="128"/>
        <v>0</v>
      </c>
      <c r="B1017" t="str">
        <f t="shared" ca="1" si="129"/>
        <v/>
      </c>
      <c r="C1017" t="str">
        <f t="shared" si="130"/>
        <v/>
      </c>
      <c r="D1017" t="s">
        <v>253</v>
      </c>
      <c r="E1017" t="s">
        <v>253</v>
      </c>
      <c r="F1017" s="3" t="s">
        <v>253</v>
      </c>
      <c r="G1017" s="11" t="s">
        <v>253</v>
      </c>
      <c r="H1017" s="11" t="s">
        <v>253</v>
      </c>
      <c r="I1017" s="3" t="s">
        <v>253</v>
      </c>
      <c r="J1017" s="3" t="s">
        <v>253</v>
      </c>
      <c r="K1017" s="3" t="s">
        <v>253</v>
      </c>
      <c r="L1017" s="3" t="s">
        <v>253</v>
      </c>
      <c r="M1017" t="str">
        <f>IF(LEN(H1017),MATCH(H1017,'MPIO_SFIO Table'!$A$11:$A$65525,0)-1,"")</f>
        <v/>
      </c>
      <c r="N1017" t="str">
        <f>IF(LEN(I1017),MATCH(I1017,'MPIO_SFIO Table'!$A$11:$A$65525,0)-1,"")</f>
        <v/>
      </c>
      <c r="O1017" t="str">
        <f>IF(LEN(J1017),MATCH(J1017,'MPIO_SFIO Table'!$A$11:$A$65525,0)-1,"")</f>
        <v/>
      </c>
      <c r="P1017" t="str">
        <f>IF(LEN(K1017),MATCH(K1017,'MPIO_SFIO Table'!$A$11:$A$65525,0)-1,"")</f>
        <v/>
      </c>
      <c r="Q1017" t="str">
        <f>IF(LEN(L1017),MATCH(L1017,'MPIO_SFIO Table'!$A$11:$A$65525,0)-1,"")</f>
        <v/>
      </c>
      <c r="R1017" t="str">
        <f ca="1">IF(ISNUMBER(M1017),OFFSET('MPIO_SFIO Table'!$AJ$11,M1017,0),"")</f>
        <v/>
      </c>
      <c r="S1017" t="str">
        <f ca="1">IF(ISNUMBER(N1017),OFFSET('MPIO_SFIO Table'!$AJ$11,N1017,0),"")</f>
        <v/>
      </c>
      <c r="T1017" t="str">
        <f ca="1">IF(ISNUMBER(O1017),OFFSET('MPIO_SFIO Table'!$AJ$11,O1017,0),"")</f>
        <v/>
      </c>
      <c r="U1017" t="str">
        <f ca="1">IF(ISNUMBER(P1017),OFFSET('MPIO_SFIO Table'!$AJ$11,P1017,0),"")</f>
        <v/>
      </c>
      <c r="V1017" t="str">
        <f ca="1">IF(ISNUMBER(Q1017),OFFSET('MPIO_SFIO Table'!$AJ$11,Q1017,0),"")</f>
        <v/>
      </c>
      <c r="W1017">
        <f t="shared" ca="1" si="131"/>
        <v>0</v>
      </c>
      <c r="X1017">
        <f t="shared" ca="1" si="132"/>
        <v>0</v>
      </c>
      <c r="Y1017">
        <f t="shared" ca="1" si="133"/>
        <v>0</v>
      </c>
      <c r="Z1017">
        <f t="shared" ca="1" si="134"/>
        <v>0</v>
      </c>
      <c r="AA1017">
        <f t="shared" ca="1" si="135"/>
        <v>0</v>
      </c>
    </row>
    <row r="1018" spans="1:27" x14ac:dyDescent="0.25">
      <c r="A1018">
        <f t="shared" ca="1" si="128"/>
        <v>0</v>
      </c>
      <c r="B1018" t="str">
        <f t="shared" ca="1" si="129"/>
        <v/>
      </c>
      <c r="C1018" t="str">
        <f t="shared" si="130"/>
        <v/>
      </c>
      <c r="D1018" t="s">
        <v>253</v>
      </c>
      <c r="E1018" t="s">
        <v>253</v>
      </c>
      <c r="F1018" s="3" t="s">
        <v>253</v>
      </c>
      <c r="G1018" s="11" t="s">
        <v>253</v>
      </c>
      <c r="H1018" s="11" t="s">
        <v>253</v>
      </c>
      <c r="I1018" s="3" t="s">
        <v>253</v>
      </c>
      <c r="J1018" s="3" t="s">
        <v>253</v>
      </c>
      <c r="K1018" s="3" t="s">
        <v>253</v>
      </c>
      <c r="L1018" s="3" t="s">
        <v>253</v>
      </c>
      <c r="M1018" t="str">
        <f>IF(LEN(H1018),MATCH(H1018,'MPIO_SFIO Table'!$A$11:$A$65525,0)-1,"")</f>
        <v/>
      </c>
      <c r="N1018" t="str">
        <f>IF(LEN(I1018),MATCH(I1018,'MPIO_SFIO Table'!$A$11:$A$65525,0)-1,"")</f>
        <v/>
      </c>
      <c r="O1018" t="str">
        <f>IF(LEN(J1018),MATCH(J1018,'MPIO_SFIO Table'!$A$11:$A$65525,0)-1,"")</f>
        <v/>
      </c>
      <c r="P1018" t="str">
        <f>IF(LEN(K1018),MATCH(K1018,'MPIO_SFIO Table'!$A$11:$A$65525,0)-1,"")</f>
        <v/>
      </c>
      <c r="Q1018" t="str">
        <f>IF(LEN(L1018),MATCH(L1018,'MPIO_SFIO Table'!$A$11:$A$65525,0)-1,"")</f>
        <v/>
      </c>
      <c r="R1018" t="str">
        <f ca="1">IF(ISNUMBER(M1018),OFFSET('MPIO_SFIO Table'!$AJ$11,M1018,0),"")</f>
        <v/>
      </c>
      <c r="S1018" t="str">
        <f ca="1">IF(ISNUMBER(N1018),OFFSET('MPIO_SFIO Table'!$AJ$11,N1018,0),"")</f>
        <v/>
      </c>
      <c r="T1018" t="str">
        <f ca="1">IF(ISNUMBER(O1018),OFFSET('MPIO_SFIO Table'!$AJ$11,O1018,0),"")</f>
        <v/>
      </c>
      <c r="U1018" t="str">
        <f ca="1">IF(ISNUMBER(P1018),OFFSET('MPIO_SFIO Table'!$AJ$11,P1018,0),"")</f>
        <v/>
      </c>
      <c r="V1018" t="str">
        <f ca="1">IF(ISNUMBER(Q1018),OFFSET('MPIO_SFIO Table'!$AJ$11,Q1018,0),"")</f>
        <v/>
      </c>
      <c r="W1018">
        <f t="shared" ca="1" si="131"/>
        <v>0</v>
      </c>
      <c r="X1018">
        <f t="shared" ca="1" si="132"/>
        <v>0</v>
      </c>
      <c r="Y1018">
        <f t="shared" ca="1" si="133"/>
        <v>0</v>
      </c>
      <c r="Z1018">
        <f t="shared" ca="1" si="134"/>
        <v>0</v>
      </c>
      <c r="AA1018">
        <f t="shared" ca="1" si="135"/>
        <v>0</v>
      </c>
    </row>
    <row r="1019" spans="1:27" x14ac:dyDescent="0.25">
      <c r="A1019">
        <f t="shared" ca="1" si="128"/>
        <v>0</v>
      </c>
      <c r="B1019" t="str">
        <f t="shared" ca="1" si="129"/>
        <v/>
      </c>
      <c r="C1019" t="str">
        <f t="shared" si="130"/>
        <v/>
      </c>
      <c r="D1019" t="s">
        <v>253</v>
      </c>
      <c r="E1019" t="s">
        <v>253</v>
      </c>
      <c r="F1019" s="3" t="s">
        <v>253</v>
      </c>
      <c r="G1019" s="11" t="s">
        <v>253</v>
      </c>
      <c r="H1019" s="11" t="s">
        <v>253</v>
      </c>
      <c r="I1019" s="3" t="s">
        <v>253</v>
      </c>
      <c r="J1019" s="3" t="s">
        <v>253</v>
      </c>
      <c r="K1019" s="3" t="s">
        <v>253</v>
      </c>
      <c r="L1019" s="3" t="s">
        <v>253</v>
      </c>
      <c r="M1019" t="str">
        <f>IF(LEN(H1019),MATCH(H1019,'MPIO_SFIO Table'!$A$11:$A$65525,0)-1,"")</f>
        <v/>
      </c>
      <c r="N1019" t="str">
        <f>IF(LEN(I1019),MATCH(I1019,'MPIO_SFIO Table'!$A$11:$A$65525,0)-1,"")</f>
        <v/>
      </c>
      <c r="O1019" t="str">
        <f>IF(LEN(J1019),MATCH(J1019,'MPIO_SFIO Table'!$A$11:$A$65525,0)-1,"")</f>
        <v/>
      </c>
      <c r="P1019" t="str">
        <f>IF(LEN(K1019),MATCH(K1019,'MPIO_SFIO Table'!$A$11:$A$65525,0)-1,"")</f>
        <v/>
      </c>
      <c r="Q1019" t="str">
        <f>IF(LEN(L1019),MATCH(L1019,'MPIO_SFIO Table'!$A$11:$A$65525,0)-1,"")</f>
        <v/>
      </c>
      <c r="R1019" t="str">
        <f ca="1">IF(ISNUMBER(M1019),OFFSET('MPIO_SFIO Table'!$AJ$11,M1019,0),"")</f>
        <v/>
      </c>
      <c r="S1019" t="str">
        <f ca="1">IF(ISNUMBER(N1019),OFFSET('MPIO_SFIO Table'!$AJ$11,N1019,0),"")</f>
        <v/>
      </c>
      <c r="T1019" t="str">
        <f ca="1">IF(ISNUMBER(O1019),OFFSET('MPIO_SFIO Table'!$AJ$11,O1019,0),"")</f>
        <v/>
      </c>
      <c r="U1019" t="str">
        <f ca="1">IF(ISNUMBER(P1019),OFFSET('MPIO_SFIO Table'!$AJ$11,P1019,0),"")</f>
        <v/>
      </c>
      <c r="V1019" t="str">
        <f ca="1">IF(ISNUMBER(Q1019),OFFSET('MPIO_SFIO Table'!$AJ$11,Q1019,0),"")</f>
        <v/>
      </c>
      <c r="W1019">
        <f t="shared" ca="1" si="131"/>
        <v>0</v>
      </c>
      <c r="X1019">
        <f t="shared" ca="1" si="132"/>
        <v>0</v>
      </c>
      <c r="Y1019">
        <f t="shared" ca="1" si="133"/>
        <v>0</v>
      </c>
      <c r="Z1019">
        <f t="shared" ca="1" si="134"/>
        <v>0</v>
      </c>
      <c r="AA1019">
        <f t="shared" ca="1" si="135"/>
        <v>0</v>
      </c>
    </row>
    <row r="1020" spans="1:27" x14ac:dyDescent="0.25">
      <c r="A1020">
        <f t="shared" ca="1" si="128"/>
        <v>0</v>
      </c>
      <c r="B1020" t="str">
        <f t="shared" ca="1" si="129"/>
        <v/>
      </c>
      <c r="C1020" t="str">
        <f t="shared" si="130"/>
        <v/>
      </c>
      <c r="D1020" t="s">
        <v>253</v>
      </c>
      <c r="E1020" t="s">
        <v>253</v>
      </c>
      <c r="F1020" s="3" t="s">
        <v>253</v>
      </c>
      <c r="G1020" s="11" t="s">
        <v>253</v>
      </c>
      <c r="H1020" s="11" t="s">
        <v>253</v>
      </c>
      <c r="I1020" s="3" t="s">
        <v>253</v>
      </c>
      <c r="J1020" s="3" t="s">
        <v>253</v>
      </c>
      <c r="K1020" s="3" t="s">
        <v>253</v>
      </c>
      <c r="L1020" s="3" t="s">
        <v>253</v>
      </c>
      <c r="M1020" t="str">
        <f>IF(LEN(H1020),MATCH(H1020,'MPIO_SFIO Table'!$A$11:$A$65525,0)-1,"")</f>
        <v/>
      </c>
      <c r="N1020" t="str">
        <f>IF(LEN(I1020),MATCH(I1020,'MPIO_SFIO Table'!$A$11:$A$65525,0)-1,"")</f>
        <v/>
      </c>
      <c r="O1020" t="str">
        <f>IF(LEN(J1020),MATCH(J1020,'MPIO_SFIO Table'!$A$11:$A$65525,0)-1,"")</f>
        <v/>
      </c>
      <c r="P1020" t="str">
        <f>IF(LEN(K1020),MATCH(K1020,'MPIO_SFIO Table'!$A$11:$A$65525,0)-1,"")</f>
        <v/>
      </c>
      <c r="Q1020" t="str">
        <f>IF(LEN(L1020),MATCH(L1020,'MPIO_SFIO Table'!$A$11:$A$65525,0)-1,"")</f>
        <v/>
      </c>
      <c r="R1020" t="str">
        <f ca="1">IF(ISNUMBER(M1020),OFFSET('MPIO_SFIO Table'!$AJ$11,M1020,0),"")</f>
        <v/>
      </c>
      <c r="S1020" t="str">
        <f ca="1">IF(ISNUMBER(N1020),OFFSET('MPIO_SFIO Table'!$AJ$11,N1020,0),"")</f>
        <v/>
      </c>
      <c r="T1020" t="str">
        <f ca="1">IF(ISNUMBER(O1020),OFFSET('MPIO_SFIO Table'!$AJ$11,O1020,0),"")</f>
        <v/>
      </c>
      <c r="U1020" t="str">
        <f ca="1">IF(ISNUMBER(P1020),OFFSET('MPIO_SFIO Table'!$AJ$11,P1020,0),"")</f>
        <v/>
      </c>
      <c r="V1020" t="str">
        <f ca="1">IF(ISNUMBER(Q1020),OFFSET('MPIO_SFIO Table'!$AJ$11,Q1020,0),"")</f>
        <v/>
      </c>
      <c r="W1020">
        <f t="shared" ca="1" si="131"/>
        <v>0</v>
      </c>
      <c r="X1020">
        <f t="shared" ca="1" si="132"/>
        <v>0</v>
      </c>
      <c r="Y1020">
        <f t="shared" ca="1" si="133"/>
        <v>0</v>
      </c>
      <c r="Z1020">
        <f t="shared" ca="1" si="134"/>
        <v>0</v>
      </c>
      <c r="AA1020">
        <f t="shared" ca="1" si="135"/>
        <v>0</v>
      </c>
    </row>
    <row r="1021" spans="1:27" x14ac:dyDescent="0.25">
      <c r="A1021">
        <f t="shared" ca="1" si="128"/>
        <v>0</v>
      </c>
      <c r="B1021" t="str">
        <f t="shared" ca="1" si="129"/>
        <v/>
      </c>
      <c r="C1021" t="str">
        <f t="shared" si="130"/>
        <v/>
      </c>
      <c r="D1021" t="s">
        <v>253</v>
      </c>
      <c r="E1021" t="s">
        <v>253</v>
      </c>
      <c r="F1021" s="3" t="s">
        <v>253</v>
      </c>
      <c r="G1021" s="11" t="s">
        <v>253</v>
      </c>
      <c r="H1021" s="11" t="s">
        <v>253</v>
      </c>
      <c r="I1021" s="3" t="s">
        <v>253</v>
      </c>
      <c r="J1021" s="3" t="s">
        <v>253</v>
      </c>
      <c r="K1021" s="3" t="s">
        <v>253</v>
      </c>
      <c r="L1021" s="3" t="s">
        <v>253</v>
      </c>
      <c r="M1021" t="str">
        <f>IF(LEN(H1021),MATCH(H1021,'MPIO_SFIO Table'!$A$11:$A$65525,0)-1,"")</f>
        <v/>
      </c>
      <c r="N1021" t="str">
        <f>IF(LEN(I1021),MATCH(I1021,'MPIO_SFIO Table'!$A$11:$A$65525,0)-1,"")</f>
        <v/>
      </c>
      <c r="O1021" t="str">
        <f>IF(LEN(J1021),MATCH(J1021,'MPIO_SFIO Table'!$A$11:$A$65525,0)-1,"")</f>
        <v/>
      </c>
      <c r="P1021" t="str">
        <f>IF(LEN(K1021),MATCH(K1021,'MPIO_SFIO Table'!$A$11:$A$65525,0)-1,"")</f>
        <v/>
      </c>
      <c r="Q1021" t="str">
        <f>IF(LEN(L1021),MATCH(L1021,'MPIO_SFIO Table'!$A$11:$A$65525,0)-1,"")</f>
        <v/>
      </c>
      <c r="R1021" t="str">
        <f ca="1">IF(ISNUMBER(M1021),OFFSET('MPIO_SFIO Table'!$AJ$11,M1021,0),"")</f>
        <v/>
      </c>
      <c r="S1021" t="str">
        <f ca="1">IF(ISNUMBER(N1021),OFFSET('MPIO_SFIO Table'!$AJ$11,N1021,0),"")</f>
        <v/>
      </c>
      <c r="T1021" t="str">
        <f ca="1">IF(ISNUMBER(O1021),OFFSET('MPIO_SFIO Table'!$AJ$11,O1021,0),"")</f>
        <v/>
      </c>
      <c r="U1021" t="str">
        <f ca="1">IF(ISNUMBER(P1021),OFFSET('MPIO_SFIO Table'!$AJ$11,P1021,0),"")</f>
        <v/>
      </c>
      <c r="V1021" t="str">
        <f ca="1">IF(ISNUMBER(Q1021),OFFSET('MPIO_SFIO Table'!$AJ$11,Q1021,0),"")</f>
        <v/>
      </c>
      <c r="W1021">
        <f t="shared" ca="1" si="131"/>
        <v>0</v>
      </c>
      <c r="X1021">
        <f t="shared" ca="1" si="132"/>
        <v>0</v>
      </c>
      <c r="Y1021">
        <f t="shared" ca="1" si="133"/>
        <v>0</v>
      </c>
      <c r="Z1021">
        <f t="shared" ca="1" si="134"/>
        <v>0</v>
      </c>
      <c r="AA1021">
        <f t="shared" ca="1" si="135"/>
        <v>0</v>
      </c>
    </row>
    <row r="1022" spans="1:27" x14ac:dyDescent="0.25">
      <c r="A1022">
        <f t="shared" ca="1" si="128"/>
        <v>0</v>
      </c>
      <c r="B1022" t="str">
        <f t="shared" ca="1" si="129"/>
        <v/>
      </c>
      <c r="C1022" t="str">
        <f t="shared" si="130"/>
        <v/>
      </c>
      <c r="D1022" t="s">
        <v>253</v>
      </c>
      <c r="E1022" t="s">
        <v>253</v>
      </c>
      <c r="F1022" s="3" t="s">
        <v>253</v>
      </c>
      <c r="G1022" s="11" t="s">
        <v>253</v>
      </c>
      <c r="H1022" s="11" t="s">
        <v>253</v>
      </c>
      <c r="I1022" s="3" t="s">
        <v>253</v>
      </c>
      <c r="J1022" s="3" t="s">
        <v>253</v>
      </c>
      <c r="K1022" s="3" t="s">
        <v>253</v>
      </c>
      <c r="L1022" s="3" t="s">
        <v>253</v>
      </c>
      <c r="M1022" t="str">
        <f>IF(LEN(H1022),MATCH(H1022,'MPIO_SFIO Table'!$A$11:$A$65525,0)-1,"")</f>
        <v/>
      </c>
      <c r="N1022" t="str">
        <f>IF(LEN(I1022),MATCH(I1022,'MPIO_SFIO Table'!$A$11:$A$65525,0)-1,"")</f>
        <v/>
      </c>
      <c r="O1022" t="str">
        <f>IF(LEN(J1022),MATCH(J1022,'MPIO_SFIO Table'!$A$11:$A$65525,0)-1,"")</f>
        <v/>
      </c>
      <c r="P1022" t="str">
        <f>IF(LEN(K1022),MATCH(K1022,'MPIO_SFIO Table'!$A$11:$A$65525,0)-1,"")</f>
        <v/>
      </c>
      <c r="Q1022" t="str">
        <f>IF(LEN(L1022),MATCH(L1022,'MPIO_SFIO Table'!$A$11:$A$65525,0)-1,"")</f>
        <v/>
      </c>
      <c r="R1022" t="str">
        <f ca="1">IF(ISNUMBER(M1022),OFFSET('MPIO_SFIO Table'!$AJ$11,M1022,0),"")</f>
        <v/>
      </c>
      <c r="S1022" t="str">
        <f ca="1">IF(ISNUMBER(N1022),OFFSET('MPIO_SFIO Table'!$AJ$11,N1022,0),"")</f>
        <v/>
      </c>
      <c r="T1022" t="str">
        <f ca="1">IF(ISNUMBER(O1022),OFFSET('MPIO_SFIO Table'!$AJ$11,O1022,0),"")</f>
        <v/>
      </c>
      <c r="U1022" t="str">
        <f ca="1">IF(ISNUMBER(P1022),OFFSET('MPIO_SFIO Table'!$AJ$11,P1022,0),"")</f>
        <v/>
      </c>
      <c r="V1022" t="str">
        <f ca="1">IF(ISNUMBER(Q1022),OFFSET('MPIO_SFIO Table'!$AJ$11,Q1022,0),"")</f>
        <v/>
      </c>
      <c r="W1022">
        <f t="shared" ca="1" si="131"/>
        <v>0</v>
      </c>
      <c r="X1022">
        <f t="shared" ca="1" si="132"/>
        <v>0</v>
      </c>
      <c r="Y1022">
        <f t="shared" ca="1" si="133"/>
        <v>0</v>
      </c>
      <c r="Z1022">
        <f t="shared" ca="1" si="134"/>
        <v>0</v>
      </c>
      <c r="AA1022">
        <f t="shared" ca="1" si="135"/>
        <v>0</v>
      </c>
    </row>
    <row r="1023" spans="1:27" x14ac:dyDescent="0.25">
      <c r="A1023">
        <f t="shared" ca="1" si="128"/>
        <v>0</v>
      </c>
      <c r="B1023" t="str">
        <f t="shared" ca="1" si="129"/>
        <v/>
      </c>
      <c r="C1023" t="str">
        <f t="shared" si="130"/>
        <v/>
      </c>
      <c r="D1023" t="s">
        <v>253</v>
      </c>
      <c r="E1023" t="s">
        <v>253</v>
      </c>
      <c r="F1023" s="3" t="s">
        <v>253</v>
      </c>
      <c r="G1023" s="11" t="s">
        <v>253</v>
      </c>
      <c r="H1023" s="11" t="s">
        <v>253</v>
      </c>
      <c r="I1023" s="3" t="s">
        <v>253</v>
      </c>
      <c r="J1023" s="3" t="s">
        <v>253</v>
      </c>
      <c r="K1023" s="3" t="s">
        <v>253</v>
      </c>
      <c r="L1023" s="3" t="s">
        <v>253</v>
      </c>
      <c r="M1023" t="str">
        <f>IF(LEN(H1023),MATCH(H1023,'MPIO_SFIO Table'!$A$11:$A$65525,0)-1,"")</f>
        <v/>
      </c>
      <c r="N1023" t="str">
        <f>IF(LEN(I1023),MATCH(I1023,'MPIO_SFIO Table'!$A$11:$A$65525,0)-1,"")</f>
        <v/>
      </c>
      <c r="O1023" t="str">
        <f>IF(LEN(J1023),MATCH(J1023,'MPIO_SFIO Table'!$A$11:$A$65525,0)-1,"")</f>
        <v/>
      </c>
      <c r="P1023" t="str">
        <f>IF(LEN(K1023),MATCH(K1023,'MPIO_SFIO Table'!$A$11:$A$65525,0)-1,"")</f>
        <v/>
      </c>
      <c r="Q1023" t="str">
        <f>IF(LEN(L1023),MATCH(L1023,'MPIO_SFIO Table'!$A$11:$A$65525,0)-1,"")</f>
        <v/>
      </c>
      <c r="R1023" t="str">
        <f ca="1">IF(ISNUMBER(M1023),OFFSET('MPIO_SFIO Table'!$AJ$11,M1023,0),"")</f>
        <v/>
      </c>
      <c r="S1023" t="str">
        <f ca="1">IF(ISNUMBER(N1023),OFFSET('MPIO_SFIO Table'!$AJ$11,N1023,0),"")</f>
        <v/>
      </c>
      <c r="T1023" t="str">
        <f ca="1">IF(ISNUMBER(O1023),OFFSET('MPIO_SFIO Table'!$AJ$11,O1023,0),"")</f>
        <v/>
      </c>
      <c r="U1023" t="str">
        <f ca="1">IF(ISNUMBER(P1023),OFFSET('MPIO_SFIO Table'!$AJ$11,P1023,0),"")</f>
        <v/>
      </c>
      <c r="V1023" t="str">
        <f ca="1">IF(ISNUMBER(Q1023),OFFSET('MPIO_SFIO Table'!$AJ$11,Q1023,0),"")</f>
        <v/>
      </c>
      <c r="W1023">
        <f t="shared" ca="1" si="131"/>
        <v>0</v>
      </c>
      <c r="X1023">
        <f t="shared" ca="1" si="132"/>
        <v>0</v>
      </c>
      <c r="Y1023">
        <f t="shared" ca="1" si="133"/>
        <v>0</v>
      </c>
      <c r="Z1023">
        <f t="shared" ca="1" si="134"/>
        <v>0</v>
      </c>
      <c r="AA1023">
        <f t="shared" ca="1" si="135"/>
        <v>0</v>
      </c>
    </row>
    <row r="1024" spans="1:27" x14ac:dyDescent="0.25">
      <c r="A1024">
        <f t="shared" ca="1" si="128"/>
        <v>0</v>
      </c>
      <c r="B1024" t="str">
        <f t="shared" ca="1" si="129"/>
        <v/>
      </c>
      <c r="C1024" t="str">
        <f t="shared" si="130"/>
        <v/>
      </c>
      <c r="D1024" t="s">
        <v>253</v>
      </c>
      <c r="E1024" t="s">
        <v>253</v>
      </c>
      <c r="F1024" s="3" t="s">
        <v>253</v>
      </c>
      <c r="G1024" s="11" t="s">
        <v>253</v>
      </c>
      <c r="H1024" s="11" t="s">
        <v>253</v>
      </c>
      <c r="I1024" s="3" t="s">
        <v>253</v>
      </c>
      <c r="J1024" s="3" t="s">
        <v>253</v>
      </c>
      <c r="K1024" s="3" t="s">
        <v>253</v>
      </c>
      <c r="L1024" s="3" t="s">
        <v>253</v>
      </c>
      <c r="M1024" t="str">
        <f>IF(LEN(H1024),MATCH(H1024,'MPIO_SFIO Table'!$A$11:$A$65525,0)-1,"")</f>
        <v/>
      </c>
      <c r="N1024" t="str">
        <f>IF(LEN(I1024),MATCH(I1024,'MPIO_SFIO Table'!$A$11:$A$65525,0)-1,"")</f>
        <v/>
      </c>
      <c r="O1024" t="str">
        <f>IF(LEN(J1024),MATCH(J1024,'MPIO_SFIO Table'!$A$11:$A$65525,0)-1,"")</f>
        <v/>
      </c>
      <c r="P1024" t="str">
        <f>IF(LEN(K1024),MATCH(K1024,'MPIO_SFIO Table'!$A$11:$A$65525,0)-1,"")</f>
        <v/>
      </c>
      <c r="Q1024" t="str">
        <f>IF(LEN(L1024),MATCH(L1024,'MPIO_SFIO Table'!$A$11:$A$65525,0)-1,"")</f>
        <v/>
      </c>
      <c r="R1024" t="str">
        <f ca="1">IF(ISNUMBER(M1024),OFFSET('MPIO_SFIO Table'!$AJ$11,M1024,0),"")</f>
        <v/>
      </c>
      <c r="S1024" t="str">
        <f ca="1">IF(ISNUMBER(N1024),OFFSET('MPIO_SFIO Table'!$AJ$11,N1024,0),"")</f>
        <v/>
      </c>
      <c r="T1024" t="str">
        <f ca="1">IF(ISNUMBER(O1024),OFFSET('MPIO_SFIO Table'!$AJ$11,O1024,0),"")</f>
        <v/>
      </c>
      <c r="U1024" t="str">
        <f ca="1">IF(ISNUMBER(P1024),OFFSET('MPIO_SFIO Table'!$AJ$11,P1024,0),"")</f>
        <v/>
      </c>
      <c r="V1024" t="str">
        <f ca="1">IF(ISNUMBER(Q1024),OFFSET('MPIO_SFIO Table'!$AJ$11,Q1024,0),"")</f>
        <v/>
      </c>
      <c r="W1024">
        <f t="shared" ca="1" si="131"/>
        <v>0</v>
      </c>
      <c r="X1024">
        <f t="shared" ca="1" si="132"/>
        <v>0</v>
      </c>
      <c r="Y1024">
        <f t="shared" ca="1" si="133"/>
        <v>0</v>
      </c>
      <c r="Z1024">
        <f t="shared" ca="1" si="134"/>
        <v>0</v>
      </c>
      <c r="AA1024">
        <f t="shared" ca="1" si="135"/>
        <v>0</v>
      </c>
    </row>
    <row r="1025" spans="1:27" x14ac:dyDescent="0.25">
      <c r="A1025">
        <f t="shared" ca="1" si="128"/>
        <v>0</v>
      </c>
      <c r="B1025" t="str">
        <f t="shared" ca="1" si="129"/>
        <v/>
      </c>
      <c r="C1025" t="str">
        <f t="shared" si="130"/>
        <v/>
      </c>
      <c r="D1025" t="s">
        <v>253</v>
      </c>
      <c r="E1025" t="s">
        <v>253</v>
      </c>
      <c r="F1025" s="3" t="s">
        <v>253</v>
      </c>
      <c r="G1025" s="11" t="s">
        <v>253</v>
      </c>
      <c r="H1025" s="11" t="s">
        <v>253</v>
      </c>
      <c r="I1025" s="3" t="s">
        <v>253</v>
      </c>
      <c r="J1025" s="3" t="s">
        <v>253</v>
      </c>
      <c r="K1025" s="3" t="s">
        <v>253</v>
      </c>
      <c r="L1025" s="3" t="s">
        <v>253</v>
      </c>
      <c r="M1025" t="str">
        <f>IF(LEN(H1025),MATCH(H1025,'MPIO_SFIO Table'!$A$11:$A$65525,0)-1,"")</f>
        <v/>
      </c>
      <c r="N1025" t="str">
        <f>IF(LEN(I1025),MATCH(I1025,'MPIO_SFIO Table'!$A$11:$A$65525,0)-1,"")</f>
        <v/>
      </c>
      <c r="O1025" t="str">
        <f>IF(LEN(J1025),MATCH(J1025,'MPIO_SFIO Table'!$A$11:$A$65525,0)-1,"")</f>
        <v/>
      </c>
      <c r="P1025" t="str">
        <f>IF(LEN(K1025),MATCH(K1025,'MPIO_SFIO Table'!$A$11:$A$65525,0)-1,"")</f>
        <v/>
      </c>
      <c r="Q1025" t="str">
        <f>IF(LEN(L1025),MATCH(L1025,'MPIO_SFIO Table'!$A$11:$A$65525,0)-1,"")</f>
        <v/>
      </c>
      <c r="R1025" t="str">
        <f ca="1">IF(ISNUMBER(M1025),OFFSET('MPIO_SFIO Table'!$AJ$11,M1025,0),"")</f>
        <v/>
      </c>
      <c r="S1025" t="str">
        <f ca="1">IF(ISNUMBER(N1025),OFFSET('MPIO_SFIO Table'!$AJ$11,N1025,0),"")</f>
        <v/>
      </c>
      <c r="T1025" t="str">
        <f ca="1">IF(ISNUMBER(O1025),OFFSET('MPIO_SFIO Table'!$AJ$11,O1025,0),"")</f>
        <v/>
      </c>
      <c r="U1025" t="str">
        <f ca="1">IF(ISNUMBER(P1025),OFFSET('MPIO_SFIO Table'!$AJ$11,P1025,0),"")</f>
        <v/>
      </c>
      <c r="V1025" t="str">
        <f ca="1">IF(ISNUMBER(Q1025),OFFSET('MPIO_SFIO Table'!$AJ$11,Q1025,0),"")</f>
        <v/>
      </c>
      <c r="W1025">
        <f t="shared" ca="1" si="131"/>
        <v>0</v>
      </c>
      <c r="X1025">
        <f t="shared" ca="1" si="132"/>
        <v>0</v>
      </c>
      <c r="Y1025">
        <f t="shared" ca="1" si="133"/>
        <v>0</v>
      </c>
      <c r="Z1025">
        <f t="shared" ca="1" si="134"/>
        <v>0</v>
      </c>
      <c r="AA1025">
        <f t="shared" ca="1" si="135"/>
        <v>0</v>
      </c>
    </row>
    <row r="1026" spans="1:27" x14ac:dyDescent="0.25">
      <c r="A1026">
        <f t="shared" ca="1" si="128"/>
        <v>0</v>
      </c>
      <c r="B1026" t="str">
        <f t="shared" ca="1" si="129"/>
        <v/>
      </c>
      <c r="C1026" t="str">
        <f t="shared" si="130"/>
        <v/>
      </c>
      <c r="D1026" t="s">
        <v>253</v>
      </c>
      <c r="E1026" t="s">
        <v>253</v>
      </c>
      <c r="F1026" s="3" t="s">
        <v>253</v>
      </c>
      <c r="G1026" s="11" t="s">
        <v>253</v>
      </c>
      <c r="H1026" s="11" t="s">
        <v>253</v>
      </c>
      <c r="I1026" s="3" t="s">
        <v>253</v>
      </c>
      <c r="J1026" s="3" t="s">
        <v>253</v>
      </c>
      <c r="K1026" s="3" t="s">
        <v>253</v>
      </c>
      <c r="L1026" s="3" t="s">
        <v>253</v>
      </c>
      <c r="M1026" t="str">
        <f>IF(LEN(H1026),MATCH(H1026,'MPIO_SFIO Table'!$A$11:$A$65525,0)-1,"")</f>
        <v/>
      </c>
      <c r="N1026" t="str">
        <f>IF(LEN(I1026),MATCH(I1026,'MPIO_SFIO Table'!$A$11:$A$65525,0)-1,"")</f>
        <v/>
      </c>
      <c r="O1026" t="str">
        <f>IF(LEN(J1026),MATCH(J1026,'MPIO_SFIO Table'!$A$11:$A$65525,0)-1,"")</f>
        <v/>
      </c>
      <c r="P1026" t="str">
        <f>IF(LEN(K1026),MATCH(K1026,'MPIO_SFIO Table'!$A$11:$A$65525,0)-1,"")</f>
        <v/>
      </c>
      <c r="Q1026" t="str">
        <f>IF(LEN(L1026),MATCH(L1026,'MPIO_SFIO Table'!$A$11:$A$65525,0)-1,"")</f>
        <v/>
      </c>
      <c r="R1026" t="str">
        <f ca="1">IF(ISNUMBER(M1026),OFFSET('MPIO_SFIO Table'!$AJ$11,M1026,0),"")</f>
        <v/>
      </c>
      <c r="S1026" t="str">
        <f ca="1">IF(ISNUMBER(N1026),OFFSET('MPIO_SFIO Table'!$AJ$11,N1026,0),"")</f>
        <v/>
      </c>
      <c r="T1026" t="str">
        <f ca="1">IF(ISNUMBER(O1026),OFFSET('MPIO_SFIO Table'!$AJ$11,O1026,0),"")</f>
        <v/>
      </c>
      <c r="U1026" t="str">
        <f ca="1">IF(ISNUMBER(P1026),OFFSET('MPIO_SFIO Table'!$AJ$11,P1026,0),"")</f>
        <v/>
      </c>
      <c r="V1026" t="str">
        <f ca="1">IF(ISNUMBER(Q1026),OFFSET('MPIO_SFIO Table'!$AJ$11,Q1026,0),"")</f>
        <v/>
      </c>
      <c r="W1026">
        <f t="shared" ca="1" si="131"/>
        <v>0</v>
      </c>
      <c r="X1026">
        <f t="shared" ca="1" si="132"/>
        <v>0</v>
      </c>
      <c r="Y1026">
        <f t="shared" ca="1" si="133"/>
        <v>0</v>
      </c>
      <c r="Z1026">
        <f t="shared" ca="1" si="134"/>
        <v>0</v>
      </c>
      <c r="AA1026">
        <f t="shared" ca="1" si="135"/>
        <v>0</v>
      </c>
    </row>
    <row r="1027" spans="1:27" x14ac:dyDescent="0.25">
      <c r="A1027">
        <f t="shared" ca="1" si="128"/>
        <v>0</v>
      </c>
      <c r="B1027" t="str">
        <f t="shared" ca="1" si="129"/>
        <v/>
      </c>
      <c r="C1027" t="str">
        <f t="shared" si="130"/>
        <v/>
      </c>
      <c r="D1027" t="s">
        <v>253</v>
      </c>
      <c r="E1027" t="s">
        <v>253</v>
      </c>
      <c r="F1027" s="3" t="s">
        <v>253</v>
      </c>
      <c r="G1027" s="11" t="s">
        <v>253</v>
      </c>
      <c r="H1027" s="11" t="s">
        <v>253</v>
      </c>
      <c r="I1027" s="3" t="s">
        <v>253</v>
      </c>
      <c r="J1027" s="3" t="s">
        <v>253</v>
      </c>
      <c r="K1027" s="3" t="s">
        <v>253</v>
      </c>
      <c r="L1027" s="3" t="s">
        <v>253</v>
      </c>
      <c r="M1027" t="str">
        <f>IF(LEN(H1027),MATCH(H1027,'MPIO_SFIO Table'!$A$11:$A$65525,0)-1,"")</f>
        <v/>
      </c>
      <c r="N1027" t="str">
        <f>IF(LEN(I1027),MATCH(I1027,'MPIO_SFIO Table'!$A$11:$A$65525,0)-1,"")</f>
        <v/>
      </c>
      <c r="O1027" t="str">
        <f>IF(LEN(J1027),MATCH(J1027,'MPIO_SFIO Table'!$A$11:$A$65525,0)-1,"")</f>
        <v/>
      </c>
      <c r="P1027" t="str">
        <f>IF(LEN(K1027),MATCH(K1027,'MPIO_SFIO Table'!$A$11:$A$65525,0)-1,"")</f>
        <v/>
      </c>
      <c r="Q1027" t="str">
        <f>IF(LEN(L1027),MATCH(L1027,'MPIO_SFIO Table'!$A$11:$A$65525,0)-1,"")</f>
        <v/>
      </c>
      <c r="R1027" t="str">
        <f ca="1">IF(ISNUMBER(M1027),OFFSET('MPIO_SFIO Table'!$AJ$11,M1027,0),"")</f>
        <v/>
      </c>
      <c r="S1027" t="str">
        <f ca="1">IF(ISNUMBER(N1027),OFFSET('MPIO_SFIO Table'!$AJ$11,N1027,0),"")</f>
        <v/>
      </c>
      <c r="T1027" t="str">
        <f ca="1">IF(ISNUMBER(O1027),OFFSET('MPIO_SFIO Table'!$AJ$11,O1027,0),"")</f>
        <v/>
      </c>
      <c r="U1027" t="str">
        <f ca="1">IF(ISNUMBER(P1027),OFFSET('MPIO_SFIO Table'!$AJ$11,P1027,0),"")</f>
        <v/>
      </c>
      <c r="V1027" t="str">
        <f ca="1">IF(ISNUMBER(Q1027),OFFSET('MPIO_SFIO Table'!$AJ$11,Q1027,0),"")</f>
        <v/>
      </c>
      <c r="W1027">
        <f t="shared" ca="1" si="131"/>
        <v>0</v>
      </c>
      <c r="X1027">
        <f t="shared" ca="1" si="132"/>
        <v>0</v>
      </c>
      <c r="Y1027">
        <f t="shared" ca="1" si="133"/>
        <v>0</v>
      </c>
      <c r="Z1027">
        <f t="shared" ca="1" si="134"/>
        <v>0</v>
      </c>
      <c r="AA1027">
        <f t="shared" ca="1" si="135"/>
        <v>0</v>
      </c>
    </row>
    <row r="1028" spans="1:27" x14ac:dyDescent="0.25">
      <c r="A1028">
        <f t="shared" ca="1" si="128"/>
        <v>0</v>
      </c>
      <c r="B1028" t="str">
        <f t="shared" ca="1" si="129"/>
        <v/>
      </c>
      <c r="C1028" t="str">
        <f t="shared" si="130"/>
        <v/>
      </c>
      <c r="D1028" t="s">
        <v>253</v>
      </c>
      <c r="E1028" t="s">
        <v>253</v>
      </c>
      <c r="F1028" s="3" t="s">
        <v>253</v>
      </c>
      <c r="G1028" s="11" t="s">
        <v>253</v>
      </c>
      <c r="H1028" s="11" t="s">
        <v>253</v>
      </c>
      <c r="I1028" s="3" t="s">
        <v>253</v>
      </c>
      <c r="J1028" s="3" t="s">
        <v>253</v>
      </c>
      <c r="K1028" s="3" t="s">
        <v>253</v>
      </c>
      <c r="L1028" s="3" t="s">
        <v>253</v>
      </c>
      <c r="M1028" t="str">
        <f>IF(LEN(H1028),MATCH(H1028,'MPIO_SFIO Table'!$A$11:$A$65525,0)-1,"")</f>
        <v/>
      </c>
      <c r="N1028" t="str">
        <f>IF(LEN(I1028),MATCH(I1028,'MPIO_SFIO Table'!$A$11:$A$65525,0)-1,"")</f>
        <v/>
      </c>
      <c r="O1028" t="str">
        <f>IF(LEN(J1028),MATCH(J1028,'MPIO_SFIO Table'!$A$11:$A$65525,0)-1,"")</f>
        <v/>
      </c>
      <c r="P1028" t="str">
        <f>IF(LEN(K1028),MATCH(K1028,'MPIO_SFIO Table'!$A$11:$A$65525,0)-1,"")</f>
        <v/>
      </c>
      <c r="Q1028" t="str">
        <f>IF(LEN(L1028),MATCH(L1028,'MPIO_SFIO Table'!$A$11:$A$65525,0)-1,"")</f>
        <v/>
      </c>
      <c r="R1028" t="str">
        <f ca="1">IF(ISNUMBER(M1028),OFFSET('MPIO_SFIO Table'!$AJ$11,M1028,0),"")</f>
        <v/>
      </c>
      <c r="S1028" t="str">
        <f ca="1">IF(ISNUMBER(N1028),OFFSET('MPIO_SFIO Table'!$AJ$11,N1028,0),"")</f>
        <v/>
      </c>
      <c r="T1028" t="str">
        <f ca="1">IF(ISNUMBER(O1028),OFFSET('MPIO_SFIO Table'!$AJ$11,O1028,0),"")</f>
        <v/>
      </c>
      <c r="U1028" t="str">
        <f ca="1">IF(ISNUMBER(P1028),OFFSET('MPIO_SFIO Table'!$AJ$11,P1028,0),"")</f>
        <v/>
      </c>
      <c r="V1028" t="str">
        <f ca="1">IF(ISNUMBER(Q1028),OFFSET('MPIO_SFIO Table'!$AJ$11,Q1028,0),"")</f>
        <v/>
      </c>
      <c r="W1028">
        <f t="shared" ca="1" si="131"/>
        <v>0</v>
      </c>
      <c r="X1028">
        <f t="shared" ca="1" si="132"/>
        <v>0</v>
      </c>
      <c r="Y1028">
        <f t="shared" ca="1" si="133"/>
        <v>0</v>
      </c>
      <c r="Z1028">
        <f t="shared" ca="1" si="134"/>
        <v>0</v>
      </c>
      <c r="AA1028">
        <f t="shared" ca="1" si="135"/>
        <v>0</v>
      </c>
    </row>
    <row r="1029" spans="1:27" x14ac:dyDescent="0.25">
      <c r="A1029">
        <f t="shared" ca="1" si="128"/>
        <v>0</v>
      </c>
      <c r="B1029" t="str">
        <f t="shared" ca="1" si="129"/>
        <v/>
      </c>
      <c r="C1029" t="str">
        <f t="shared" si="130"/>
        <v/>
      </c>
      <c r="D1029" t="s">
        <v>253</v>
      </c>
      <c r="E1029" t="s">
        <v>253</v>
      </c>
      <c r="F1029" s="3" t="s">
        <v>253</v>
      </c>
      <c r="G1029" s="11" t="s">
        <v>253</v>
      </c>
      <c r="H1029" s="11" t="s">
        <v>253</v>
      </c>
      <c r="I1029" s="3" t="s">
        <v>253</v>
      </c>
      <c r="J1029" s="3" t="s">
        <v>253</v>
      </c>
      <c r="K1029" s="3" t="s">
        <v>253</v>
      </c>
      <c r="L1029" s="3" t="s">
        <v>253</v>
      </c>
      <c r="M1029" t="str">
        <f>IF(LEN(H1029),MATCH(H1029,'MPIO_SFIO Table'!$A$11:$A$65525,0)-1,"")</f>
        <v/>
      </c>
      <c r="N1029" t="str">
        <f>IF(LEN(I1029),MATCH(I1029,'MPIO_SFIO Table'!$A$11:$A$65525,0)-1,"")</f>
        <v/>
      </c>
      <c r="O1029" t="str">
        <f>IF(LEN(J1029),MATCH(J1029,'MPIO_SFIO Table'!$A$11:$A$65525,0)-1,"")</f>
        <v/>
      </c>
      <c r="P1029" t="str">
        <f>IF(LEN(K1029),MATCH(K1029,'MPIO_SFIO Table'!$A$11:$A$65525,0)-1,"")</f>
        <v/>
      </c>
      <c r="Q1029" t="str">
        <f>IF(LEN(L1029),MATCH(L1029,'MPIO_SFIO Table'!$A$11:$A$65525,0)-1,"")</f>
        <v/>
      </c>
      <c r="R1029" t="str">
        <f ca="1">IF(ISNUMBER(M1029),OFFSET('MPIO_SFIO Table'!$AJ$11,M1029,0),"")</f>
        <v/>
      </c>
      <c r="S1029" t="str">
        <f ca="1">IF(ISNUMBER(N1029),OFFSET('MPIO_SFIO Table'!$AJ$11,N1029,0),"")</f>
        <v/>
      </c>
      <c r="T1029" t="str">
        <f ca="1">IF(ISNUMBER(O1029),OFFSET('MPIO_SFIO Table'!$AJ$11,O1029,0),"")</f>
        <v/>
      </c>
      <c r="U1029" t="str">
        <f ca="1">IF(ISNUMBER(P1029),OFFSET('MPIO_SFIO Table'!$AJ$11,P1029,0),"")</f>
        <v/>
      </c>
      <c r="V1029" t="str">
        <f ca="1">IF(ISNUMBER(Q1029),OFFSET('MPIO_SFIO Table'!$AJ$11,Q1029,0),"")</f>
        <v/>
      </c>
      <c r="W1029">
        <f t="shared" ca="1" si="131"/>
        <v>0</v>
      </c>
      <c r="X1029">
        <f t="shared" ca="1" si="132"/>
        <v>0</v>
      </c>
      <c r="Y1029">
        <f t="shared" ca="1" si="133"/>
        <v>0</v>
      </c>
      <c r="Z1029">
        <f t="shared" ca="1" si="134"/>
        <v>0</v>
      </c>
      <c r="AA1029">
        <f t="shared" ca="1" si="135"/>
        <v>0</v>
      </c>
    </row>
    <row r="1030" spans="1:27" x14ac:dyDescent="0.25">
      <c r="A1030">
        <f t="shared" ca="1" si="128"/>
        <v>0</v>
      </c>
      <c r="B1030" t="str">
        <f t="shared" ca="1" si="129"/>
        <v/>
      </c>
      <c r="C1030" t="str">
        <f t="shared" si="130"/>
        <v/>
      </c>
      <c r="D1030" t="s">
        <v>253</v>
      </c>
      <c r="E1030" t="s">
        <v>253</v>
      </c>
      <c r="F1030" s="3" t="s">
        <v>253</v>
      </c>
      <c r="G1030" s="11" t="s">
        <v>253</v>
      </c>
      <c r="H1030" s="11" t="s">
        <v>253</v>
      </c>
      <c r="I1030" s="3" t="s">
        <v>253</v>
      </c>
      <c r="J1030" s="3" t="s">
        <v>253</v>
      </c>
      <c r="K1030" s="3" t="s">
        <v>253</v>
      </c>
      <c r="L1030" s="3" t="s">
        <v>253</v>
      </c>
      <c r="M1030" t="str">
        <f>IF(LEN(H1030),MATCH(H1030,'MPIO_SFIO Table'!$A$11:$A$65525,0)-1,"")</f>
        <v/>
      </c>
      <c r="N1030" t="str">
        <f>IF(LEN(I1030),MATCH(I1030,'MPIO_SFIO Table'!$A$11:$A$65525,0)-1,"")</f>
        <v/>
      </c>
      <c r="O1030" t="str">
        <f>IF(LEN(J1030),MATCH(J1030,'MPIO_SFIO Table'!$A$11:$A$65525,0)-1,"")</f>
        <v/>
      </c>
      <c r="P1030" t="str">
        <f>IF(LEN(K1030),MATCH(K1030,'MPIO_SFIO Table'!$A$11:$A$65525,0)-1,"")</f>
        <v/>
      </c>
      <c r="Q1030" t="str">
        <f>IF(LEN(L1030),MATCH(L1030,'MPIO_SFIO Table'!$A$11:$A$65525,0)-1,"")</f>
        <v/>
      </c>
      <c r="R1030" t="str">
        <f ca="1">IF(ISNUMBER(M1030),OFFSET('MPIO_SFIO Table'!$AJ$11,M1030,0),"")</f>
        <v/>
      </c>
      <c r="S1030" t="str">
        <f ca="1">IF(ISNUMBER(N1030),OFFSET('MPIO_SFIO Table'!$AJ$11,N1030,0),"")</f>
        <v/>
      </c>
      <c r="T1030" t="str">
        <f ca="1">IF(ISNUMBER(O1030),OFFSET('MPIO_SFIO Table'!$AJ$11,O1030,0),"")</f>
        <v/>
      </c>
      <c r="U1030" t="str">
        <f ca="1">IF(ISNUMBER(P1030),OFFSET('MPIO_SFIO Table'!$AJ$11,P1030,0),"")</f>
        <v/>
      </c>
      <c r="V1030" t="str">
        <f ca="1">IF(ISNUMBER(Q1030),OFFSET('MPIO_SFIO Table'!$AJ$11,Q1030,0),"")</f>
        <v/>
      </c>
      <c r="W1030">
        <f t="shared" ca="1" si="131"/>
        <v>0</v>
      </c>
      <c r="X1030">
        <f t="shared" ca="1" si="132"/>
        <v>0</v>
      </c>
      <c r="Y1030">
        <f t="shared" ca="1" si="133"/>
        <v>0</v>
      </c>
      <c r="Z1030">
        <f t="shared" ca="1" si="134"/>
        <v>0</v>
      </c>
      <c r="AA1030">
        <f t="shared" ca="1" si="135"/>
        <v>0</v>
      </c>
    </row>
    <row r="1031" spans="1:27" x14ac:dyDescent="0.25">
      <c r="A1031">
        <f t="shared" ca="1" si="128"/>
        <v>0</v>
      </c>
      <c r="B1031" t="str">
        <f t="shared" ca="1" si="129"/>
        <v/>
      </c>
      <c r="C1031" t="str">
        <f t="shared" si="130"/>
        <v/>
      </c>
      <c r="D1031" t="s">
        <v>253</v>
      </c>
      <c r="E1031" t="s">
        <v>253</v>
      </c>
      <c r="F1031" s="3" t="s">
        <v>253</v>
      </c>
      <c r="G1031" s="11" t="s">
        <v>253</v>
      </c>
      <c r="H1031" s="11" t="s">
        <v>253</v>
      </c>
      <c r="I1031" s="3" t="s">
        <v>253</v>
      </c>
      <c r="J1031" s="3" t="s">
        <v>253</v>
      </c>
      <c r="K1031" s="3" t="s">
        <v>253</v>
      </c>
      <c r="L1031" s="3" t="s">
        <v>253</v>
      </c>
      <c r="M1031" t="str">
        <f>IF(LEN(H1031),MATCH(H1031,'MPIO_SFIO Table'!$A$11:$A$65525,0)-1,"")</f>
        <v/>
      </c>
      <c r="N1031" t="str">
        <f>IF(LEN(I1031),MATCH(I1031,'MPIO_SFIO Table'!$A$11:$A$65525,0)-1,"")</f>
        <v/>
      </c>
      <c r="O1031" t="str">
        <f>IF(LEN(J1031),MATCH(J1031,'MPIO_SFIO Table'!$A$11:$A$65525,0)-1,"")</f>
        <v/>
      </c>
      <c r="P1031" t="str">
        <f>IF(LEN(K1031),MATCH(K1031,'MPIO_SFIO Table'!$A$11:$A$65525,0)-1,"")</f>
        <v/>
      </c>
      <c r="Q1031" t="str">
        <f>IF(LEN(L1031),MATCH(L1031,'MPIO_SFIO Table'!$A$11:$A$65525,0)-1,"")</f>
        <v/>
      </c>
      <c r="R1031" t="str">
        <f ca="1">IF(ISNUMBER(M1031),OFFSET('MPIO_SFIO Table'!$AJ$11,M1031,0),"")</f>
        <v/>
      </c>
      <c r="S1031" t="str">
        <f ca="1">IF(ISNUMBER(N1031),OFFSET('MPIO_SFIO Table'!$AJ$11,N1031,0),"")</f>
        <v/>
      </c>
      <c r="T1031" t="str">
        <f ca="1">IF(ISNUMBER(O1031),OFFSET('MPIO_SFIO Table'!$AJ$11,O1031,0),"")</f>
        <v/>
      </c>
      <c r="U1031" t="str">
        <f ca="1">IF(ISNUMBER(P1031),OFFSET('MPIO_SFIO Table'!$AJ$11,P1031,0),"")</f>
        <v/>
      </c>
      <c r="V1031" t="str">
        <f ca="1">IF(ISNUMBER(Q1031),OFFSET('MPIO_SFIO Table'!$AJ$11,Q1031,0),"")</f>
        <v/>
      </c>
      <c r="W1031">
        <f t="shared" ca="1" si="131"/>
        <v>0</v>
      </c>
      <c r="X1031">
        <f t="shared" ca="1" si="132"/>
        <v>0</v>
      </c>
      <c r="Y1031">
        <f t="shared" ca="1" si="133"/>
        <v>0</v>
      </c>
      <c r="Z1031">
        <f t="shared" ca="1" si="134"/>
        <v>0</v>
      </c>
      <c r="AA1031">
        <f t="shared" ca="1" si="135"/>
        <v>0</v>
      </c>
    </row>
    <row r="1032" spans="1:27" x14ac:dyDescent="0.25">
      <c r="A1032">
        <f t="shared" ref="A1032:A1095" ca="1" si="136">SUM($W1032:$AA1032)</f>
        <v>0</v>
      </c>
      <c r="B1032" t="str">
        <f t="shared" ref="B1032:B1095" ca="1" si="137">IF(A1032&lt;&gt;0,REPLACE(G1032,FIND("-",G1032),LEN(G1032),""),"")</f>
        <v/>
      </c>
      <c r="C1032" t="str">
        <f t="shared" si="130"/>
        <v/>
      </c>
      <c r="D1032" t="s">
        <v>253</v>
      </c>
      <c r="E1032" t="s">
        <v>253</v>
      </c>
      <c r="F1032" s="3" t="s">
        <v>253</v>
      </c>
      <c r="G1032" s="11" t="s">
        <v>253</v>
      </c>
      <c r="H1032" s="11" t="s">
        <v>253</v>
      </c>
      <c r="I1032" s="3" t="s">
        <v>253</v>
      </c>
      <c r="J1032" s="3" t="s">
        <v>253</v>
      </c>
      <c r="K1032" s="3" t="s">
        <v>253</v>
      </c>
      <c r="L1032" s="3" t="s">
        <v>253</v>
      </c>
      <c r="M1032" t="str">
        <f>IF(LEN(H1032),MATCH(H1032,'MPIO_SFIO Table'!$A$11:$A$65525,0)-1,"")</f>
        <v/>
      </c>
      <c r="N1032" t="str">
        <f>IF(LEN(I1032),MATCH(I1032,'MPIO_SFIO Table'!$A$11:$A$65525,0)-1,"")</f>
        <v/>
      </c>
      <c r="O1032" t="str">
        <f>IF(LEN(J1032),MATCH(J1032,'MPIO_SFIO Table'!$A$11:$A$65525,0)-1,"")</f>
        <v/>
      </c>
      <c r="P1032" t="str">
        <f>IF(LEN(K1032),MATCH(K1032,'MPIO_SFIO Table'!$A$11:$A$65525,0)-1,"")</f>
        <v/>
      </c>
      <c r="Q1032" t="str">
        <f>IF(LEN(L1032),MATCH(L1032,'MPIO_SFIO Table'!$A$11:$A$65525,0)-1,"")</f>
        <v/>
      </c>
      <c r="R1032" t="str">
        <f ca="1">IF(ISNUMBER(M1032),OFFSET('MPIO_SFIO Table'!$AJ$11,M1032,0),"")</f>
        <v/>
      </c>
      <c r="S1032" t="str">
        <f ca="1">IF(ISNUMBER(N1032),OFFSET('MPIO_SFIO Table'!$AJ$11,N1032,0),"")</f>
        <v/>
      </c>
      <c r="T1032" t="str">
        <f ca="1">IF(ISNUMBER(O1032),OFFSET('MPIO_SFIO Table'!$AJ$11,O1032,0),"")</f>
        <v/>
      </c>
      <c r="U1032" t="str">
        <f ca="1">IF(ISNUMBER(P1032),OFFSET('MPIO_SFIO Table'!$AJ$11,P1032,0),"")</f>
        <v/>
      </c>
      <c r="V1032" t="str">
        <f ca="1">IF(ISNUMBER(Q1032),OFFSET('MPIO_SFIO Table'!$AJ$11,Q1032,0),"")</f>
        <v/>
      </c>
      <c r="W1032">
        <f t="shared" ca="1" si="131"/>
        <v>0</v>
      </c>
      <c r="X1032">
        <f t="shared" ca="1" si="132"/>
        <v>0</v>
      </c>
      <c r="Y1032">
        <f t="shared" ca="1" si="133"/>
        <v>0</v>
      </c>
      <c r="Z1032">
        <f t="shared" ca="1" si="134"/>
        <v>0</v>
      </c>
      <c r="AA1032">
        <f t="shared" ca="1" si="135"/>
        <v>0</v>
      </c>
    </row>
    <row r="1033" spans="1:27" x14ac:dyDescent="0.25">
      <c r="A1033">
        <f t="shared" ca="1" si="136"/>
        <v>0</v>
      </c>
      <c r="B1033" t="str">
        <f t="shared" ca="1" si="137"/>
        <v/>
      </c>
      <c r="C1033" t="str">
        <f t="shared" ref="C1033:C1096" si="138">REPLACE(G1033,FIND(".",CONCATENATE(REPLACE(G1033,FIND("-",CONCATENATE(G1033,"-")),LEN(G1033),""),".")),LEN(G1033),"")</f>
        <v/>
      </c>
      <c r="D1033" t="s">
        <v>253</v>
      </c>
      <c r="E1033" t="s">
        <v>253</v>
      </c>
      <c r="F1033" s="3" t="s">
        <v>253</v>
      </c>
      <c r="G1033" s="11" t="s">
        <v>253</v>
      </c>
      <c r="H1033" s="11" t="s">
        <v>253</v>
      </c>
      <c r="I1033" s="3" t="s">
        <v>253</v>
      </c>
      <c r="J1033" s="3" t="s">
        <v>253</v>
      </c>
      <c r="K1033" s="3" t="s">
        <v>253</v>
      </c>
      <c r="L1033" s="3" t="s">
        <v>253</v>
      </c>
      <c r="M1033" t="str">
        <f>IF(LEN(H1033),MATCH(H1033,'MPIO_SFIO Table'!$A$11:$A$65525,0)-1,"")</f>
        <v/>
      </c>
      <c r="N1033" t="str">
        <f>IF(LEN(I1033),MATCH(I1033,'MPIO_SFIO Table'!$A$11:$A$65525,0)-1,"")</f>
        <v/>
      </c>
      <c r="O1033" t="str">
        <f>IF(LEN(J1033),MATCH(J1033,'MPIO_SFIO Table'!$A$11:$A$65525,0)-1,"")</f>
        <v/>
      </c>
      <c r="P1033" t="str">
        <f>IF(LEN(K1033),MATCH(K1033,'MPIO_SFIO Table'!$A$11:$A$65525,0)-1,"")</f>
        <v/>
      </c>
      <c r="Q1033" t="str">
        <f>IF(LEN(L1033),MATCH(L1033,'MPIO_SFIO Table'!$A$11:$A$65525,0)-1,"")</f>
        <v/>
      </c>
      <c r="R1033" t="str">
        <f ca="1">IF(ISNUMBER(M1033),OFFSET('MPIO_SFIO Table'!$AJ$11,M1033,0),"")</f>
        <v/>
      </c>
      <c r="S1033" t="str">
        <f ca="1">IF(ISNUMBER(N1033),OFFSET('MPIO_SFIO Table'!$AJ$11,N1033,0),"")</f>
        <v/>
      </c>
      <c r="T1033" t="str">
        <f ca="1">IF(ISNUMBER(O1033),OFFSET('MPIO_SFIO Table'!$AJ$11,O1033,0),"")</f>
        <v/>
      </c>
      <c r="U1033" t="str">
        <f ca="1">IF(ISNUMBER(P1033),OFFSET('MPIO_SFIO Table'!$AJ$11,P1033,0),"")</f>
        <v/>
      </c>
      <c r="V1033" t="str">
        <f ca="1">IF(ISNUMBER(Q1033),OFFSET('MPIO_SFIO Table'!$AJ$11,Q1033,0),"")</f>
        <v/>
      </c>
      <c r="W1033">
        <f t="shared" ref="W1033:W1096" ca="1" si="139">1*AND(ISTEXT(R1033),LEN(R1033),R1033=$G1033)</f>
        <v>0</v>
      </c>
      <c r="X1033">
        <f t="shared" ref="X1033:X1096" ca="1" si="140">1*AND(ISTEXT(S1033),LEN(S1033),S1033=$G1033)</f>
        <v>0</v>
      </c>
      <c r="Y1033">
        <f t="shared" ref="Y1033:Y1096" ca="1" si="141">1*AND(ISTEXT(T1033),LEN(T1033),T1033=$G1033)</f>
        <v>0</v>
      </c>
      <c r="Z1033">
        <f t="shared" ref="Z1033:Z1096" ca="1" si="142">1*AND(ISTEXT(U1033),LEN(U1033),U1033=$G1033)</f>
        <v>0</v>
      </c>
      <c r="AA1033">
        <f t="shared" ref="AA1033:AA1096" ca="1" si="143">1*AND(ISTEXT(V1033),LEN(V1033),V1033=$G1033)</f>
        <v>0</v>
      </c>
    </row>
    <row r="1034" spans="1:27" x14ac:dyDescent="0.25">
      <c r="A1034">
        <f t="shared" ca="1" si="136"/>
        <v>0</v>
      </c>
      <c r="B1034" t="str">
        <f t="shared" ca="1" si="137"/>
        <v/>
      </c>
      <c r="C1034" t="str">
        <f t="shared" si="138"/>
        <v/>
      </c>
      <c r="D1034" t="s">
        <v>253</v>
      </c>
      <c r="E1034" t="s">
        <v>253</v>
      </c>
      <c r="F1034" s="3" t="s">
        <v>253</v>
      </c>
      <c r="G1034" s="11" t="s">
        <v>253</v>
      </c>
      <c r="H1034" s="11" t="s">
        <v>253</v>
      </c>
      <c r="I1034" s="3" t="s">
        <v>253</v>
      </c>
      <c r="J1034" s="3" t="s">
        <v>253</v>
      </c>
      <c r="K1034" s="3" t="s">
        <v>253</v>
      </c>
      <c r="L1034" s="3" t="s">
        <v>253</v>
      </c>
      <c r="M1034" t="str">
        <f>IF(LEN(H1034),MATCH(H1034,'MPIO_SFIO Table'!$A$11:$A$65525,0)-1,"")</f>
        <v/>
      </c>
      <c r="N1034" t="str">
        <f>IF(LEN(I1034),MATCH(I1034,'MPIO_SFIO Table'!$A$11:$A$65525,0)-1,"")</f>
        <v/>
      </c>
      <c r="O1034" t="str">
        <f>IF(LEN(J1034),MATCH(J1034,'MPIO_SFIO Table'!$A$11:$A$65525,0)-1,"")</f>
        <v/>
      </c>
      <c r="P1034" t="str">
        <f>IF(LEN(K1034),MATCH(K1034,'MPIO_SFIO Table'!$A$11:$A$65525,0)-1,"")</f>
        <v/>
      </c>
      <c r="Q1034" t="str">
        <f>IF(LEN(L1034),MATCH(L1034,'MPIO_SFIO Table'!$A$11:$A$65525,0)-1,"")</f>
        <v/>
      </c>
      <c r="R1034" t="str">
        <f ca="1">IF(ISNUMBER(M1034),OFFSET('MPIO_SFIO Table'!$AJ$11,M1034,0),"")</f>
        <v/>
      </c>
      <c r="S1034" t="str">
        <f ca="1">IF(ISNUMBER(N1034),OFFSET('MPIO_SFIO Table'!$AJ$11,N1034,0),"")</f>
        <v/>
      </c>
      <c r="T1034" t="str">
        <f ca="1">IF(ISNUMBER(O1034),OFFSET('MPIO_SFIO Table'!$AJ$11,O1034,0),"")</f>
        <v/>
      </c>
      <c r="U1034" t="str">
        <f ca="1">IF(ISNUMBER(P1034),OFFSET('MPIO_SFIO Table'!$AJ$11,P1034,0),"")</f>
        <v/>
      </c>
      <c r="V1034" t="str">
        <f ca="1">IF(ISNUMBER(Q1034),OFFSET('MPIO_SFIO Table'!$AJ$11,Q1034,0),"")</f>
        <v/>
      </c>
      <c r="W1034">
        <f t="shared" ca="1" si="139"/>
        <v>0</v>
      </c>
      <c r="X1034">
        <f t="shared" ca="1" si="140"/>
        <v>0</v>
      </c>
      <c r="Y1034">
        <f t="shared" ca="1" si="141"/>
        <v>0</v>
      </c>
      <c r="Z1034">
        <f t="shared" ca="1" si="142"/>
        <v>0</v>
      </c>
      <c r="AA1034">
        <f t="shared" ca="1" si="143"/>
        <v>0</v>
      </c>
    </row>
    <row r="1035" spans="1:27" x14ac:dyDescent="0.25">
      <c r="A1035">
        <f t="shared" ca="1" si="136"/>
        <v>0</v>
      </c>
      <c r="B1035" t="str">
        <f t="shared" ca="1" si="137"/>
        <v/>
      </c>
      <c r="C1035" t="str">
        <f t="shared" si="138"/>
        <v/>
      </c>
      <c r="D1035" t="s">
        <v>253</v>
      </c>
      <c r="E1035" t="s">
        <v>253</v>
      </c>
      <c r="F1035" s="3" t="s">
        <v>253</v>
      </c>
      <c r="G1035" s="11" t="s">
        <v>253</v>
      </c>
      <c r="H1035" s="11" t="s">
        <v>253</v>
      </c>
      <c r="I1035" s="3" t="s">
        <v>253</v>
      </c>
      <c r="J1035" s="3" t="s">
        <v>253</v>
      </c>
      <c r="K1035" s="3" t="s">
        <v>253</v>
      </c>
      <c r="L1035" s="3" t="s">
        <v>253</v>
      </c>
      <c r="M1035" t="str">
        <f>IF(LEN(H1035),MATCH(H1035,'MPIO_SFIO Table'!$A$11:$A$65525,0)-1,"")</f>
        <v/>
      </c>
      <c r="N1035" t="str">
        <f>IF(LEN(I1035),MATCH(I1035,'MPIO_SFIO Table'!$A$11:$A$65525,0)-1,"")</f>
        <v/>
      </c>
      <c r="O1035" t="str">
        <f>IF(LEN(J1035),MATCH(J1035,'MPIO_SFIO Table'!$A$11:$A$65525,0)-1,"")</f>
        <v/>
      </c>
      <c r="P1035" t="str">
        <f>IF(LEN(K1035),MATCH(K1035,'MPIO_SFIO Table'!$A$11:$A$65525,0)-1,"")</f>
        <v/>
      </c>
      <c r="Q1035" t="str">
        <f>IF(LEN(L1035),MATCH(L1035,'MPIO_SFIO Table'!$A$11:$A$65525,0)-1,"")</f>
        <v/>
      </c>
      <c r="R1035" t="str">
        <f ca="1">IF(ISNUMBER(M1035),OFFSET('MPIO_SFIO Table'!$AJ$11,M1035,0),"")</f>
        <v/>
      </c>
      <c r="S1035" t="str">
        <f ca="1">IF(ISNUMBER(N1035),OFFSET('MPIO_SFIO Table'!$AJ$11,N1035,0),"")</f>
        <v/>
      </c>
      <c r="T1035" t="str">
        <f ca="1">IF(ISNUMBER(O1035),OFFSET('MPIO_SFIO Table'!$AJ$11,O1035,0),"")</f>
        <v/>
      </c>
      <c r="U1035" t="str">
        <f ca="1">IF(ISNUMBER(P1035),OFFSET('MPIO_SFIO Table'!$AJ$11,P1035,0),"")</f>
        <v/>
      </c>
      <c r="V1035" t="str">
        <f ca="1">IF(ISNUMBER(Q1035),OFFSET('MPIO_SFIO Table'!$AJ$11,Q1035,0),"")</f>
        <v/>
      </c>
      <c r="W1035">
        <f t="shared" ca="1" si="139"/>
        <v>0</v>
      </c>
      <c r="X1035">
        <f t="shared" ca="1" si="140"/>
        <v>0</v>
      </c>
      <c r="Y1035">
        <f t="shared" ca="1" si="141"/>
        <v>0</v>
      </c>
      <c r="Z1035">
        <f t="shared" ca="1" si="142"/>
        <v>0</v>
      </c>
      <c r="AA1035">
        <f t="shared" ca="1" si="143"/>
        <v>0</v>
      </c>
    </row>
    <row r="1036" spans="1:27" x14ac:dyDescent="0.25">
      <c r="A1036">
        <f t="shared" ca="1" si="136"/>
        <v>0</v>
      </c>
      <c r="B1036" t="str">
        <f t="shared" ca="1" si="137"/>
        <v/>
      </c>
      <c r="C1036" t="str">
        <f t="shared" si="138"/>
        <v/>
      </c>
      <c r="D1036" t="s">
        <v>253</v>
      </c>
      <c r="E1036" t="s">
        <v>253</v>
      </c>
      <c r="F1036" s="3" t="s">
        <v>253</v>
      </c>
      <c r="G1036" s="11" t="s">
        <v>253</v>
      </c>
      <c r="H1036" s="11" t="s">
        <v>253</v>
      </c>
      <c r="I1036" s="3" t="s">
        <v>253</v>
      </c>
      <c r="J1036" s="3" t="s">
        <v>253</v>
      </c>
      <c r="K1036" s="3" t="s">
        <v>253</v>
      </c>
      <c r="L1036" s="3" t="s">
        <v>253</v>
      </c>
      <c r="M1036" t="str">
        <f>IF(LEN(H1036),MATCH(H1036,'MPIO_SFIO Table'!$A$11:$A$65525,0)-1,"")</f>
        <v/>
      </c>
      <c r="N1036" t="str">
        <f>IF(LEN(I1036),MATCH(I1036,'MPIO_SFIO Table'!$A$11:$A$65525,0)-1,"")</f>
        <v/>
      </c>
      <c r="O1036" t="str">
        <f>IF(LEN(J1036),MATCH(J1036,'MPIO_SFIO Table'!$A$11:$A$65525,0)-1,"")</f>
        <v/>
      </c>
      <c r="P1036" t="str">
        <f>IF(LEN(K1036),MATCH(K1036,'MPIO_SFIO Table'!$A$11:$A$65525,0)-1,"")</f>
        <v/>
      </c>
      <c r="Q1036" t="str">
        <f>IF(LEN(L1036),MATCH(L1036,'MPIO_SFIO Table'!$A$11:$A$65525,0)-1,"")</f>
        <v/>
      </c>
      <c r="R1036" t="str">
        <f ca="1">IF(ISNUMBER(M1036),OFFSET('MPIO_SFIO Table'!$AJ$11,M1036,0),"")</f>
        <v/>
      </c>
      <c r="S1036" t="str">
        <f ca="1">IF(ISNUMBER(N1036),OFFSET('MPIO_SFIO Table'!$AJ$11,N1036,0),"")</f>
        <v/>
      </c>
      <c r="T1036" t="str">
        <f ca="1">IF(ISNUMBER(O1036),OFFSET('MPIO_SFIO Table'!$AJ$11,O1036,0),"")</f>
        <v/>
      </c>
      <c r="U1036" t="str">
        <f ca="1">IF(ISNUMBER(P1036),OFFSET('MPIO_SFIO Table'!$AJ$11,P1036,0),"")</f>
        <v/>
      </c>
      <c r="V1036" t="str">
        <f ca="1">IF(ISNUMBER(Q1036),OFFSET('MPIO_SFIO Table'!$AJ$11,Q1036,0),"")</f>
        <v/>
      </c>
      <c r="W1036">
        <f t="shared" ca="1" si="139"/>
        <v>0</v>
      </c>
      <c r="X1036">
        <f t="shared" ca="1" si="140"/>
        <v>0</v>
      </c>
      <c r="Y1036">
        <f t="shared" ca="1" si="141"/>
        <v>0</v>
      </c>
      <c r="Z1036">
        <f t="shared" ca="1" si="142"/>
        <v>0</v>
      </c>
      <c r="AA1036">
        <f t="shared" ca="1" si="143"/>
        <v>0</v>
      </c>
    </row>
    <row r="1037" spans="1:27" x14ac:dyDescent="0.25">
      <c r="A1037">
        <f t="shared" ca="1" si="136"/>
        <v>0</v>
      </c>
      <c r="B1037" t="str">
        <f t="shared" ca="1" si="137"/>
        <v/>
      </c>
      <c r="C1037" t="str">
        <f t="shared" si="138"/>
        <v/>
      </c>
      <c r="D1037" t="s">
        <v>253</v>
      </c>
      <c r="E1037" t="s">
        <v>253</v>
      </c>
      <c r="F1037" s="3" t="s">
        <v>253</v>
      </c>
      <c r="G1037" s="11" t="s">
        <v>253</v>
      </c>
      <c r="H1037" s="11" t="s">
        <v>253</v>
      </c>
      <c r="I1037" s="3" t="s">
        <v>253</v>
      </c>
      <c r="J1037" s="3" t="s">
        <v>253</v>
      </c>
      <c r="K1037" s="3" t="s">
        <v>253</v>
      </c>
      <c r="L1037" s="3" t="s">
        <v>253</v>
      </c>
      <c r="M1037" t="str">
        <f>IF(LEN(H1037),MATCH(H1037,'MPIO_SFIO Table'!$A$11:$A$65525,0)-1,"")</f>
        <v/>
      </c>
      <c r="N1037" t="str">
        <f>IF(LEN(I1037),MATCH(I1037,'MPIO_SFIO Table'!$A$11:$A$65525,0)-1,"")</f>
        <v/>
      </c>
      <c r="O1037" t="str">
        <f>IF(LEN(J1037),MATCH(J1037,'MPIO_SFIO Table'!$A$11:$A$65525,0)-1,"")</f>
        <v/>
      </c>
      <c r="P1037" t="str">
        <f>IF(LEN(K1037),MATCH(K1037,'MPIO_SFIO Table'!$A$11:$A$65525,0)-1,"")</f>
        <v/>
      </c>
      <c r="Q1037" t="str">
        <f>IF(LEN(L1037),MATCH(L1037,'MPIO_SFIO Table'!$A$11:$A$65525,0)-1,"")</f>
        <v/>
      </c>
      <c r="R1037" t="str">
        <f ca="1">IF(ISNUMBER(M1037),OFFSET('MPIO_SFIO Table'!$AJ$11,M1037,0),"")</f>
        <v/>
      </c>
      <c r="S1037" t="str">
        <f ca="1">IF(ISNUMBER(N1037),OFFSET('MPIO_SFIO Table'!$AJ$11,N1037,0),"")</f>
        <v/>
      </c>
      <c r="T1037" t="str">
        <f ca="1">IF(ISNUMBER(O1037),OFFSET('MPIO_SFIO Table'!$AJ$11,O1037,0),"")</f>
        <v/>
      </c>
      <c r="U1037" t="str">
        <f ca="1">IF(ISNUMBER(P1037),OFFSET('MPIO_SFIO Table'!$AJ$11,P1037,0),"")</f>
        <v/>
      </c>
      <c r="V1037" t="str">
        <f ca="1">IF(ISNUMBER(Q1037),OFFSET('MPIO_SFIO Table'!$AJ$11,Q1037,0),"")</f>
        <v/>
      </c>
      <c r="W1037">
        <f t="shared" ca="1" si="139"/>
        <v>0</v>
      </c>
      <c r="X1037">
        <f t="shared" ca="1" si="140"/>
        <v>0</v>
      </c>
      <c r="Y1037">
        <f t="shared" ca="1" si="141"/>
        <v>0</v>
      </c>
      <c r="Z1037">
        <f t="shared" ca="1" si="142"/>
        <v>0</v>
      </c>
      <c r="AA1037">
        <f t="shared" ca="1" si="143"/>
        <v>0</v>
      </c>
    </row>
    <row r="1038" spans="1:27" x14ac:dyDescent="0.25">
      <c r="A1038">
        <f t="shared" ca="1" si="136"/>
        <v>0</v>
      </c>
      <c r="B1038" t="str">
        <f t="shared" ca="1" si="137"/>
        <v/>
      </c>
      <c r="C1038" t="str">
        <f t="shared" si="138"/>
        <v/>
      </c>
      <c r="D1038" t="s">
        <v>253</v>
      </c>
      <c r="E1038" t="s">
        <v>253</v>
      </c>
      <c r="F1038" s="3" t="s">
        <v>253</v>
      </c>
      <c r="G1038" s="11" t="s">
        <v>253</v>
      </c>
      <c r="H1038" s="11" t="s">
        <v>253</v>
      </c>
      <c r="I1038" s="3" t="s">
        <v>253</v>
      </c>
      <c r="J1038" s="3" t="s">
        <v>253</v>
      </c>
      <c r="K1038" s="3" t="s">
        <v>253</v>
      </c>
      <c r="L1038" s="3" t="s">
        <v>253</v>
      </c>
      <c r="M1038" t="str">
        <f>IF(LEN(H1038),MATCH(H1038,'MPIO_SFIO Table'!$A$11:$A$65525,0)-1,"")</f>
        <v/>
      </c>
      <c r="N1038" t="str">
        <f>IF(LEN(I1038),MATCH(I1038,'MPIO_SFIO Table'!$A$11:$A$65525,0)-1,"")</f>
        <v/>
      </c>
      <c r="O1038" t="str">
        <f>IF(LEN(J1038),MATCH(J1038,'MPIO_SFIO Table'!$A$11:$A$65525,0)-1,"")</f>
        <v/>
      </c>
      <c r="P1038" t="str">
        <f>IF(LEN(K1038),MATCH(K1038,'MPIO_SFIO Table'!$A$11:$A$65525,0)-1,"")</f>
        <v/>
      </c>
      <c r="Q1038" t="str">
        <f>IF(LEN(L1038),MATCH(L1038,'MPIO_SFIO Table'!$A$11:$A$65525,0)-1,"")</f>
        <v/>
      </c>
      <c r="R1038" t="str">
        <f ca="1">IF(ISNUMBER(M1038),OFFSET('MPIO_SFIO Table'!$AJ$11,M1038,0),"")</f>
        <v/>
      </c>
      <c r="S1038" t="str">
        <f ca="1">IF(ISNUMBER(N1038),OFFSET('MPIO_SFIO Table'!$AJ$11,N1038,0),"")</f>
        <v/>
      </c>
      <c r="T1038" t="str">
        <f ca="1">IF(ISNUMBER(O1038),OFFSET('MPIO_SFIO Table'!$AJ$11,O1038,0),"")</f>
        <v/>
      </c>
      <c r="U1038" t="str">
        <f ca="1">IF(ISNUMBER(P1038),OFFSET('MPIO_SFIO Table'!$AJ$11,P1038,0),"")</f>
        <v/>
      </c>
      <c r="V1038" t="str">
        <f ca="1">IF(ISNUMBER(Q1038),OFFSET('MPIO_SFIO Table'!$AJ$11,Q1038,0),"")</f>
        <v/>
      </c>
      <c r="W1038">
        <f t="shared" ca="1" si="139"/>
        <v>0</v>
      </c>
      <c r="X1038">
        <f t="shared" ca="1" si="140"/>
        <v>0</v>
      </c>
      <c r="Y1038">
        <f t="shared" ca="1" si="141"/>
        <v>0</v>
      </c>
      <c r="Z1038">
        <f t="shared" ca="1" si="142"/>
        <v>0</v>
      </c>
      <c r="AA1038">
        <f t="shared" ca="1" si="143"/>
        <v>0</v>
      </c>
    </row>
    <row r="1039" spans="1:27" x14ac:dyDescent="0.25">
      <c r="A1039">
        <f t="shared" ca="1" si="136"/>
        <v>0</v>
      </c>
      <c r="B1039" t="str">
        <f t="shared" ca="1" si="137"/>
        <v/>
      </c>
      <c r="C1039" t="str">
        <f t="shared" si="138"/>
        <v/>
      </c>
      <c r="D1039" t="s">
        <v>253</v>
      </c>
      <c r="E1039" t="s">
        <v>253</v>
      </c>
      <c r="F1039" s="3" t="s">
        <v>253</v>
      </c>
      <c r="G1039" s="11" t="s">
        <v>253</v>
      </c>
      <c r="H1039" s="11" t="s">
        <v>253</v>
      </c>
      <c r="I1039" s="3" t="s">
        <v>253</v>
      </c>
      <c r="J1039" s="3" t="s">
        <v>253</v>
      </c>
      <c r="K1039" s="3" t="s">
        <v>253</v>
      </c>
      <c r="L1039" s="3" t="s">
        <v>253</v>
      </c>
      <c r="M1039" t="str">
        <f>IF(LEN(H1039),MATCH(H1039,'MPIO_SFIO Table'!$A$11:$A$65525,0)-1,"")</f>
        <v/>
      </c>
      <c r="N1039" t="str">
        <f>IF(LEN(I1039),MATCH(I1039,'MPIO_SFIO Table'!$A$11:$A$65525,0)-1,"")</f>
        <v/>
      </c>
      <c r="O1039" t="str">
        <f>IF(LEN(J1039),MATCH(J1039,'MPIO_SFIO Table'!$A$11:$A$65525,0)-1,"")</f>
        <v/>
      </c>
      <c r="P1039" t="str">
        <f>IF(LEN(K1039),MATCH(K1039,'MPIO_SFIO Table'!$A$11:$A$65525,0)-1,"")</f>
        <v/>
      </c>
      <c r="Q1039" t="str">
        <f>IF(LEN(L1039),MATCH(L1039,'MPIO_SFIO Table'!$A$11:$A$65525,0)-1,"")</f>
        <v/>
      </c>
      <c r="R1039" t="str">
        <f ca="1">IF(ISNUMBER(M1039),OFFSET('MPIO_SFIO Table'!$AJ$11,M1039,0),"")</f>
        <v/>
      </c>
      <c r="S1039" t="str">
        <f ca="1">IF(ISNUMBER(N1039),OFFSET('MPIO_SFIO Table'!$AJ$11,N1039,0),"")</f>
        <v/>
      </c>
      <c r="T1039" t="str">
        <f ca="1">IF(ISNUMBER(O1039),OFFSET('MPIO_SFIO Table'!$AJ$11,O1039,0),"")</f>
        <v/>
      </c>
      <c r="U1039" t="str">
        <f ca="1">IF(ISNUMBER(P1039),OFFSET('MPIO_SFIO Table'!$AJ$11,P1039,0),"")</f>
        <v/>
      </c>
      <c r="V1039" t="str">
        <f ca="1">IF(ISNUMBER(Q1039),OFFSET('MPIO_SFIO Table'!$AJ$11,Q1039,0),"")</f>
        <v/>
      </c>
      <c r="W1039">
        <f t="shared" ca="1" si="139"/>
        <v>0</v>
      </c>
      <c r="X1039">
        <f t="shared" ca="1" si="140"/>
        <v>0</v>
      </c>
      <c r="Y1039">
        <f t="shared" ca="1" si="141"/>
        <v>0</v>
      </c>
      <c r="Z1039">
        <f t="shared" ca="1" si="142"/>
        <v>0</v>
      </c>
      <c r="AA1039">
        <f t="shared" ca="1" si="143"/>
        <v>0</v>
      </c>
    </row>
    <row r="1040" spans="1:27" x14ac:dyDescent="0.25">
      <c r="A1040">
        <f t="shared" ca="1" si="136"/>
        <v>0</v>
      </c>
      <c r="B1040" t="str">
        <f t="shared" ca="1" si="137"/>
        <v/>
      </c>
      <c r="C1040" t="str">
        <f t="shared" si="138"/>
        <v/>
      </c>
      <c r="D1040" t="s">
        <v>253</v>
      </c>
      <c r="E1040" t="s">
        <v>253</v>
      </c>
      <c r="F1040" s="3" t="s">
        <v>253</v>
      </c>
      <c r="G1040" s="11" t="s">
        <v>253</v>
      </c>
      <c r="H1040" s="11" t="s">
        <v>253</v>
      </c>
      <c r="I1040" s="3" t="s">
        <v>253</v>
      </c>
      <c r="J1040" s="3" t="s">
        <v>253</v>
      </c>
      <c r="K1040" s="3" t="s">
        <v>253</v>
      </c>
      <c r="L1040" s="3" t="s">
        <v>253</v>
      </c>
      <c r="M1040" t="str">
        <f>IF(LEN(H1040),MATCH(H1040,'MPIO_SFIO Table'!$A$11:$A$65525,0)-1,"")</f>
        <v/>
      </c>
      <c r="N1040" t="str">
        <f>IF(LEN(I1040),MATCH(I1040,'MPIO_SFIO Table'!$A$11:$A$65525,0)-1,"")</f>
        <v/>
      </c>
      <c r="O1040" t="str">
        <f>IF(LEN(J1040),MATCH(J1040,'MPIO_SFIO Table'!$A$11:$A$65525,0)-1,"")</f>
        <v/>
      </c>
      <c r="P1040" t="str">
        <f>IF(LEN(K1040),MATCH(K1040,'MPIO_SFIO Table'!$A$11:$A$65525,0)-1,"")</f>
        <v/>
      </c>
      <c r="Q1040" t="str">
        <f>IF(LEN(L1040),MATCH(L1040,'MPIO_SFIO Table'!$A$11:$A$65525,0)-1,"")</f>
        <v/>
      </c>
      <c r="R1040" t="str">
        <f ca="1">IF(ISNUMBER(M1040),OFFSET('MPIO_SFIO Table'!$AJ$11,M1040,0),"")</f>
        <v/>
      </c>
      <c r="S1040" t="str">
        <f ca="1">IF(ISNUMBER(N1040),OFFSET('MPIO_SFIO Table'!$AJ$11,N1040,0),"")</f>
        <v/>
      </c>
      <c r="T1040" t="str">
        <f ca="1">IF(ISNUMBER(O1040),OFFSET('MPIO_SFIO Table'!$AJ$11,O1040,0),"")</f>
        <v/>
      </c>
      <c r="U1040" t="str">
        <f ca="1">IF(ISNUMBER(P1040),OFFSET('MPIO_SFIO Table'!$AJ$11,P1040,0),"")</f>
        <v/>
      </c>
      <c r="V1040" t="str">
        <f ca="1">IF(ISNUMBER(Q1040),OFFSET('MPIO_SFIO Table'!$AJ$11,Q1040,0),"")</f>
        <v/>
      </c>
      <c r="W1040">
        <f t="shared" ca="1" si="139"/>
        <v>0</v>
      </c>
      <c r="X1040">
        <f t="shared" ca="1" si="140"/>
        <v>0</v>
      </c>
      <c r="Y1040">
        <f t="shared" ca="1" si="141"/>
        <v>0</v>
      </c>
      <c r="Z1040">
        <f t="shared" ca="1" si="142"/>
        <v>0</v>
      </c>
      <c r="AA1040">
        <f t="shared" ca="1" si="143"/>
        <v>0</v>
      </c>
    </row>
    <row r="1041" spans="1:27" x14ac:dyDescent="0.25">
      <c r="A1041">
        <f t="shared" ca="1" si="136"/>
        <v>0</v>
      </c>
      <c r="B1041" t="str">
        <f t="shared" ca="1" si="137"/>
        <v/>
      </c>
      <c r="C1041" t="str">
        <f t="shared" si="138"/>
        <v/>
      </c>
      <c r="D1041" t="s">
        <v>253</v>
      </c>
      <c r="E1041" t="s">
        <v>253</v>
      </c>
      <c r="F1041" s="3" t="s">
        <v>253</v>
      </c>
      <c r="G1041" s="11" t="s">
        <v>253</v>
      </c>
      <c r="H1041" s="11" t="s">
        <v>253</v>
      </c>
      <c r="I1041" s="3" t="s">
        <v>253</v>
      </c>
      <c r="J1041" s="3" t="s">
        <v>253</v>
      </c>
      <c r="K1041" s="3" t="s">
        <v>253</v>
      </c>
      <c r="L1041" s="3" t="s">
        <v>253</v>
      </c>
      <c r="M1041" t="str">
        <f>IF(LEN(H1041),MATCH(H1041,'MPIO_SFIO Table'!$A$11:$A$65525,0)-1,"")</f>
        <v/>
      </c>
      <c r="N1041" t="str">
        <f>IF(LEN(I1041),MATCH(I1041,'MPIO_SFIO Table'!$A$11:$A$65525,0)-1,"")</f>
        <v/>
      </c>
      <c r="O1041" t="str">
        <f>IF(LEN(J1041),MATCH(J1041,'MPIO_SFIO Table'!$A$11:$A$65525,0)-1,"")</f>
        <v/>
      </c>
      <c r="P1041" t="str">
        <f>IF(LEN(K1041),MATCH(K1041,'MPIO_SFIO Table'!$A$11:$A$65525,0)-1,"")</f>
        <v/>
      </c>
      <c r="Q1041" t="str">
        <f>IF(LEN(L1041),MATCH(L1041,'MPIO_SFIO Table'!$A$11:$A$65525,0)-1,"")</f>
        <v/>
      </c>
      <c r="R1041" t="str">
        <f ca="1">IF(ISNUMBER(M1041),OFFSET('MPIO_SFIO Table'!$AJ$11,M1041,0),"")</f>
        <v/>
      </c>
      <c r="S1041" t="str">
        <f ca="1">IF(ISNUMBER(N1041),OFFSET('MPIO_SFIO Table'!$AJ$11,N1041,0),"")</f>
        <v/>
      </c>
      <c r="T1041" t="str">
        <f ca="1">IF(ISNUMBER(O1041),OFFSET('MPIO_SFIO Table'!$AJ$11,O1041,0),"")</f>
        <v/>
      </c>
      <c r="U1041" t="str">
        <f ca="1">IF(ISNUMBER(P1041),OFFSET('MPIO_SFIO Table'!$AJ$11,P1041,0),"")</f>
        <v/>
      </c>
      <c r="V1041" t="str">
        <f ca="1">IF(ISNUMBER(Q1041),OFFSET('MPIO_SFIO Table'!$AJ$11,Q1041,0),"")</f>
        <v/>
      </c>
      <c r="W1041">
        <f t="shared" ca="1" si="139"/>
        <v>0</v>
      </c>
      <c r="X1041">
        <f t="shared" ca="1" si="140"/>
        <v>0</v>
      </c>
      <c r="Y1041">
        <f t="shared" ca="1" si="141"/>
        <v>0</v>
      </c>
      <c r="Z1041">
        <f t="shared" ca="1" si="142"/>
        <v>0</v>
      </c>
      <c r="AA1041">
        <f t="shared" ca="1" si="143"/>
        <v>0</v>
      </c>
    </row>
    <row r="1042" spans="1:27" x14ac:dyDescent="0.25">
      <c r="A1042">
        <f t="shared" ca="1" si="136"/>
        <v>0</v>
      </c>
      <c r="B1042" t="str">
        <f t="shared" ca="1" si="137"/>
        <v/>
      </c>
      <c r="C1042" t="str">
        <f t="shared" si="138"/>
        <v/>
      </c>
      <c r="D1042" t="s">
        <v>253</v>
      </c>
      <c r="E1042" t="s">
        <v>253</v>
      </c>
      <c r="F1042" s="3" t="s">
        <v>253</v>
      </c>
      <c r="G1042" s="11" t="s">
        <v>253</v>
      </c>
      <c r="H1042" s="11" t="s">
        <v>253</v>
      </c>
      <c r="I1042" s="3" t="s">
        <v>253</v>
      </c>
      <c r="J1042" s="3" t="s">
        <v>253</v>
      </c>
      <c r="K1042" s="3" t="s">
        <v>253</v>
      </c>
      <c r="L1042" s="3" t="s">
        <v>253</v>
      </c>
      <c r="M1042" t="str">
        <f>IF(LEN(H1042),MATCH(H1042,'MPIO_SFIO Table'!$A$11:$A$65525,0)-1,"")</f>
        <v/>
      </c>
      <c r="N1042" t="str">
        <f>IF(LEN(I1042),MATCH(I1042,'MPIO_SFIO Table'!$A$11:$A$65525,0)-1,"")</f>
        <v/>
      </c>
      <c r="O1042" t="str">
        <f>IF(LEN(J1042),MATCH(J1042,'MPIO_SFIO Table'!$A$11:$A$65525,0)-1,"")</f>
        <v/>
      </c>
      <c r="P1042" t="str">
        <f>IF(LEN(K1042),MATCH(K1042,'MPIO_SFIO Table'!$A$11:$A$65525,0)-1,"")</f>
        <v/>
      </c>
      <c r="Q1042" t="str">
        <f>IF(LEN(L1042),MATCH(L1042,'MPIO_SFIO Table'!$A$11:$A$65525,0)-1,"")</f>
        <v/>
      </c>
      <c r="R1042" t="str">
        <f ca="1">IF(ISNUMBER(M1042),OFFSET('MPIO_SFIO Table'!$AJ$11,M1042,0),"")</f>
        <v/>
      </c>
      <c r="S1042" t="str">
        <f ca="1">IF(ISNUMBER(N1042),OFFSET('MPIO_SFIO Table'!$AJ$11,N1042,0),"")</f>
        <v/>
      </c>
      <c r="T1042" t="str">
        <f ca="1">IF(ISNUMBER(O1042),OFFSET('MPIO_SFIO Table'!$AJ$11,O1042,0),"")</f>
        <v/>
      </c>
      <c r="U1042" t="str">
        <f ca="1">IF(ISNUMBER(P1042),OFFSET('MPIO_SFIO Table'!$AJ$11,P1042,0),"")</f>
        <v/>
      </c>
      <c r="V1042" t="str">
        <f ca="1">IF(ISNUMBER(Q1042),OFFSET('MPIO_SFIO Table'!$AJ$11,Q1042,0),"")</f>
        <v/>
      </c>
      <c r="W1042">
        <f t="shared" ca="1" si="139"/>
        <v>0</v>
      </c>
      <c r="X1042">
        <f t="shared" ca="1" si="140"/>
        <v>0</v>
      </c>
      <c r="Y1042">
        <f t="shared" ca="1" si="141"/>
        <v>0</v>
      </c>
      <c r="Z1042">
        <f t="shared" ca="1" si="142"/>
        <v>0</v>
      </c>
      <c r="AA1042">
        <f t="shared" ca="1" si="143"/>
        <v>0</v>
      </c>
    </row>
    <row r="1043" spans="1:27" x14ac:dyDescent="0.25">
      <c r="A1043">
        <f t="shared" ca="1" si="136"/>
        <v>0</v>
      </c>
      <c r="B1043" t="str">
        <f t="shared" ca="1" si="137"/>
        <v/>
      </c>
      <c r="C1043" t="str">
        <f t="shared" si="138"/>
        <v/>
      </c>
      <c r="D1043" t="s">
        <v>253</v>
      </c>
      <c r="E1043" t="s">
        <v>253</v>
      </c>
      <c r="F1043" s="3" t="s">
        <v>253</v>
      </c>
      <c r="G1043" s="11" t="s">
        <v>253</v>
      </c>
      <c r="H1043" s="11" t="s">
        <v>253</v>
      </c>
      <c r="I1043" s="3" t="s">
        <v>253</v>
      </c>
      <c r="J1043" s="3" t="s">
        <v>253</v>
      </c>
      <c r="K1043" s="3" t="s">
        <v>253</v>
      </c>
      <c r="L1043" s="3" t="s">
        <v>253</v>
      </c>
      <c r="M1043" t="str">
        <f>IF(LEN(H1043),MATCH(H1043,'MPIO_SFIO Table'!$A$11:$A$65525,0)-1,"")</f>
        <v/>
      </c>
      <c r="N1043" t="str">
        <f>IF(LEN(I1043),MATCH(I1043,'MPIO_SFIO Table'!$A$11:$A$65525,0)-1,"")</f>
        <v/>
      </c>
      <c r="O1043" t="str">
        <f>IF(LEN(J1043),MATCH(J1043,'MPIO_SFIO Table'!$A$11:$A$65525,0)-1,"")</f>
        <v/>
      </c>
      <c r="P1043" t="str">
        <f>IF(LEN(K1043),MATCH(K1043,'MPIO_SFIO Table'!$A$11:$A$65525,0)-1,"")</f>
        <v/>
      </c>
      <c r="Q1043" t="str">
        <f>IF(LEN(L1043),MATCH(L1043,'MPIO_SFIO Table'!$A$11:$A$65525,0)-1,"")</f>
        <v/>
      </c>
      <c r="R1043" t="str">
        <f ca="1">IF(ISNUMBER(M1043),OFFSET('MPIO_SFIO Table'!$AJ$11,M1043,0),"")</f>
        <v/>
      </c>
      <c r="S1043" t="str">
        <f ca="1">IF(ISNUMBER(N1043),OFFSET('MPIO_SFIO Table'!$AJ$11,N1043,0),"")</f>
        <v/>
      </c>
      <c r="T1043" t="str">
        <f ca="1">IF(ISNUMBER(O1043),OFFSET('MPIO_SFIO Table'!$AJ$11,O1043,0),"")</f>
        <v/>
      </c>
      <c r="U1043" t="str">
        <f ca="1">IF(ISNUMBER(P1043),OFFSET('MPIO_SFIO Table'!$AJ$11,P1043,0),"")</f>
        <v/>
      </c>
      <c r="V1043" t="str">
        <f ca="1">IF(ISNUMBER(Q1043),OFFSET('MPIO_SFIO Table'!$AJ$11,Q1043,0),"")</f>
        <v/>
      </c>
      <c r="W1043">
        <f t="shared" ca="1" si="139"/>
        <v>0</v>
      </c>
      <c r="X1043">
        <f t="shared" ca="1" si="140"/>
        <v>0</v>
      </c>
      <c r="Y1043">
        <f t="shared" ca="1" si="141"/>
        <v>0</v>
      </c>
      <c r="Z1043">
        <f t="shared" ca="1" si="142"/>
        <v>0</v>
      </c>
      <c r="AA1043">
        <f t="shared" ca="1" si="143"/>
        <v>0</v>
      </c>
    </row>
    <row r="1044" spans="1:27" x14ac:dyDescent="0.25">
      <c r="A1044">
        <f t="shared" ca="1" si="136"/>
        <v>0</v>
      </c>
      <c r="B1044" t="str">
        <f t="shared" ca="1" si="137"/>
        <v/>
      </c>
      <c r="C1044" t="str">
        <f t="shared" si="138"/>
        <v/>
      </c>
      <c r="D1044" t="s">
        <v>253</v>
      </c>
      <c r="E1044" t="s">
        <v>253</v>
      </c>
      <c r="F1044" s="3" t="s">
        <v>253</v>
      </c>
      <c r="G1044" s="11" t="s">
        <v>253</v>
      </c>
      <c r="H1044" s="11" t="s">
        <v>253</v>
      </c>
      <c r="I1044" s="3" t="s">
        <v>253</v>
      </c>
      <c r="J1044" s="3" t="s">
        <v>253</v>
      </c>
      <c r="K1044" s="3" t="s">
        <v>253</v>
      </c>
      <c r="L1044" s="3" t="s">
        <v>253</v>
      </c>
      <c r="M1044" t="str">
        <f>IF(LEN(H1044),MATCH(H1044,'MPIO_SFIO Table'!$A$11:$A$65525,0)-1,"")</f>
        <v/>
      </c>
      <c r="N1044" t="str">
        <f>IF(LEN(I1044),MATCH(I1044,'MPIO_SFIO Table'!$A$11:$A$65525,0)-1,"")</f>
        <v/>
      </c>
      <c r="O1044" t="str">
        <f>IF(LEN(J1044),MATCH(J1044,'MPIO_SFIO Table'!$A$11:$A$65525,0)-1,"")</f>
        <v/>
      </c>
      <c r="P1044" t="str">
        <f>IF(LEN(K1044),MATCH(K1044,'MPIO_SFIO Table'!$A$11:$A$65525,0)-1,"")</f>
        <v/>
      </c>
      <c r="Q1044" t="str">
        <f>IF(LEN(L1044),MATCH(L1044,'MPIO_SFIO Table'!$A$11:$A$65525,0)-1,"")</f>
        <v/>
      </c>
      <c r="R1044" t="str">
        <f ca="1">IF(ISNUMBER(M1044),OFFSET('MPIO_SFIO Table'!$AJ$11,M1044,0),"")</f>
        <v/>
      </c>
      <c r="S1044" t="str">
        <f ca="1">IF(ISNUMBER(N1044),OFFSET('MPIO_SFIO Table'!$AJ$11,N1044,0),"")</f>
        <v/>
      </c>
      <c r="T1044" t="str">
        <f ca="1">IF(ISNUMBER(O1044),OFFSET('MPIO_SFIO Table'!$AJ$11,O1044,0),"")</f>
        <v/>
      </c>
      <c r="U1044" t="str">
        <f ca="1">IF(ISNUMBER(P1044),OFFSET('MPIO_SFIO Table'!$AJ$11,P1044,0),"")</f>
        <v/>
      </c>
      <c r="V1044" t="str">
        <f ca="1">IF(ISNUMBER(Q1044),OFFSET('MPIO_SFIO Table'!$AJ$11,Q1044,0),"")</f>
        <v/>
      </c>
      <c r="W1044">
        <f t="shared" ca="1" si="139"/>
        <v>0</v>
      </c>
      <c r="X1044">
        <f t="shared" ca="1" si="140"/>
        <v>0</v>
      </c>
      <c r="Y1044">
        <f t="shared" ca="1" si="141"/>
        <v>0</v>
      </c>
      <c r="Z1044">
        <f t="shared" ca="1" si="142"/>
        <v>0</v>
      </c>
      <c r="AA1044">
        <f t="shared" ca="1" si="143"/>
        <v>0</v>
      </c>
    </row>
    <row r="1045" spans="1:27" x14ac:dyDescent="0.25">
      <c r="A1045">
        <f t="shared" ca="1" si="136"/>
        <v>0</v>
      </c>
      <c r="B1045" t="str">
        <f t="shared" ca="1" si="137"/>
        <v/>
      </c>
      <c r="C1045" t="str">
        <f t="shared" si="138"/>
        <v/>
      </c>
      <c r="D1045" t="s">
        <v>253</v>
      </c>
      <c r="E1045" t="s">
        <v>253</v>
      </c>
      <c r="F1045" s="3" t="s">
        <v>253</v>
      </c>
      <c r="G1045" s="11" t="s">
        <v>253</v>
      </c>
      <c r="H1045" s="11" t="s">
        <v>253</v>
      </c>
      <c r="I1045" s="3" t="s">
        <v>253</v>
      </c>
      <c r="J1045" s="3" t="s">
        <v>253</v>
      </c>
      <c r="K1045" s="3" t="s">
        <v>253</v>
      </c>
      <c r="L1045" s="3" t="s">
        <v>253</v>
      </c>
      <c r="M1045" t="str">
        <f>IF(LEN(H1045),MATCH(H1045,'MPIO_SFIO Table'!$A$11:$A$65525,0)-1,"")</f>
        <v/>
      </c>
      <c r="N1045" t="str">
        <f>IF(LEN(I1045),MATCH(I1045,'MPIO_SFIO Table'!$A$11:$A$65525,0)-1,"")</f>
        <v/>
      </c>
      <c r="O1045" t="str">
        <f>IF(LEN(J1045),MATCH(J1045,'MPIO_SFIO Table'!$A$11:$A$65525,0)-1,"")</f>
        <v/>
      </c>
      <c r="P1045" t="str">
        <f>IF(LEN(K1045),MATCH(K1045,'MPIO_SFIO Table'!$A$11:$A$65525,0)-1,"")</f>
        <v/>
      </c>
      <c r="Q1045" t="str">
        <f>IF(LEN(L1045),MATCH(L1045,'MPIO_SFIO Table'!$A$11:$A$65525,0)-1,"")</f>
        <v/>
      </c>
      <c r="R1045" t="str">
        <f ca="1">IF(ISNUMBER(M1045),OFFSET('MPIO_SFIO Table'!$AJ$11,M1045,0),"")</f>
        <v/>
      </c>
      <c r="S1045" t="str">
        <f ca="1">IF(ISNUMBER(N1045),OFFSET('MPIO_SFIO Table'!$AJ$11,N1045,0),"")</f>
        <v/>
      </c>
      <c r="T1045" t="str">
        <f ca="1">IF(ISNUMBER(O1045),OFFSET('MPIO_SFIO Table'!$AJ$11,O1045,0),"")</f>
        <v/>
      </c>
      <c r="U1045" t="str">
        <f ca="1">IF(ISNUMBER(P1045),OFFSET('MPIO_SFIO Table'!$AJ$11,P1045,0),"")</f>
        <v/>
      </c>
      <c r="V1045" t="str">
        <f ca="1">IF(ISNUMBER(Q1045),OFFSET('MPIO_SFIO Table'!$AJ$11,Q1045,0),"")</f>
        <v/>
      </c>
      <c r="W1045">
        <f t="shared" ca="1" si="139"/>
        <v>0</v>
      </c>
      <c r="X1045">
        <f t="shared" ca="1" si="140"/>
        <v>0</v>
      </c>
      <c r="Y1045">
        <f t="shared" ca="1" si="141"/>
        <v>0</v>
      </c>
      <c r="Z1045">
        <f t="shared" ca="1" si="142"/>
        <v>0</v>
      </c>
      <c r="AA1045">
        <f t="shared" ca="1" si="143"/>
        <v>0</v>
      </c>
    </row>
    <row r="1046" spans="1:27" x14ac:dyDescent="0.25">
      <c r="A1046">
        <f t="shared" ca="1" si="136"/>
        <v>0</v>
      </c>
      <c r="B1046" t="str">
        <f t="shared" ca="1" si="137"/>
        <v/>
      </c>
      <c r="C1046" t="str">
        <f t="shared" si="138"/>
        <v/>
      </c>
      <c r="D1046" t="s">
        <v>253</v>
      </c>
      <c r="E1046" t="s">
        <v>253</v>
      </c>
      <c r="F1046" s="3" t="s">
        <v>253</v>
      </c>
      <c r="G1046" s="11" t="s">
        <v>253</v>
      </c>
      <c r="H1046" s="11" t="s">
        <v>253</v>
      </c>
      <c r="I1046" s="3" t="s">
        <v>253</v>
      </c>
      <c r="J1046" s="3" t="s">
        <v>253</v>
      </c>
      <c r="K1046" s="3" t="s">
        <v>253</v>
      </c>
      <c r="L1046" s="3" t="s">
        <v>253</v>
      </c>
      <c r="M1046" t="str">
        <f>IF(LEN(H1046),MATCH(H1046,'MPIO_SFIO Table'!$A$11:$A$65525,0)-1,"")</f>
        <v/>
      </c>
      <c r="N1046" t="str">
        <f>IF(LEN(I1046),MATCH(I1046,'MPIO_SFIO Table'!$A$11:$A$65525,0)-1,"")</f>
        <v/>
      </c>
      <c r="O1046" t="str">
        <f>IF(LEN(J1046),MATCH(J1046,'MPIO_SFIO Table'!$A$11:$A$65525,0)-1,"")</f>
        <v/>
      </c>
      <c r="P1046" t="str">
        <f>IF(LEN(K1046),MATCH(K1046,'MPIO_SFIO Table'!$A$11:$A$65525,0)-1,"")</f>
        <v/>
      </c>
      <c r="Q1046" t="str">
        <f>IF(LEN(L1046),MATCH(L1046,'MPIO_SFIO Table'!$A$11:$A$65525,0)-1,"")</f>
        <v/>
      </c>
      <c r="R1046" t="str">
        <f ca="1">IF(ISNUMBER(M1046),OFFSET('MPIO_SFIO Table'!$AJ$11,M1046,0),"")</f>
        <v/>
      </c>
      <c r="S1046" t="str">
        <f ca="1">IF(ISNUMBER(N1046),OFFSET('MPIO_SFIO Table'!$AJ$11,N1046,0),"")</f>
        <v/>
      </c>
      <c r="T1046" t="str">
        <f ca="1">IF(ISNUMBER(O1046),OFFSET('MPIO_SFIO Table'!$AJ$11,O1046,0),"")</f>
        <v/>
      </c>
      <c r="U1046" t="str">
        <f ca="1">IF(ISNUMBER(P1046),OFFSET('MPIO_SFIO Table'!$AJ$11,P1046,0),"")</f>
        <v/>
      </c>
      <c r="V1046" t="str">
        <f ca="1">IF(ISNUMBER(Q1046),OFFSET('MPIO_SFIO Table'!$AJ$11,Q1046,0),"")</f>
        <v/>
      </c>
      <c r="W1046">
        <f t="shared" ca="1" si="139"/>
        <v>0</v>
      </c>
      <c r="X1046">
        <f t="shared" ca="1" si="140"/>
        <v>0</v>
      </c>
      <c r="Y1046">
        <f t="shared" ca="1" si="141"/>
        <v>0</v>
      </c>
      <c r="Z1046">
        <f t="shared" ca="1" si="142"/>
        <v>0</v>
      </c>
      <c r="AA1046">
        <f t="shared" ca="1" si="143"/>
        <v>0</v>
      </c>
    </row>
    <row r="1047" spans="1:27" x14ac:dyDescent="0.25">
      <c r="A1047">
        <f t="shared" ca="1" si="136"/>
        <v>0</v>
      </c>
      <c r="B1047" t="str">
        <f t="shared" ca="1" si="137"/>
        <v/>
      </c>
      <c r="C1047" t="str">
        <f t="shared" si="138"/>
        <v/>
      </c>
      <c r="D1047" t="s">
        <v>253</v>
      </c>
      <c r="E1047" t="s">
        <v>253</v>
      </c>
      <c r="F1047" s="3" t="s">
        <v>253</v>
      </c>
      <c r="G1047" s="11" t="s">
        <v>253</v>
      </c>
      <c r="H1047" s="11" t="s">
        <v>253</v>
      </c>
      <c r="I1047" s="3" t="s">
        <v>253</v>
      </c>
      <c r="J1047" s="3" t="s">
        <v>253</v>
      </c>
      <c r="K1047" s="3" t="s">
        <v>253</v>
      </c>
      <c r="L1047" s="3" t="s">
        <v>253</v>
      </c>
      <c r="M1047" t="str">
        <f>IF(LEN(H1047),MATCH(H1047,'MPIO_SFIO Table'!$A$11:$A$65525,0)-1,"")</f>
        <v/>
      </c>
      <c r="N1047" t="str">
        <f>IF(LEN(I1047),MATCH(I1047,'MPIO_SFIO Table'!$A$11:$A$65525,0)-1,"")</f>
        <v/>
      </c>
      <c r="O1047" t="str">
        <f>IF(LEN(J1047),MATCH(J1047,'MPIO_SFIO Table'!$A$11:$A$65525,0)-1,"")</f>
        <v/>
      </c>
      <c r="P1047" t="str">
        <f>IF(LEN(K1047),MATCH(K1047,'MPIO_SFIO Table'!$A$11:$A$65525,0)-1,"")</f>
        <v/>
      </c>
      <c r="Q1047" t="str">
        <f>IF(LEN(L1047),MATCH(L1047,'MPIO_SFIO Table'!$A$11:$A$65525,0)-1,"")</f>
        <v/>
      </c>
      <c r="R1047" t="str">
        <f ca="1">IF(ISNUMBER(M1047),OFFSET('MPIO_SFIO Table'!$AJ$11,M1047,0),"")</f>
        <v/>
      </c>
      <c r="S1047" t="str">
        <f ca="1">IF(ISNUMBER(N1047),OFFSET('MPIO_SFIO Table'!$AJ$11,N1047,0),"")</f>
        <v/>
      </c>
      <c r="T1047" t="str">
        <f ca="1">IF(ISNUMBER(O1047),OFFSET('MPIO_SFIO Table'!$AJ$11,O1047,0),"")</f>
        <v/>
      </c>
      <c r="U1047" t="str">
        <f ca="1">IF(ISNUMBER(P1047),OFFSET('MPIO_SFIO Table'!$AJ$11,P1047,0),"")</f>
        <v/>
      </c>
      <c r="V1047" t="str">
        <f ca="1">IF(ISNUMBER(Q1047),OFFSET('MPIO_SFIO Table'!$AJ$11,Q1047,0),"")</f>
        <v/>
      </c>
      <c r="W1047">
        <f t="shared" ca="1" si="139"/>
        <v>0</v>
      </c>
      <c r="X1047">
        <f t="shared" ca="1" si="140"/>
        <v>0</v>
      </c>
      <c r="Y1047">
        <f t="shared" ca="1" si="141"/>
        <v>0</v>
      </c>
      <c r="Z1047">
        <f t="shared" ca="1" si="142"/>
        <v>0</v>
      </c>
      <c r="AA1047">
        <f t="shared" ca="1" si="143"/>
        <v>0</v>
      </c>
    </row>
    <row r="1048" spans="1:27" x14ac:dyDescent="0.25">
      <c r="A1048">
        <f t="shared" ca="1" si="136"/>
        <v>0</v>
      </c>
      <c r="B1048" t="str">
        <f t="shared" ca="1" si="137"/>
        <v/>
      </c>
      <c r="C1048" t="str">
        <f t="shared" si="138"/>
        <v/>
      </c>
      <c r="D1048" t="s">
        <v>253</v>
      </c>
      <c r="E1048" t="s">
        <v>253</v>
      </c>
      <c r="F1048" s="3" t="s">
        <v>253</v>
      </c>
      <c r="G1048" s="11" t="s">
        <v>253</v>
      </c>
      <c r="H1048" s="11" t="s">
        <v>253</v>
      </c>
      <c r="I1048" s="3" t="s">
        <v>253</v>
      </c>
      <c r="J1048" s="3" t="s">
        <v>253</v>
      </c>
      <c r="K1048" s="3" t="s">
        <v>253</v>
      </c>
      <c r="L1048" s="3" t="s">
        <v>253</v>
      </c>
      <c r="M1048" t="str">
        <f>IF(LEN(H1048),MATCH(H1048,'MPIO_SFIO Table'!$A$11:$A$65525,0)-1,"")</f>
        <v/>
      </c>
      <c r="N1048" t="str">
        <f>IF(LEN(I1048),MATCH(I1048,'MPIO_SFIO Table'!$A$11:$A$65525,0)-1,"")</f>
        <v/>
      </c>
      <c r="O1048" t="str">
        <f>IF(LEN(J1048),MATCH(J1048,'MPIO_SFIO Table'!$A$11:$A$65525,0)-1,"")</f>
        <v/>
      </c>
      <c r="P1048" t="str">
        <f>IF(LEN(K1048),MATCH(K1048,'MPIO_SFIO Table'!$A$11:$A$65525,0)-1,"")</f>
        <v/>
      </c>
      <c r="Q1048" t="str">
        <f>IF(LEN(L1048),MATCH(L1048,'MPIO_SFIO Table'!$A$11:$A$65525,0)-1,"")</f>
        <v/>
      </c>
      <c r="R1048" t="str">
        <f ca="1">IF(ISNUMBER(M1048),OFFSET('MPIO_SFIO Table'!$AJ$11,M1048,0),"")</f>
        <v/>
      </c>
      <c r="S1048" t="str">
        <f ca="1">IF(ISNUMBER(N1048),OFFSET('MPIO_SFIO Table'!$AJ$11,N1048,0),"")</f>
        <v/>
      </c>
      <c r="T1048" t="str">
        <f ca="1">IF(ISNUMBER(O1048),OFFSET('MPIO_SFIO Table'!$AJ$11,O1048,0),"")</f>
        <v/>
      </c>
      <c r="U1048" t="str">
        <f ca="1">IF(ISNUMBER(P1048),OFFSET('MPIO_SFIO Table'!$AJ$11,P1048,0),"")</f>
        <v/>
      </c>
      <c r="V1048" t="str">
        <f ca="1">IF(ISNUMBER(Q1048),OFFSET('MPIO_SFIO Table'!$AJ$11,Q1048,0),"")</f>
        <v/>
      </c>
      <c r="W1048">
        <f t="shared" ca="1" si="139"/>
        <v>0</v>
      </c>
      <c r="X1048">
        <f t="shared" ca="1" si="140"/>
        <v>0</v>
      </c>
      <c r="Y1048">
        <f t="shared" ca="1" si="141"/>
        <v>0</v>
      </c>
      <c r="Z1048">
        <f t="shared" ca="1" si="142"/>
        <v>0</v>
      </c>
      <c r="AA1048">
        <f t="shared" ca="1" si="143"/>
        <v>0</v>
      </c>
    </row>
    <row r="1049" spans="1:27" x14ac:dyDescent="0.25">
      <c r="A1049">
        <f t="shared" ca="1" si="136"/>
        <v>0</v>
      </c>
      <c r="B1049" t="str">
        <f t="shared" ca="1" si="137"/>
        <v/>
      </c>
      <c r="C1049" t="str">
        <f t="shared" si="138"/>
        <v/>
      </c>
      <c r="D1049" t="s">
        <v>253</v>
      </c>
      <c r="E1049" t="s">
        <v>253</v>
      </c>
      <c r="F1049" s="3" t="s">
        <v>253</v>
      </c>
      <c r="G1049" s="11" t="s">
        <v>253</v>
      </c>
      <c r="H1049" s="11" t="s">
        <v>253</v>
      </c>
      <c r="I1049" s="3" t="s">
        <v>253</v>
      </c>
      <c r="J1049" s="3" t="s">
        <v>253</v>
      </c>
      <c r="K1049" s="3" t="s">
        <v>253</v>
      </c>
      <c r="L1049" s="3" t="s">
        <v>253</v>
      </c>
      <c r="M1049" t="str">
        <f>IF(LEN(H1049),MATCH(H1049,'MPIO_SFIO Table'!$A$11:$A$65525,0)-1,"")</f>
        <v/>
      </c>
      <c r="N1049" t="str">
        <f>IF(LEN(I1049),MATCH(I1049,'MPIO_SFIO Table'!$A$11:$A$65525,0)-1,"")</f>
        <v/>
      </c>
      <c r="O1049" t="str">
        <f>IF(LEN(J1049),MATCH(J1049,'MPIO_SFIO Table'!$A$11:$A$65525,0)-1,"")</f>
        <v/>
      </c>
      <c r="P1049" t="str">
        <f>IF(LEN(K1049),MATCH(K1049,'MPIO_SFIO Table'!$A$11:$A$65525,0)-1,"")</f>
        <v/>
      </c>
      <c r="Q1049" t="str">
        <f>IF(LEN(L1049),MATCH(L1049,'MPIO_SFIO Table'!$A$11:$A$65525,0)-1,"")</f>
        <v/>
      </c>
      <c r="R1049" t="str">
        <f ca="1">IF(ISNUMBER(M1049),OFFSET('MPIO_SFIO Table'!$AJ$11,M1049,0),"")</f>
        <v/>
      </c>
      <c r="S1049" t="str">
        <f ca="1">IF(ISNUMBER(N1049),OFFSET('MPIO_SFIO Table'!$AJ$11,N1049,0),"")</f>
        <v/>
      </c>
      <c r="T1049" t="str">
        <f ca="1">IF(ISNUMBER(O1049),OFFSET('MPIO_SFIO Table'!$AJ$11,O1049,0),"")</f>
        <v/>
      </c>
      <c r="U1049" t="str">
        <f ca="1">IF(ISNUMBER(P1049),OFFSET('MPIO_SFIO Table'!$AJ$11,P1049,0),"")</f>
        <v/>
      </c>
      <c r="V1049" t="str">
        <f ca="1">IF(ISNUMBER(Q1049),OFFSET('MPIO_SFIO Table'!$AJ$11,Q1049,0),"")</f>
        <v/>
      </c>
      <c r="W1049">
        <f t="shared" ca="1" si="139"/>
        <v>0</v>
      </c>
      <c r="X1049">
        <f t="shared" ca="1" si="140"/>
        <v>0</v>
      </c>
      <c r="Y1049">
        <f t="shared" ca="1" si="141"/>
        <v>0</v>
      </c>
      <c r="Z1049">
        <f t="shared" ca="1" si="142"/>
        <v>0</v>
      </c>
      <c r="AA1049">
        <f t="shared" ca="1" si="143"/>
        <v>0</v>
      </c>
    </row>
    <row r="1050" spans="1:27" x14ac:dyDescent="0.25">
      <c r="A1050">
        <f t="shared" ca="1" si="136"/>
        <v>0</v>
      </c>
      <c r="B1050" t="str">
        <f t="shared" ca="1" si="137"/>
        <v/>
      </c>
      <c r="C1050" t="str">
        <f t="shared" si="138"/>
        <v/>
      </c>
      <c r="D1050" t="s">
        <v>253</v>
      </c>
      <c r="E1050" t="s">
        <v>253</v>
      </c>
      <c r="F1050" s="3" t="s">
        <v>253</v>
      </c>
      <c r="G1050" s="11" t="s">
        <v>253</v>
      </c>
      <c r="H1050" s="11" t="s">
        <v>253</v>
      </c>
      <c r="I1050" s="3" t="s">
        <v>253</v>
      </c>
      <c r="J1050" s="3" t="s">
        <v>253</v>
      </c>
      <c r="K1050" s="3" t="s">
        <v>253</v>
      </c>
      <c r="L1050" s="3" t="s">
        <v>253</v>
      </c>
      <c r="M1050" t="str">
        <f>IF(LEN(H1050),MATCH(H1050,'MPIO_SFIO Table'!$A$11:$A$65525,0)-1,"")</f>
        <v/>
      </c>
      <c r="N1050" t="str">
        <f>IF(LEN(I1050),MATCH(I1050,'MPIO_SFIO Table'!$A$11:$A$65525,0)-1,"")</f>
        <v/>
      </c>
      <c r="O1050" t="str">
        <f>IF(LEN(J1050),MATCH(J1050,'MPIO_SFIO Table'!$A$11:$A$65525,0)-1,"")</f>
        <v/>
      </c>
      <c r="P1050" t="str">
        <f>IF(LEN(K1050),MATCH(K1050,'MPIO_SFIO Table'!$A$11:$A$65525,0)-1,"")</f>
        <v/>
      </c>
      <c r="Q1050" t="str">
        <f>IF(LEN(L1050),MATCH(L1050,'MPIO_SFIO Table'!$A$11:$A$65525,0)-1,"")</f>
        <v/>
      </c>
      <c r="R1050" t="str">
        <f ca="1">IF(ISNUMBER(M1050),OFFSET('MPIO_SFIO Table'!$AJ$11,M1050,0),"")</f>
        <v/>
      </c>
      <c r="S1050" t="str">
        <f ca="1">IF(ISNUMBER(N1050),OFFSET('MPIO_SFIO Table'!$AJ$11,N1050,0),"")</f>
        <v/>
      </c>
      <c r="T1050" t="str">
        <f ca="1">IF(ISNUMBER(O1050),OFFSET('MPIO_SFIO Table'!$AJ$11,O1050,0),"")</f>
        <v/>
      </c>
      <c r="U1050" t="str">
        <f ca="1">IF(ISNUMBER(P1050),OFFSET('MPIO_SFIO Table'!$AJ$11,P1050,0),"")</f>
        <v/>
      </c>
      <c r="V1050" t="str">
        <f ca="1">IF(ISNUMBER(Q1050),OFFSET('MPIO_SFIO Table'!$AJ$11,Q1050,0),"")</f>
        <v/>
      </c>
      <c r="W1050">
        <f t="shared" ca="1" si="139"/>
        <v>0</v>
      </c>
      <c r="X1050">
        <f t="shared" ca="1" si="140"/>
        <v>0</v>
      </c>
      <c r="Y1050">
        <f t="shared" ca="1" si="141"/>
        <v>0</v>
      </c>
      <c r="Z1050">
        <f t="shared" ca="1" si="142"/>
        <v>0</v>
      </c>
      <c r="AA1050">
        <f t="shared" ca="1" si="143"/>
        <v>0</v>
      </c>
    </row>
    <row r="1051" spans="1:27" x14ac:dyDescent="0.25">
      <c r="A1051">
        <f t="shared" ca="1" si="136"/>
        <v>0</v>
      </c>
      <c r="B1051" t="str">
        <f t="shared" ca="1" si="137"/>
        <v/>
      </c>
      <c r="C1051" t="str">
        <f t="shared" si="138"/>
        <v/>
      </c>
      <c r="D1051" t="s">
        <v>253</v>
      </c>
      <c r="E1051" t="s">
        <v>253</v>
      </c>
      <c r="F1051" s="3" t="s">
        <v>253</v>
      </c>
      <c r="G1051" s="11" t="s">
        <v>253</v>
      </c>
      <c r="H1051" s="11" t="s">
        <v>253</v>
      </c>
      <c r="I1051" s="3" t="s">
        <v>253</v>
      </c>
      <c r="J1051" s="3" t="s">
        <v>253</v>
      </c>
      <c r="K1051" s="3" t="s">
        <v>253</v>
      </c>
      <c r="L1051" s="3" t="s">
        <v>253</v>
      </c>
      <c r="M1051" t="str">
        <f>IF(LEN(H1051),MATCH(H1051,'MPIO_SFIO Table'!$A$11:$A$65525,0)-1,"")</f>
        <v/>
      </c>
      <c r="N1051" t="str">
        <f>IF(LEN(I1051),MATCH(I1051,'MPIO_SFIO Table'!$A$11:$A$65525,0)-1,"")</f>
        <v/>
      </c>
      <c r="O1051" t="str">
        <f>IF(LEN(J1051),MATCH(J1051,'MPIO_SFIO Table'!$A$11:$A$65525,0)-1,"")</f>
        <v/>
      </c>
      <c r="P1051" t="str">
        <f>IF(LEN(K1051),MATCH(K1051,'MPIO_SFIO Table'!$A$11:$A$65525,0)-1,"")</f>
        <v/>
      </c>
      <c r="Q1051" t="str">
        <f>IF(LEN(L1051),MATCH(L1051,'MPIO_SFIO Table'!$A$11:$A$65525,0)-1,"")</f>
        <v/>
      </c>
      <c r="R1051" t="str">
        <f ca="1">IF(ISNUMBER(M1051),OFFSET('MPIO_SFIO Table'!$AJ$11,M1051,0),"")</f>
        <v/>
      </c>
      <c r="S1051" t="str">
        <f ca="1">IF(ISNUMBER(N1051),OFFSET('MPIO_SFIO Table'!$AJ$11,N1051,0),"")</f>
        <v/>
      </c>
      <c r="T1051" t="str">
        <f ca="1">IF(ISNUMBER(O1051),OFFSET('MPIO_SFIO Table'!$AJ$11,O1051,0),"")</f>
        <v/>
      </c>
      <c r="U1051" t="str">
        <f ca="1">IF(ISNUMBER(P1051),OFFSET('MPIO_SFIO Table'!$AJ$11,P1051,0),"")</f>
        <v/>
      </c>
      <c r="V1051" t="str">
        <f ca="1">IF(ISNUMBER(Q1051),OFFSET('MPIO_SFIO Table'!$AJ$11,Q1051,0),"")</f>
        <v/>
      </c>
      <c r="W1051">
        <f t="shared" ca="1" si="139"/>
        <v>0</v>
      </c>
      <c r="X1051">
        <f t="shared" ca="1" si="140"/>
        <v>0</v>
      </c>
      <c r="Y1051">
        <f t="shared" ca="1" si="141"/>
        <v>0</v>
      </c>
      <c r="Z1051">
        <f t="shared" ca="1" si="142"/>
        <v>0</v>
      </c>
      <c r="AA1051">
        <f t="shared" ca="1" si="143"/>
        <v>0</v>
      </c>
    </row>
    <row r="1052" spans="1:27" x14ac:dyDescent="0.25">
      <c r="A1052">
        <f t="shared" ca="1" si="136"/>
        <v>0</v>
      </c>
      <c r="B1052" t="str">
        <f t="shared" ca="1" si="137"/>
        <v/>
      </c>
      <c r="C1052" t="str">
        <f t="shared" si="138"/>
        <v/>
      </c>
      <c r="D1052" t="s">
        <v>253</v>
      </c>
      <c r="E1052" t="s">
        <v>253</v>
      </c>
      <c r="F1052" s="3" t="s">
        <v>253</v>
      </c>
      <c r="G1052" s="11" t="s">
        <v>253</v>
      </c>
      <c r="H1052" s="11" t="s">
        <v>253</v>
      </c>
      <c r="I1052" s="3" t="s">
        <v>253</v>
      </c>
      <c r="J1052" s="3" t="s">
        <v>253</v>
      </c>
      <c r="K1052" s="3" t="s">
        <v>253</v>
      </c>
      <c r="L1052" s="3" t="s">
        <v>253</v>
      </c>
      <c r="M1052" t="str">
        <f>IF(LEN(H1052),MATCH(H1052,'MPIO_SFIO Table'!$A$11:$A$65525,0)-1,"")</f>
        <v/>
      </c>
      <c r="N1052" t="str">
        <f>IF(LEN(I1052),MATCH(I1052,'MPIO_SFIO Table'!$A$11:$A$65525,0)-1,"")</f>
        <v/>
      </c>
      <c r="O1052" t="str">
        <f>IF(LEN(J1052),MATCH(J1052,'MPIO_SFIO Table'!$A$11:$A$65525,0)-1,"")</f>
        <v/>
      </c>
      <c r="P1052" t="str">
        <f>IF(LEN(K1052),MATCH(K1052,'MPIO_SFIO Table'!$A$11:$A$65525,0)-1,"")</f>
        <v/>
      </c>
      <c r="Q1052" t="str">
        <f>IF(LEN(L1052),MATCH(L1052,'MPIO_SFIO Table'!$A$11:$A$65525,0)-1,"")</f>
        <v/>
      </c>
      <c r="R1052" t="str">
        <f ca="1">IF(ISNUMBER(M1052),OFFSET('MPIO_SFIO Table'!$AJ$11,M1052,0),"")</f>
        <v/>
      </c>
      <c r="S1052" t="str">
        <f ca="1">IF(ISNUMBER(N1052),OFFSET('MPIO_SFIO Table'!$AJ$11,N1052,0),"")</f>
        <v/>
      </c>
      <c r="T1052" t="str">
        <f ca="1">IF(ISNUMBER(O1052),OFFSET('MPIO_SFIO Table'!$AJ$11,O1052,0),"")</f>
        <v/>
      </c>
      <c r="U1052" t="str">
        <f ca="1">IF(ISNUMBER(P1052),OFFSET('MPIO_SFIO Table'!$AJ$11,P1052,0),"")</f>
        <v/>
      </c>
      <c r="V1052" t="str">
        <f ca="1">IF(ISNUMBER(Q1052),OFFSET('MPIO_SFIO Table'!$AJ$11,Q1052,0),"")</f>
        <v/>
      </c>
      <c r="W1052">
        <f t="shared" ca="1" si="139"/>
        <v>0</v>
      </c>
      <c r="X1052">
        <f t="shared" ca="1" si="140"/>
        <v>0</v>
      </c>
      <c r="Y1052">
        <f t="shared" ca="1" si="141"/>
        <v>0</v>
      </c>
      <c r="Z1052">
        <f t="shared" ca="1" si="142"/>
        <v>0</v>
      </c>
      <c r="AA1052">
        <f t="shared" ca="1" si="143"/>
        <v>0</v>
      </c>
    </row>
    <row r="1053" spans="1:27" x14ac:dyDescent="0.25">
      <c r="A1053">
        <f t="shared" ca="1" si="136"/>
        <v>0</v>
      </c>
      <c r="B1053" t="str">
        <f t="shared" ca="1" si="137"/>
        <v/>
      </c>
      <c r="C1053" t="str">
        <f t="shared" si="138"/>
        <v/>
      </c>
      <c r="D1053" t="s">
        <v>253</v>
      </c>
      <c r="E1053" t="s">
        <v>253</v>
      </c>
      <c r="F1053" s="3" t="s">
        <v>253</v>
      </c>
      <c r="G1053" s="11" t="s">
        <v>253</v>
      </c>
      <c r="H1053" s="11" t="s">
        <v>253</v>
      </c>
      <c r="I1053" s="3" t="s">
        <v>253</v>
      </c>
      <c r="J1053" s="3" t="s">
        <v>253</v>
      </c>
      <c r="K1053" s="3" t="s">
        <v>253</v>
      </c>
      <c r="L1053" s="3" t="s">
        <v>253</v>
      </c>
      <c r="M1053" t="str">
        <f>IF(LEN(H1053),MATCH(H1053,'MPIO_SFIO Table'!$A$11:$A$65525,0)-1,"")</f>
        <v/>
      </c>
      <c r="N1053" t="str">
        <f>IF(LEN(I1053),MATCH(I1053,'MPIO_SFIO Table'!$A$11:$A$65525,0)-1,"")</f>
        <v/>
      </c>
      <c r="O1053" t="str">
        <f>IF(LEN(J1053),MATCH(J1053,'MPIO_SFIO Table'!$A$11:$A$65525,0)-1,"")</f>
        <v/>
      </c>
      <c r="P1053" t="str">
        <f>IF(LEN(K1053),MATCH(K1053,'MPIO_SFIO Table'!$A$11:$A$65525,0)-1,"")</f>
        <v/>
      </c>
      <c r="Q1053" t="str">
        <f>IF(LEN(L1053),MATCH(L1053,'MPIO_SFIO Table'!$A$11:$A$65525,0)-1,"")</f>
        <v/>
      </c>
      <c r="R1053" t="str">
        <f ca="1">IF(ISNUMBER(M1053),OFFSET('MPIO_SFIO Table'!$AJ$11,M1053,0),"")</f>
        <v/>
      </c>
      <c r="S1053" t="str">
        <f ca="1">IF(ISNUMBER(N1053),OFFSET('MPIO_SFIO Table'!$AJ$11,N1053,0),"")</f>
        <v/>
      </c>
      <c r="T1053" t="str">
        <f ca="1">IF(ISNUMBER(O1053),OFFSET('MPIO_SFIO Table'!$AJ$11,O1053,0),"")</f>
        <v/>
      </c>
      <c r="U1053" t="str">
        <f ca="1">IF(ISNUMBER(P1053),OFFSET('MPIO_SFIO Table'!$AJ$11,P1053,0),"")</f>
        <v/>
      </c>
      <c r="V1053" t="str">
        <f ca="1">IF(ISNUMBER(Q1053),OFFSET('MPIO_SFIO Table'!$AJ$11,Q1053,0),"")</f>
        <v/>
      </c>
      <c r="W1053">
        <f t="shared" ca="1" si="139"/>
        <v>0</v>
      </c>
      <c r="X1053">
        <f t="shared" ca="1" si="140"/>
        <v>0</v>
      </c>
      <c r="Y1053">
        <f t="shared" ca="1" si="141"/>
        <v>0</v>
      </c>
      <c r="Z1053">
        <f t="shared" ca="1" si="142"/>
        <v>0</v>
      </c>
      <c r="AA1053">
        <f t="shared" ca="1" si="143"/>
        <v>0</v>
      </c>
    </row>
    <row r="1054" spans="1:27" x14ac:dyDescent="0.25">
      <c r="A1054">
        <f t="shared" ca="1" si="136"/>
        <v>0</v>
      </c>
      <c r="B1054" t="str">
        <f t="shared" ca="1" si="137"/>
        <v/>
      </c>
      <c r="C1054" t="str">
        <f t="shared" si="138"/>
        <v/>
      </c>
      <c r="D1054" t="s">
        <v>253</v>
      </c>
      <c r="E1054" t="s">
        <v>253</v>
      </c>
      <c r="F1054" s="3" t="s">
        <v>253</v>
      </c>
      <c r="G1054" s="11" t="s">
        <v>253</v>
      </c>
      <c r="H1054" s="11" t="s">
        <v>253</v>
      </c>
      <c r="I1054" s="3" t="s">
        <v>253</v>
      </c>
      <c r="J1054" s="3" t="s">
        <v>253</v>
      </c>
      <c r="K1054" s="3" t="s">
        <v>253</v>
      </c>
      <c r="L1054" s="3" t="s">
        <v>253</v>
      </c>
      <c r="M1054" t="str">
        <f>IF(LEN(H1054),MATCH(H1054,'MPIO_SFIO Table'!$A$11:$A$65525,0)-1,"")</f>
        <v/>
      </c>
      <c r="N1054" t="str">
        <f>IF(LEN(I1054),MATCH(I1054,'MPIO_SFIO Table'!$A$11:$A$65525,0)-1,"")</f>
        <v/>
      </c>
      <c r="O1054" t="str">
        <f>IF(LEN(J1054),MATCH(J1054,'MPIO_SFIO Table'!$A$11:$A$65525,0)-1,"")</f>
        <v/>
      </c>
      <c r="P1054" t="str">
        <f>IF(LEN(K1054),MATCH(K1054,'MPIO_SFIO Table'!$A$11:$A$65525,0)-1,"")</f>
        <v/>
      </c>
      <c r="Q1054" t="str">
        <f>IF(LEN(L1054),MATCH(L1054,'MPIO_SFIO Table'!$A$11:$A$65525,0)-1,"")</f>
        <v/>
      </c>
      <c r="R1054" t="str">
        <f ca="1">IF(ISNUMBER(M1054),OFFSET('MPIO_SFIO Table'!$AJ$11,M1054,0),"")</f>
        <v/>
      </c>
      <c r="S1054" t="str">
        <f ca="1">IF(ISNUMBER(N1054),OFFSET('MPIO_SFIO Table'!$AJ$11,N1054,0),"")</f>
        <v/>
      </c>
      <c r="T1054" t="str">
        <f ca="1">IF(ISNUMBER(O1054),OFFSET('MPIO_SFIO Table'!$AJ$11,O1054,0),"")</f>
        <v/>
      </c>
      <c r="U1054" t="str">
        <f ca="1">IF(ISNUMBER(P1054),OFFSET('MPIO_SFIO Table'!$AJ$11,P1054,0),"")</f>
        <v/>
      </c>
      <c r="V1054" t="str">
        <f ca="1">IF(ISNUMBER(Q1054),OFFSET('MPIO_SFIO Table'!$AJ$11,Q1054,0),"")</f>
        <v/>
      </c>
      <c r="W1054">
        <f t="shared" ca="1" si="139"/>
        <v>0</v>
      </c>
      <c r="X1054">
        <f t="shared" ca="1" si="140"/>
        <v>0</v>
      </c>
      <c r="Y1054">
        <f t="shared" ca="1" si="141"/>
        <v>0</v>
      </c>
      <c r="Z1054">
        <f t="shared" ca="1" si="142"/>
        <v>0</v>
      </c>
      <c r="AA1054">
        <f t="shared" ca="1" si="143"/>
        <v>0</v>
      </c>
    </row>
    <row r="1055" spans="1:27" x14ac:dyDescent="0.25">
      <c r="A1055">
        <f t="shared" ca="1" si="136"/>
        <v>0</v>
      </c>
      <c r="B1055" t="str">
        <f t="shared" ca="1" si="137"/>
        <v/>
      </c>
      <c r="C1055" t="str">
        <f t="shared" si="138"/>
        <v/>
      </c>
      <c r="D1055" t="s">
        <v>253</v>
      </c>
      <c r="E1055" t="s">
        <v>253</v>
      </c>
      <c r="F1055" s="3" t="s">
        <v>253</v>
      </c>
      <c r="G1055" s="11" t="s">
        <v>253</v>
      </c>
      <c r="H1055" s="11" t="s">
        <v>253</v>
      </c>
      <c r="I1055" s="3" t="s">
        <v>253</v>
      </c>
      <c r="J1055" s="3" t="s">
        <v>253</v>
      </c>
      <c r="K1055" s="3" t="s">
        <v>253</v>
      </c>
      <c r="L1055" s="3" t="s">
        <v>253</v>
      </c>
      <c r="M1055" t="str">
        <f>IF(LEN(H1055),MATCH(H1055,'MPIO_SFIO Table'!$A$11:$A$65525,0)-1,"")</f>
        <v/>
      </c>
      <c r="N1055" t="str">
        <f>IF(LEN(I1055),MATCH(I1055,'MPIO_SFIO Table'!$A$11:$A$65525,0)-1,"")</f>
        <v/>
      </c>
      <c r="O1055" t="str">
        <f>IF(LEN(J1055),MATCH(J1055,'MPIO_SFIO Table'!$A$11:$A$65525,0)-1,"")</f>
        <v/>
      </c>
      <c r="P1055" t="str">
        <f>IF(LEN(K1055),MATCH(K1055,'MPIO_SFIO Table'!$A$11:$A$65525,0)-1,"")</f>
        <v/>
      </c>
      <c r="Q1055" t="str">
        <f>IF(LEN(L1055),MATCH(L1055,'MPIO_SFIO Table'!$A$11:$A$65525,0)-1,"")</f>
        <v/>
      </c>
      <c r="R1055" t="str">
        <f ca="1">IF(ISNUMBER(M1055),OFFSET('MPIO_SFIO Table'!$AJ$11,M1055,0),"")</f>
        <v/>
      </c>
      <c r="S1055" t="str">
        <f ca="1">IF(ISNUMBER(N1055),OFFSET('MPIO_SFIO Table'!$AJ$11,N1055,0),"")</f>
        <v/>
      </c>
      <c r="T1055" t="str">
        <f ca="1">IF(ISNUMBER(O1055),OFFSET('MPIO_SFIO Table'!$AJ$11,O1055,0),"")</f>
        <v/>
      </c>
      <c r="U1055" t="str">
        <f ca="1">IF(ISNUMBER(P1055),OFFSET('MPIO_SFIO Table'!$AJ$11,P1055,0),"")</f>
        <v/>
      </c>
      <c r="V1055" t="str">
        <f ca="1">IF(ISNUMBER(Q1055),OFFSET('MPIO_SFIO Table'!$AJ$11,Q1055,0),"")</f>
        <v/>
      </c>
      <c r="W1055">
        <f t="shared" ca="1" si="139"/>
        <v>0</v>
      </c>
      <c r="X1055">
        <f t="shared" ca="1" si="140"/>
        <v>0</v>
      </c>
      <c r="Y1055">
        <f t="shared" ca="1" si="141"/>
        <v>0</v>
      </c>
      <c r="Z1055">
        <f t="shared" ca="1" si="142"/>
        <v>0</v>
      </c>
      <c r="AA1055">
        <f t="shared" ca="1" si="143"/>
        <v>0</v>
      </c>
    </row>
    <row r="1056" spans="1:27" x14ac:dyDescent="0.25">
      <c r="A1056">
        <f t="shared" ca="1" si="136"/>
        <v>0</v>
      </c>
      <c r="B1056" t="str">
        <f t="shared" ca="1" si="137"/>
        <v/>
      </c>
      <c r="C1056" t="str">
        <f t="shared" si="138"/>
        <v/>
      </c>
      <c r="D1056" t="s">
        <v>253</v>
      </c>
      <c r="E1056" t="s">
        <v>253</v>
      </c>
      <c r="F1056" s="3" t="s">
        <v>253</v>
      </c>
      <c r="G1056" s="11" t="s">
        <v>253</v>
      </c>
      <c r="H1056" s="11" t="s">
        <v>253</v>
      </c>
      <c r="I1056" s="3" t="s">
        <v>253</v>
      </c>
      <c r="J1056" s="3" t="s">
        <v>253</v>
      </c>
      <c r="K1056" s="3" t="s">
        <v>253</v>
      </c>
      <c r="L1056" s="3" t="s">
        <v>253</v>
      </c>
      <c r="M1056" t="str">
        <f>IF(LEN(H1056),MATCH(H1056,'MPIO_SFIO Table'!$A$11:$A$65525,0)-1,"")</f>
        <v/>
      </c>
      <c r="N1056" t="str">
        <f>IF(LEN(I1056),MATCH(I1056,'MPIO_SFIO Table'!$A$11:$A$65525,0)-1,"")</f>
        <v/>
      </c>
      <c r="O1056" t="str">
        <f>IF(LEN(J1056),MATCH(J1056,'MPIO_SFIO Table'!$A$11:$A$65525,0)-1,"")</f>
        <v/>
      </c>
      <c r="P1056" t="str">
        <f>IF(LEN(K1056),MATCH(K1056,'MPIO_SFIO Table'!$A$11:$A$65525,0)-1,"")</f>
        <v/>
      </c>
      <c r="Q1056" t="str">
        <f>IF(LEN(L1056),MATCH(L1056,'MPIO_SFIO Table'!$A$11:$A$65525,0)-1,"")</f>
        <v/>
      </c>
      <c r="R1056" t="str">
        <f ca="1">IF(ISNUMBER(M1056),OFFSET('MPIO_SFIO Table'!$AJ$11,M1056,0),"")</f>
        <v/>
      </c>
      <c r="S1056" t="str">
        <f ca="1">IF(ISNUMBER(N1056),OFFSET('MPIO_SFIO Table'!$AJ$11,N1056,0),"")</f>
        <v/>
      </c>
      <c r="T1056" t="str">
        <f ca="1">IF(ISNUMBER(O1056),OFFSET('MPIO_SFIO Table'!$AJ$11,O1056,0),"")</f>
        <v/>
      </c>
      <c r="U1056" t="str">
        <f ca="1">IF(ISNUMBER(P1056),OFFSET('MPIO_SFIO Table'!$AJ$11,P1056,0),"")</f>
        <v/>
      </c>
      <c r="V1056" t="str">
        <f ca="1">IF(ISNUMBER(Q1056),OFFSET('MPIO_SFIO Table'!$AJ$11,Q1056,0),"")</f>
        <v/>
      </c>
      <c r="W1056">
        <f t="shared" ca="1" si="139"/>
        <v>0</v>
      </c>
      <c r="X1056">
        <f t="shared" ca="1" si="140"/>
        <v>0</v>
      </c>
      <c r="Y1056">
        <f t="shared" ca="1" si="141"/>
        <v>0</v>
      </c>
      <c r="Z1056">
        <f t="shared" ca="1" si="142"/>
        <v>0</v>
      </c>
      <c r="AA1056">
        <f t="shared" ca="1" si="143"/>
        <v>0</v>
      </c>
    </row>
    <row r="1057" spans="1:27" x14ac:dyDescent="0.25">
      <c r="A1057">
        <f t="shared" ca="1" si="136"/>
        <v>0</v>
      </c>
      <c r="B1057" t="str">
        <f t="shared" ca="1" si="137"/>
        <v/>
      </c>
      <c r="C1057" t="str">
        <f t="shared" si="138"/>
        <v/>
      </c>
      <c r="D1057" t="s">
        <v>253</v>
      </c>
      <c r="E1057" t="s">
        <v>253</v>
      </c>
      <c r="F1057" s="3" t="s">
        <v>253</v>
      </c>
      <c r="G1057" s="11" t="s">
        <v>253</v>
      </c>
      <c r="H1057" s="11" t="s">
        <v>253</v>
      </c>
      <c r="I1057" s="3" t="s">
        <v>253</v>
      </c>
      <c r="J1057" s="3" t="s">
        <v>253</v>
      </c>
      <c r="K1057" s="3" t="s">
        <v>253</v>
      </c>
      <c r="L1057" s="3" t="s">
        <v>253</v>
      </c>
      <c r="M1057" t="str">
        <f>IF(LEN(H1057),MATCH(H1057,'MPIO_SFIO Table'!$A$11:$A$65525,0)-1,"")</f>
        <v/>
      </c>
      <c r="N1057" t="str">
        <f>IF(LEN(I1057),MATCH(I1057,'MPIO_SFIO Table'!$A$11:$A$65525,0)-1,"")</f>
        <v/>
      </c>
      <c r="O1057" t="str">
        <f>IF(LEN(J1057),MATCH(J1057,'MPIO_SFIO Table'!$A$11:$A$65525,0)-1,"")</f>
        <v/>
      </c>
      <c r="P1057" t="str">
        <f>IF(LEN(K1057),MATCH(K1057,'MPIO_SFIO Table'!$A$11:$A$65525,0)-1,"")</f>
        <v/>
      </c>
      <c r="Q1057" t="str">
        <f>IF(LEN(L1057),MATCH(L1057,'MPIO_SFIO Table'!$A$11:$A$65525,0)-1,"")</f>
        <v/>
      </c>
      <c r="R1057" t="str">
        <f ca="1">IF(ISNUMBER(M1057),OFFSET('MPIO_SFIO Table'!$AJ$11,M1057,0),"")</f>
        <v/>
      </c>
      <c r="S1057" t="str">
        <f ca="1">IF(ISNUMBER(N1057),OFFSET('MPIO_SFIO Table'!$AJ$11,N1057,0),"")</f>
        <v/>
      </c>
      <c r="T1057" t="str">
        <f ca="1">IF(ISNUMBER(O1057),OFFSET('MPIO_SFIO Table'!$AJ$11,O1057,0),"")</f>
        <v/>
      </c>
      <c r="U1057" t="str">
        <f ca="1">IF(ISNUMBER(P1057),OFFSET('MPIO_SFIO Table'!$AJ$11,P1057,0),"")</f>
        <v/>
      </c>
      <c r="V1057" t="str">
        <f ca="1">IF(ISNUMBER(Q1057),OFFSET('MPIO_SFIO Table'!$AJ$11,Q1057,0),"")</f>
        <v/>
      </c>
      <c r="W1057">
        <f t="shared" ca="1" si="139"/>
        <v>0</v>
      </c>
      <c r="X1057">
        <f t="shared" ca="1" si="140"/>
        <v>0</v>
      </c>
      <c r="Y1057">
        <f t="shared" ca="1" si="141"/>
        <v>0</v>
      </c>
      <c r="Z1057">
        <f t="shared" ca="1" si="142"/>
        <v>0</v>
      </c>
      <c r="AA1057">
        <f t="shared" ca="1" si="143"/>
        <v>0</v>
      </c>
    </row>
    <row r="1058" spans="1:27" x14ac:dyDescent="0.25">
      <c r="A1058">
        <f t="shared" ca="1" si="136"/>
        <v>0</v>
      </c>
      <c r="B1058" t="str">
        <f t="shared" ca="1" si="137"/>
        <v/>
      </c>
      <c r="C1058" t="str">
        <f t="shared" si="138"/>
        <v/>
      </c>
      <c r="D1058" t="s">
        <v>253</v>
      </c>
      <c r="E1058" t="s">
        <v>253</v>
      </c>
      <c r="F1058" s="3" t="s">
        <v>253</v>
      </c>
      <c r="G1058" s="11" t="s">
        <v>253</v>
      </c>
      <c r="H1058" s="11" t="s">
        <v>253</v>
      </c>
      <c r="I1058" s="3" t="s">
        <v>253</v>
      </c>
      <c r="J1058" s="3" t="s">
        <v>253</v>
      </c>
      <c r="K1058" s="3" t="s">
        <v>253</v>
      </c>
      <c r="L1058" s="3" t="s">
        <v>253</v>
      </c>
      <c r="M1058" t="str">
        <f>IF(LEN(H1058),MATCH(H1058,'MPIO_SFIO Table'!$A$11:$A$65525,0)-1,"")</f>
        <v/>
      </c>
      <c r="N1058" t="str">
        <f>IF(LEN(I1058),MATCH(I1058,'MPIO_SFIO Table'!$A$11:$A$65525,0)-1,"")</f>
        <v/>
      </c>
      <c r="O1058" t="str">
        <f>IF(LEN(J1058),MATCH(J1058,'MPIO_SFIO Table'!$A$11:$A$65525,0)-1,"")</f>
        <v/>
      </c>
      <c r="P1058" t="str">
        <f>IF(LEN(K1058),MATCH(K1058,'MPIO_SFIO Table'!$A$11:$A$65525,0)-1,"")</f>
        <v/>
      </c>
      <c r="Q1058" t="str">
        <f>IF(LEN(L1058),MATCH(L1058,'MPIO_SFIO Table'!$A$11:$A$65525,0)-1,"")</f>
        <v/>
      </c>
      <c r="R1058" t="str">
        <f ca="1">IF(ISNUMBER(M1058),OFFSET('MPIO_SFIO Table'!$AJ$11,M1058,0),"")</f>
        <v/>
      </c>
      <c r="S1058" t="str">
        <f ca="1">IF(ISNUMBER(N1058),OFFSET('MPIO_SFIO Table'!$AJ$11,N1058,0),"")</f>
        <v/>
      </c>
      <c r="T1058" t="str">
        <f ca="1">IF(ISNUMBER(O1058),OFFSET('MPIO_SFIO Table'!$AJ$11,O1058,0),"")</f>
        <v/>
      </c>
      <c r="U1058" t="str">
        <f ca="1">IF(ISNUMBER(P1058),OFFSET('MPIO_SFIO Table'!$AJ$11,P1058,0),"")</f>
        <v/>
      </c>
      <c r="V1058" t="str">
        <f ca="1">IF(ISNUMBER(Q1058),OFFSET('MPIO_SFIO Table'!$AJ$11,Q1058,0),"")</f>
        <v/>
      </c>
      <c r="W1058">
        <f t="shared" ca="1" si="139"/>
        <v>0</v>
      </c>
      <c r="X1058">
        <f t="shared" ca="1" si="140"/>
        <v>0</v>
      </c>
      <c r="Y1058">
        <f t="shared" ca="1" si="141"/>
        <v>0</v>
      </c>
      <c r="Z1058">
        <f t="shared" ca="1" si="142"/>
        <v>0</v>
      </c>
      <c r="AA1058">
        <f t="shared" ca="1" si="143"/>
        <v>0</v>
      </c>
    </row>
    <row r="1059" spans="1:27" x14ac:dyDescent="0.25">
      <c r="A1059">
        <f t="shared" ca="1" si="136"/>
        <v>0</v>
      </c>
      <c r="B1059" t="str">
        <f t="shared" ca="1" si="137"/>
        <v/>
      </c>
      <c r="C1059" t="str">
        <f t="shared" si="138"/>
        <v/>
      </c>
      <c r="D1059" t="s">
        <v>253</v>
      </c>
      <c r="E1059" t="s">
        <v>253</v>
      </c>
      <c r="F1059" s="3" t="s">
        <v>253</v>
      </c>
      <c r="G1059" s="11" t="s">
        <v>253</v>
      </c>
      <c r="H1059" s="11" t="s">
        <v>253</v>
      </c>
      <c r="I1059" s="3" t="s">
        <v>253</v>
      </c>
      <c r="J1059" s="3" t="s">
        <v>253</v>
      </c>
      <c r="K1059" s="3" t="s">
        <v>253</v>
      </c>
      <c r="L1059" s="3" t="s">
        <v>253</v>
      </c>
      <c r="M1059" t="str">
        <f>IF(LEN(H1059),MATCH(H1059,'MPIO_SFIO Table'!$A$11:$A$65525,0)-1,"")</f>
        <v/>
      </c>
      <c r="N1059" t="str">
        <f>IF(LEN(I1059),MATCH(I1059,'MPIO_SFIO Table'!$A$11:$A$65525,0)-1,"")</f>
        <v/>
      </c>
      <c r="O1059" t="str">
        <f>IF(LEN(J1059),MATCH(J1059,'MPIO_SFIO Table'!$A$11:$A$65525,0)-1,"")</f>
        <v/>
      </c>
      <c r="P1059" t="str">
        <f>IF(LEN(K1059),MATCH(K1059,'MPIO_SFIO Table'!$A$11:$A$65525,0)-1,"")</f>
        <v/>
      </c>
      <c r="Q1059" t="str">
        <f>IF(LEN(L1059),MATCH(L1059,'MPIO_SFIO Table'!$A$11:$A$65525,0)-1,"")</f>
        <v/>
      </c>
      <c r="R1059" t="str">
        <f ca="1">IF(ISNUMBER(M1059),OFFSET('MPIO_SFIO Table'!$AJ$11,M1059,0),"")</f>
        <v/>
      </c>
      <c r="S1059" t="str">
        <f ca="1">IF(ISNUMBER(N1059),OFFSET('MPIO_SFIO Table'!$AJ$11,N1059,0),"")</f>
        <v/>
      </c>
      <c r="T1059" t="str">
        <f ca="1">IF(ISNUMBER(O1059),OFFSET('MPIO_SFIO Table'!$AJ$11,O1059,0),"")</f>
        <v/>
      </c>
      <c r="U1059" t="str">
        <f ca="1">IF(ISNUMBER(P1059),OFFSET('MPIO_SFIO Table'!$AJ$11,P1059,0),"")</f>
        <v/>
      </c>
      <c r="V1059" t="str">
        <f ca="1">IF(ISNUMBER(Q1059),OFFSET('MPIO_SFIO Table'!$AJ$11,Q1059,0),"")</f>
        <v/>
      </c>
      <c r="W1059">
        <f t="shared" ca="1" si="139"/>
        <v>0</v>
      </c>
      <c r="X1059">
        <f t="shared" ca="1" si="140"/>
        <v>0</v>
      </c>
      <c r="Y1059">
        <f t="shared" ca="1" si="141"/>
        <v>0</v>
      </c>
      <c r="Z1059">
        <f t="shared" ca="1" si="142"/>
        <v>0</v>
      </c>
      <c r="AA1059">
        <f t="shared" ca="1" si="143"/>
        <v>0</v>
      </c>
    </row>
    <row r="1060" spans="1:27" x14ac:dyDescent="0.25">
      <c r="A1060">
        <f t="shared" ca="1" si="136"/>
        <v>0</v>
      </c>
      <c r="B1060" t="str">
        <f t="shared" ca="1" si="137"/>
        <v/>
      </c>
      <c r="C1060" t="str">
        <f t="shared" si="138"/>
        <v/>
      </c>
      <c r="D1060" t="s">
        <v>253</v>
      </c>
      <c r="E1060" t="s">
        <v>253</v>
      </c>
      <c r="F1060" s="3" t="s">
        <v>253</v>
      </c>
      <c r="G1060" s="11" t="s">
        <v>253</v>
      </c>
      <c r="H1060" s="11" t="s">
        <v>253</v>
      </c>
      <c r="I1060" s="3" t="s">
        <v>253</v>
      </c>
      <c r="J1060" s="3" t="s">
        <v>253</v>
      </c>
      <c r="K1060" s="3" t="s">
        <v>253</v>
      </c>
      <c r="L1060" s="3" t="s">
        <v>253</v>
      </c>
      <c r="M1060" t="str">
        <f>IF(LEN(H1060),MATCH(H1060,'MPIO_SFIO Table'!$A$11:$A$65525,0)-1,"")</f>
        <v/>
      </c>
      <c r="N1060" t="str">
        <f>IF(LEN(I1060),MATCH(I1060,'MPIO_SFIO Table'!$A$11:$A$65525,0)-1,"")</f>
        <v/>
      </c>
      <c r="O1060" t="str">
        <f>IF(LEN(J1060),MATCH(J1060,'MPIO_SFIO Table'!$A$11:$A$65525,0)-1,"")</f>
        <v/>
      </c>
      <c r="P1060" t="str">
        <f>IF(LEN(K1060),MATCH(K1060,'MPIO_SFIO Table'!$A$11:$A$65525,0)-1,"")</f>
        <v/>
      </c>
      <c r="Q1060" t="str">
        <f>IF(LEN(L1060),MATCH(L1060,'MPIO_SFIO Table'!$A$11:$A$65525,0)-1,"")</f>
        <v/>
      </c>
      <c r="R1060" t="str">
        <f ca="1">IF(ISNUMBER(M1060),OFFSET('MPIO_SFIO Table'!$AJ$11,M1060,0),"")</f>
        <v/>
      </c>
      <c r="S1060" t="str">
        <f ca="1">IF(ISNUMBER(N1060),OFFSET('MPIO_SFIO Table'!$AJ$11,N1060,0),"")</f>
        <v/>
      </c>
      <c r="T1060" t="str">
        <f ca="1">IF(ISNUMBER(O1060),OFFSET('MPIO_SFIO Table'!$AJ$11,O1060,0),"")</f>
        <v/>
      </c>
      <c r="U1060" t="str">
        <f ca="1">IF(ISNUMBER(P1060),OFFSET('MPIO_SFIO Table'!$AJ$11,P1060,0),"")</f>
        <v/>
      </c>
      <c r="V1060" t="str">
        <f ca="1">IF(ISNUMBER(Q1060),OFFSET('MPIO_SFIO Table'!$AJ$11,Q1060,0),"")</f>
        <v/>
      </c>
      <c r="W1060">
        <f t="shared" ca="1" si="139"/>
        <v>0</v>
      </c>
      <c r="X1060">
        <f t="shared" ca="1" si="140"/>
        <v>0</v>
      </c>
      <c r="Y1060">
        <f t="shared" ca="1" si="141"/>
        <v>0</v>
      </c>
      <c r="Z1060">
        <f t="shared" ca="1" si="142"/>
        <v>0</v>
      </c>
      <c r="AA1060">
        <f t="shared" ca="1" si="143"/>
        <v>0</v>
      </c>
    </row>
    <row r="1061" spans="1:27" x14ac:dyDescent="0.25">
      <c r="A1061">
        <f t="shared" ca="1" si="136"/>
        <v>0</v>
      </c>
      <c r="B1061" t="str">
        <f t="shared" ca="1" si="137"/>
        <v/>
      </c>
      <c r="C1061" t="str">
        <f t="shared" si="138"/>
        <v/>
      </c>
      <c r="D1061" t="s">
        <v>253</v>
      </c>
      <c r="E1061" t="s">
        <v>253</v>
      </c>
      <c r="F1061" s="3" t="s">
        <v>253</v>
      </c>
      <c r="G1061" s="11" t="s">
        <v>253</v>
      </c>
      <c r="H1061" s="11" t="s">
        <v>253</v>
      </c>
      <c r="I1061" s="3" t="s">
        <v>253</v>
      </c>
      <c r="J1061" s="3" t="s">
        <v>253</v>
      </c>
      <c r="K1061" s="3" t="s">
        <v>253</v>
      </c>
      <c r="L1061" s="3" t="s">
        <v>253</v>
      </c>
      <c r="M1061" t="str">
        <f>IF(LEN(H1061),MATCH(H1061,'MPIO_SFIO Table'!$A$11:$A$65525,0)-1,"")</f>
        <v/>
      </c>
      <c r="N1061" t="str">
        <f>IF(LEN(I1061),MATCH(I1061,'MPIO_SFIO Table'!$A$11:$A$65525,0)-1,"")</f>
        <v/>
      </c>
      <c r="O1061" t="str">
        <f>IF(LEN(J1061),MATCH(J1061,'MPIO_SFIO Table'!$A$11:$A$65525,0)-1,"")</f>
        <v/>
      </c>
      <c r="P1061" t="str">
        <f>IF(LEN(K1061),MATCH(K1061,'MPIO_SFIO Table'!$A$11:$A$65525,0)-1,"")</f>
        <v/>
      </c>
      <c r="Q1061" t="str">
        <f>IF(LEN(L1061),MATCH(L1061,'MPIO_SFIO Table'!$A$11:$A$65525,0)-1,"")</f>
        <v/>
      </c>
      <c r="R1061" t="str">
        <f ca="1">IF(ISNUMBER(M1061),OFFSET('MPIO_SFIO Table'!$AJ$11,M1061,0),"")</f>
        <v/>
      </c>
      <c r="S1061" t="str">
        <f ca="1">IF(ISNUMBER(N1061),OFFSET('MPIO_SFIO Table'!$AJ$11,N1061,0),"")</f>
        <v/>
      </c>
      <c r="T1061" t="str">
        <f ca="1">IF(ISNUMBER(O1061),OFFSET('MPIO_SFIO Table'!$AJ$11,O1061,0),"")</f>
        <v/>
      </c>
      <c r="U1061" t="str">
        <f ca="1">IF(ISNUMBER(P1061),OFFSET('MPIO_SFIO Table'!$AJ$11,P1061,0),"")</f>
        <v/>
      </c>
      <c r="V1061" t="str">
        <f ca="1">IF(ISNUMBER(Q1061),OFFSET('MPIO_SFIO Table'!$AJ$11,Q1061,0),"")</f>
        <v/>
      </c>
      <c r="W1061">
        <f t="shared" ca="1" si="139"/>
        <v>0</v>
      </c>
      <c r="X1061">
        <f t="shared" ca="1" si="140"/>
        <v>0</v>
      </c>
      <c r="Y1061">
        <f t="shared" ca="1" si="141"/>
        <v>0</v>
      </c>
      <c r="Z1061">
        <f t="shared" ca="1" si="142"/>
        <v>0</v>
      </c>
      <c r="AA1061">
        <f t="shared" ca="1" si="143"/>
        <v>0</v>
      </c>
    </row>
    <row r="1062" spans="1:27" x14ac:dyDescent="0.25">
      <c r="A1062">
        <f t="shared" ca="1" si="136"/>
        <v>0</v>
      </c>
      <c r="B1062" t="str">
        <f t="shared" ca="1" si="137"/>
        <v/>
      </c>
      <c r="C1062" t="str">
        <f t="shared" si="138"/>
        <v/>
      </c>
      <c r="D1062" t="s">
        <v>253</v>
      </c>
      <c r="E1062" t="s">
        <v>253</v>
      </c>
      <c r="F1062" s="3" t="s">
        <v>253</v>
      </c>
      <c r="G1062" s="11" t="s">
        <v>253</v>
      </c>
      <c r="H1062" s="11" t="s">
        <v>253</v>
      </c>
      <c r="I1062" s="3" t="s">
        <v>253</v>
      </c>
      <c r="J1062" s="3" t="s">
        <v>253</v>
      </c>
      <c r="K1062" s="3" t="s">
        <v>253</v>
      </c>
      <c r="L1062" s="3" t="s">
        <v>253</v>
      </c>
      <c r="M1062" t="str">
        <f>IF(LEN(H1062),MATCH(H1062,'MPIO_SFIO Table'!$A$11:$A$65525,0)-1,"")</f>
        <v/>
      </c>
      <c r="N1062" t="str">
        <f>IF(LEN(I1062),MATCH(I1062,'MPIO_SFIO Table'!$A$11:$A$65525,0)-1,"")</f>
        <v/>
      </c>
      <c r="O1062" t="str">
        <f>IF(LEN(J1062),MATCH(J1062,'MPIO_SFIO Table'!$A$11:$A$65525,0)-1,"")</f>
        <v/>
      </c>
      <c r="P1062" t="str">
        <f>IF(LEN(K1062),MATCH(K1062,'MPIO_SFIO Table'!$A$11:$A$65525,0)-1,"")</f>
        <v/>
      </c>
      <c r="Q1062" t="str">
        <f>IF(LEN(L1062),MATCH(L1062,'MPIO_SFIO Table'!$A$11:$A$65525,0)-1,"")</f>
        <v/>
      </c>
      <c r="R1062" t="str">
        <f ca="1">IF(ISNUMBER(M1062),OFFSET('MPIO_SFIO Table'!$AJ$11,M1062,0),"")</f>
        <v/>
      </c>
      <c r="S1062" t="str">
        <f ca="1">IF(ISNUMBER(N1062),OFFSET('MPIO_SFIO Table'!$AJ$11,N1062,0),"")</f>
        <v/>
      </c>
      <c r="T1062" t="str">
        <f ca="1">IF(ISNUMBER(O1062),OFFSET('MPIO_SFIO Table'!$AJ$11,O1062,0),"")</f>
        <v/>
      </c>
      <c r="U1062" t="str">
        <f ca="1">IF(ISNUMBER(P1062),OFFSET('MPIO_SFIO Table'!$AJ$11,P1062,0),"")</f>
        <v/>
      </c>
      <c r="V1062" t="str">
        <f ca="1">IF(ISNUMBER(Q1062),OFFSET('MPIO_SFIO Table'!$AJ$11,Q1062,0),"")</f>
        <v/>
      </c>
      <c r="W1062">
        <f t="shared" ca="1" si="139"/>
        <v>0</v>
      </c>
      <c r="X1062">
        <f t="shared" ca="1" si="140"/>
        <v>0</v>
      </c>
      <c r="Y1062">
        <f t="shared" ca="1" si="141"/>
        <v>0</v>
      </c>
      <c r="Z1062">
        <f t="shared" ca="1" si="142"/>
        <v>0</v>
      </c>
      <c r="AA1062">
        <f t="shared" ca="1" si="143"/>
        <v>0</v>
      </c>
    </row>
    <row r="1063" spans="1:27" x14ac:dyDescent="0.25">
      <c r="A1063">
        <f t="shared" ca="1" si="136"/>
        <v>0</v>
      </c>
      <c r="B1063" t="str">
        <f t="shared" ca="1" si="137"/>
        <v/>
      </c>
      <c r="C1063" t="str">
        <f t="shared" si="138"/>
        <v/>
      </c>
      <c r="D1063" t="s">
        <v>253</v>
      </c>
      <c r="E1063" t="s">
        <v>253</v>
      </c>
      <c r="F1063" s="3" t="s">
        <v>253</v>
      </c>
      <c r="G1063" s="11" t="s">
        <v>253</v>
      </c>
      <c r="H1063" s="11" t="s">
        <v>253</v>
      </c>
      <c r="I1063" s="3" t="s">
        <v>253</v>
      </c>
      <c r="J1063" s="3" t="s">
        <v>253</v>
      </c>
      <c r="K1063" s="3" t="s">
        <v>253</v>
      </c>
      <c r="L1063" s="3" t="s">
        <v>253</v>
      </c>
      <c r="M1063" t="str">
        <f>IF(LEN(H1063),MATCH(H1063,'MPIO_SFIO Table'!$A$11:$A$65525,0)-1,"")</f>
        <v/>
      </c>
      <c r="N1063" t="str">
        <f>IF(LEN(I1063),MATCH(I1063,'MPIO_SFIO Table'!$A$11:$A$65525,0)-1,"")</f>
        <v/>
      </c>
      <c r="O1063" t="str">
        <f>IF(LEN(J1063),MATCH(J1063,'MPIO_SFIO Table'!$A$11:$A$65525,0)-1,"")</f>
        <v/>
      </c>
      <c r="P1063" t="str">
        <f>IF(LEN(K1063),MATCH(K1063,'MPIO_SFIO Table'!$A$11:$A$65525,0)-1,"")</f>
        <v/>
      </c>
      <c r="Q1063" t="str">
        <f>IF(LEN(L1063),MATCH(L1063,'MPIO_SFIO Table'!$A$11:$A$65525,0)-1,"")</f>
        <v/>
      </c>
      <c r="R1063" t="str">
        <f ca="1">IF(ISNUMBER(M1063),OFFSET('MPIO_SFIO Table'!$AJ$11,M1063,0),"")</f>
        <v/>
      </c>
      <c r="S1063" t="str">
        <f ca="1">IF(ISNUMBER(N1063),OFFSET('MPIO_SFIO Table'!$AJ$11,N1063,0),"")</f>
        <v/>
      </c>
      <c r="T1063" t="str">
        <f ca="1">IF(ISNUMBER(O1063),OFFSET('MPIO_SFIO Table'!$AJ$11,O1063,0),"")</f>
        <v/>
      </c>
      <c r="U1063" t="str">
        <f ca="1">IF(ISNUMBER(P1063),OFFSET('MPIO_SFIO Table'!$AJ$11,P1063,0),"")</f>
        <v/>
      </c>
      <c r="V1063" t="str">
        <f ca="1">IF(ISNUMBER(Q1063),OFFSET('MPIO_SFIO Table'!$AJ$11,Q1063,0),"")</f>
        <v/>
      </c>
      <c r="W1063">
        <f t="shared" ca="1" si="139"/>
        <v>0</v>
      </c>
      <c r="X1063">
        <f t="shared" ca="1" si="140"/>
        <v>0</v>
      </c>
      <c r="Y1063">
        <f t="shared" ca="1" si="141"/>
        <v>0</v>
      </c>
      <c r="Z1063">
        <f t="shared" ca="1" si="142"/>
        <v>0</v>
      </c>
      <c r="AA1063">
        <f t="shared" ca="1" si="143"/>
        <v>0</v>
      </c>
    </row>
    <row r="1064" spans="1:27" x14ac:dyDescent="0.25">
      <c r="A1064">
        <f t="shared" ca="1" si="136"/>
        <v>0</v>
      </c>
      <c r="B1064" t="str">
        <f t="shared" ca="1" si="137"/>
        <v/>
      </c>
      <c r="C1064" t="str">
        <f t="shared" si="138"/>
        <v/>
      </c>
      <c r="D1064" t="s">
        <v>253</v>
      </c>
      <c r="E1064" t="s">
        <v>253</v>
      </c>
      <c r="F1064" s="3" t="s">
        <v>253</v>
      </c>
      <c r="G1064" s="11" t="s">
        <v>253</v>
      </c>
      <c r="H1064" s="11" t="s">
        <v>253</v>
      </c>
      <c r="I1064" s="3" t="s">
        <v>253</v>
      </c>
      <c r="J1064" s="3" t="s">
        <v>253</v>
      </c>
      <c r="K1064" s="3" t="s">
        <v>253</v>
      </c>
      <c r="L1064" s="3" t="s">
        <v>253</v>
      </c>
      <c r="M1064" t="str">
        <f>IF(LEN(H1064),MATCH(H1064,'MPIO_SFIO Table'!$A$11:$A$65525,0)-1,"")</f>
        <v/>
      </c>
      <c r="N1064" t="str">
        <f>IF(LEN(I1064),MATCH(I1064,'MPIO_SFIO Table'!$A$11:$A$65525,0)-1,"")</f>
        <v/>
      </c>
      <c r="O1064" t="str">
        <f>IF(LEN(J1064),MATCH(J1064,'MPIO_SFIO Table'!$A$11:$A$65525,0)-1,"")</f>
        <v/>
      </c>
      <c r="P1064" t="str">
        <f>IF(LEN(K1064),MATCH(K1064,'MPIO_SFIO Table'!$A$11:$A$65525,0)-1,"")</f>
        <v/>
      </c>
      <c r="Q1064" t="str">
        <f>IF(LEN(L1064),MATCH(L1064,'MPIO_SFIO Table'!$A$11:$A$65525,0)-1,"")</f>
        <v/>
      </c>
      <c r="R1064" t="str">
        <f ca="1">IF(ISNUMBER(M1064),OFFSET('MPIO_SFIO Table'!$AJ$11,M1064,0),"")</f>
        <v/>
      </c>
      <c r="S1064" t="str">
        <f ca="1">IF(ISNUMBER(N1064),OFFSET('MPIO_SFIO Table'!$AJ$11,N1064,0),"")</f>
        <v/>
      </c>
      <c r="T1064" t="str">
        <f ca="1">IF(ISNUMBER(O1064),OFFSET('MPIO_SFIO Table'!$AJ$11,O1064,0),"")</f>
        <v/>
      </c>
      <c r="U1064" t="str">
        <f ca="1">IF(ISNUMBER(P1064),OFFSET('MPIO_SFIO Table'!$AJ$11,P1064,0),"")</f>
        <v/>
      </c>
      <c r="V1064" t="str">
        <f ca="1">IF(ISNUMBER(Q1064),OFFSET('MPIO_SFIO Table'!$AJ$11,Q1064,0),"")</f>
        <v/>
      </c>
      <c r="W1064">
        <f t="shared" ca="1" si="139"/>
        <v>0</v>
      </c>
      <c r="X1064">
        <f t="shared" ca="1" si="140"/>
        <v>0</v>
      </c>
      <c r="Y1064">
        <f t="shared" ca="1" si="141"/>
        <v>0</v>
      </c>
      <c r="Z1064">
        <f t="shared" ca="1" si="142"/>
        <v>0</v>
      </c>
      <c r="AA1064">
        <f t="shared" ca="1" si="143"/>
        <v>0</v>
      </c>
    </row>
    <row r="1065" spans="1:27" x14ac:dyDescent="0.25">
      <c r="A1065">
        <f t="shared" ca="1" si="136"/>
        <v>0</v>
      </c>
      <c r="B1065" t="str">
        <f t="shared" ca="1" si="137"/>
        <v/>
      </c>
      <c r="C1065" t="str">
        <f t="shared" si="138"/>
        <v/>
      </c>
      <c r="D1065" t="s">
        <v>253</v>
      </c>
      <c r="E1065" t="s">
        <v>253</v>
      </c>
      <c r="F1065" s="3" t="s">
        <v>253</v>
      </c>
      <c r="G1065" s="11" t="s">
        <v>253</v>
      </c>
      <c r="H1065" s="11" t="s">
        <v>253</v>
      </c>
      <c r="I1065" s="3" t="s">
        <v>253</v>
      </c>
      <c r="J1065" s="3" t="s">
        <v>253</v>
      </c>
      <c r="K1065" s="3" t="s">
        <v>253</v>
      </c>
      <c r="L1065" s="3" t="s">
        <v>253</v>
      </c>
      <c r="M1065" t="str">
        <f>IF(LEN(H1065),MATCH(H1065,'MPIO_SFIO Table'!$A$11:$A$65525,0)-1,"")</f>
        <v/>
      </c>
      <c r="N1065" t="str">
        <f>IF(LEN(I1065),MATCH(I1065,'MPIO_SFIO Table'!$A$11:$A$65525,0)-1,"")</f>
        <v/>
      </c>
      <c r="O1065" t="str">
        <f>IF(LEN(J1065),MATCH(J1065,'MPIO_SFIO Table'!$A$11:$A$65525,0)-1,"")</f>
        <v/>
      </c>
      <c r="P1065" t="str">
        <f>IF(LEN(K1065),MATCH(K1065,'MPIO_SFIO Table'!$A$11:$A$65525,0)-1,"")</f>
        <v/>
      </c>
      <c r="Q1065" t="str">
        <f>IF(LEN(L1065),MATCH(L1065,'MPIO_SFIO Table'!$A$11:$A$65525,0)-1,"")</f>
        <v/>
      </c>
      <c r="R1065" t="str">
        <f ca="1">IF(ISNUMBER(M1065),OFFSET('MPIO_SFIO Table'!$AJ$11,M1065,0),"")</f>
        <v/>
      </c>
      <c r="S1065" t="str">
        <f ca="1">IF(ISNUMBER(N1065),OFFSET('MPIO_SFIO Table'!$AJ$11,N1065,0),"")</f>
        <v/>
      </c>
      <c r="T1065" t="str">
        <f ca="1">IF(ISNUMBER(O1065),OFFSET('MPIO_SFIO Table'!$AJ$11,O1065,0),"")</f>
        <v/>
      </c>
      <c r="U1065" t="str">
        <f ca="1">IF(ISNUMBER(P1065),OFFSET('MPIO_SFIO Table'!$AJ$11,P1065,0),"")</f>
        <v/>
      </c>
      <c r="V1065" t="str">
        <f ca="1">IF(ISNUMBER(Q1065),OFFSET('MPIO_SFIO Table'!$AJ$11,Q1065,0),"")</f>
        <v/>
      </c>
      <c r="W1065">
        <f t="shared" ca="1" si="139"/>
        <v>0</v>
      </c>
      <c r="X1065">
        <f t="shared" ca="1" si="140"/>
        <v>0</v>
      </c>
      <c r="Y1065">
        <f t="shared" ca="1" si="141"/>
        <v>0</v>
      </c>
      <c r="Z1065">
        <f t="shared" ca="1" si="142"/>
        <v>0</v>
      </c>
      <c r="AA1065">
        <f t="shared" ca="1" si="143"/>
        <v>0</v>
      </c>
    </row>
    <row r="1066" spans="1:27" x14ac:dyDescent="0.25">
      <c r="A1066">
        <f t="shared" ca="1" si="136"/>
        <v>0</v>
      </c>
      <c r="B1066" t="str">
        <f t="shared" ca="1" si="137"/>
        <v/>
      </c>
      <c r="C1066" t="str">
        <f t="shared" si="138"/>
        <v/>
      </c>
      <c r="D1066" t="s">
        <v>253</v>
      </c>
      <c r="E1066" t="s">
        <v>253</v>
      </c>
      <c r="F1066" s="3" t="s">
        <v>253</v>
      </c>
      <c r="G1066" s="11" t="s">
        <v>253</v>
      </c>
      <c r="H1066" s="11" t="s">
        <v>253</v>
      </c>
      <c r="I1066" s="3" t="s">
        <v>253</v>
      </c>
      <c r="J1066" s="3" t="s">
        <v>253</v>
      </c>
      <c r="K1066" s="3" t="s">
        <v>253</v>
      </c>
      <c r="L1066" s="3" t="s">
        <v>253</v>
      </c>
      <c r="M1066" t="str">
        <f>IF(LEN(H1066),MATCH(H1066,'MPIO_SFIO Table'!$A$11:$A$65525,0)-1,"")</f>
        <v/>
      </c>
      <c r="N1066" t="str">
        <f>IF(LEN(I1066),MATCH(I1066,'MPIO_SFIO Table'!$A$11:$A$65525,0)-1,"")</f>
        <v/>
      </c>
      <c r="O1066" t="str">
        <f>IF(LEN(J1066),MATCH(J1066,'MPIO_SFIO Table'!$A$11:$A$65525,0)-1,"")</f>
        <v/>
      </c>
      <c r="P1066" t="str">
        <f>IF(LEN(K1066),MATCH(K1066,'MPIO_SFIO Table'!$A$11:$A$65525,0)-1,"")</f>
        <v/>
      </c>
      <c r="Q1066" t="str">
        <f>IF(LEN(L1066),MATCH(L1066,'MPIO_SFIO Table'!$A$11:$A$65525,0)-1,"")</f>
        <v/>
      </c>
      <c r="R1066" t="str">
        <f ca="1">IF(ISNUMBER(M1066),OFFSET('MPIO_SFIO Table'!$AJ$11,M1066,0),"")</f>
        <v/>
      </c>
      <c r="S1066" t="str">
        <f ca="1">IF(ISNUMBER(N1066),OFFSET('MPIO_SFIO Table'!$AJ$11,N1066,0),"")</f>
        <v/>
      </c>
      <c r="T1066" t="str">
        <f ca="1">IF(ISNUMBER(O1066),OFFSET('MPIO_SFIO Table'!$AJ$11,O1066,0),"")</f>
        <v/>
      </c>
      <c r="U1066" t="str">
        <f ca="1">IF(ISNUMBER(P1066),OFFSET('MPIO_SFIO Table'!$AJ$11,P1066,0),"")</f>
        <v/>
      </c>
      <c r="V1066" t="str">
        <f ca="1">IF(ISNUMBER(Q1066),OFFSET('MPIO_SFIO Table'!$AJ$11,Q1066,0),"")</f>
        <v/>
      </c>
      <c r="W1066">
        <f t="shared" ca="1" si="139"/>
        <v>0</v>
      </c>
      <c r="X1066">
        <f t="shared" ca="1" si="140"/>
        <v>0</v>
      </c>
      <c r="Y1066">
        <f t="shared" ca="1" si="141"/>
        <v>0</v>
      </c>
      <c r="Z1066">
        <f t="shared" ca="1" si="142"/>
        <v>0</v>
      </c>
      <c r="AA1066">
        <f t="shared" ca="1" si="143"/>
        <v>0</v>
      </c>
    </row>
    <row r="1067" spans="1:27" x14ac:dyDescent="0.25">
      <c r="A1067">
        <f t="shared" ca="1" si="136"/>
        <v>0</v>
      </c>
      <c r="B1067" t="str">
        <f t="shared" ca="1" si="137"/>
        <v/>
      </c>
      <c r="C1067" t="str">
        <f t="shared" si="138"/>
        <v/>
      </c>
      <c r="D1067" t="s">
        <v>253</v>
      </c>
      <c r="E1067" t="s">
        <v>253</v>
      </c>
      <c r="F1067" s="3" t="s">
        <v>253</v>
      </c>
      <c r="G1067" s="11" t="s">
        <v>253</v>
      </c>
      <c r="H1067" s="11" t="s">
        <v>253</v>
      </c>
      <c r="I1067" s="3" t="s">
        <v>253</v>
      </c>
      <c r="J1067" s="3" t="s">
        <v>253</v>
      </c>
      <c r="K1067" s="3" t="s">
        <v>253</v>
      </c>
      <c r="L1067" s="3" t="s">
        <v>253</v>
      </c>
      <c r="M1067" t="str">
        <f>IF(LEN(H1067),MATCH(H1067,'MPIO_SFIO Table'!$A$11:$A$65525,0)-1,"")</f>
        <v/>
      </c>
      <c r="N1067" t="str">
        <f>IF(LEN(I1067),MATCH(I1067,'MPIO_SFIO Table'!$A$11:$A$65525,0)-1,"")</f>
        <v/>
      </c>
      <c r="O1067" t="str">
        <f>IF(LEN(J1067),MATCH(J1067,'MPIO_SFIO Table'!$A$11:$A$65525,0)-1,"")</f>
        <v/>
      </c>
      <c r="P1067" t="str">
        <f>IF(LEN(K1067),MATCH(K1067,'MPIO_SFIO Table'!$A$11:$A$65525,0)-1,"")</f>
        <v/>
      </c>
      <c r="Q1067" t="str">
        <f>IF(LEN(L1067),MATCH(L1067,'MPIO_SFIO Table'!$A$11:$A$65525,0)-1,"")</f>
        <v/>
      </c>
      <c r="R1067" t="str">
        <f ca="1">IF(ISNUMBER(M1067),OFFSET('MPIO_SFIO Table'!$AJ$11,M1067,0),"")</f>
        <v/>
      </c>
      <c r="S1067" t="str">
        <f ca="1">IF(ISNUMBER(N1067),OFFSET('MPIO_SFIO Table'!$AJ$11,N1067,0),"")</f>
        <v/>
      </c>
      <c r="T1067" t="str">
        <f ca="1">IF(ISNUMBER(O1067),OFFSET('MPIO_SFIO Table'!$AJ$11,O1067,0),"")</f>
        <v/>
      </c>
      <c r="U1067" t="str">
        <f ca="1">IF(ISNUMBER(P1067),OFFSET('MPIO_SFIO Table'!$AJ$11,P1067,0),"")</f>
        <v/>
      </c>
      <c r="V1067" t="str">
        <f ca="1">IF(ISNUMBER(Q1067),OFFSET('MPIO_SFIO Table'!$AJ$11,Q1067,0),"")</f>
        <v/>
      </c>
      <c r="W1067">
        <f t="shared" ca="1" si="139"/>
        <v>0</v>
      </c>
      <c r="X1067">
        <f t="shared" ca="1" si="140"/>
        <v>0</v>
      </c>
      <c r="Y1067">
        <f t="shared" ca="1" si="141"/>
        <v>0</v>
      </c>
      <c r="Z1067">
        <f t="shared" ca="1" si="142"/>
        <v>0</v>
      </c>
      <c r="AA1067">
        <f t="shared" ca="1" si="143"/>
        <v>0</v>
      </c>
    </row>
    <row r="1068" spans="1:27" x14ac:dyDescent="0.25">
      <c r="A1068">
        <f t="shared" ca="1" si="136"/>
        <v>0</v>
      </c>
      <c r="B1068" t="str">
        <f t="shared" ca="1" si="137"/>
        <v/>
      </c>
      <c r="C1068" t="str">
        <f t="shared" si="138"/>
        <v/>
      </c>
      <c r="D1068" t="s">
        <v>253</v>
      </c>
      <c r="E1068" t="s">
        <v>253</v>
      </c>
      <c r="F1068" s="3" t="s">
        <v>253</v>
      </c>
      <c r="G1068" s="11" t="s">
        <v>253</v>
      </c>
      <c r="H1068" s="11" t="s">
        <v>253</v>
      </c>
      <c r="I1068" s="3" t="s">
        <v>253</v>
      </c>
      <c r="J1068" s="3" t="s">
        <v>253</v>
      </c>
      <c r="K1068" s="3" t="s">
        <v>253</v>
      </c>
      <c r="L1068" s="3" t="s">
        <v>253</v>
      </c>
      <c r="M1068" t="str">
        <f>IF(LEN(H1068),MATCH(H1068,'MPIO_SFIO Table'!$A$11:$A$65525,0)-1,"")</f>
        <v/>
      </c>
      <c r="N1068" t="str">
        <f>IF(LEN(I1068),MATCH(I1068,'MPIO_SFIO Table'!$A$11:$A$65525,0)-1,"")</f>
        <v/>
      </c>
      <c r="O1068" t="str">
        <f>IF(LEN(J1068),MATCH(J1068,'MPIO_SFIO Table'!$A$11:$A$65525,0)-1,"")</f>
        <v/>
      </c>
      <c r="P1068" t="str">
        <f>IF(LEN(K1068),MATCH(K1068,'MPIO_SFIO Table'!$A$11:$A$65525,0)-1,"")</f>
        <v/>
      </c>
      <c r="Q1068" t="str">
        <f>IF(LEN(L1068),MATCH(L1068,'MPIO_SFIO Table'!$A$11:$A$65525,0)-1,"")</f>
        <v/>
      </c>
      <c r="R1068" t="str">
        <f ca="1">IF(ISNUMBER(M1068),OFFSET('MPIO_SFIO Table'!$AJ$11,M1068,0),"")</f>
        <v/>
      </c>
      <c r="S1068" t="str">
        <f ca="1">IF(ISNUMBER(N1068),OFFSET('MPIO_SFIO Table'!$AJ$11,N1068,0),"")</f>
        <v/>
      </c>
      <c r="T1068" t="str">
        <f ca="1">IF(ISNUMBER(O1068),OFFSET('MPIO_SFIO Table'!$AJ$11,O1068,0),"")</f>
        <v/>
      </c>
      <c r="U1068" t="str">
        <f ca="1">IF(ISNUMBER(P1068),OFFSET('MPIO_SFIO Table'!$AJ$11,P1068,0),"")</f>
        <v/>
      </c>
      <c r="V1068" t="str">
        <f ca="1">IF(ISNUMBER(Q1068),OFFSET('MPIO_SFIO Table'!$AJ$11,Q1068,0),"")</f>
        <v/>
      </c>
      <c r="W1068">
        <f t="shared" ca="1" si="139"/>
        <v>0</v>
      </c>
      <c r="X1068">
        <f t="shared" ca="1" si="140"/>
        <v>0</v>
      </c>
      <c r="Y1068">
        <f t="shared" ca="1" si="141"/>
        <v>0</v>
      </c>
      <c r="Z1068">
        <f t="shared" ca="1" si="142"/>
        <v>0</v>
      </c>
      <c r="AA1068">
        <f t="shared" ca="1" si="143"/>
        <v>0</v>
      </c>
    </row>
    <row r="1069" spans="1:27" x14ac:dyDescent="0.25">
      <c r="A1069">
        <f t="shared" ca="1" si="136"/>
        <v>0</v>
      </c>
      <c r="B1069" t="str">
        <f t="shared" ca="1" si="137"/>
        <v/>
      </c>
      <c r="C1069" t="str">
        <f t="shared" si="138"/>
        <v/>
      </c>
      <c r="D1069" t="s">
        <v>253</v>
      </c>
      <c r="E1069" t="s">
        <v>253</v>
      </c>
      <c r="F1069" s="3" t="s">
        <v>253</v>
      </c>
      <c r="G1069" s="11" t="s">
        <v>253</v>
      </c>
      <c r="H1069" s="11" t="s">
        <v>253</v>
      </c>
      <c r="I1069" s="3" t="s">
        <v>253</v>
      </c>
      <c r="J1069" s="3" t="s">
        <v>253</v>
      </c>
      <c r="K1069" s="3" t="s">
        <v>253</v>
      </c>
      <c r="L1069" s="3" t="s">
        <v>253</v>
      </c>
      <c r="M1069" t="str">
        <f>IF(LEN(H1069),MATCH(H1069,'MPIO_SFIO Table'!$A$11:$A$65525,0)-1,"")</f>
        <v/>
      </c>
      <c r="N1069" t="str">
        <f>IF(LEN(I1069),MATCH(I1069,'MPIO_SFIO Table'!$A$11:$A$65525,0)-1,"")</f>
        <v/>
      </c>
      <c r="O1069" t="str">
        <f>IF(LEN(J1069),MATCH(J1069,'MPIO_SFIO Table'!$A$11:$A$65525,0)-1,"")</f>
        <v/>
      </c>
      <c r="P1069" t="str">
        <f>IF(LEN(K1069),MATCH(K1069,'MPIO_SFIO Table'!$A$11:$A$65525,0)-1,"")</f>
        <v/>
      </c>
      <c r="Q1069" t="str">
        <f>IF(LEN(L1069),MATCH(L1069,'MPIO_SFIO Table'!$A$11:$A$65525,0)-1,"")</f>
        <v/>
      </c>
      <c r="R1069" t="str">
        <f ca="1">IF(ISNUMBER(M1069),OFFSET('MPIO_SFIO Table'!$AJ$11,M1069,0),"")</f>
        <v/>
      </c>
      <c r="S1069" t="str">
        <f ca="1">IF(ISNUMBER(N1069),OFFSET('MPIO_SFIO Table'!$AJ$11,N1069,0),"")</f>
        <v/>
      </c>
      <c r="T1069" t="str">
        <f ca="1">IF(ISNUMBER(O1069),OFFSET('MPIO_SFIO Table'!$AJ$11,O1069,0),"")</f>
        <v/>
      </c>
      <c r="U1069" t="str">
        <f ca="1">IF(ISNUMBER(P1069),OFFSET('MPIO_SFIO Table'!$AJ$11,P1069,0),"")</f>
        <v/>
      </c>
      <c r="V1069" t="str">
        <f ca="1">IF(ISNUMBER(Q1069),OFFSET('MPIO_SFIO Table'!$AJ$11,Q1069,0),"")</f>
        <v/>
      </c>
      <c r="W1069">
        <f t="shared" ca="1" si="139"/>
        <v>0</v>
      </c>
      <c r="X1069">
        <f t="shared" ca="1" si="140"/>
        <v>0</v>
      </c>
      <c r="Y1069">
        <f t="shared" ca="1" si="141"/>
        <v>0</v>
      </c>
      <c r="Z1069">
        <f t="shared" ca="1" si="142"/>
        <v>0</v>
      </c>
      <c r="AA1069">
        <f t="shared" ca="1" si="143"/>
        <v>0</v>
      </c>
    </row>
    <row r="1070" spans="1:27" x14ac:dyDescent="0.25">
      <c r="A1070">
        <f t="shared" ca="1" si="136"/>
        <v>0</v>
      </c>
      <c r="B1070" t="str">
        <f t="shared" ca="1" si="137"/>
        <v/>
      </c>
      <c r="C1070" t="str">
        <f t="shared" si="138"/>
        <v/>
      </c>
      <c r="D1070" t="s">
        <v>253</v>
      </c>
      <c r="E1070" t="s">
        <v>253</v>
      </c>
      <c r="F1070" s="3" t="s">
        <v>253</v>
      </c>
      <c r="G1070" s="11" t="s">
        <v>253</v>
      </c>
      <c r="H1070" s="11" t="s">
        <v>253</v>
      </c>
      <c r="I1070" s="3" t="s">
        <v>253</v>
      </c>
      <c r="J1070" s="3" t="s">
        <v>253</v>
      </c>
      <c r="K1070" s="3" t="s">
        <v>253</v>
      </c>
      <c r="L1070" s="3" t="s">
        <v>253</v>
      </c>
      <c r="M1070" t="str">
        <f>IF(LEN(H1070),MATCH(H1070,'MPIO_SFIO Table'!$A$11:$A$65525,0)-1,"")</f>
        <v/>
      </c>
      <c r="N1070" t="str">
        <f>IF(LEN(I1070),MATCH(I1070,'MPIO_SFIO Table'!$A$11:$A$65525,0)-1,"")</f>
        <v/>
      </c>
      <c r="O1070" t="str">
        <f>IF(LEN(J1070),MATCH(J1070,'MPIO_SFIO Table'!$A$11:$A$65525,0)-1,"")</f>
        <v/>
      </c>
      <c r="P1070" t="str">
        <f>IF(LEN(K1070),MATCH(K1070,'MPIO_SFIO Table'!$A$11:$A$65525,0)-1,"")</f>
        <v/>
      </c>
      <c r="Q1070" t="str">
        <f>IF(LEN(L1070),MATCH(L1070,'MPIO_SFIO Table'!$A$11:$A$65525,0)-1,"")</f>
        <v/>
      </c>
      <c r="R1070" t="str">
        <f ca="1">IF(ISNUMBER(M1070),OFFSET('MPIO_SFIO Table'!$AJ$11,M1070,0),"")</f>
        <v/>
      </c>
      <c r="S1070" t="str">
        <f ca="1">IF(ISNUMBER(N1070),OFFSET('MPIO_SFIO Table'!$AJ$11,N1070,0),"")</f>
        <v/>
      </c>
      <c r="T1070" t="str">
        <f ca="1">IF(ISNUMBER(O1070),OFFSET('MPIO_SFIO Table'!$AJ$11,O1070,0),"")</f>
        <v/>
      </c>
      <c r="U1070" t="str">
        <f ca="1">IF(ISNUMBER(P1070),OFFSET('MPIO_SFIO Table'!$AJ$11,P1070,0),"")</f>
        <v/>
      </c>
      <c r="V1070" t="str">
        <f ca="1">IF(ISNUMBER(Q1070),OFFSET('MPIO_SFIO Table'!$AJ$11,Q1070,0),"")</f>
        <v/>
      </c>
      <c r="W1070">
        <f t="shared" ca="1" si="139"/>
        <v>0</v>
      </c>
      <c r="X1070">
        <f t="shared" ca="1" si="140"/>
        <v>0</v>
      </c>
      <c r="Y1070">
        <f t="shared" ca="1" si="141"/>
        <v>0</v>
      </c>
      <c r="Z1070">
        <f t="shared" ca="1" si="142"/>
        <v>0</v>
      </c>
      <c r="AA1070">
        <f t="shared" ca="1" si="143"/>
        <v>0</v>
      </c>
    </row>
    <row r="1071" spans="1:27" x14ac:dyDescent="0.25">
      <c r="A1071">
        <f t="shared" ca="1" si="136"/>
        <v>0</v>
      </c>
      <c r="B1071" t="str">
        <f t="shared" ca="1" si="137"/>
        <v/>
      </c>
      <c r="C1071" t="str">
        <f t="shared" si="138"/>
        <v/>
      </c>
      <c r="D1071" t="s">
        <v>253</v>
      </c>
      <c r="E1071" t="s">
        <v>253</v>
      </c>
      <c r="F1071" s="3" t="s">
        <v>253</v>
      </c>
      <c r="G1071" s="11" t="s">
        <v>253</v>
      </c>
      <c r="H1071" s="11" t="s">
        <v>253</v>
      </c>
      <c r="I1071" s="3" t="s">
        <v>253</v>
      </c>
      <c r="J1071" s="3" t="s">
        <v>253</v>
      </c>
      <c r="K1071" s="3" t="s">
        <v>253</v>
      </c>
      <c r="L1071" s="3" t="s">
        <v>253</v>
      </c>
      <c r="M1071" t="str">
        <f>IF(LEN(H1071),MATCH(H1071,'MPIO_SFIO Table'!$A$11:$A$65525,0)-1,"")</f>
        <v/>
      </c>
      <c r="N1071" t="str">
        <f>IF(LEN(I1071),MATCH(I1071,'MPIO_SFIO Table'!$A$11:$A$65525,0)-1,"")</f>
        <v/>
      </c>
      <c r="O1071" t="str">
        <f>IF(LEN(J1071),MATCH(J1071,'MPIO_SFIO Table'!$A$11:$A$65525,0)-1,"")</f>
        <v/>
      </c>
      <c r="P1071" t="str">
        <f>IF(LEN(K1071),MATCH(K1071,'MPIO_SFIO Table'!$A$11:$A$65525,0)-1,"")</f>
        <v/>
      </c>
      <c r="Q1071" t="str">
        <f>IF(LEN(L1071),MATCH(L1071,'MPIO_SFIO Table'!$A$11:$A$65525,0)-1,"")</f>
        <v/>
      </c>
      <c r="R1071" t="str">
        <f ca="1">IF(ISNUMBER(M1071),OFFSET('MPIO_SFIO Table'!$AJ$11,M1071,0),"")</f>
        <v/>
      </c>
      <c r="S1071" t="str">
        <f ca="1">IF(ISNUMBER(N1071),OFFSET('MPIO_SFIO Table'!$AJ$11,N1071,0),"")</f>
        <v/>
      </c>
      <c r="T1071" t="str">
        <f ca="1">IF(ISNUMBER(O1071),OFFSET('MPIO_SFIO Table'!$AJ$11,O1071,0),"")</f>
        <v/>
      </c>
      <c r="U1071" t="str">
        <f ca="1">IF(ISNUMBER(P1071),OFFSET('MPIO_SFIO Table'!$AJ$11,P1071,0),"")</f>
        <v/>
      </c>
      <c r="V1071" t="str">
        <f ca="1">IF(ISNUMBER(Q1071),OFFSET('MPIO_SFIO Table'!$AJ$11,Q1071,0),"")</f>
        <v/>
      </c>
      <c r="W1071">
        <f t="shared" ca="1" si="139"/>
        <v>0</v>
      </c>
      <c r="X1071">
        <f t="shared" ca="1" si="140"/>
        <v>0</v>
      </c>
      <c r="Y1071">
        <f t="shared" ca="1" si="141"/>
        <v>0</v>
      </c>
      <c r="Z1071">
        <f t="shared" ca="1" si="142"/>
        <v>0</v>
      </c>
      <c r="AA1071">
        <f t="shared" ca="1" si="143"/>
        <v>0</v>
      </c>
    </row>
    <row r="1072" spans="1:27" x14ac:dyDescent="0.25">
      <c r="A1072">
        <f t="shared" ca="1" si="136"/>
        <v>0</v>
      </c>
      <c r="B1072" t="str">
        <f t="shared" ca="1" si="137"/>
        <v/>
      </c>
      <c r="C1072" t="str">
        <f t="shared" si="138"/>
        <v/>
      </c>
      <c r="D1072" t="s">
        <v>253</v>
      </c>
      <c r="E1072" t="s">
        <v>253</v>
      </c>
      <c r="F1072" s="3" t="s">
        <v>253</v>
      </c>
      <c r="G1072" s="11" t="s">
        <v>253</v>
      </c>
      <c r="H1072" s="11" t="s">
        <v>253</v>
      </c>
      <c r="I1072" s="3" t="s">
        <v>253</v>
      </c>
      <c r="J1072" s="3" t="s">
        <v>253</v>
      </c>
      <c r="K1072" s="3" t="s">
        <v>253</v>
      </c>
      <c r="L1072" s="3" t="s">
        <v>253</v>
      </c>
      <c r="M1072" t="str">
        <f>IF(LEN(H1072),MATCH(H1072,'MPIO_SFIO Table'!$A$11:$A$65525,0)-1,"")</f>
        <v/>
      </c>
      <c r="N1072" t="str">
        <f>IF(LEN(I1072),MATCH(I1072,'MPIO_SFIO Table'!$A$11:$A$65525,0)-1,"")</f>
        <v/>
      </c>
      <c r="O1072" t="str">
        <f>IF(LEN(J1072),MATCH(J1072,'MPIO_SFIO Table'!$A$11:$A$65525,0)-1,"")</f>
        <v/>
      </c>
      <c r="P1072" t="str">
        <f>IF(LEN(K1072),MATCH(K1072,'MPIO_SFIO Table'!$A$11:$A$65525,0)-1,"")</f>
        <v/>
      </c>
      <c r="Q1072" t="str">
        <f>IF(LEN(L1072),MATCH(L1072,'MPIO_SFIO Table'!$A$11:$A$65525,0)-1,"")</f>
        <v/>
      </c>
      <c r="R1072" t="str">
        <f ca="1">IF(ISNUMBER(M1072),OFFSET('MPIO_SFIO Table'!$AJ$11,M1072,0),"")</f>
        <v/>
      </c>
      <c r="S1072" t="str">
        <f ca="1">IF(ISNUMBER(N1072),OFFSET('MPIO_SFIO Table'!$AJ$11,N1072,0),"")</f>
        <v/>
      </c>
      <c r="T1072" t="str">
        <f ca="1">IF(ISNUMBER(O1072),OFFSET('MPIO_SFIO Table'!$AJ$11,O1072,0),"")</f>
        <v/>
      </c>
      <c r="U1072" t="str">
        <f ca="1">IF(ISNUMBER(P1072),OFFSET('MPIO_SFIO Table'!$AJ$11,P1072,0),"")</f>
        <v/>
      </c>
      <c r="V1072" t="str">
        <f ca="1">IF(ISNUMBER(Q1072),OFFSET('MPIO_SFIO Table'!$AJ$11,Q1072,0),"")</f>
        <v/>
      </c>
      <c r="W1072">
        <f t="shared" ca="1" si="139"/>
        <v>0</v>
      </c>
      <c r="X1072">
        <f t="shared" ca="1" si="140"/>
        <v>0</v>
      </c>
      <c r="Y1072">
        <f t="shared" ca="1" si="141"/>
        <v>0</v>
      </c>
      <c r="Z1072">
        <f t="shared" ca="1" si="142"/>
        <v>0</v>
      </c>
      <c r="AA1072">
        <f t="shared" ca="1" si="143"/>
        <v>0</v>
      </c>
    </row>
    <row r="1073" spans="1:27" x14ac:dyDescent="0.25">
      <c r="A1073">
        <f t="shared" ca="1" si="136"/>
        <v>0</v>
      </c>
      <c r="B1073" t="str">
        <f t="shared" ca="1" si="137"/>
        <v/>
      </c>
      <c r="C1073" t="str">
        <f t="shared" si="138"/>
        <v/>
      </c>
      <c r="D1073" t="s">
        <v>253</v>
      </c>
      <c r="E1073" t="s">
        <v>253</v>
      </c>
      <c r="F1073" s="3" t="s">
        <v>253</v>
      </c>
      <c r="G1073" s="11" t="s">
        <v>253</v>
      </c>
      <c r="H1073" s="11" t="s">
        <v>253</v>
      </c>
      <c r="I1073" s="3" t="s">
        <v>253</v>
      </c>
      <c r="J1073" s="3" t="s">
        <v>253</v>
      </c>
      <c r="K1073" s="3" t="s">
        <v>253</v>
      </c>
      <c r="L1073" s="3" t="s">
        <v>253</v>
      </c>
      <c r="M1073" t="str">
        <f>IF(LEN(H1073),MATCH(H1073,'MPIO_SFIO Table'!$A$11:$A$65525,0)-1,"")</f>
        <v/>
      </c>
      <c r="N1073" t="str">
        <f>IF(LEN(I1073),MATCH(I1073,'MPIO_SFIO Table'!$A$11:$A$65525,0)-1,"")</f>
        <v/>
      </c>
      <c r="O1073" t="str">
        <f>IF(LEN(J1073),MATCH(J1073,'MPIO_SFIO Table'!$A$11:$A$65525,0)-1,"")</f>
        <v/>
      </c>
      <c r="P1073" t="str">
        <f>IF(LEN(K1073),MATCH(K1073,'MPIO_SFIO Table'!$A$11:$A$65525,0)-1,"")</f>
        <v/>
      </c>
      <c r="Q1073" t="str">
        <f>IF(LEN(L1073),MATCH(L1073,'MPIO_SFIO Table'!$A$11:$A$65525,0)-1,"")</f>
        <v/>
      </c>
      <c r="R1073" t="str">
        <f ca="1">IF(ISNUMBER(M1073),OFFSET('MPIO_SFIO Table'!$AJ$11,M1073,0),"")</f>
        <v/>
      </c>
      <c r="S1073" t="str">
        <f ca="1">IF(ISNUMBER(N1073),OFFSET('MPIO_SFIO Table'!$AJ$11,N1073,0),"")</f>
        <v/>
      </c>
      <c r="T1073" t="str">
        <f ca="1">IF(ISNUMBER(O1073),OFFSET('MPIO_SFIO Table'!$AJ$11,O1073,0),"")</f>
        <v/>
      </c>
      <c r="U1073" t="str">
        <f ca="1">IF(ISNUMBER(P1073),OFFSET('MPIO_SFIO Table'!$AJ$11,P1073,0),"")</f>
        <v/>
      </c>
      <c r="V1073" t="str">
        <f ca="1">IF(ISNUMBER(Q1073),OFFSET('MPIO_SFIO Table'!$AJ$11,Q1073,0),"")</f>
        <v/>
      </c>
      <c r="W1073">
        <f t="shared" ca="1" si="139"/>
        <v>0</v>
      </c>
      <c r="X1073">
        <f t="shared" ca="1" si="140"/>
        <v>0</v>
      </c>
      <c r="Y1073">
        <f t="shared" ca="1" si="141"/>
        <v>0</v>
      </c>
      <c r="Z1073">
        <f t="shared" ca="1" si="142"/>
        <v>0</v>
      </c>
      <c r="AA1073">
        <f t="shared" ca="1" si="143"/>
        <v>0</v>
      </c>
    </row>
    <row r="1074" spans="1:27" x14ac:dyDescent="0.25">
      <c r="A1074">
        <f t="shared" ca="1" si="136"/>
        <v>0</v>
      </c>
      <c r="B1074" t="str">
        <f t="shared" ca="1" si="137"/>
        <v/>
      </c>
      <c r="C1074" t="str">
        <f t="shared" si="138"/>
        <v/>
      </c>
      <c r="D1074" t="s">
        <v>253</v>
      </c>
      <c r="E1074" t="s">
        <v>253</v>
      </c>
      <c r="F1074" s="3" t="s">
        <v>253</v>
      </c>
      <c r="G1074" s="11" t="s">
        <v>253</v>
      </c>
      <c r="H1074" s="11" t="s">
        <v>253</v>
      </c>
      <c r="I1074" s="3" t="s">
        <v>253</v>
      </c>
      <c r="J1074" s="3" t="s">
        <v>253</v>
      </c>
      <c r="K1074" s="3" t="s">
        <v>253</v>
      </c>
      <c r="L1074" s="3" t="s">
        <v>253</v>
      </c>
      <c r="M1074" t="str">
        <f>IF(LEN(H1074),MATCH(H1074,'MPIO_SFIO Table'!$A$11:$A$65525,0)-1,"")</f>
        <v/>
      </c>
      <c r="N1074" t="str">
        <f>IF(LEN(I1074),MATCH(I1074,'MPIO_SFIO Table'!$A$11:$A$65525,0)-1,"")</f>
        <v/>
      </c>
      <c r="O1074" t="str">
        <f>IF(LEN(J1074),MATCH(J1074,'MPIO_SFIO Table'!$A$11:$A$65525,0)-1,"")</f>
        <v/>
      </c>
      <c r="P1074" t="str">
        <f>IF(LEN(K1074),MATCH(K1074,'MPIO_SFIO Table'!$A$11:$A$65525,0)-1,"")</f>
        <v/>
      </c>
      <c r="Q1074" t="str">
        <f>IF(LEN(L1074),MATCH(L1074,'MPIO_SFIO Table'!$A$11:$A$65525,0)-1,"")</f>
        <v/>
      </c>
      <c r="R1074" t="str">
        <f ca="1">IF(ISNUMBER(M1074),OFFSET('MPIO_SFIO Table'!$AJ$11,M1074,0),"")</f>
        <v/>
      </c>
      <c r="S1074" t="str">
        <f ca="1">IF(ISNUMBER(N1074),OFFSET('MPIO_SFIO Table'!$AJ$11,N1074,0),"")</f>
        <v/>
      </c>
      <c r="T1074" t="str">
        <f ca="1">IF(ISNUMBER(O1074),OFFSET('MPIO_SFIO Table'!$AJ$11,O1074,0),"")</f>
        <v/>
      </c>
      <c r="U1074" t="str">
        <f ca="1">IF(ISNUMBER(P1074),OFFSET('MPIO_SFIO Table'!$AJ$11,P1074,0),"")</f>
        <v/>
      </c>
      <c r="V1074" t="str">
        <f ca="1">IF(ISNUMBER(Q1074),OFFSET('MPIO_SFIO Table'!$AJ$11,Q1074,0),"")</f>
        <v/>
      </c>
      <c r="W1074">
        <f t="shared" ca="1" si="139"/>
        <v>0</v>
      </c>
      <c r="X1074">
        <f t="shared" ca="1" si="140"/>
        <v>0</v>
      </c>
      <c r="Y1074">
        <f t="shared" ca="1" si="141"/>
        <v>0</v>
      </c>
      <c r="Z1074">
        <f t="shared" ca="1" si="142"/>
        <v>0</v>
      </c>
      <c r="AA1074">
        <f t="shared" ca="1" si="143"/>
        <v>0</v>
      </c>
    </row>
    <row r="1075" spans="1:27" x14ac:dyDescent="0.25">
      <c r="A1075">
        <f t="shared" ca="1" si="136"/>
        <v>0</v>
      </c>
      <c r="B1075" t="str">
        <f t="shared" ca="1" si="137"/>
        <v/>
      </c>
      <c r="C1075" t="str">
        <f t="shared" si="138"/>
        <v/>
      </c>
      <c r="D1075" t="s">
        <v>253</v>
      </c>
      <c r="E1075" t="s">
        <v>253</v>
      </c>
      <c r="F1075" s="3" t="s">
        <v>253</v>
      </c>
      <c r="G1075" s="11" t="s">
        <v>253</v>
      </c>
      <c r="H1075" s="11" t="s">
        <v>253</v>
      </c>
      <c r="I1075" s="3" t="s">
        <v>253</v>
      </c>
      <c r="J1075" s="3" t="s">
        <v>253</v>
      </c>
      <c r="K1075" s="3" t="s">
        <v>253</v>
      </c>
      <c r="L1075" s="3" t="s">
        <v>253</v>
      </c>
      <c r="M1075" t="str">
        <f>IF(LEN(H1075),MATCH(H1075,'MPIO_SFIO Table'!$A$11:$A$65525,0)-1,"")</f>
        <v/>
      </c>
      <c r="N1075" t="str">
        <f>IF(LEN(I1075),MATCH(I1075,'MPIO_SFIO Table'!$A$11:$A$65525,0)-1,"")</f>
        <v/>
      </c>
      <c r="O1075" t="str">
        <f>IF(LEN(J1075),MATCH(J1075,'MPIO_SFIO Table'!$A$11:$A$65525,0)-1,"")</f>
        <v/>
      </c>
      <c r="P1075" t="str">
        <f>IF(LEN(K1075),MATCH(K1075,'MPIO_SFIO Table'!$A$11:$A$65525,0)-1,"")</f>
        <v/>
      </c>
      <c r="Q1075" t="str">
        <f>IF(LEN(L1075),MATCH(L1075,'MPIO_SFIO Table'!$A$11:$A$65525,0)-1,"")</f>
        <v/>
      </c>
      <c r="R1075" t="str">
        <f ca="1">IF(ISNUMBER(M1075),OFFSET('MPIO_SFIO Table'!$AJ$11,M1075,0),"")</f>
        <v/>
      </c>
      <c r="S1075" t="str">
        <f ca="1">IF(ISNUMBER(N1075),OFFSET('MPIO_SFIO Table'!$AJ$11,N1075,0),"")</f>
        <v/>
      </c>
      <c r="T1075" t="str">
        <f ca="1">IF(ISNUMBER(O1075),OFFSET('MPIO_SFIO Table'!$AJ$11,O1075,0),"")</f>
        <v/>
      </c>
      <c r="U1075" t="str">
        <f ca="1">IF(ISNUMBER(P1075),OFFSET('MPIO_SFIO Table'!$AJ$11,P1075,0),"")</f>
        <v/>
      </c>
      <c r="V1075" t="str">
        <f ca="1">IF(ISNUMBER(Q1075),OFFSET('MPIO_SFIO Table'!$AJ$11,Q1075,0),"")</f>
        <v/>
      </c>
      <c r="W1075">
        <f t="shared" ca="1" si="139"/>
        <v>0</v>
      </c>
      <c r="X1075">
        <f t="shared" ca="1" si="140"/>
        <v>0</v>
      </c>
      <c r="Y1075">
        <f t="shared" ca="1" si="141"/>
        <v>0</v>
      </c>
      <c r="Z1075">
        <f t="shared" ca="1" si="142"/>
        <v>0</v>
      </c>
      <c r="AA1075">
        <f t="shared" ca="1" si="143"/>
        <v>0</v>
      </c>
    </row>
    <row r="1076" spans="1:27" x14ac:dyDescent="0.25">
      <c r="A1076">
        <f t="shared" ca="1" si="136"/>
        <v>0</v>
      </c>
      <c r="B1076" t="str">
        <f t="shared" ca="1" si="137"/>
        <v/>
      </c>
      <c r="C1076" t="str">
        <f t="shared" si="138"/>
        <v/>
      </c>
      <c r="D1076" t="s">
        <v>253</v>
      </c>
      <c r="E1076" t="s">
        <v>253</v>
      </c>
      <c r="F1076" s="3" t="s">
        <v>253</v>
      </c>
      <c r="G1076" s="11" t="s">
        <v>253</v>
      </c>
      <c r="H1076" s="11" t="s">
        <v>253</v>
      </c>
      <c r="I1076" s="3" t="s">
        <v>253</v>
      </c>
      <c r="J1076" s="3" t="s">
        <v>253</v>
      </c>
      <c r="K1076" s="3" t="s">
        <v>253</v>
      </c>
      <c r="L1076" s="3" t="s">
        <v>253</v>
      </c>
      <c r="M1076" t="str">
        <f>IF(LEN(H1076),MATCH(H1076,'MPIO_SFIO Table'!$A$11:$A$65525,0)-1,"")</f>
        <v/>
      </c>
      <c r="N1076" t="str">
        <f>IF(LEN(I1076),MATCH(I1076,'MPIO_SFIO Table'!$A$11:$A$65525,0)-1,"")</f>
        <v/>
      </c>
      <c r="O1076" t="str">
        <f>IF(LEN(J1076),MATCH(J1076,'MPIO_SFIO Table'!$A$11:$A$65525,0)-1,"")</f>
        <v/>
      </c>
      <c r="P1076" t="str">
        <f>IF(LEN(K1076),MATCH(K1076,'MPIO_SFIO Table'!$A$11:$A$65525,0)-1,"")</f>
        <v/>
      </c>
      <c r="Q1076" t="str">
        <f>IF(LEN(L1076),MATCH(L1076,'MPIO_SFIO Table'!$A$11:$A$65525,0)-1,"")</f>
        <v/>
      </c>
      <c r="R1076" t="str">
        <f ca="1">IF(ISNUMBER(M1076),OFFSET('MPIO_SFIO Table'!$AJ$11,M1076,0),"")</f>
        <v/>
      </c>
      <c r="S1076" t="str">
        <f ca="1">IF(ISNUMBER(N1076),OFFSET('MPIO_SFIO Table'!$AJ$11,N1076,0),"")</f>
        <v/>
      </c>
      <c r="T1076" t="str">
        <f ca="1">IF(ISNUMBER(O1076),OFFSET('MPIO_SFIO Table'!$AJ$11,O1076,0),"")</f>
        <v/>
      </c>
      <c r="U1076" t="str">
        <f ca="1">IF(ISNUMBER(P1076),OFFSET('MPIO_SFIO Table'!$AJ$11,P1076,0),"")</f>
        <v/>
      </c>
      <c r="V1076" t="str">
        <f ca="1">IF(ISNUMBER(Q1076),OFFSET('MPIO_SFIO Table'!$AJ$11,Q1076,0),"")</f>
        <v/>
      </c>
      <c r="W1076">
        <f t="shared" ca="1" si="139"/>
        <v>0</v>
      </c>
      <c r="X1076">
        <f t="shared" ca="1" si="140"/>
        <v>0</v>
      </c>
      <c r="Y1076">
        <f t="shared" ca="1" si="141"/>
        <v>0</v>
      </c>
      <c r="Z1076">
        <f t="shared" ca="1" si="142"/>
        <v>0</v>
      </c>
      <c r="AA1076">
        <f t="shared" ca="1" si="143"/>
        <v>0</v>
      </c>
    </row>
    <row r="1077" spans="1:27" x14ac:dyDescent="0.25">
      <c r="A1077">
        <f t="shared" ca="1" si="136"/>
        <v>0</v>
      </c>
      <c r="B1077" t="str">
        <f t="shared" ca="1" si="137"/>
        <v/>
      </c>
      <c r="C1077" t="str">
        <f t="shared" si="138"/>
        <v/>
      </c>
      <c r="D1077" t="s">
        <v>253</v>
      </c>
      <c r="E1077" t="s">
        <v>253</v>
      </c>
      <c r="F1077" s="3" t="s">
        <v>253</v>
      </c>
      <c r="G1077" s="11" t="s">
        <v>253</v>
      </c>
      <c r="H1077" s="11" t="s">
        <v>253</v>
      </c>
      <c r="I1077" s="3" t="s">
        <v>253</v>
      </c>
      <c r="J1077" s="3" t="s">
        <v>253</v>
      </c>
      <c r="K1077" s="3" t="s">
        <v>253</v>
      </c>
      <c r="L1077" s="3" t="s">
        <v>253</v>
      </c>
      <c r="M1077" t="str">
        <f>IF(LEN(H1077),MATCH(H1077,'MPIO_SFIO Table'!$A$11:$A$65525,0)-1,"")</f>
        <v/>
      </c>
      <c r="N1077" t="str">
        <f>IF(LEN(I1077),MATCH(I1077,'MPIO_SFIO Table'!$A$11:$A$65525,0)-1,"")</f>
        <v/>
      </c>
      <c r="O1077" t="str">
        <f>IF(LEN(J1077),MATCH(J1077,'MPIO_SFIO Table'!$A$11:$A$65525,0)-1,"")</f>
        <v/>
      </c>
      <c r="P1077" t="str">
        <f>IF(LEN(K1077),MATCH(K1077,'MPIO_SFIO Table'!$A$11:$A$65525,0)-1,"")</f>
        <v/>
      </c>
      <c r="Q1077" t="str">
        <f>IF(LEN(L1077),MATCH(L1077,'MPIO_SFIO Table'!$A$11:$A$65525,0)-1,"")</f>
        <v/>
      </c>
      <c r="R1077" t="str">
        <f ca="1">IF(ISNUMBER(M1077),OFFSET('MPIO_SFIO Table'!$AJ$11,M1077,0),"")</f>
        <v/>
      </c>
      <c r="S1077" t="str">
        <f ca="1">IF(ISNUMBER(N1077),OFFSET('MPIO_SFIO Table'!$AJ$11,N1077,0),"")</f>
        <v/>
      </c>
      <c r="T1077" t="str">
        <f ca="1">IF(ISNUMBER(O1077),OFFSET('MPIO_SFIO Table'!$AJ$11,O1077,0),"")</f>
        <v/>
      </c>
      <c r="U1077" t="str">
        <f ca="1">IF(ISNUMBER(P1077),OFFSET('MPIO_SFIO Table'!$AJ$11,P1077,0),"")</f>
        <v/>
      </c>
      <c r="V1077" t="str">
        <f ca="1">IF(ISNUMBER(Q1077),OFFSET('MPIO_SFIO Table'!$AJ$11,Q1077,0),"")</f>
        <v/>
      </c>
      <c r="W1077">
        <f t="shared" ca="1" si="139"/>
        <v>0</v>
      </c>
      <c r="X1077">
        <f t="shared" ca="1" si="140"/>
        <v>0</v>
      </c>
      <c r="Y1077">
        <f t="shared" ca="1" si="141"/>
        <v>0</v>
      </c>
      <c r="Z1077">
        <f t="shared" ca="1" si="142"/>
        <v>0</v>
      </c>
      <c r="AA1077">
        <f t="shared" ca="1" si="143"/>
        <v>0</v>
      </c>
    </row>
    <row r="1078" spans="1:27" x14ac:dyDescent="0.25">
      <c r="A1078">
        <f t="shared" ca="1" si="136"/>
        <v>0</v>
      </c>
      <c r="B1078" t="str">
        <f t="shared" ca="1" si="137"/>
        <v/>
      </c>
      <c r="C1078" t="str">
        <f t="shared" si="138"/>
        <v/>
      </c>
      <c r="D1078" t="s">
        <v>253</v>
      </c>
      <c r="E1078" t="s">
        <v>253</v>
      </c>
      <c r="F1078" s="3" t="s">
        <v>253</v>
      </c>
      <c r="G1078" s="11" t="s">
        <v>253</v>
      </c>
      <c r="H1078" s="11" t="s">
        <v>253</v>
      </c>
      <c r="I1078" s="3" t="s">
        <v>253</v>
      </c>
      <c r="J1078" s="3" t="s">
        <v>253</v>
      </c>
      <c r="K1078" s="3" t="s">
        <v>253</v>
      </c>
      <c r="L1078" s="3" t="s">
        <v>253</v>
      </c>
      <c r="M1078" t="str">
        <f>IF(LEN(H1078),MATCH(H1078,'MPIO_SFIO Table'!$A$11:$A$65525,0)-1,"")</f>
        <v/>
      </c>
      <c r="N1078" t="str">
        <f>IF(LEN(I1078),MATCH(I1078,'MPIO_SFIO Table'!$A$11:$A$65525,0)-1,"")</f>
        <v/>
      </c>
      <c r="O1078" t="str">
        <f>IF(LEN(J1078),MATCH(J1078,'MPIO_SFIO Table'!$A$11:$A$65525,0)-1,"")</f>
        <v/>
      </c>
      <c r="P1078" t="str">
        <f>IF(LEN(K1078),MATCH(K1078,'MPIO_SFIO Table'!$A$11:$A$65525,0)-1,"")</f>
        <v/>
      </c>
      <c r="Q1078" t="str">
        <f>IF(LEN(L1078),MATCH(L1078,'MPIO_SFIO Table'!$A$11:$A$65525,0)-1,"")</f>
        <v/>
      </c>
      <c r="R1078" t="str">
        <f ca="1">IF(ISNUMBER(M1078),OFFSET('MPIO_SFIO Table'!$AJ$11,M1078,0),"")</f>
        <v/>
      </c>
      <c r="S1078" t="str">
        <f ca="1">IF(ISNUMBER(N1078),OFFSET('MPIO_SFIO Table'!$AJ$11,N1078,0),"")</f>
        <v/>
      </c>
      <c r="T1078" t="str">
        <f ca="1">IF(ISNUMBER(O1078),OFFSET('MPIO_SFIO Table'!$AJ$11,O1078,0),"")</f>
        <v/>
      </c>
      <c r="U1078" t="str">
        <f ca="1">IF(ISNUMBER(P1078),OFFSET('MPIO_SFIO Table'!$AJ$11,P1078,0),"")</f>
        <v/>
      </c>
      <c r="V1078" t="str">
        <f ca="1">IF(ISNUMBER(Q1078),OFFSET('MPIO_SFIO Table'!$AJ$11,Q1078,0),"")</f>
        <v/>
      </c>
      <c r="W1078">
        <f t="shared" ca="1" si="139"/>
        <v>0</v>
      </c>
      <c r="X1078">
        <f t="shared" ca="1" si="140"/>
        <v>0</v>
      </c>
      <c r="Y1078">
        <f t="shared" ca="1" si="141"/>
        <v>0</v>
      </c>
      <c r="Z1078">
        <f t="shared" ca="1" si="142"/>
        <v>0</v>
      </c>
      <c r="AA1078">
        <f t="shared" ca="1" si="143"/>
        <v>0</v>
      </c>
    </row>
    <row r="1079" spans="1:27" x14ac:dyDescent="0.25">
      <c r="A1079">
        <f t="shared" ca="1" si="136"/>
        <v>0</v>
      </c>
      <c r="B1079" t="str">
        <f t="shared" ca="1" si="137"/>
        <v/>
      </c>
      <c r="C1079" t="str">
        <f t="shared" si="138"/>
        <v/>
      </c>
      <c r="D1079" t="s">
        <v>253</v>
      </c>
      <c r="E1079" t="s">
        <v>253</v>
      </c>
      <c r="F1079" s="3" t="s">
        <v>253</v>
      </c>
      <c r="G1079" s="11" t="s">
        <v>253</v>
      </c>
      <c r="H1079" s="11" t="s">
        <v>253</v>
      </c>
      <c r="I1079" s="3" t="s">
        <v>253</v>
      </c>
      <c r="J1079" s="3" t="s">
        <v>253</v>
      </c>
      <c r="K1079" s="3" t="s">
        <v>253</v>
      </c>
      <c r="L1079" s="3" t="s">
        <v>253</v>
      </c>
      <c r="M1079" t="str">
        <f>IF(LEN(H1079),MATCH(H1079,'MPIO_SFIO Table'!$A$11:$A$65525,0)-1,"")</f>
        <v/>
      </c>
      <c r="N1079" t="str">
        <f>IF(LEN(I1079),MATCH(I1079,'MPIO_SFIO Table'!$A$11:$A$65525,0)-1,"")</f>
        <v/>
      </c>
      <c r="O1079" t="str">
        <f>IF(LEN(J1079),MATCH(J1079,'MPIO_SFIO Table'!$A$11:$A$65525,0)-1,"")</f>
        <v/>
      </c>
      <c r="P1079" t="str">
        <f>IF(LEN(K1079),MATCH(K1079,'MPIO_SFIO Table'!$A$11:$A$65525,0)-1,"")</f>
        <v/>
      </c>
      <c r="Q1079" t="str">
        <f>IF(LEN(L1079),MATCH(L1079,'MPIO_SFIO Table'!$A$11:$A$65525,0)-1,"")</f>
        <v/>
      </c>
      <c r="R1079" t="str">
        <f ca="1">IF(ISNUMBER(M1079),OFFSET('MPIO_SFIO Table'!$AJ$11,M1079,0),"")</f>
        <v/>
      </c>
      <c r="S1079" t="str">
        <f ca="1">IF(ISNUMBER(N1079),OFFSET('MPIO_SFIO Table'!$AJ$11,N1079,0),"")</f>
        <v/>
      </c>
      <c r="T1079" t="str">
        <f ca="1">IF(ISNUMBER(O1079),OFFSET('MPIO_SFIO Table'!$AJ$11,O1079,0),"")</f>
        <v/>
      </c>
      <c r="U1079" t="str">
        <f ca="1">IF(ISNUMBER(P1079),OFFSET('MPIO_SFIO Table'!$AJ$11,P1079,0),"")</f>
        <v/>
      </c>
      <c r="V1079" t="str">
        <f ca="1">IF(ISNUMBER(Q1079),OFFSET('MPIO_SFIO Table'!$AJ$11,Q1079,0),"")</f>
        <v/>
      </c>
      <c r="W1079">
        <f t="shared" ca="1" si="139"/>
        <v>0</v>
      </c>
      <c r="X1079">
        <f t="shared" ca="1" si="140"/>
        <v>0</v>
      </c>
      <c r="Y1079">
        <f t="shared" ca="1" si="141"/>
        <v>0</v>
      </c>
      <c r="Z1079">
        <f t="shared" ca="1" si="142"/>
        <v>0</v>
      </c>
      <c r="AA1079">
        <f t="shared" ca="1" si="143"/>
        <v>0</v>
      </c>
    </row>
    <row r="1080" spans="1:27" x14ac:dyDescent="0.25">
      <c r="A1080">
        <f t="shared" ca="1" si="136"/>
        <v>0</v>
      </c>
      <c r="B1080" t="str">
        <f t="shared" ca="1" si="137"/>
        <v/>
      </c>
      <c r="C1080" t="str">
        <f t="shared" si="138"/>
        <v/>
      </c>
      <c r="D1080" t="s">
        <v>253</v>
      </c>
      <c r="E1080" t="s">
        <v>253</v>
      </c>
      <c r="F1080" s="3" t="s">
        <v>253</v>
      </c>
      <c r="G1080" s="11" t="s">
        <v>253</v>
      </c>
      <c r="H1080" s="11" t="s">
        <v>253</v>
      </c>
      <c r="I1080" s="3" t="s">
        <v>253</v>
      </c>
      <c r="J1080" s="3" t="s">
        <v>253</v>
      </c>
      <c r="K1080" s="3" t="s">
        <v>253</v>
      </c>
      <c r="L1080" s="3" t="s">
        <v>253</v>
      </c>
      <c r="M1080" t="str">
        <f>IF(LEN(H1080),MATCH(H1080,'MPIO_SFIO Table'!$A$11:$A$65525,0)-1,"")</f>
        <v/>
      </c>
      <c r="N1080" t="str">
        <f>IF(LEN(I1080),MATCH(I1080,'MPIO_SFIO Table'!$A$11:$A$65525,0)-1,"")</f>
        <v/>
      </c>
      <c r="O1080" t="str">
        <f>IF(LEN(J1080),MATCH(J1080,'MPIO_SFIO Table'!$A$11:$A$65525,0)-1,"")</f>
        <v/>
      </c>
      <c r="P1080" t="str">
        <f>IF(LEN(K1080),MATCH(K1080,'MPIO_SFIO Table'!$A$11:$A$65525,0)-1,"")</f>
        <v/>
      </c>
      <c r="Q1080" t="str">
        <f>IF(LEN(L1080),MATCH(L1080,'MPIO_SFIO Table'!$A$11:$A$65525,0)-1,"")</f>
        <v/>
      </c>
      <c r="R1080" t="str">
        <f ca="1">IF(ISNUMBER(M1080),OFFSET('MPIO_SFIO Table'!$AJ$11,M1080,0),"")</f>
        <v/>
      </c>
      <c r="S1080" t="str">
        <f ca="1">IF(ISNUMBER(N1080),OFFSET('MPIO_SFIO Table'!$AJ$11,N1080,0),"")</f>
        <v/>
      </c>
      <c r="T1080" t="str">
        <f ca="1">IF(ISNUMBER(O1080),OFFSET('MPIO_SFIO Table'!$AJ$11,O1080,0),"")</f>
        <v/>
      </c>
      <c r="U1080" t="str">
        <f ca="1">IF(ISNUMBER(P1080),OFFSET('MPIO_SFIO Table'!$AJ$11,P1080,0),"")</f>
        <v/>
      </c>
      <c r="V1080" t="str">
        <f ca="1">IF(ISNUMBER(Q1080),OFFSET('MPIO_SFIO Table'!$AJ$11,Q1080,0),"")</f>
        <v/>
      </c>
      <c r="W1080">
        <f t="shared" ca="1" si="139"/>
        <v>0</v>
      </c>
      <c r="X1080">
        <f t="shared" ca="1" si="140"/>
        <v>0</v>
      </c>
      <c r="Y1080">
        <f t="shared" ca="1" si="141"/>
        <v>0</v>
      </c>
      <c r="Z1080">
        <f t="shared" ca="1" si="142"/>
        <v>0</v>
      </c>
      <c r="AA1080">
        <f t="shared" ca="1" si="143"/>
        <v>0</v>
      </c>
    </row>
    <row r="1081" spans="1:27" x14ac:dyDescent="0.25">
      <c r="A1081">
        <f t="shared" ca="1" si="136"/>
        <v>0</v>
      </c>
      <c r="B1081" t="str">
        <f t="shared" ca="1" si="137"/>
        <v/>
      </c>
      <c r="C1081" t="str">
        <f t="shared" si="138"/>
        <v/>
      </c>
      <c r="D1081" t="s">
        <v>253</v>
      </c>
      <c r="E1081" t="s">
        <v>253</v>
      </c>
      <c r="F1081" s="3" t="s">
        <v>253</v>
      </c>
      <c r="G1081" s="11" t="s">
        <v>253</v>
      </c>
      <c r="H1081" s="11" t="s">
        <v>253</v>
      </c>
      <c r="I1081" s="3" t="s">
        <v>253</v>
      </c>
      <c r="J1081" s="3" t="s">
        <v>253</v>
      </c>
      <c r="K1081" s="3" t="s">
        <v>253</v>
      </c>
      <c r="L1081" s="3" t="s">
        <v>253</v>
      </c>
      <c r="M1081" t="str">
        <f>IF(LEN(H1081),MATCH(H1081,'MPIO_SFIO Table'!$A$11:$A$65525,0)-1,"")</f>
        <v/>
      </c>
      <c r="N1081" t="str">
        <f>IF(LEN(I1081),MATCH(I1081,'MPIO_SFIO Table'!$A$11:$A$65525,0)-1,"")</f>
        <v/>
      </c>
      <c r="O1081" t="str">
        <f>IF(LEN(J1081),MATCH(J1081,'MPIO_SFIO Table'!$A$11:$A$65525,0)-1,"")</f>
        <v/>
      </c>
      <c r="P1081" t="str">
        <f>IF(LEN(K1081),MATCH(K1081,'MPIO_SFIO Table'!$A$11:$A$65525,0)-1,"")</f>
        <v/>
      </c>
      <c r="Q1081" t="str">
        <f>IF(LEN(L1081),MATCH(L1081,'MPIO_SFIO Table'!$A$11:$A$65525,0)-1,"")</f>
        <v/>
      </c>
      <c r="R1081" t="str">
        <f ca="1">IF(ISNUMBER(M1081),OFFSET('MPIO_SFIO Table'!$AJ$11,M1081,0),"")</f>
        <v/>
      </c>
      <c r="S1081" t="str">
        <f ca="1">IF(ISNUMBER(N1081),OFFSET('MPIO_SFIO Table'!$AJ$11,N1081,0),"")</f>
        <v/>
      </c>
      <c r="T1081" t="str">
        <f ca="1">IF(ISNUMBER(O1081),OFFSET('MPIO_SFIO Table'!$AJ$11,O1081,0),"")</f>
        <v/>
      </c>
      <c r="U1081" t="str">
        <f ca="1">IF(ISNUMBER(P1081),OFFSET('MPIO_SFIO Table'!$AJ$11,P1081,0),"")</f>
        <v/>
      </c>
      <c r="V1081" t="str">
        <f ca="1">IF(ISNUMBER(Q1081),OFFSET('MPIO_SFIO Table'!$AJ$11,Q1081,0),"")</f>
        <v/>
      </c>
      <c r="W1081">
        <f t="shared" ca="1" si="139"/>
        <v>0</v>
      </c>
      <c r="X1081">
        <f t="shared" ca="1" si="140"/>
        <v>0</v>
      </c>
      <c r="Y1081">
        <f t="shared" ca="1" si="141"/>
        <v>0</v>
      </c>
      <c r="Z1081">
        <f t="shared" ca="1" si="142"/>
        <v>0</v>
      </c>
      <c r="AA1081">
        <f t="shared" ca="1" si="143"/>
        <v>0</v>
      </c>
    </row>
    <row r="1082" spans="1:27" x14ac:dyDescent="0.25">
      <c r="A1082">
        <f t="shared" ca="1" si="136"/>
        <v>0</v>
      </c>
      <c r="B1082" t="str">
        <f t="shared" ca="1" si="137"/>
        <v/>
      </c>
      <c r="C1082" t="str">
        <f t="shared" si="138"/>
        <v/>
      </c>
      <c r="D1082" t="s">
        <v>253</v>
      </c>
      <c r="E1082" t="s">
        <v>253</v>
      </c>
      <c r="F1082" s="3" t="s">
        <v>253</v>
      </c>
      <c r="G1082" s="11" t="s">
        <v>253</v>
      </c>
      <c r="H1082" s="11" t="s">
        <v>253</v>
      </c>
      <c r="I1082" s="3" t="s">
        <v>253</v>
      </c>
      <c r="J1082" s="3" t="s">
        <v>253</v>
      </c>
      <c r="K1082" s="3" t="s">
        <v>253</v>
      </c>
      <c r="L1082" s="3" t="s">
        <v>253</v>
      </c>
      <c r="M1082" t="str">
        <f>IF(LEN(H1082),MATCH(H1082,'MPIO_SFIO Table'!$A$11:$A$65525,0)-1,"")</f>
        <v/>
      </c>
      <c r="N1082" t="str">
        <f>IF(LEN(I1082),MATCH(I1082,'MPIO_SFIO Table'!$A$11:$A$65525,0)-1,"")</f>
        <v/>
      </c>
      <c r="O1082" t="str">
        <f>IF(LEN(J1082),MATCH(J1082,'MPIO_SFIO Table'!$A$11:$A$65525,0)-1,"")</f>
        <v/>
      </c>
      <c r="P1082" t="str">
        <f>IF(LEN(K1082),MATCH(K1082,'MPIO_SFIO Table'!$A$11:$A$65525,0)-1,"")</f>
        <v/>
      </c>
      <c r="Q1082" t="str">
        <f>IF(LEN(L1082),MATCH(L1082,'MPIO_SFIO Table'!$A$11:$A$65525,0)-1,"")</f>
        <v/>
      </c>
      <c r="R1082" t="str">
        <f ca="1">IF(ISNUMBER(M1082),OFFSET('MPIO_SFIO Table'!$AJ$11,M1082,0),"")</f>
        <v/>
      </c>
      <c r="S1082" t="str">
        <f ca="1">IF(ISNUMBER(N1082),OFFSET('MPIO_SFIO Table'!$AJ$11,N1082,0),"")</f>
        <v/>
      </c>
      <c r="T1082" t="str">
        <f ca="1">IF(ISNUMBER(O1082),OFFSET('MPIO_SFIO Table'!$AJ$11,O1082,0),"")</f>
        <v/>
      </c>
      <c r="U1082" t="str">
        <f ca="1">IF(ISNUMBER(P1082),OFFSET('MPIO_SFIO Table'!$AJ$11,P1082,0),"")</f>
        <v/>
      </c>
      <c r="V1082" t="str">
        <f ca="1">IF(ISNUMBER(Q1082),OFFSET('MPIO_SFIO Table'!$AJ$11,Q1082,0),"")</f>
        <v/>
      </c>
      <c r="W1082">
        <f t="shared" ca="1" si="139"/>
        <v>0</v>
      </c>
      <c r="X1082">
        <f t="shared" ca="1" si="140"/>
        <v>0</v>
      </c>
      <c r="Y1082">
        <f t="shared" ca="1" si="141"/>
        <v>0</v>
      </c>
      <c r="Z1082">
        <f t="shared" ca="1" si="142"/>
        <v>0</v>
      </c>
      <c r="AA1082">
        <f t="shared" ca="1" si="143"/>
        <v>0</v>
      </c>
    </row>
    <row r="1083" spans="1:27" x14ac:dyDescent="0.25">
      <c r="A1083">
        <f t="shared" ca="1" si="136"/>
        <v>0</v>
      </c>
      <c r="B1083" t="str">
        <f t="shared" ca="1" si="137"/>
        <v/>
      </c>
      <c r="C1083" t="str">
        <f t="shared" si="138"/>
        <v/>
      </c>
      <c r="D1083" t="s">
        <v>253</v>
      </c>
      <c r="E1083" t="s">
        <v>253</v>
      </c>
      <c r="F1083" s="3" t="s">
        <v>253</v>
      </c>
      <c r="G1083" s="11" t="s">
        <v>253</v>
      </c>
      <c r="H1083" s="11" t="s">
        <v>253</v>
      </c>
      <c r="I1083" s="3" t="s">
        <v>253</v>
      </c>
      <c r="J1083" s="3" t="s">
        <v>253</v>
      </c>
      <c r="K1083" s="3" t="s">
        <v>253</v>
      </c>
      <c r="L1083" s="3" t="s">
        <v>253</v>
      </c>
      <c r="M1083" t="str">
        <f>IF(LEN(H1083),MATCH(H1083,'MPIO_SFIO Table'!$A$11:$A$65525,0)-1,"")</f>
        <v/>
      </c>
      <c r="N1083" t="str">
        <f>IF(LEN(I1083),MATCH(I1083,'MPIO_SFIO Table'!$A$11:$A$65525,0)-1,"")</f>
        <v/>
      </c>
      <c r="O1083" t="str">
        <f>IF(LEN(J1083),MATCH(J1083,'MPIO_SFIO Table'!$A$11:$A$65525,0)-1,"")</f>
        <v/>
      </c>
      <c r="P1083" t="str">
        <f>IF(LEN(K1083),MATCH(K1083,'MPIO_SFIO Table'!$A$11:$A$65525,0)-1,"")</f>
        <v/>
      </c>
      <c r="Q1083" t="str">
        <f>IF(LEN(L1083),MATCH(L1083,'MPIO_SFIO Table'!$A$11:$A$65525,0)-1,"")</f>
        <v/>
      </c>
      <c r="R1083" t="str">
        <f ca="1">IF(ISNUMBER(M1083),OFFSET('MPIO_SFIO Table'!$AJ$11,M1083,0),"")</f>
        <v/>
      </c>
      <c r="S1083" t="str">
        <f ca="1">IF(ISNUMBER(N1083),OFFSET('MPIO_SFIO Table'!$AJ$11,N1083,0),"")</f>
        <v/>
      </c>
      <c r="T1083" t="str">
        <f ca="1">IF(ISNUMBER(O1083),OFFSET('MPIO_SFIO Table'!$AJ$11,O1083,0),"")</f>
        <v/>
      </c>
      <c r="U1083" t="str">
        <f ca="1">IF(ISNUMBER(P1083),OFFSET('MPIO_SFIO Table'!$AJ$11,P1083,0),"")</f>
        <v/>
      </c>
      <c r="V1083" t="str">
        <f ca="1">IF(ISNUMBER(Q1083),OFFSET('MPIO_SFIO Table'!$AJ$11,Q1083,0),"")</f>
        <v/>
      </c>
      <c r="W1083">
        <f t="shared" ca="1" si="139"/>
        <v>0</v>
      </c>
      <c r="X1083">
        <f t="shared" ca="1" si="140"/>
        <v>0</v>
      </c>
      <c r="Y1083">
        <f t="shared" ca="1" si="141"/>
        <v>0</v>
      </c>
      <c r="Z1083">
        <f t="shared" ca="1" si="142"/>
        <v>0</v>
      </c>
      <c r="AA1083">
        <f t="shared" ca="1" si="143"/>
        <v>0</v>
      </c>
    </row>
    <row r="1084" spans="1:27" x14ac:dyDescent="0.25">
      <c r="A1084">
        <f t="shared" ca="1" si="136"/>
        <v>0</v>
      </c>
      <c r="B1084" t="str">
        <f t="shared" ca="1" si="137"/>
        <v/>
      </c>
      <c r="C1084" t="str">
        <f t="shared" si="138"/>
        <v/>
      </c>
      <c r="D1084" t="s">
        <v>253</v>
      </c>
      <c r="E1084" t="s">
        <v>253</v>
      </c>
      <c r="F1084" s="3" t="s">
        <v>253</v>
      </c>
      <c r="G1084" s="11" t="s">
        <v>253</v>
      </c>
      <c r="H1084" s="11" t="s">
        <v>253</v>
      </c>
      <c r="I1084" s="3" t="s">
        <v>253</v>
      </c>
      <c r="J1084" s="3" t="s">
        <v>253</v>
      </c>
      <c r="K1084" s="3" t="s">
        <v>253</v>
      </c>
      <c r="L1084" s="3" t="s">
        <v>253</v>
      </c>
      <c r="M1084" t="str">
        <f>IF(LEN(H1084),MATCH(H1084,'MPIO_SFIO Table'!$A$11:$A$65525,0)-1,"")</f>
        <v/>
      </c>
      <c r="N1084" t="str">
        <f>IF(LEN(I1084),MATCH(I1084,'MPIO_SFIO Table'!$A$11:$A$65525,0)-1,"")</f>
        <v/>
      </c>
      <c r="O1084" t="str">
        <f>IF(LEN(J1084),MATCH(J1084,'MPIO_SFIO Table'!$A$11:$A$65525,0)-1,"")</f>
        <v/>
      </c>
      <c r="P1084" t="str">
        <f>IF(LEN(K1084),MATCH(K1084,'MPIO_SFIO Table'!$A$11:$A$65525,0)-1,"")</f>
        <v/>
      </c>
      <c r="Q1084" t="str">
        <f>IF(LEN(L1084),MATCH(L1084,'MPIO_SFIO Table'!$A$11:$A$65525,0)-1,"")</f>
        <v/>
      </c>
      <c r="R1084" t="str">
        <f ca="1">IF(ISNUMBER(M1084),OFFSET('MPIO_SFIO Table'!$AJ$11,M1084,0),"")</f>
        <v/>
      </c>
      <c r="S1084" t="str">
        <f ca="1">IF(ISNUMBER(N1084),OFFSET('MPIO_SFIO Table'!$AJ$11,N1084,0),"")</f>
        <v/>
      </c>
      <c r="T1084" t="str">
        <f ca="1">IF(ISNUMBER(O1084),OFFSET('MPIO_SFIO Table'!$AJ$11,O1084,0),"")</f>
        <v/>
      </c>
      <c r="U1084" t="str">
        <f ca="1">IF(ISNUMBER(P1084),OFFSET('MPIO_SFIO Table'!$AJ$11,P1084,0),"")</f>
        <v/>
      </c>
      <c r="V1084" t="str">
        <f ca="1">IF(ISNUMBER(Q1084),OFFSET('MPIO_SFIO Table'!$AJ$11,Q1084,0),"")</f>
        <v/>
      </c>
      <c r="W1084">
        <f t="shared" ca="1" si="139"/>
        <v>0</v>
      </c>
      <c r="X1084">
        <f t="shared" ca="1" si="140"/>
        <v>0</v>
      </c>
      <c r="Y1084">
        <f t="shared" ca="1" si="141"/>
        <v>0</v>
      </c>
      <c r="Z1084">
        <f t="shared" ca="1" si="142"/>
        <v>0</v>
      </c>
      <c r="AA1084">
        <f t="shared" ca="1" si="143"/>
        <v>0</v>
      </c>
    </row>
    <row r="1085" spans="1:27" x14ac:dyDescent="0.25">
      <c r="A1085">
        <f t="shared" ca="1" si="136"/>
        <v>0</v>
      </c>
      <c r="B1085" t="str">
        <f t="shared" ca="1" si="137"/>
        <v/>
      </c>
      <c r="C1085" t="str">
        <f t="shared" si="138"/>
        <v/>
      </c>
      <c r="D1085" t="s">
        <v>253</v>
      </c>
      <c r="E1085" t="s">
        <v>253</v>
      </c>
      <c r="F1085" s="3" t="s">
        <v>253</v>
      </c>
      <c r="G1085" s="11" t="s">
        <v>253</v>
      </c>
      <c r="H1085" s="11" t="s">
        <v>253</v>
      </c>
      <c r="I1085" s="3" t="s">
        <v>253</v>
      </c>
      <c r="J1085" s="3" t="s">
        <v>253</v>
      </c>
      <c r="K1085" s="3" t="s">
        <v>253</v>
      </c>
      <c r="L1085" s="3" t="s">
        <v>253</v>
      </c>
      <c r="M1085" t="str">
        <f>IF(LEN(H1085),MATCH(H1085,'MPIO_SFIO Table'!$A$11:$A$65525,0)-1,"")</f>
        <v/>
      </c>
      <c r="N1085" t="str">
        <f>IF(LEN(I1085),MATCH(I1085,'MPIO_SFIO Table'!$A$11:$A$65525,0)-1,"")</f>
        <v/>
      </c>
      <c r="O1085" t="str">
        <f>IF(LEN(J1085),MATCH(J1085,'MPIO_SFIO Table'!$A$11:$A$65525,0)-1,"")</f>
        <v/>
      </c>
      <c r="P1085" t="str">
        <f>IF(LEN(K1085),MATCH(K1085,'MPIO_SFIO Table'!$A$11:$A$65525,0)-1,"")</f>
        <v/>
      </c>
      <c r="Q1085" t="str">
        <f>IF(LEN(L1085),MATCH(L1085,'MPIO_SFIO Table'!$A$11:$A$65525,0)-1,"")</f>
        <v/>
      </c>
      <c r="R1085" t="str">
        <f ca="1">IF(ISNUMBER(M1085),OFFSET('MPIO_SFIO Table'!$AJ$11,M1085,0),"")</f>
        <v/>
      </c>
      <c r="S1085" t="str">
        <f ca="1">IF(ISNUMBER(N1085),OFFSET('MPIO_SFIO Table'!$AJ$11,N1085,0),"")</f>
        <v/>
      </c>
      <c r="T1085" t="str">
        <f ca="1">IF(ISNUMBER(O1085),OFFSET('MPIO_SFIO Table'!$AJ$11,O1085,0),"")</f>
        <v/>
      </c>
      <c r="U1085" t="str">
        <f ca="1">IF(ISNUMBER(P1085),OFFSET('MPIO_SFIO Table'!$AJ$11,P1085,0),"")</f>
        <v/>
      </c>
      <c r="V1085" t="str">
        <f ca="1">IF(ISNUMBER(Q1085),OFFSET('MPIO_SFIO Table'!$AJ$11,Q1085,0),"")</f>
        <v/>
      </c>
      <c r="W1085">
        <f t="shared" ca="1" si="139"/>
        <v>0</v>
      </c>
      <c r="X1085">
        <f t="shared" ca="1" si="140"/>
        <v>0</v>
      </c>
      <c r="Y1085">
        <f t="shared" ca="1" si="141"/>
        <v>0</v>
      </c>
      <c r="Z1085">
        <f t="shared" ca="1" si="142"/>
        <v>0</v>
      </c>
      <c r="AA1085">
        <f t="shared" ca="1" si="143"/>
        <v>0</v>
      </c>
    </row>
    <row r="1086" spans="1:27" x14ac:dyDescent="0.25">
      <c r="A1086">
        <f t="shared" ca="1" si="136"/>
        <v>0</v>
      </c>
      <c r="B1086" t="str">
        <f t="shared" ca="1" si="137"/>
        <v/>
      </c>
      <c r="C1086" t="str">
        <f t="shared" si="138"/>
        <v/>
      </c>
      <c r="D1086" t="s">
        <v>253</v>
      </c>
      <c r="E1086" t="s">
        <v>253</v>
      </c>
      <c r="F1086" s="3" t="s">
        <v>253</v>
      </c>
      <c r="G1086" s="11" t="s">
        <v>253</v>
      </c>
      <c r="H1086" s="11" t="s">
        <v>253</v>
      </c>
      <c r="I1086" s="3" t="s">
        <v>253</v>
      </c>
      <c r="J1086" s="3" t="s">
        <v>253</v>
      </c>
      <c r="K1086" s="3" t="s">
        <v>253</v>
      </c>
      <c r="L1086" s="3" t="s">
        <v>253</v>
      </c>
      <c r="M1086" t="str">
        <f>IF(LEN(H1086),MATCH(H1086,'MPIO_SFIO Table'!$A$11:$A$65525,0)-1,"")</f>
        <v/>
      </c>
      <c r="N1086" t="str">
        <f>IF(LEN(I1086),MATCH(I1086,'MPIO_SFIO Table'!$A$11:$A$65525,0)-1,"")</f>
        <v/>
      </c>
      <c r="O1086" t="str">
        <f>IF(LEN(J1086),MATCH(J1086,'MPIO_SFIO Table'!$A$11:$A$65525,0)-1,"")</f>
        <v/>
      </c>
      <c r="P1086" t="str">
        <f>IF(LEN(K1086),MATCH(K1086,'MPIO_SFIO Table'!$A$11:$A$65525,0)-1,"")</f>
        <v/>
      </c>
      <c r="Q1086" t="str">
        <f>IF(LEN(L1086),MATCH(L1086,'MPIO_SFIO Table'!$A$11:$A$65525,0)-1,"")</f>
        <v/>
      </c>
      <c r="R1086" t="str">
        <f ca="1">IF(ISNUMBER(M1086),OFFSET('MPIO_SFIO Table'!$AJ$11,M1086,0),"")</f>
        <v/>
      </c>
      <c r="S1086" t="str">
        <f ca="1">IF(ISNUMBER(N1086),OFFSET('MPIO_SFIO Table'!$AJ$11,N1086,0),"")</f>
        <v/>
      </c>
      <c r="T1086" t="str">
        <f ca="1">IF(ISNUMBER(O1086),OFFSET('MPIO_SFIO Table'!$AJ$11,O1086,0),"")</f>
        <v/>
      </c>
      <c r="U1086" t="str">
        <f ca="1">IF(ISNUMBER(P1086),OFFSET('MPIO_SFIO Table'!$AJ$11,P1086,0),"")</f>
        <v/>
      </c>
      <c r="V1086" t="str">
        <f ca="1">IF(ISNUMBER(Q1086),OFFSET('MPIO_SFIO Table'!$AJ$11,Q1086,0),"")</f>
        <v/>
      </c>
      <c r="W1086">
        <f t="shared" ca="1" si="139"/>
        <v>0</v>
      </c>
      <c r="X1086">
        <f t="shared" ca="1" si="140"/>
        <v>0</v>
      </c>
      <c r="Y1086">
        <f t="shared" ca="1" si="141"/>
        <v>0</v>
      </c>
      <c r="Z1086">
        <f t="shared" ca="1" si="142"/>
        <v>0</v>
      </c>
      <c r="AA1086">
        <f t="shared" ca="1" si="143"/>
        <v>0</v>
      </c>
    </row>
    <row r="1087" spans="1:27" x14ac:dyDescent="0.25">
      <c r="A1087">
        <f t="shared" ca="1" si="136"/>
        <v>0</v>
      </c>
      <c r="B1087" t="str">
        <f t="shared" ca="1" si="137"/>
        <v/>
      </c>
      <c r="C1087" t="str">
        <f t="shared" si="138"/>
        <v/>
      </c>
      <c r="D1087" t="s">
        <v>253</v>
      </c>
      <c r="E1087" t="s">
        <v>253</v>
      </c>
      <c r="F1087" s="3" t="s">
        <v>253</v>
      </c>
      <c r="G1087" s="11" t="s">
        <v>253</v>
      </c>
      <c r="H1087" s="11" t="s">
        <v>253</v>
      </c>
      <c r="I1087" s="3" t="s">
        <v>253</v>
      </c>
      <c r="J1087" s="3" t="s">
        <v>253</v>
      </c>
      <c r="K1087" s="3" t="s">
        <v>253</v>
      </c>
      <c r="L1087" s="3" t="s">
        <v>253</v>
      </c>
      <c r="M1087" t="str">
        <f>IF(LEN(H1087),MATCH(H1087,'MPIO_SFIO Table'!$A$11:$A$65525,0)-1,"")</f>
        <v/>
      </c>
      <c r="N1087" t="str">
        <f>IF(LEN(I1087),MATCH(I1087,'MPIO_SFIO Table'!$A$11:$A$65525,0)-1,"")</f>
        <v/>
      </c>
      <c r="O1087" t="str">
        <f>IF(LEN(J1087),MATCH(J1087,'MPIO_SFIO Table'!$A$11:$A$65525,0)-1,"")</f>
        <v/>
      </c>
      <c r="P1087" t="str">
        <f>IF(LEN(K1087),MATCH(K1087,'MPIO_SFIO Table'!$A$11:$A$65525,0)-1,"")</f>
        <v/>
      </c>
      <c r="Q1087" t="str">
        <f>IF(LEN(L1087),MATCH(L1087,'MPIO_SFIO Table'!$A$11:$A$65525,0)-1,"")</f>
        <v/>
      </c>
      <c r="R1087" t="str">
        <f ca="1">IF(ISNUMBER(M1087),OFFSET('MPIO_SFIO Table'!$AJ$11,M1087,0),"")</f>
        <v/>
      </c>
      <c r="S1087" t="str">
        <f ca="1">IF(ISNUMBER(N1087),OFFSET('MPIO_SFIO Table'!$AJ$11,N1087,0),"")</f>
        <v/>
      </c>
      <c r="T1087" t="str">
        <f ca="1">IF(ISNUMBER(O1087),OFFSET('MPIO_SFIO Table'!$AJ$11,O1087,0),"")</f>
        <v/>
      </c>
      <c r="U1087" t="str">
        <f ca="1">IF(ISNUMBER(P1087),OFFSET('MPIO_SFIO Table'!$AJ$11,P1087,0),"")</f>
        <v/>
      </c>
      <c r="V1087" t="str">
        <f ca="1">IF(ISNUMBER(Q1087),OFFSET('MPIO_SFIO Table'!$AJ$11,Q1087,0),"")</f>
        <v/>
      </c>
      <c r="W1087">
        <f t="shared" ca="1" si="139"/>
        <v>0</v>
      </c>
      <c r="X1087">
        <f t="shared" ca="1" si="140"/>
        <v>0</v>
      </c>
      <c r="Y1087">
        <f t="shared" ca="1" si="141"/>
        <v>0</v>
      </c>
      <c r="Z1087">
        <f t="shared" ca="1" si="142"/>
        <v>0</v>
      </c>
      <c r="AA1087">
        <f t="shared" ca="1" si="143"/>
        <v>0</v>
      </c>
    </row>
    <row r="1088" spans="1:27" x14ac:dyDescent="0.25">
      <c r="A1088">
        <f t="shared" ca="1" si="136"/>
        <v>0</v>
      </c>
      <c r="B1088" t="str">
        <f t="shared" ca="1" si="137"/>
        <v/>
      </c>
      <c r="C1088" t="str">
        <f t="shared" si="138"/>
        <v/>
      </c>
      <c r="D1088" t="s">
        <v>253</v>
      </c>
      <c r="E1088" t="s">
        <v>253</v>
      </c>
      <c r="F1088" s="3" t="s">
        <v>253</v>
      </c>
      <c r="G1088" s="11" t="s">
        <v>253</v>
      </c>
      <c r="H1088" s="11" t="s">
        <v>253</v>
      </c>
      <c r="I1088" s="3" t="s">
        <v>253</v>
      </c>
      <c r="J1088" s="3" t="s">
        <v>253</v>
      </c>
      <c r="K1088" s="3" t="s">
        <v>253</v>
      </c>
      <c r="L1088" s="3" t="s">
        <v>253</v>
      </c>
      <c r="M1088" t="str">
        <f>IF(LEN(H1088),MATCH(H1088,'MPIO_SFIO Table'!$A$11:$A$65525,0)-1,"")</f>
        <v/>
      </c>
      <c r="N1088" t="str">
        <f>IF(LEN(I1088),MATCH(I1088,'MPIO_SFIO Table'!$A$11:$A$65525,0)-1,"")</f>
        <v/>
      </c>
      <c r="O1088" t="str">
        <f>IF(LEN(J1088),MATCH(J1088,'MPIO_SFIO Table'!$A$11:$A$65525,0)-1,"")</f>
        <v/>
      </c>
      <c r="P1088" t="str">
        <f>IF(LEN(K1088),MATCH(K1088,'MPIO_SFIO Table'!$A$11:$A$65525,0)-1,"")</f>
        <v/>
      </c>
      <c r="Q1088" t="str">
        <f>IF(LEN(L1088),MATCH(L1088,'MPIO_SFIO Table'!$A$11:$A$65525,0)-1,"")</f>
        <v/>
      </c>
      <c r="R1088" t="str">
        <f ca="1">IF(ISNUMBER(M1088),OFFSET('MPIO_SFIO Table'!$AJ$11,M1088,0),"")</f>
        <v/>
      </c>
      <c r="S1088" t="str">
        <f ca="1">IF(ISNUMBER(N1088),OFFSET('MPIO_SFIO Table'!$AJ$11,N1088,0),"")</f>
        <v/>
      </c>
      <c r="T1088" t="str">
        <f ca="1">IF(ISNUMBER(O1088),OFFSET('MPIO_SFIO Table'!$AJ$11,O1088,0),"")</f>
        <v/>
      </c>
      <c r="U1088" t="str">
        <f ca="1">IF(ISNUMBER(P1088),OFFSET('MPIO_SFIO Table'!$AJ$11,P1088,0),"")</f>
        <v/>
      </c>
      <c r="V1088" t="str">
        <f ca="1">IF(ISNUMBER(Q1088),OFFSET('MPIO_SFIO Table'!$AJ$11,Q1088,0),"")</f>
        <v/>
      </c>
      <c r="W1088">
        <f t="shared" ca="1" si="139"/>
        <v>0</v>
      </c>
      <c r="X1088">
        <f t="shared" ca="1" si="140"/>
        <v>0</v>
      </c>
      <c r="Y1088">
        <f t="shared" ca="1" si="141"/>
        <v>0</v>
      </c>
      <c r="Z1088">
        <f t="shared" ca="1" si="142"/>
        <v>0</v>
      </c>
      <c r="AA1088">
        <f t="shared" ca="1" si="143"/>
        <v>0</v>
      </c>
    </row>
    <row r="1089" spans="1:27" x14ac:dyDescent="0.25">
      <c r="A1089">
        <f t="shared" ca="1" si="136"/>
        <v>0</v>
      </c>
      <c r="B1089" t="str">
        <f t="shared" ca="1" si="137"/>
        <v/>
      </c>
      <c r="C1089" t="str">
        <f t="shared" si="138"/>
        <v/>
      </c>
      <c r="D1089" t="s">
        <v>253</v>
      </c>
      <c r="E1089" t="s">
        <v>253</v>
      </c>
      <c r="F1089" s="3" t="s">
        <v>253</v>
      </c>
      <c r="G1089" s="11" t="s">
        <v>253</v>
      </c>
      <c r="H1089" s="11" t="s">
        <v>253</v>
      </c>
      <c r="I1089" s="3" t="s">
        <v>253</v>
      </c>
      <c r="J1089" s="3" t="s">
        <v>253</v>
      </c>
      <c r="K1089" s="3" t="s">
        <v>253</v>
      </c>
      <c r="L1089" s="3" t="s">
        <v>253</v>
      </c>
      <c r="M1089" t="str">
        <f>IF(LEN(H1089),MATCH(H1089,'MPIO_SFIO Table'!$A$11:$A$65525,0)-1,"")</f>
        <v/>
      </c>
      <c r="N1089" t="str">
        <f>IF(LEN(I1089),MATCH(I1089,'MPIO_SFIO Table'!$A$11:$A$65525,0)-1,"")</f>
        <v/>
      </c>
      <c r="O1089" t="str">
        <f>IF(LEN(J1089),MATCH(J1089,'MPIO_SFIO Table'!$A$11:$A$65525,0)-1,"")</f>
        <v/>
      </c>
      <c r="P1089" t="str">
        <f>IF(LEN(K1089),MATCH(K1089,'MPIO_SFIO Table'!$A$11:$A$65525,0)-1,"")</f>
        <v/>
      </c>
      <c r="Q1089" t="str">
        <f>IF(LEN(L1089),MATCH(L1089,'MPIO_SFIO Table'!$A$11:$A$65525,0)-1,"")</f>
        <v/>
      </c>
      <c r="R1089" t="str">
        <f ca="1">IF(ISNUMBER(M1089),OFFSET('MPIO_SFIO Table'!$AJ$11,M1089,0),"")</f>
        <v/>
      </c>
      <c r="S1089" t="str">
        <f ca="1">IF(ISNUMBER(N1089),OFFSET('MPIO_SFIO Table'!$AJ$11,N1089,0),"")</f>
        <v/>
      </c>
      <c r="T1089" t="str">
        <f ca="1">IF(ISNUMBER(O1089),OFFSET('MPIO_SFIO Table'!$AJ$11,O1089,0),"")</f>
        <v/>
      </c>
      <c r="U1089" t="str">
        <f ca="1">IF(ISNUMBER(P1089),OFFSET('MPIO_SFIO Table'!$AJ$11,P1089,0),"")</f>
        <v/>
      </c>
      <c r="V1089" t="str">
        <f ca="1">IF(ISNUMBER(Q1089),OFFSET('MPIO_SFIO Table'!$AJ$11,Q1089,0),"")</f>
        <v/>
      </c>
      <c r="W1089">
        <f t="shared" ca="1" si="139"/>
        <v>0</v>
      </c>
      <c r="X1089">
        <f t="shared" ca="1" si="140"/>
        <v>0</v>
      </c>
      <c r="Y1089">
        <f t="shared" ca="1" si="141"/>
        <v>0</v>
      </c>
      <c r="Z1089">
        <f t="shared" ca="1" si="142"/>
        <v>0</v>
      </c>
      <c r="AA1089">
        <f t="shared" ca="1" si="143"/>
        <v>0</v>
      </c>
    </row>
    <row r="1090" spans="1:27" x14ac:dyDescent="0.25">
      <c r="A1090">
        <f t="shared" ca="1" si="136"/>
        <v>0</v>
      </c>
      <c r="B1090" t="str">
        <f t="shared" ca="1" si="137"/>
        <v/>
      </c>
      <c r="C1090" t="str">
        <f t="shared" si="138"/>
        <v/>
      </c>
      <c r="D1090" t="s">
        <v>253</v>
      </c>
      <c r="E1090" t="s">
        <v>253</v>
      </c>
      <c r="F1090" s="3" t="s">
        <v>253</v>
      </c>
      <c r="G1090" s="11" t="s">
        <v>253</v>
      </c>
      <c r="H1090" s="11" t="s">
        <v>253</v>
      </c>
      <c r="I1090" s="3" t="s">
        <v>253</v>
      </c>
      <c r="J1090" s="3" t="s">
        <v>253</v>
      </c>
      <c r="K1090" s="3" t="s">
        <v>253</v>
      </c>
      <c r="L1090" s="3" t="s">
        <v>253</v>
      </c>
      <c r="M1090" t="str">
        <f>IF(LEN(H1090),MATCH(H1090,'MPIO_SFIO Table'!$A$11:$A$65525,0)-1,"")</f>
        <v/>
      </c>
      <c r="N1090" t="str">
        <f>IF(LEN(I1090),MATCH(I1090,'MPIO_SFIO Table'!$A$11:$A$65525,0)-1,"")</f>
        <v/>
      </c>
      <c r="O1090" t="str">
        <f>IF(LEN(J1090),MATCH(J1090,'MPIO_SFIO Table'!$A$11:$A$65525,0)-1,"")</f>
        <v/>
      </c>
      <c r="P1090" t="str">
        <f>IF(LEN(K1090),MATCH(K1090,'MPIO_SFIO Table'!$A$11:$A$65525,0)-1,"")</f>
        <v/>
      </c>
      <c r="Q1090" t="str">
        <f>IF(LEN(L1090),MATCH(L1090,'MPIO_SFIO Table'!$A$11:$A$65525,0)-1,"")</f>
        <v/>
      </c>
      <c r="R1090" t="str">
        <f ca="1">IF(ISNUMBER(M1090),OFFSET('MPIO_SFIO Table'!$AJ$11,M1090,0),"")</f>
        <v/>
      </c>
      <c r="S1090" t="str">
        <f ca="1">IF(ISNUMBER(N1090),OFFSET('MPIO_SFIO Table'!$AJ$11,N1090,0),"")</f>
        <v/>
      </c>
      <c r="T1090" t="str">
        <f ca="1">IF(ISNUMBER(O1090),OFFSET('MPIO_SFIO Table'!$AJ$11,O1090,0),"")</f>
        <v/>
      </c>
      <c r="U1090" t="str">
        <f ca="1">IF(ISNUMBER(P1090),OFFSET('MPIO_SFIO Table'!$AJ$11,P1090,0),"")</f>
        <v/>
      </c>
      <c r="V1090" t="str">
        <f ca="1">IF(ISNUMBER(Q1090),OFFSET('MPIO_SFIO Table'!$AJ$11,Q1090,0),"")</f>
        <v/>
      </c>
      <c r="W1090">
        <f t="shared" ca="1" si="139"/>
        <v>0</v>
      </c>
      <c r="X1090">
        <f t="shared" ca="1" si="140"/>
        <v>0</v>
      </c>
      <c r="Y1090">
        <f t="shared" ca="1" si="141"/>
        <v>0</v>
      </c>
      <c r="Z1090">
        <f t="shared" ca="1" si="142"/>
        <v>0</v>
      </c>
      <c r="AA1090">
        <f t="shared" ca="1" si="143"/>
        <v>0</v>
      </c>
    </row>
    <row r="1091" spans="1:27" x14ac:dyDescent="0.25">
      <c r="A1091">
        <f t="shared" ca="1" si="136"/>
        <v>0</v>
      </c>
      <c r="B1091" t="str">
        <f t="shared" ca="1" si="137"/>
        <v/>
      </c>
      <c r="C1091" t="str">
        <f t="shared" si="138"/>
        <v/>
      </c>
      <c r="D1091" t="s">
        <v>253</v>
      </c>
      <c r="E1091" t="s">
        <v>253</v>
      </c>
      <c r="F1091" s="3" t="s">
        <v>253</v>
      </c>
      <c r="G1091" s="11" t="s">
        <v>253</v>
      </c>
      <c r="H1091" s="11" t="s">
        <v>253</v>
      </c>
      <c r="I1091" s="3" t="s">
        <v>253</v>
      </c>
      <c r="J1091" s="3" t="s">
        <v>253</v>
      </c>
      <c r="K1091" s="3" t="s">
        <v>253</v>
      </c>
      <c r="L1091" s="3" t="s">
        <v>253</v>
      </c>
      <c r="M1091" t="str">
        <f>IF(LEN(H1091),MATCH(H1091,'MPIO_SFIO Table'!$A$11:$A$65525,0)-1,"")</f>
        <v/>
      </c>
      <c r="N1091" t="str">
        <f>IF(LEN(I1091),MATCH(I1091,'MPIO_SFIO Table'!$A$11:$A$65525,0)-1,"")</f>
        <v/>
      </c>
      <c r="O1091" t="str">
        <f>IF(LEN(J1091),MATCH(J1091,'MPIO_SFIO Table'!$A$11:$A$65525,0)-1,"")</f>
        <v/>
      </c>
      <c r="P1091" t="str">
        <f>IF(LEN(K1091),MATCH(K1091,'MPIO_SFIO Table'!$A$11:$A$65525,0)-1,"")</f>
        <v/>
      </c>
      <c r="Q1091" t="str">
        <f>IF(LEN(L1091),MATCH(L1091,'MPIO_SFIO Table'!$A$11:$A$65525,0)-1,"")</f>
        <v/>
      </c>
      <c r="R1091" t="str">
        <f ca="1">IF(ISNUMBER(M1091),OFFSET('MPIO_SFIO Table'!$AJ$11,M1091,0),"")</f>
        <v/>
      </c>
      <c r="S1091" t="str">
        <f ca="1">IF(ISNUMBER(N1091),OFFSET('MPIO_SFIO Table'!$AJ$11,N1091,0),"")</f>
        <v/>
      </c>
      <c r="T1091" t="str">
        <f ca="1">IF(ISNUMBER(O1091),OFFSET('MPIO_SFIO Table'!$AJ$11,O1091,0),"")</f>
        <v/>
      </c>
      <c r="U1091" t="str">
        <f ca="1">IF(ISNUMBER(P1091),OFFSET('MPIO_SFIO Table'!$AJ$11,P1091,0),"")</f>
        <v/>
      </c>
      <c r="V1091" t="str">
        <f ca="1">IF(ISNUMBER(Q1091),OFFSET('MPIO_SFIO Table'!$AJ$11,Q1091,0),"")</f>
        <v/>
      </c>
      <c r="W1091">
        <f t="shared" ca="1" si="139"/>
        <v>0</v>
      </c>
      <c r="X1091">
        <f t="shared" ca="1" si="140"/>
        <v>0</v>
      </c>
      <c r="Y1091">
        <f t="shared" ca="1" si="141"/>
        <v>0</v>
      </c>
      <c r="Z1091">
        <f t="shared" ca="1" si="142"/>
        <v>0</v>
      </c>
      <c r="AA1091">
        <f t="shared" ca="1" si="143"/>
        <v>0</v>
      </c>
    </row>
    <row r="1092" spans="1:27" x14ac:dyDescent="0.25">
      <c r="A1092">
        <f t="shared" ca="1" si="136"/>
        <v>0</v>
      </c>
      <c r="B1092" t="str">
        <f t="shared" ca="1" si="137"/>
        <v/>
      </c>
      <c r="C1092" t="str">
        <f t="shared" si="138"/>
        <v/>
      </c>
      <c r="D1092" t="s">
        <v>253</v>
      </c>
      <c r="E1092" t="s">
        <v>253</v>
      </c>
      <c r="F1092" s="3" t="s">
        <v>253</v>
      </c>
      <c r="G1092" s="11" t="s">
        <v>253</v>
      </c>
      <c r="H1092" s="11" t="s">
        <v>253</v>
      </c>
      <c r="I1092" s="3" t="s">
        <v>253</v>
      </c>
      <c r="J1092" s="3" t="s">
        <v>253</v>
      </c>
      <c r="K1092" s="3" t="s">
        <v>253</v>
      </c>
      <c r="L1092" s="3" t="s">
        <v>253</v>
      </c>
      <c r="M1092" t="str">
        <f>IF(LEN(H1092),MATCH(H1092,'MPIO_SFIO Table'!$A$11:$A$65525,0)-1,"")</f>
        <v/>
      </c>
      <c r="N1092" t="str">
        <f>IF(LEN(I1092),MATCH(I1092,'MPIO_SFIO Table'!$A$11:$A$65525,0)-1,"")</f>
        <v/>
      </c>
      <c r="O1092" t="str">
        <f>IF(LEN(J1092),MATCH(J1092,'MPIO_SFIO Table'!$A$11:$A$65525,0)-1,"")</f>
        <v/>
      </c>
      <c r="P1092" t="str">
        <f>IF(LEN(K1092),MATCH(K1092,'MPIO_SFIO Table'!$A$11:$A$65525,0)-1,"")</f>
        <v/>
      </c>
      <c r="Q1092" t="str">
        <f>IF(LEN(L1092),MATCH(L1092,'MPIO_SFIO Table'!$A$11:$A$65525,0)-1,"")</f>
        <v/>
      </c>
      <c r="R1092" t="str">
        <f ca="1">IF(ISNUMBER(M1092),OFFSET('MPIO_SFIO Table'!$AJ$11,M1092,0),"")</f>
        <v/>
      </c>
      <c r="S1092" t="str">
        <f ca="1">IF(ISNUMBER(N1092),OFFSET('MPIO_SFIO Table'!$AJ$11,N1092,0),"")</f>
        <v/>
      </c>
      <c r="T1092" t="str">
        <f ca="1">IF(ISNUMBER(O1092),OFFSET('MPIO_SFIO Table'!$AJ$11,O1092,0),"")</f>
        <v/>
      </c>
      <c r="U1092" t="str">
        <f ca="1">IF(ISNUMBER(P1092),OFFSET('MPIO_SFIO Table'!$AJ$11,P1092,0),"")</f>
        <v/>
      </c>
      <c r="V1092" t="str">
        <f ca="1">IF(ISNUMBER(Q1092),OFFSET('MPIO_SFIO Table'!$AJ$11,Q1092,0),"")</f>
        <v/>
      </c>
      <c r="W1092">
        <f t="shared" ca="1" si="139"/>
        <v>0</v>
      </c>
      <c r="X1092">
        <f t="shared" ca="1" si="140"/>
        <v>0</v>
      </c>
      <c r="Y1092">
        <f t="shared" ca="1" si="141"/>
        <v>0</v>
      </c>
      <c r="Z1092">
        <f t="shared" ca="1" si="142"/>
        <v>0</v>
      </c>
      <c r="AA1092">
        <f t="shared" ca="1" si="143"/>
        <v>0</v>
      </c>
    </row>
    <row r="1093" spans="1:27" x14ac:dyDescent="0.25">
      <c r="A1093">
        <f t="shared" ca="1" si="136"/>
        <v>0</v>
      </c>
      <c r="B1093" t="str">
        <f t="shared" ca="1" si="137"/>
        <v/>
      </c>
      <c r="C1093" t="str">
        <f t="shared" si="138"/>
        <v/>
      </c>
      <c r="D1093" t="s">
        <v>253</v>
      </c>
      <c r="E1093" t="s">
        <v>253</v>
      </c>
      <c r="F1093" s="3" t="s">
        <v>253</v>
      </c>
      <c r="G1093" s="11" t="s">
        <v>253</v>
      </c>
      <c r="H1093" s="11" t="s">
        <v>253</v>
      </c>
      <c r="I1093" s="3" t="s">
        <v>253</v>
      </c>
      <c r="J1093" s="3" t="s">
        <v>253</v>
      </c>
      <c r="K1093" s="3" t="s">
        <v>253</v>
      </c>
      <c r="L1093" s="3" t="s">
        <v>253</v>
      </c>
      <c r="M1093" t="str">
        <f>IF(LEN(H1093),MATCH(H1093,'MPIO_SFIO Table'!$A$11:$A$65525,0)-1,"")</f>
        <v/>
      </c>
      <c r="N1093" t="str">
        <f>IF(LEN(I1093),MATCH(I1093,'MPIO_SFIO Table'!$A$11:$A$65525,0)-1,"")</f>
        <v/>
      </c>
      <c r="O1093" t="str">
        <f>IF(LEN(J1093),MATCH(J1093,'MPIO_SFIO Table'!$A$11:$A$65525,0)-1,"")</f>
        <v/>
      </c>
      <c r="P1093" t="str">
        <f>IF(LEN(K1093),MATCH(K1093,'MPIO_SFIO Table'!$A$11:$A$65525,0)-1,"")</f>
        <v/>
      </c>
      <c r="Q1093" t="str">
        <f>IF(LEN(L1093),MATCH(L1093,'MPIO_SFIO Table'!$A$11:$A$65525,0)-1,"")</f>
        <v/>
      </c>
      <c r="R1093" t="str">
        <f ca="1">IF(ISNUMBER(M1093),OFFSET('MPIO_SFIO Table'!$AJ$11,M1093,0),"")</f>
        <v/>
      </c>
      <c r="S1093" t="str">
        <f ca="1">IF(ISNUMBER(N1093),OFFSET('MPIO_SFIO Table'!$AJ$11,N1093,0),"")</f>
        <v/>
      </c>
      <c r="T1093" t="str">
        <f ca="1">IF(ISNUMBER(O1093),OFFSET('MPIO_SFIO Table'!$AJ$11,O1093,0),"")</f>
        <v/>
      </c>
      <c r="U1093" t="str">
        <f ca="1">IF(ISNUMBER(P1093),OFFSET('MPIO_SFIO Table'!$AJ$11,P1093,0),"")</f>
        <v/>
      </c>
      <c r="V1093" t="str">
        <f ca="1">IF(ISNUMBER(Q1093),OFFSET('MPIO_SFIO Table'!$AJ$11,Q1093,0),"")</f>
        <v/>
      </c>
      <c r="W1093">
        <f t="shared" ca="1" si="139"/>
        <v>0</v>
      </c>
      <c r="X1093">
        <f t="shared" ca="1" si="140"/>
        <v>0</v>
      </c>
      <c r="Y1093">
        <f t="shared" ca="1" si="141"/>
        <v>0</v>
      </c>
      <c r="Z1093">
        <f t="shared" ca="1" si="142"/>
        <v>0</v>
      </c>
      <c r="AA1093">
        <f t="shared" ca="1" si="143"/>
        <v>0</v>
      </c>
    </row>
    <row r="1094" spans="1:27" x14ac:dyDescent="0.25">
      <c r="A1094">
        <f t="shared" ca="1" si="136"/>
        <v>0</v>
      </c>
      <c r="B1094" t="str">
        <f t="shared" ca="1" si="137"/>
        <v/>
      </c>
      <c r="C1094" t="str">
        <f t="shared" si="138"/>
        <v/>
      </c>
      <c r="D1094" t="s">
        <v>253</v>
      </c>
      <c r="E1094" t="s">
        <v>253</v>
      </c>
      <c r="F1094" s="3" t="s">
        <v>253</v>
      </c>
      <c r="G1094" s="11" t="s">
        <v>253</v>
      </c>
      <c r="H1094" s="11" t="s">
        <v>253</v>
      </c>
      <c r="I1094" s="3" t="s">
        <v>253</v>
      </c>
      <c r="J1094" s="3" t="s">
        <v>253</v>
      </c>
      <c r="K1094" s="3" t="s">
        <v>253</v>
      </c>
      <c r="L1094" s="3" t="s">
        <v>253</v>
      </c>
      <c r="M1094" t="str">
        <f>IF(LEN(H1094),MATCH(H1094,'MPIO_SFIO Table'!$A$11:$A$65525,0)-1,"")</f>
        <v/>
      </c>
      <c r="N1094" t="str">
        <f>IF(LEN(I1094),MATCH(I1094,'MPIO_SFIO Table'!$A$11:$A$65525,0)-1,"")</f>
        <v/>
      </c>
      <c r="O1094" t="str">
        <f>IF(LEN(J1094),MATCH(J1094,'MPIO_SFIO Table'!$A$11:$A$65525,0)-1,"")</f>
        <v/>
      </c>
      <c r="P1094" t="str">
        <f>IF(LEN(K1094),MATCH(K1094,'MPIO_SFIO Table'!$A$11:$A$65525,0)-1,"")</f>
        <v/>
      </c>
      <c r="Q1094" t="str">
        <f>IF(LEN(L1094),MATCH(L1094,'MPIO_SFIO Table'!$A$11:$A$65525,0)-1,"")</f>
        <v/>
      </c>
      <c r="R1094" t="str">
        <f ca="1">IF(ISNUMBER(M1094),OFFSET('MPIO_SFIO Table'!$AJ$11,M1094,0),"")</f>
        <v/>
      </c>
      <c r="S1094" t="str">
        <f ca="1">IF(ISNUMBER(N1094),OFFSET('MPIO_SFIO Table'!$AJ$11,N1094,0),"")</f>
        <v/>
      </c>
      <c r="T1094" t="str">
        <f ca="1">IF(ISNUMBER(O1094),OFFSET('MPIO_SFIO Table'!$AJ$11,O1094,0),"")</f>
        <v/>
      </c>
      <c r="U1094" t="str">
        <f ca="1">IF(ISNUMBER(P1094),OFFSET('MPIO_SFIO Table'!$AJ$11,P1094,0),"")</f>
        <v/>
      </c>
      <c r="V1094" t="str">
        <f ca="1">IF(ISNUMBER(Q1094),OFFSET('MPIO_SFIO Table'!$AJ$11,Q1094,0),"")</f>
        <v/>
      </c>
      <c r="W1094">
        <f t="shared" ca="1" si="139"/>
        <v>0</v>
      </c>
      <c r="X1094">
        <f t="shared" ca="1" si="140"/>
        <v>0</v>
      </c>
      <c r="Y1094">
        <f t="shared" ca="1" si="141"/>
        <v>0</v>
      </c>
      <c r="Z1094">
        <f t="shared" ca="1" si="142"/>
        <v>0</v>
      </c>
      <c r="AA1094">
        <f t="shared" ca="1" si="143"/>
        <v>0</v>
      </c>
    </row>
    <row r="1095" spans="1:27" x14ac:dyDescent="0.25">
      <c r="A1095">
        <f t="shared" ca="1" si="136"/>
        <v>0</v>
      </c>
      <c r="B1095" t="str">
        <f t="shared" ca="1" si="137"/>
        <v/>
      </c>
      <c r="C1095" t="str">
        <f t="shared" si="138"/>
        <v/>
      </c>
      <c r="D1095" t="s">
        <v>253</v>
      </c>
      <c r="E1095" t="s">
        <v>253</v>
      </c>
      <c r="F1095" s="3" t="s">
        <v>253</v>
      </c>
      <c r="G1095" s="11" t="s">
        <v>253</v>
      </c>
      <c r="H1095" s="11" t="s">
        <v>253</v>
      </c>
      <c r="I1095" s="3" t="s">
        <v>253</v>
      </c>
      <c r="J1095" s="3" t="s">
        <v>253</v>
      </c>
      <c r="K1095" s="3" t="s">
        <v>253</v>
      </c>
      <c r="L1095" s="3" t="s">
        <v>253</v>
      </c>
      <c r="M1095" t="str">
        <f>IF(LEN(H1095),MATCH(H1095,'MPIO_SFIO Table'!$A$11:$A$65525,0)-1,"")</f>
        <v/>
      </c>
      <c r="N1095" t="str">
        <f>IF(LEN(I1095),MATCH(I1095,'MPIO_SFIO Table'!$A$11:$A$65525,0)-1,"")</f>
        <v/>
      </c>
      <c r="O1095" t="str">
        <f>IF(LEN(J1095),MATCH(J1095,'MPIO_SFIO Table'!$A$11:$A$65525,0)-1,"")</f>
        <v/>
      </c>
      <c r="P1095" t="str">
        <f>IF(LEN(K1095),MATCH(K1095,'MPIO_SFIO Table'!$A$11:$A$65525,0)-1,"")</f>
        <v/>
      </c>
      <c r="Q1095" t="str">
        <f>IF(LEN(L1095),MATCH(L1095,'MPIO_SFIO Table'!$A$11:$A$65525,0)-1,"")</f>
        <v/>
      </c>
      <c r="R1095" t="str">
        <f ca="1">IF(ISNUMBER(M1095),OFFSET('MPIO_SFIO Table'!$AJ$11,M1095,0),"")</f>
        <v/>
      </c>
      <c r="S1095" t="str">
        <f ca="1">IF(ISNUMBER(N1095),OFFSET('MPIO_SFIO Table'!$AJ$11,N1095,0),"")</f>
        <v/>
      </c>
      <c r="T1095" t="str">
        <f ca="1">IF(ISNUMBER(O1095),OFFSET('MPIO_SFIO Table'!$AJ$11,O1095,0),"")</f>
        <v/>
      </c>
      <c r="U1095" t="str">
        <f ca="1">IF(ISNUMBER(P1095),OFFSET('MPIO_SFIO Table'!$AJ$11,P1095,0),"")</f>
        <v/>
      </c>
      <c r="V1095" t="str">
        <f ca="1">IF(ISNUMBER(Q1095),OFFSET('MPIO_SFIO Table'!$AJ$11,Q1095,0),"")</f>
        <v/>
      </c>
      <c r="W1095">
        <f t="shared" ca="1" si="139"/>
        <v>0</v>
      </c>
      <c r="X1095">
        <f t="shared" ca="1" si="140"/>
        <v>0</v>
      </c>
      <c r="Y1095">
        <f t="shared" ca="1" si="141"/>
        <v>0</v>
      </c>
      <c r="Z1095">
        <f t="shared" ca="1" si="142"/>
        <v>0</v>
      </c>
      <c r="AA1095">
        <f t="shared" ca="1" si="143"/>
        <v>0</v>
      </c>
    </row>
    <row r="1096" spans="1:27" x14ac:dyDescent="0.25">
      <c r="A1096">
        <f t="shared" ref="A1096:A1159" ca="1" si="144">SUM($W1096:$AA1096)</f>
        <v>0</v>
      </c>
      <c r="B1096" t="str">
        <f t="shared" ref="B1096:B1159" ca="1" si="145">IF(A1096&lt;&gt;0,REPLACE(G1096,FIND("-",G1096),LEN(G1096),""),"")</f>
        <v/>
      </c>
      <c r="C1096" t="str">
        <f t="shared" si="138"/>
        <v/>
      </c>
      <c r="D1096" t="s">
        <v>253</v>
      </c>
      <c r="E1096" t="s">
        <v>253</v>
      </c>
      <c r="F1096" s="3" t="s">
        <v>253</v>
      </c>
      <c r="G1096" s="11" t="s">
        <v>253</v>
      </c>
      <c r="H1096" s="11" t="s">
        <v>253</v>
      </c>
      <c r="I1096" s="3" t="s">
        <v>253</v>
      </c>
      <c r="J1096" s="3" t="s">
        <v>253</v>
      </c>
      <c r="K1096" s="3" t="s">
        <v>253</v>
      </c>
      <c r="L1096" s="3" t="s">
        <v>253</v>
      </c>
      <c r="M1096" t="str">
        <f>IF(LEN(H1096),MATCH(H1096,'MPIO_SFIO Table'!$A$11:$A$65525,0)-1,"")</f>
        <v/>
      </c>
      <c r="N1096" t="str">
        <f>IF(LEN(I1096),MATCH(I1096,'MPIO_SFIO Table'!$A$11:$A$65525,0)-1,"")</f>
        <v/>
      </c>
      <c r="O1096" t="str">
        <f>IF(LEN(J1096),MATCH(J1096,'MPIO_SFIO Table'!$A$11:$A$65525,0)-1,"")</f>
        <v/>
      </c>
      <c r="P1096" t="str">
        <f>IF(LEN(K1096),MATCH(K1096,'MPIO_SFIO Table'!$A$11:$A$65525,0)-1,"")</f>
        <v/>
      </c>
      <c r="Q1096" t="str">
        <f>IF(LEN(L1096),MATCH(L1096,'MPIO_SFIO Table'!$A$11:$A$65525,0)-1,"")</f>
        <v/>
      </c>
      <c r="R1096" t="str">
        <f ca="1">IF(ISNUMBER(M1096),OFFSET('MPIO_SFIO Table'!$AJ$11,M1096,0),"")</f>
        <v/>
      </c>
      <c r="S1096" t="str">
        <f ca="1">IF(ISNUMBER(N1096),OFFSET('MPIO_SFIO Table'!$AJ$11,N1096,0),"")</f>
        <v/>
      </c>
      <c r="T1096" t="str">
        <f ca="1">IF(ISNUMBER(O1096),OFFSET('MPIO_SFIO Table'!$AJ$11,O1096,0),"")</f>
        <v/>
      </c>
      <c r="U1096" t="str">
        <f ca="1">IF(ISNUMBER(P1096),OFFSET('MPIO_SFIO Table'!$AJ$11,P1096,0),"")</f>
        <v/>
      </c>
      <c r="V1096" t="str">
        <f ca="1">IF(ISNUMBER(Q1096),OFFSET('MPIO_SFIO Table'!$AJ$11,Q1096,0),"")</f>
        <v/>
      </c>
      <c r="W1096">
        <f t="shared" ca="1" si="139"/>
        <v>0</v>
      </c>
      <c r="X1096">
        <f t="shared" ca="1" si="140"/>
        <v>0</v>
      </c>
      <c r="Y1096">
        <f t="shared" ca="1" si="141"/>
        <v>0</v>
      </c>
      <c r="Z1096">
        <f t="shared" ca="1" si="142"/>
        <v>0</v>
      </c>
      <c r="AA1096">
        <f t="shared" ca="1" si="143"/>
        <v>0</v>
      </c>
    </row>
    <row r="1097" spans="1:27" x14ac:dyDescent="0.25">
      <c r="A1097">
        <f t="shared" ca="1" si="144"/>
        <v>0</v>
      </c>
      <c r="B1097" t="str">
        <f t="shared" ca="1" si="145"/>
        <v/>
      </c>
      <c r="C1097" t="str">
        <f t="shared" ref="C1097:C1160" si="146">REPLACE(G1097,FIND(".",CONCATENATE(REPLACE(G1097,FIND("-",CONCATENATE(G1097,"-")),LEN(G1097),""),".")),LEN(G1097),"")</f>
        <v/>
      </c>
      <c r="D1097" t="s">
        <v>253</v>
      </c>
      <c r="E1097" t="s">
        <v>253</v>
      </c>
      <c r="F1097" s="3" t="s">
        <v>253</v>
      </c>
      <c r="G1097" s="11" t="s">
        <v>253</v>
      </c>
      <c r="H1097" s="11" t="s">
        <v>253</v>
      </c>
      <c r="I1097" s="3" t="s">
        <v>253</v>
      </c>
      <c r="J1097" s="3" t="s">
        <v>253</v>
      </c>
      <c r="K1097" s="3" t="s">
        <v>253</v>
      </c>
      <c r="L1097" s="3" t="s">
        <v>253</v>
      </c>
      <c r="M1097" t="str">
        <f>IF(LEN(H1097),MATCH(H1097,'MPIO_SFIO Table'!$A$11:$A$65525,0)-1,"")</f>
        <v/>
      </c>
      <c r="N1097" t="str">
        <f>IF(LEN(I1097),MATCH(I1097,'MPIO_SFIO Table'!$A$11:$A$65525,0)-1,"")</f>
        <v/>
      </c>
      <c r="O1097" t="str">
        <f>IF(LEN(J1097),MATCH(J1097,'MPIO_SFIO Table'!$A$11:$A$65525,0)-1,"")</f>
        <v/>
      </c>
      <c r="P1097" t="str">
        <f>IF(LEN(K1097),MATCH(K1097,'MPIO_SFIO Table'!$A$11:$A$65525,0)-1,"")</f>
        <v/>
      </c>
      <c r="Q1097" t="str">
        <f>IF(LEN(L1097),MATCH(L1097,'MPIO_SFIO Table'!$A$11:$A$65525,0)-1,"")</f>
        <v/>
      </c>
      <c r="R1097" t="str">
        <f ca="1">IF(ISNUMBER(M1097),OFFSET('MPIO_SFIO Table'!$AJ$11,M1097,0),"")</f>
        <v/>
      </c>
      <c r="S1097" t="str">
        <f ca="1">IF(ISNUMBER(N1097),OFFSET('MPIO_SFIO Table'!$AJ$11,N1097,0),"")</f>
        <v/>
      </c>
      <c r="T1097" t="str">
        <f ca="1">IF(ISNUMBER(O1097),OFFSET('MPIO_SFIO Table'!$AJ$11,O1097,0),"")</f>
        <v/>
      </c>
      <c r="U1097" t="str">
        <f ca="1">IF(ISNUMBER(P1097),OFFSET('MPIO_SFIO Table'!$AJ$11,P1097,0),"")</f>
        <v/>
      </c>
      <c r="V1097" t="str">
        <f ca="1">IF(ISNUMBER(Q1097),OFFSET('MPIO_SFIO Table'!$AJ$11,Q1097,0),"")</f>
        <v/>
      </c>
      <c r="W1097">
        <f t="shared" ref="W1097:W1160" ca="1" si="147">1*AND(ISTEXT(R1097),LEN(R1097),R1097=$G1097)</f>
        <v>0</v>
      </c>
      <c r="X1097">
        <f t="shared" ref="X1097:X1160" ca="1" si="148">1*AND(ISTEXT(S1097),LEN(S1097),S1097=$G1097)</f>
        <v>0</v>
      </c>
      <c r="Y1097">
        <f t="shared" ref="Y1097:Y1160" ca="1" si="149">1*AND(ISTEXT(T1097),LEN(T1097),T1097=$G1097)</f>
        <v>0</v>
      </c>
      <c r="Z1097">
        <f t="shared" ref="Z1097:Z1160" ca="1" si="150">1*AND(ISTEXT(U1097),LEN(U1097),U1097=$G1097)</f>
        <v>0</v>
      </c>
      <c r="AA1097">
        <f t="shared" ref="AA1097:AA1160" ca="1" si="151">1*AND(ISTEXT(V1097),LEN(V1097),V1097=$G1097)</f>
        <v>0</v>
      </c>
    </row>
    <row r="1098" spans="1:27" x14ac:dyDescent="0.25">
      <c r="A1098">
        <f t="shared" ca="1" si="144"/>
        <v>0</v>
      </c>
      <c r="B1098" t="str">
        <f t="shared" ca="1" si="145"/>
        <v/>
      </c>
      <c r="C1098" t="str">
        <f t="shared" si="146"/>
        <v/>
      </c>
      <c r="D1098" t="s">
        <v>253</v>
      </c>
      <c r="E1098" t="s">
        <v>253</v>
      </c>
      <c r="F1098" s="3" t="s">
        <v>253</v>
      </c>
      <c r="G1098" s="11" t="s">
        <v>253</v>
      </c>
      <c r="H1098" s="11" t="s">
        <v>253</v>
      </c>
      <c r="I1098" s="3" t="s">
        <v>253</v>
      </c>
      <c r="J1098" s="3" t="s">
        <v>253</v>
      </c>
      <c r="K1098" s="3" t="s">
        <v>253</v>
      </c>
      <c r="L1098" s="3" t="s">
        <v>253</v>
      </c>
      <c r="M1098" t="str">
        <f>IF(LEN(H1098),MATCH(H1098,'MPIO_SFIO Table'!$A$11:$A$65525,0)-1,"")</f>
        <v/>
      </c>
      <c r="N1098" t="str">
        <f>IF(LEN(I1098),MATCH(I1098,'MPIO_SFIO Table'!$A$11:$A$65525,0)-1,"")</f>
        <v/>
      </c>
      <c r="O1098" t="str">
        <f>IF(LEN(J1098),MATCH(J1098,'MPIO_SFIO Table'!$A$11:$A$65525,0)-1,"")</f>
        <v/>
      </c>
      <c r="P1098" t="str">
        <f>IF(LEN(K1098),MATCH(K1098,'MPIO_SFIO Table'!$A$11:$A$65525,0)-1,"")</f>
        <v/>
      </c>
      <c r="Q1098" t="str">
        <f>IF(LEN(L1098),MATCH(L1098,'MPIO_SFIO Table'!$A$11:$A$65525,0)-1,"")</f>
        <v/>
      </c>
      <c r="R1098" t="str">
        <f ca="1">IF(ISNUMBER(M1098),OFFSET('MPIO_SFIO Table'!$AJ$11,M1098,0),"")</f>
        <v/>
      </c>
      <c r="S1098" t="str">
        <f ca="1">IF(ISNUMBER(N1098),OFFSET('MPIO_SFIO Table'!$AJ$11,N1098,0),"")</f>
        <v/>
      </c>
      <c r="T1098" t="str">
        <f ca="1">IF(ISNUMBER(O1098),OFFSET('MPIO_SFIO Table'!$AJ$11,O1098,0),"")</f>
        <v/>
      </c>
      <c r="U1098" t="str">
        <f ca="1">IF(ISNUMBER(P1098),OFFSET('MPIO_SFIO Table'!$AJ$11,P1098,0),"")</f>
        <v/>
      </c>
      <c r="V1098" t="str">
        <f ca="1">IF(ISNUMBER(Q1098),OFFSET('MPIO_SFIO Table'!$AJ$11,Q1098,0),"")</f>
        <v/>
      </c>
      <c r="W1098">
        <f t="shared" ca="1" si="147"/>
        <v>0</v>
      </c>
      <c r="X1098">
        <f t="shared" ca="1" si="148"/>
        <v>0</v>
      </c>
      <c r="Y1098">
        <f t="shared" ca="1" si="149"/>
        <v>0</v>
      </c>
      <c r="Z1098">
        <f t="shared" ca="1" si="150"/>
        <v>0</v>
      </c>
      <c r="AA1098">
        <f t="shared" ca="1" si="151"/>
        <v>0</v>
      </c>
    </row>
    <row r="1099" spans="1:27" x14ac:dyDescent="0.25">
      <c r="A1099">
        <f t="shared" ca="1" si="144"/>
        <v>0</v>
      </c>
      <c r="B1099" t="str">
        <f t="shared" ca="1" si="145"/>
        <v/>
      </c>
      <c r="C1099" t="str">
        <f t="shared" si="146"/>
        <v/>
      </c>
      <c r="D1099" t="s">
        <v>253</v>
      </c>
      <c r="E1099" t="s">
        <v>253</v>
      </c>
      <c r="F1099" s="3" t="s">
        <v>253</v>
      </c>
      <c r="G1099" s="11" t="s">
        <v>253</v>
      </c>
      <c r="H1099" s="11" t="s">
        <v>253</v>
      </c>
      <c r="I1099" s="3" t="s">
        <v>253</v>
      </c>
      <c r="J1099" s="3" t="s">
        <v>253</v>
      </c>
      <c r="K1099" s="3" t="s">
        <v>253</v>
      </c>
      <c r="L1099" s="3" t="s">
        <v>253</v>
      </c>
      <c r="M1099" t="str">
        <f>IF(LEN(H1099),MATCH(H1099,'MPIO_SFIO Table'!$A$11:$A$65525,0)-1,"")</f>
        <v/>
      </c>
      <c r="N1099" t="str">
        <f>IF(LEN(I1099),MATCH(I1099,'MPIO_SFIO Table'!$A$11:$A$65525,0)-1,"")</f>
        <v/>
      </c>
      <c r="O1099" t="str">
        <f>IF(LEN(J1099),MATCH(J1099,'MPIO_SFIO Table'!$A$11:$A$65525,0)-1,"")</f>
        <v/>
      </c>
      <c r="P1099" t="str">
        <f>IF(LEN(K1099),MATCH(K1099,'MPIO_SFIO Table'!$A$11:$A$65525,0)-1,"")</f>
        <v/>
      </c>
      <c r="Q1099" t="str">
        <f>IF(LEN(L1099),MATCH(L1099,'MPIO_SFIO Table'!$A$11:$A$65525,0)-1,"")</f>
        <v/>
      </c>
      <c r="R1099" t="str">
        <f ca="1">IF(ISNUMBER(M1099),OFFSET('MPIO_SFIO Table'!$AJ$11,M1099,0),"")</f>
        <v/>
      </c>
      <c r="S1099" t="str">
        <f ca="1">IF(ISNUMBER(N1099),OFFSET('MPIO_SFIO Table'!$AJ$11,N1099,0),"")</f>
        <v/>
      </c>
      <c r="T1099" t="str">
        <f ca="1">IF(ISNUMBER(O1099),OFFSET('MPIO_SFIO Table'!$AJ$11,O1099,0),"")</f>
        <v/>
      </c>
      <c r="U1099" t="str">
        <f ca="1">IF(ISNUMBER(P1099),OFFSET('MPIO_SFIO Table'!$AJ$11,P1099,0),"")</f>
        <v/>
      </c>
      <c r="V1099" t="str">
        <f ca="1">IF(ISNUMBER(Q1099),OFFSET('MPIO_SFIO Table'!$AJ$11,Q1099,0),"")</f>
        <v/>
      </c>
      <c r="W1099">
        <f t="shared" ca="1" si="147"/>
        <v>0</v>
      </c>
      <c r="X1099">
        <f t="shared" ca="1" si="148"/>
        <v>0</v>
      </c>
      <c r="Y1099">
        <f t="shared" ca="1" si="149"/>
        <v>0</v>
      </c>
      <c r="Z1099">
        <f t="shared" ca="1" si="150"/>
        <v>0</v>
      </c>
      <c r="AA1099">
        <f t="shared" ca="1" si="151"/>
        <v>0</v>
      </c>
    </row>
    <row r="1100" spans="1:27" x14ac:dyDescent="0.25">
      <c r="A1100">
        <f t="shared" ca="1" si="144"/>
        <v>0</v>
      </c>
      <c r="B1100" t="str">
        <f t="shared" ca="1" si="145"/>
        <v/>
      </c>
      <c r="C1100" t="str">
        <f t="shared" si="146"/>
        <v/>
      </c>
      <c r="D1100" t="s">
        <v>253</v>
      </c>
      <c r="E1100" t="s">
        <v>253</v>
      </c>
      <c r="F1100" s="3" t="s">
        <v>253</v>
      </c>
      <c r="G1100" s="11" t="s">
        <v>253</v>
      </c>
      <c r="H1100" s="11" t="s">
        <v>253</v>
      </c>
      <c r="I1100" s="3" t="s">
        <v>253</v>
      </c>
      <c r="J1100" s="3" t="s">
        <v>253</v>
      </c>
      <c r="K1100" s="3" t="s">
        <v>253</v>
      </c>
      <c r="L1100" s="3" t="s">
        <v>253</v>
      </c>
      <c r="M1100" t="str">
        <f>IF(LEN(H1100),MATCH(H1100,'MPIO_SFIO Table'!$A$11:$A$65525,0)-1,"")</f>
        <v/>
      </c>
      <c r="N1100" t="str">
        <f>IF(LEN(I1100),MATCH(I1100,'MPIO_SFIO Table'!$A$11:$A$65525,0)-1,"")</f>
        <v/>
      </c>
      <c r="O1100" t="str">
        <f>IF(LEN(J1100),MATCH(J1100,'MPIO_SFIO Table'!$A$11:$A$65525,0)-1,"")</f>
        <v/>
      </c>
      <c r="P1100" t="str">
        <f>IF(LEN(K1100),MATCH(K1100,'MPIO_SFIO Table'!$A$11:$A$65525,0)-1,"")</f>
        <v/>
      </c>
      <c r="Q1100" t="str">
        <f>IF(LEN(L1100),MATCH(L1100,'MPIO_SFIO Table'!$A$11:$A$65525,0)-1,"")</f>
        <v/>
      </c>
      <c r="R1100" t="str">
        <f ca="1">IF(ISNUMBER(M1100),OFFSET('MPIO_SFIO Table'!$AJ$11,M1100,0),"")</f>
        <v/>
      </c>
      <c r="S1100" t="str">
        <f ca="1">IF(ISNUMBER(N1100),OFFSET('MPIO_SFIO Table'!$AJ$11,N1100,0),"")</f>
        <v/>
      </c>
      <c r="T1100" t="str">
        <f ca="1">IF(ISNUMBER(O1100),OFFSET('MPIO_SFIO Table'!$AJ$11,O1100,0),"")</f>
        <v/>
      </c>
      <c r="U1100" t="str">
        <f ca="1">IF(ISNUMBER(P1100),OFFSET('MPIO_SFIO Table'!$AJ$11,P1100,0),"")</f>
        <v/>
      </c>
      <c r="V1100" t="str">
        <f ca="1">IF(ISNUMBER(Q1100),OFFSET('MPIO_SFIO Table'!$AJ$11,Q1100,0),"")</f>
        <v/>
      </c>
      <c r="W1100">
        <f t="shared" ca="1" si="147"/>
        <v>0</v>
      </c>
      <c r="X1100">
        <f t="shared" ca="1" si="148"/>
        <v>0</v>
      </c>
      <c r="Y1100">
        <f t="shared" ca="1" si="149"/>
        <v>0</v>
      </c>
      <c r="Z1100">
        <f t="shared" ca="1" si="150"/>
        <v>0</v>
      </c>
      <c r="AA1100">
        <f t="shared" ca="1" si="151"/>
        <v>0</v>
      </c>
    </row>
    <row r="1101" spans="1:27" x14ac:dyDescent="0.25">
      <c r="A1101">
        <f t="shared" ca="1" si="144"/>
        <v>0</v>
      </c>
      <c r="B1101" t="str">
        <f t="shared" ca="1" si="145"/>
        <v/>
      </c>
      <c r="C1101" t="str">
        <f t="shared" si="146"/>
        <v/>
      </c>
      <c r="D1101" t="s">
        <v>253</v>
      </c>
      <c r="E1101" t="s">
        <v>253</v>
      </c>
      <c r="F1101" s="3" t="s">
        <v>253</v>
      </c>
      <c r="G1101" s="11" t="s">
        <v>253</v>
      </c>
      <c r="H1101" s="11" t="s">
        <v>253</v>
      </c>
      <c r="I1101" s="3" t="s">
        <v>253</v>
      </c>
      <c r="J1101" s="3" t="s">
        <v>253</v>
      </c>
      <c r="K1101" s="3" t="s">
        <v>253</v>
      </c>
      <c r="L1101" s="3" t="s">
        <v>253</v>
      </c>
      <c r="M1101" t="str">
        <f>IF(LEN(H1101),MATCH(H1101,'MPIO_SFIO Table'!$A$11:$A$65525,0)-1,"")</f>
        <v/>
      </c>
      <c r="N1101" t="str">
        <f>IF(LEN(I1101),MATCH(I1101,'MPIO_SFIO Table'!$A$11:$A$65525,0)-1,"")</f>
        <v/>
      </c>
      <c r="O1101" t="str">
        <f>IF(LEN(J1101),MATCH(J1101,'MPIO_SFIO Table'!$A$11:$A$65525,0)-1,"")</f>
        <v/>
      </c>
      <c r="P1101" t="str">
        <f>IF(LEN(K1101),MATCH(K1101,'MPIO_SFIO Table'!$A$11:$A$65525,0)-1,"")</f>
        <v/>
      </c>
      <c r="Q1101" t="str">
        <f>IF(LEN(L1101),MATCH(L1101,'MPIO_SFIO Table'!$A$11:$A$65525,0)-1,"")</f>
        <v/>
      </c>
      <c r="R1101" t="str">
        <f ca="1">IF(ISNUMBER(M1101),OFFSET('MPIO_SFIO Table'!$AJ$11,M1101,0),"")</f>
        <v/>
      </c>
      <c r="S1101" t="str">
        <f ca="1">IF(ISNUMBER(N1101),OFFSET('MPIO_SFIO Table'!$AJ$11,N1101,0),"")</f>
        <v/>
      </c>
      <c r="T1101" t="str">
        <f ca="1">IF(ISNUMBER(O1101),OFFSET('MPIO_SFIO Table'!$AJ$11,O1101,0),"")</f>
        <v/>
      </c>
      <c r="U1101" t="str">
        <f ca="1">IF(ISNUMBER(P1101),OFFSET('MPIO_SFIO Table'!$AJ$11,P1101,0),"")</f>
        <v/>
      </c>
      <c r="V1101" t="str">
        <f ca="1">IF(ISNUMBER(Q1101),OFFSET('MPIO_SFIO Table'!$AJ$11,Q1101,0),"")</f>
        <v/>
      </c>
      <c r="W1101">
        <f t="shared" ca="1" si="147"/>
        <v>0</v>
      </c>
      <c r="X1101">
        <f t="shared" ca="1" si="148"/>
        <v>0</v>
      </c>
      <c r="Y1101">
        <f t="shared" ca="1" si="149"/>
        <v>0</v>
      </c>
      <c r="Z1101">
        <f t="shared" ca="1" si="150"/>
        <v>0</v>
      </c>
      <c r="AA1101">
        <f t="shared" ca="1" si="151"/>
        <v>0</v>
      </c>
    </row>
    <row r="1102" spans="1:27" x14ac:dyDescent="0.25">
      <c r="A1102">
        <f t="shared" ca="1" si="144"/>
        <v>0</v>
      </c>
      <c r="B1102" t="str">
        <f t="shared" ca="1" si="145"/>
        <v/>
      </c>
      <c r="C1102" t="str">
        <f t="shared" si="146"/>
        <v/>
      </c>
      <c r="D1102" t="s">
        <v>253</v>
      </c>
      <c r="E1102" t="s">
        <v>253</v>
      </c>
      <c r="F1102" s="3" t="s">
        <v>253</v>
      </c>
      <c r="G1102" s="11" t="s">
        <v>253</v>
      </c>
      <c r="H1102" s="11" t="s">
        <v>253</v>
      </c>
      <c r="I1102" s="3" t="s">
        <v>253</v>
      </c>
      <c r="J1102" s="3" t="s">
        <v>253</v>
      </c>
      <c r="K1102" s="3" t="s">
        <v>253</v>
      </c>
      <c r="L1102" s="3" t="s">
        <v>253</v>
      </c>
      <c r="M1102" t="str">
        <f>IF(LEN(H1102),MATCH(H1102,'MPIO_SFIO Table'!$A$11:$A$65525,0)-1,"")</f>
        <v/>
      </c>
      <c r="N1102" t="str">
        <f>IF(LEN(I1102),MATCH(I1102,'MPIO_SFIO Table'!$A$11:$A$65525,0)-1,"")</f>
        <v/>
      </c>
      <c r="O1102" t="str">
        <f>IF(LEN(J1102),MATCH(J1102,'MPIO_SFIO Table'!$A$11:$A$65525,0)-1,"")</f>
        <v/>
      </c>
      <c r="P1102" t="str">
        <f>IF(LEN(K1102),MATCH(K1102,'MPIO_SFIO Table'!$A$11:$A$65525,0)-1,"")</f>
        <v/>
      </c>
      <c r="Q1102" t="str">
        <f>IF(LEN(L1102),MATCH(L1102,'MPIO_SFIO Table'!$A$11:$A$65525,0)-1,"")</f>
        <v/>
      </c>
      <c r="R1102" t="str">
        <f ca="1">IF(ISNUMBER(M1102),OFFSET('MPIO_SFIO Table'!$AJ$11,M1102,0),"")</f>
        <v/>
      </c>
      <c r="S1102" t="str">
        <f ca="1">IF(ISNUMBER(N1102),OFFSET('MPIO_SFIO Table'!$AJ$11,N1102,0),"")</f>
        <v/>
      </c>
      <c r="T1102" t="str">
        <f ca="1">IF(ISNUMBER(O1102),OFFSET('MPIO_SFIO Table'!$AJ$11,O1102,0),"")</f>
        <v/>
      </c>
      <c r="U1102" t="str">
        <f ca="1">IF(ISNUMBER(P1102),OFFSET('MPIO_SFIO Table'!$AJ$11,P1102,0),"")</f>
        <v/>
      </c>
      <c r="V1102" t="str">
        <f ca="1">IF(ISNUMBER(Q1102),OFFSET('MPIO_SFIO Table'!$AJ$11,Q1102,0),"")</f>
        <v/>
      </c>
      <c r="W1102">
        <f t="shared" ca="1" si="147"/>
        <v>0</v>
      </c>
      <c r="X1102">
        <f t="shared" ca="1" si="148"/>
        <v>0</v>
      </c>
      <c r="Y1102">
        <f t="shared" ca="1" si="149"/>
        <v>0</v>
      </c>
      <c r="Z1102">
        <f t="shared" ca="1" si="150"/>
        <v>0</v>
      </c>
      <c r="AA1102">
        <f t="shared" ca="1" si="151"/>
        <v>0</v>
      </c>
    </row>
    <row r="1103" spans="1:27" x14ac:dyDescent="0.25">
      <c r="A1103">
        <f t="shared" ca="1" si="144"/>
        <v>0</v>
      </c>
      <c r="B1103" t="str">
        <f t="shared" ca="1" si="145"/>
        <v/>
      </c>
      <c r="C1103" t="str">
        <f t="shared" si="146"/>
        <v/>
      </c>
      <c r="D1103" t="s">
        <v>253</v>
      </c>
      <c r="E1103" t="s">
        <v>253</v>
      </c>
      <c r="F1103" s="3" t="s">
        <v>253</v>
      </c>
      <c r="G1103" s="11" t="s">
        <v>253</v>
      </c>
      <c r="H1103" s="11" t="s">
        <v>253</v>
      </c>
      <c r="I1103" s="3" t="s">
        <v>253</v>
      </c>
      <c r="J1103" s="3" t="s">
        <v>253</v>
      </c>
      <c r="K1103" s="3" t="s">
        <v>253</v>
      </c>
      <c r="L1103" s="3" t="s">
        <v>253</v>
      </c>
      <c r="M1103" t="str">
        <f>IF(LEN(H1103),MATCH(H1103,'MPIO_SFIO Table'!$A$11:$A$65525,0)-1,"")</f>
        <v/>
      </c>
      <c r="N1103" t="str">
        <f>IF(LEN(I1103),MATCH(I1103,'MPIO_SFIO Table'!$A$11:$A$65525,0)-1,"")</f>
        <v/>
      </c>
      <c r="O1103" t="str">
        <f>IF(LEN(J1103),MATCH(J1103,'MPIO_SFIO Table'!$A$11:$A$65525,0)-1,"")</f>
        <v/>
      </c>
      <c r="P1103" t="str">
        <f>IF(LEN(K1103),MATCH(K1103,'MPIO_SFIO Table'!$A$11:$A$65525,0)-1,"")</f>
        <v/>
      </c>
      <c r="Q1103" t="str">
        <f>IF(LEN(L1103),MATCH(L1103,'MPIO_SFIO Table'!$A$11:$A$65525,0)-1,"")</f>
        <v/>
      </c>
      <c r="R1103" t="str">
        <f ca="1">IF(ISNUMBER(M1103),OFFSET('MPIO_SFIO Table'!$AJ$11,M1103,0),"")</f>
        <v/>
      </c>
      <c r="S1103" t="str">
        <f ca="1">IF(ISNUMBER(N1103),OFFSET('MPIO_SFIO Table'!$AJ$11,N1103,0),"")</f>
        <v/>
      </c>
      <c r="T1103" t="str">
        <f ca="1">IF(ISNUMBER(O1103),OFFSET('MPIO_SFIO Table'!$AJ$11,O1103,0),"")</f>
        <v/>
      </c>
      <c r="U1103" t="str">
        <f ca="1">IF(ISNUMBER(P1103),OFFSET('MPIO_SFIO Table'!$AJ$11,P1103,0),"")</f>
        <v/>
      </c>
      <c r="V1103" t="str">
        <f ca="1">IF(ISNUMBER(Q1103),OFFSET('MPIO_SFIO Table'!$AJ$11,Q1103,0),"")</f>
        <v/>
      </c>
      <c r="W1103">
        <f t="shared" ca="1" si="147"/>
        <v>0</v>
      </c>
      <c r="X1103">
        <f t="shared" ca="1" si="148"/>
        <v>0</v>
      </c>
      <c r="Y1103">
        <f t="shared" ca="1" si="149"/>
        <v>0</v>
      </c>
      <c r="Z1103">
        <f t="shared" ca="1" si="150"/>
        <v>0</v>
      </c>
      <c r="AA1103">
        <f t="shared" ca="1" si="151"/>
        <v>0</v>
      </c>
    </row>
    <row r="1104" spans="1:27" x14ac:dyDescent="0.25">
      <c r="A1104">
        <f t="shared" ca="1" si="144"/>
        <v>0</v>
      </c>
      <c r="B1104" t="str">
        <f t="shared" ca="1" si="145"/>
        <v/>
      </c>
      <c r="C1104" t="str">
        <f t="shared" si="146"/>
        <v/>
      </c>
      <c r="D1104" t="s">
        <v>253</v>
      </c>
      <c r="E1104" t="s">
        <v>253</v>
      </c>
      <c r="F1104" s="3" t="s">
        <v>253</v>
      </c>
      <c r="G1104" s="11" t="s">
        <v>253</v>
      </c>
      <c r="H1104" s="11" t="s">
        <v>253</v>
      </c>
      <c r="I1104" s="3" t="s">
        <v>253</v>
      </c>
      <c r="J1104" s="3" t="s">
        <v>253</v>
      </c>
      <c r="K1104" s="3" t="s">
        <v>253</v>
      </c>
      <c r="L1104" s="3" t="s">
        <v>253</v>
      </c>
      <c r="M1104" t="str">
        <f>IF(LEN(H1104),MATCH(H1104,'MPIO_SFIO Table'!$A$11:$A$65525,0)-1,"")</f>
        <v/>
      </c>
      <c r="N1104" t="str">
        <f>IF(LEN(I1104),MATCH(I1104,'MPIO_SFIO Table'!$A$11:$A$65525,0)-1,"")</f>
        <v/>
      </c>
      <c r="O1104" t="str">
        <f>IF(LEN(J1104),MATCH(J1104,'MPIO_SFIO Table'!$A$11:$A$65525,0)-1,"")</f>
        <v/>
      </c>
      <c r="P1104" t="str">
        <f>IF(LEN(K1104),MATCH(K1104,'MPIO_SFIO Table'!$A$11:$A$65525,0)-1,"")</f>
        <v/>
      </c>
      <c r="Q1104" t="str">
        <f>IF(LEN(L1104),MATCH(L1104,'MPIO_SFIO Table'!$A$11:$A$65525,0)-1,"")</f>
        <v/>
      </c>
      <c r="R1104" t="str">
        <f ca="1">IF(ISNUMBER(M1104),OFFSET('MPIO_SFIO Table'!$AJ$11,M1104,0),"")</f>
        <v/>
      </c>
      <c r="S1104" t="str">
        <f ca="1">IF(ISNUMBER(N1104),OFFSET('MPIO_SFIO Table'!$AJ$11,N1104,0),"")</f>
        <v/>
      </c>
      <c r="T1104" t="str">
        <f ca="1">IF(ISNUMBER(O1104),OFFSET('MPIO_SFIO Table'!$AJ$11,O1104,0),"")</f>
        <v/>
      </c>
      <c r="U1104" t="str">
        <f ca="1">IF(ISNUMBER(P1104),OFFSET('MPIO_SFIO Table'!$AJ$11,P1104,0),"")</f>
        <v/>
      </c>
      <c r="V1104" t="str">
        <f ca="1">IF(ISNUMBER(Q1104),OFFSET('MPIO_SFIO Table'!$AJ$11,Q1104,0),"")</f>
        <v/>
      </c>
      <c r="W1104">
        <f t="shared" ca="1" si="147"/>
        <v>0</v>
      </c>
      <c r="X1104">
        <f t="shared" ca="1" si="148"/>
        <v>0</v>
      </c>
      <c r="Y1104">
        <f t="shared" ca="1" si="149"/>
        <v>0</v>
      </c>
      <c r="Z1104">
        <f t="shared" ca="1" si="150"/>
        <v>0</v>
      </c>
      <c r="AA1104">
        <f t="shared" ca="1" si="151"/>
        <v>0</v>
      </c>
    </row>
    <row r="1105" spans="1:27" x14ac:dyDescent="0.25">
      <c r="A1105">
        <f t="shared" ca="1" si="144"/>
        <v>0</v>
      </c>
      <c r="B1105" t="str">
        <f t="shared" ca="1" si="145"/>
        <v/>
      </c>
      <c r="C1105" t="str">
        <f t="shared" si="146"/>
        <v/>
      </c>
      <c r="D1105" t="s">
        <v>253</v>
      </c>
      <c r="E1105" t="s">
        <v>253</v>
      </c>
      <c r="F1105" s="3" t="s">
        <v>253</v>
      </c>
      <c r="G1105" s="11" t="s">
        <v>253</v>
      </c>
      <c r="H1105" s="11" t="s">
        <v>253</v>
      </c>
      <c r="I1105" s="3" t="s">
        <v>253</v>
      </c>
      <c r="J1105" s="3" t="s">
        <v>253</v>
      </c>
      <c r="K1105" s="3" t="s">
        <v>253</v>
      </c>
      <c r="L1105" s="3" t="s">
        <v>253</v>
      </c>
      <c r="M1105" t="str">
        <f>IF(LEN(H1105),MATCH(H1105,'MPIO_SFIO Table'!$A$11:$A$65525,0)-1,"")</f>
        <v/>
      </c>
      <c r="N1105" t="str">
        <f>IF(LEN(I1105),MATCH(I1105,'MPIO_SFIO Table'!$A$11:$A$65525,0)-1,"")</f>
        <v/>
      </c>
      <c r="O1105" t="str">
        <f>IF(LEN(J1105),MATCH(J1105,'MPIO_SFIO Table'!$A$11:$A$65525,0)-1,"")</f>
        <v/>
      </c>
      <c r="P1105" t="str">
        <f>IF(LEN(K1105),MATCH(K1105,'MPIO_SFIO Table'!$A$11:$A$65525,0)-1,"")</f>
        <v/>
      </c>
      <c r="Q1105" t="str">
        <f>IF(LEN(L1105),MATCH(L1105,'MPIO_SFIO Table'!$A$11:$A$65525,0)-1,"")</f>
        <v/>
      </c>
      <c r="R1105" t="str">
        <f ca="1">IF(ISNUMBER(M1105),OFFSET('MPIO_SFIO Table'!$AJ$11,M1105,0),"")</f>
        <v/>
      </c>
      <c r="S1105" t="str">
        <f ca="1">IF(ISNUMBER(N1105),OFFSET('MPIO_SFIO Table'!$AJ$11,N1105,0),"")</f>
        <v/>
      </c>
      <c r="T1105" t="str">
        <f ca="1">IF(ISNUMBER(O1105),OFFSET('MPIO_SFIO Table'!$AJ$11,O1105,0),"")</f>
        <v/>
      </c>
      <c r="U1105" t="str">
        <f ca="1">IF(ISNUMBER(P1105),OFFSET('MPIO_SFIO Table'!$AJ$11,P1105,0),"")</f>
        <v/>
      </c>
      <c r="V1105" t="str">
        <f ca="1">IF(ISNUMBER(Q1105),OFFSET('MPIO_SFIO Table'!$AJ$11,Q1105,0),"")</f>
        <v/>
      </c>
      <c r="W1105">
        <f t="shared" ca="1" si="147"/>
        <v>0</v>
      </c>
      <c r="X1105">
        <f t="shared" ca="1" si="148"/>
        <v>0</v>
      </c>
      <c r="Y1105">
        <f t="shared" ca="1" si="149"/>
        <v>0</v>
      </c>
      <c r="Z1105">
        <f t="shared" ca="1" si="150"/>
        <v>0</v>
      </c>
      <c r="AA1105">
        <f t="shared" ca="1" si="151"/>
        <v>0</v>
      </c>
    </row>
    <row r="1106" spans="1:27" x14ac:dyDescent="0.25">
      <c r="A1106">
        <f t="shared" ca="1" si="144"/>
        <v>0</v>
      </c>
      <c r="B1106" t="str">
        <f t="shared" ca="1" si="145"/>
        <v/>
      </c>
      <c r="C1106" t="str">
        <f t="shared" si="146"/>
        <v/>
      </c>
      <c r="D1106" t="s">
        <v>253</v>
      </c>
      <c r="E1106" t="s">
        <v>253</v>
      </c>
      <c r="F1106" s="3" t="s">
        <v>253</v>
      </c>
      <c r="G1106" s="11" t="s">
        <v>253</v>
      </c>
      <c r="H1106" s="11" t="s">
        <v>253</v>
      </c>
      <c r="I1106" s="3" t="s">
        <v>253</v>
      </c>
      <c r="J1106" s="3" t="s">
        <v>253</v>
      </c>
      <c r="K1106" s="3" t="s">
        <v>253</v>
      </c>
      <c r="L1106" s="3" t="s">
        <v>253</v>
      </c>
      <c r="M1106" t="str">
        <f>IF(LEN(H1106),MATCH(H1106,'MPIO_SFIO Table'!$A$11:$A$65525,0)-1,"")</f>
        <v/>
      </c>
      <c r="N1106" t="str">
        <f>IF(LEN(I1106),MATCH(I1106,'MPIO_SFIO Table'!$A$11:$A$65525,0)-1,"")</f>
        <v/>
      </c>
      <c r="O1106" t="str">
        <f>IF(LEN(J1106),MATCH(J1106,'MPIO_SFIO Table'!$A$11:$A$65525,0)-1,"")</f>
        <v/>
      </c>
      <c r="P1106" t="str">
        <f>IF(LEN(K1106),MATCH(K1106,'MPIO_SFIO Table'!$A$11:$A$65525,0)-1,"")</f>
        <v/>
      </c>
      <c r="Q1106" t="str">
        <f>IF(LEN(L1106),MATCH(L1106,'MPIO_SFIO Table'!$A$11:$A$65525,0)-1,"")</f>
        <v/>
      </c>
      <c r="R1106" t="str">
        <f ca="1">IF(ISNUMBER(M1106),OFFSET('MPIO_SFIO Table'!$AJ$11,M1106,0),"")</f>
        <v/>
      </c>
      <c r="S1106" t="str">
        <f ca="1">IF(ISNUMBER(N1106),OFFSET('MPIO_SFIO Table'!$AJ$11,N1106,0),"")</f>
        <v/>
      </c>
      <c r="T1106" t="str">
        <f ca="1">IF(ISNUMBER(O1106),OFFSET('MPIO_SFIO Table'!$AJ$11,O1106,0),"")</f>
        <v/>
      </c>
      <c r="U1106" t="str">
        <f ca="1">IF(ISNUMBER(P1106),OFFSET('MPIO_SFIO Table'!$AJ$11,P1106,0),"")</f>
        <v/>
      </c>
      <c r="V1106" t="str">
        <f ca="1">IF(ISNUMBER(Q1106),OFFSET('MPIO_SFIO Table'!$AJ$11,Q1106,0),"")</f>
        <v/>
      </c>
      <c r="W1106">
        <f t="shared" ca="1" si="147"/>
        <v>0</v>
      </c>
      <c r="X1106">
        <f t="shared" ca="1" si="148"/>
        <v>0</v>
      </c>
      <c r="Y1106">
        <f t="shared" ca="1" si="149"/>
        <v>0</v>
      </c>
      <c r="Z1106">
        <f t="shared" ca="1" si="150"/>
        <v>0</v>
      </c>
      <c r="AA1106">
        <f t="shared" ca="1" si="151"/>
        <v>0</v>
      </c>
    </row>
    <row r="1107" spans="1:27" x14ac:dyDescent="0.25">
      <c r="A1107">
        <f t="shared" ca="1" si="144"/>
        <v>0</v>
      </c>
      <c r="B1107" t="str">
        <f t="shared" ca="1" si="145"/>
        <v/>
      </c>
      <c r="C1107" t="str">
        <f t="shared" si="146"/>
        <v/>
      </c>
      <c r="D1107" t="s">
        <v>253</v>
      </c>
      <c r="E1107" t="s">
        <v>253</v>
      </c>
      <c r="F1107" s="3" t="s">
        <v>253</v>
      </c>
      <c r="G1107" s="11" t="s">
        <v>253</v>
      </c>
      <c r="H1107" s="11" t="s">
        <v>253</v>
      </c>
      <c r="I1107" s="3" t="s">
        <v>253</v>
      </c>
      <c r="J1107" s="3" t="s">
        <v>253</v>
      </c>
      <c r="K1107" s="3" t="s">
        <v>253</v>
      </c>
      <c r="L1107" s="3" t="s">
        <v>253</v>
      </c>
      <c r="M1107" t="str">
        <f>IF(LEN(H1107),MATCH(H1107,'MPIO_SFIO Table'!$A$11:$A$65525,0)-1,"")</f>
        <v/>
      </c>
      <c r="N1107" t="str">
        <f>IF(LEN(I1107),MATCH(I1107,'MPIO_SFIO Table'!$A$11:$A$65525,0)-1,"")</f>
        <v/>
      </c>
      <c r="O1107" t="str">
        <f>IF(LEN(J1107),MATCH(J1107,'MPIO_SFIO Table'!$A$11:$A$65525,0)-1,"")</f>
        <v/>
      </c>
      <c r="P1107" t="str">
        <f>IF(LEN(K1107),MATCH(K1107,'MPIO_SFIO Table'!$A$11:$A$65525,0)-1,"")</f>
        <v/>
      </c>
      <c r="Q1107" t="str">
        <f>IF(LEN(L1107),MATCH(L1107,'MPIO_SFIO Table'!$A$11:$A$65525,0)-1,"")</f>
        <v/>
      </c>
      <c r="R1107" t="str">
        <f ca="1">IF(ISNUMBER(M1107),OFFSET('MPIO_SFIO Table'!$AJ$11,M1107,0),"")</f>
        <v/>
      </c>
      <c r="S1107" t="str">
        <f ca="1">IF(ISNUMBER(N1107),OFFSET('MPIO_SFIO Table'!$AJ$11,N1107,0),"")</f>
        <v/>
      </c>
      <c r="T1107" t="str">
        <f ca="1">IF(ISNUMBER(O1107),OFFSET('MPIO_SFIO Table'!$AJ$11,O1107,0),"")</f>
        <v/>
      </c>
      <c r="U1107" t="str">
        <f ca="1">IF(ISNUMBER(P1107),OFFSET('MPIO_SFIO Table'!$AJ$11,P1107,0),"")</f>
        <v/>
      </c>
      <c r="V1107" t="str">
        <f ca="1">IF(ISNUMBER(Q1107),OFFSET('MPIO_SFIO Table'!$AJ$11,Q1107,0),"")</f>
        <v/>
      </c>
      <c r="W1107">
        <f t="shared" ca="1" si="147"/>
        <v>0</v>
      </c>
      <c r="X1107">
        <f t="shared" ca="1" si="148"/>
        <v>0</v>
      </c>
      <c r="Y1107">
        <f t="shared" ca="1" si="149"/>
        <v>0</v>
      </c>
      <c r="Z1107">
        <f t="shared" ca="1" si="150"/>
        <v>0</v>
      </c>
      <c r="AA1107">
        <f t="shared" ca="1" si="151"/>
        <v>0</v>
      </c>
    </row>
    <row r="1108" spans="1:27" x14ac:dyDescent="0.25">
      <c r="A1108">
        <f t="shared" ca="1" si="144"/>
        <v>0</v>
      </c>
      <c r="B1108" t="str">
        <f t="shared" ca="1" si="145"/>
        <v/>
      </c>
      <c r="C1108" t="str">
        <f t="shared" si="146"/>
        <v/>
      </c>
      <c r="D1108" t="s">
        <v>253</v>
      </c>
      <c r="E1108" t="s">
        <v>253</v>
      </c>
      <c r="F1108" s="3" t="s">
        <v>253</v>
      </c>
      <c r="G1108" s="11" t="s">
        <v>253</v>
      </c>
      <c r="H1108" s="11" t="s">
        <v>253</v>
      </c>
      <c r="I1108" s="3" t="s">
        <v>253</v>
      </c>
      <c r="J1108" s="3" t="s">
        <v>253</v>
      </c>
      <c r="K1108" s="3" t="s">
        <v>253</v>
      </c>
      <c r="L1108" s="3" t="s">
        <v>253</v>
      </c>
      <c r="M1108" t="str">
        <f>IF(LEN(H1108),MATCH(H1108,'MPIO_SFIO Table'!$A$11:$A$65525,0)-1,"")</f>
        <v/>
      </c>
      <c r="N1108" t="str">
        <f>IF(LEN(I1108),MATCH(I1108,'MPIO_SFIO Table'!$A$11:$A$65525,0)-1,"")</f>
        <v/>
      </c>
      <c r="O1108" t="str">
        <f>IF(LEN(J1108),MATCH(J1108,'MPIO_SFIO Table'!$A$11:$A$65525,0)-1,"")</f>
        <v/>
      </c>
      <c r="P1108" t="str">
        <f>IF(LEN(K1108),MATCH(K1108,'MPIO_SFIO Table'!$A$11:$A$65525,0)-1,"")</f>
        <v/>
      </c>
      <c r="Q1108" t="str">
        <f>IF(LEN(L1108),MATCH(L1108,'MPIO_SFIO Table'!$A$11:$A$65525,0)-1,"")</f>
        <v/>
      </c>
      <c r="R1108" t="str">
        <f ca="1">IF(ISNUMBER(M1108),OFFSET('MPIO_SFIO Table'!$AJ$11,M1108,0),"")</f>
        <v/>
      </c>
      <c r="S1108" t="str">
        <f ca="1">IF(ISNUMBER(N1108),OFFSET('MPIO_SFIO Table'!$AJ$11,N1108,0),"")</f>
        <v/>
      </c>
      <c r="T1108" t="str">
        <f ca="1">IF(ISNUMBER(O1108),OFFSET('MPIO_SFIO Table'!$AJ$11,O1108,0),"")</f>
        <v/>
      </c>
      <c r="U1108" t="str">
        <f ca="1">IF(ISNUMBER(P1108),OFFSET('MPIO_SFIO Table'!$AJ$11,P1108,0),"")</f>
        <v/>
      </c>
      <c r="V1108" t="str">
        <f ca="1">IF(ISNUMBER(Q1108),OFFSET('MPIO_SFIO Table'!$AJ$11,Q1108,0),"")</f>
        <v/>
      </c>
      <c r="W1108">
        <f t="shared" ca="1" si="147"/>
        <v>0</v>
      </c>
      <c r="X1108">
        <f t="shared" ca="1" si="148"/>
        <v>0</v>
      </c>
      <c r="Y1108">
        <f t="shared" ca="1" si="149"/>
        <v>0</v>
      </c>
      <c r="Z1108">
        <f t="shared" ca="1" si="150"/>
        <v>0</v>
      </c>
      <c r="AA1108">
        <f t="shared" ca="1" si="151"/>
        <v>0</v>
      </c>
    </row>
    <row r="1109" spans="1:27" x14ac:dyDescent="0.25">
      <c r="A1109">
        <f t="shared" ca="1" si="144"/>
        <v>0</v>
      </c>
      <c r="B1109" t="str">
        <f t="shared" ca="1" si="145"/>
        <v/>
      </c>
      <c r="C1109" t="str">
        <f t="shared" si="146"/>
        <v/>
      </c>
      <c r="D1109" t="s">
        <v>253</v>
      </c>
      <c r="E1109" t="s">
        <v>253</v>
      </c>
      <c r="F1109" s="3" t="s">
        <v>253</v>
      </c>
      <c r="G1109" s="11" t="s">
        <v>253</v>
      </c>
      <c r="H1109" s="11" t="s">
        <v>253</v>
      </c>
      <c r="I1109" s="3" t="s">
        <v>253</v>
      </c>
      <c r="J1109" s="3" t="s">
        <v>253</v>
      </c>
      <c r="K1109" s="3" t="s">
        <v>253</v>
      </c>
      <c r="L1109" s="3" t="s">
        <v>253</v>
      </c>
      <c r="M1109" t="str">
        <f>IF(LEN(H1109),MATCH(H1109,'MPIO_SFIO Table'!$A$11:$A$65525,0)-1,"")</f>
        <v/>
      </c>
      <c r="N1109" t="str">
        <f>IF(LEN(I1109),MATCH(I1109,'MPIO_SFIO Table'!$A$11:$A$65525,0)-1,"")</f>
        <v/>
      </c>
      <c r="O1109" t="str">
        <f>IF(LEN(J1109),MATCH(J1109,'MPIO_SFIO Table'!$A$11:$A$65525,0)-1,"")</f>
        <v/>
      </c>
      <c r="P1109" t="str">
        <f>IF(LEN(K1109),MATCH(K1109,'MPIO_SFIO Table'!$A$11:$A$65525,0)-1,"")</f>
        <v/>
      </c>
      <c r="Q1109" t="str">
        <f>IF(LEN(L1109),MATCH(L1109,'MPIO_SFIO Table'!$A$11:$A$65525,0)-1,"")</f>
        <v/>
      </c>
      <c r="R1109" t="str">
        <f ca="1">IF(ISNUMBER(M1109),OFFSET('MPIO_SFIO Table'!$AJ$11,M1109,0),"")</f>
        <v/>
      </c>
      <c r="S1109" t="str">
        <f ca="1">IF(ISNUMBER(N1109),OFFSET('MPIO_SFIO Table'!$AJ$11,N1109,0),"")</f>
        <v/>
      </c>
      <c r="T1109" t="str">
        <f ca="1">IF(ISNUMBER(O1109),OFFSET('MPIO_SFIO Table'!$AJ$11,O1109,0),"")</f>
        <v/>
      </c>
      <c r="U1109" t="str">
        <f ca="1">IF(ISNUMBER(P1109),OFFSET('MPIO_SFIO Table'!$AJ$11,P1109,0),"")</f>
        <v/>
      </c>
      <c r="V1109" t="str">
        <f ca="1">IF(ISNUMBER(Q1109),OFFSET('MPIO_SFIO Table'!$AJ$11,Q1109,0),"")</f>
        <v/>
      </c>
      <c r="W1109">
        <f t="shared" ca="1" si="147"/>
        <v>0</v>
      </c>
      <c r="X1109">
        <f t="shared" ca="1" si="148"/>
        <v>0</v>
      </c>
      <c r="Y1109">
        <f t="shared" ca="1" si="149"/>
        <v>0</v>
      </c>
      <c r="Z1109">
        <f t="shared" ca="1" si="150"/>
        <v>0</v>
      </c>
      <c r="AA1109">
        <f t="shared" ca="1" si="151"/>
        <v>0</v>
      </c>
    </row>
    <row r="1110" spans="1:27" x14ac:dyDescent="0.25">
      <c r="A1110">
        <f t="shared" ca="1" si="144"/>
        <v>0</v>
      </c>
      <c r="B1110" t="str">
        <f t="shared" ca="1" si="145"/>
        <v/>
      </c>
      <c r="C1110" t="str">
        <f t="shared" si="146"/>
        <v/>
      </c>
      <c r="D1110" t="s">
        <v>253</v>
      </c>
      <c r="E1110" t="s">
        <v>253</v>
      </c>
      <c r="F1110" s="3" t="s">
        <v>253</v>
      </c>
      <c r="G1110" s="11" t="s">
        <v>253</v>
      </c>
      <c r="H1110" s="11" t="s">
        <v>253</v>
      </c>
      <c r="I1110" s="3" t="s">
        <v>253</v>
      </c>
      <c r="J1110" s="3" t="s">
        <v>253</v>
      </c>
      <c r="K1110" s="3" t="s">
        <v>253</v>
      </c>
      <c r="L1110" s="3" t="s">
        <v>253</v>
      </c>
      <c r="M1110" t="str">
        <f>IF(LEN(H1110),MATCH(H1110,'MPIO_SFIO Table'!$A$11:$A$65525,0)-1,"")</f>
        <v/>
      </c>
      <c r="N1110" t="str">
        <f>IF(LEN(I1110),MATCH(I1110,'MPIO_SFIO Table'!$A$11:$A$65525,0)-1,"")</f>
        <v/>
      </c>
      <c r="O1110" t="str">
        <f>IF(LEN(J1110),MATCH(J1110,'MPIO_SFIO Table'!$A$11:$A$65525,0)-1,"")</f>
        <v/>
      </c>
      <c r="P1110" t="str">
        <f>IF(LEN(K1110),MATCH(K1110,'MPIO_SFIO Table'!$A$11:$A$65525,0)-1,"")</f>
        <v/>
      </c>
      <c r="Q1110" t="str">
        <f>IF(LEN(L1110),MATCH(L1110,'MPIO_SFIO Table'!$A$11:$A$65525,0)-1,"")</f>
        <v/>
      </c>
      <c r="R1110" t="str">
        <f ca="1">IF(ISNUMBER(M1110),OFFSET('MPIO_SFIO Table'!$AJ$11,M1110,0),"")</f>
        <v/>
      </c>
      <c r="S1110" t="str">
        <f ca="1">IF(ISNUMBER(N1110),OFFSET('MPIO_SFIO Table'!$AJ$11,N1110,0),"")</f>
        <v/>
      </c>
      <c r="T1110" t="str">
        <f ca="1">IF(ISNUMBER(O1110),OFFSET('MPIO_SFIO Table'!$AJ$11,O1110,0),"")</f>
        <v/>
      </c>
      <c r="U1110" t="str">
        <f ca="1">IF(ISNUMBER(P1110),OFFSET('MPIO_SFIO Table'!$AJ$11,P1110,0),"")</f>
        <v/>
      </c>
      <c r="V1110" t="str">
        <f ca="1">IF(ISNUMBER(Q1110),OFFSET('MPIO_SFIO Table'!$AJ$11,Q1110,0),"")</f>
        <v/>
      </c>
      <c r="W1110">
        <f t="shared" ca="1" si="147"/>
        <v>0</v>
      </c>
      <c r="X1110">
        <f t="shared" ca="1" si="148"/>
        <v>0</v>
      </c>
      <c r="Y1110">
        <f t="shared" ca="1" si="149"/>
        <v>0</v>
      </c>
      <c r="Z1110">
        <f t="shared" ca="1" si="150"/>
        <v>0</v>
      </c>
      <c r="AA1110">
        <f t="shared" ca="1" si="151"/>
        <v>0</v>
      </c>
    </row>
    <row r="1111" spans="1:27" x14ac:dyDescent="0.25">
      <c r="A1111">
        <f t="shared" ca="1" si="144"/>
        <v>0</v>
      </c>
      <c r="B1111" t="str">
        <f t="shared" ca="1" si="145"/>
        <v/>
      </c>
      <c r="C1111" t="str">
        <f t="shared" si="146"/>
        <v/>
      </c>
      <c r="D1111" t="s">
        <v>253</v>
      </c>
      <c r="E1111" t="s">
        <v>253</v>
      </c>
      <c r="F1111" s="3" t="s">
        <v>253</v>
      </c>
      <c r="G1111" s="11" t="s">
        <v>253</v>
      </c>
      <c r="H1111" s="11" t="s">
        <v>253</v>
      </c>
      <c r="I1111" s="3" t="s">
        <v>253</v>
      </c>
      <c r="J1111" s="3" t="s">
        <v>253</v>
      </c>
      <c r="K1111" s="3" t="s">
        <v>253</v>
      </c>
      <c r="L1111" s="3" t="s">
        <v>253</v>
      </c>
      <c r="M1111" t="str">
        <f>IF(LEN(H1111),MATCH(H1111,'MPIO_SFIO Table'!$A$11:$A$65525,0)-1,"")</f>
        <v/>
      </c>
      <c r="N1111" t="str">
        <f>IF(LEN(I1111),MATCH(I1111,'MPIO_SFIO Table'!$A$11:$A$65525,0)-1,"")</f>
        <v/>
      </c>
      <c r="O1111" t="str">
        <f>IF(LEN(J1111),MATCH(J1111,'MPIO_SFIO Table'!$A$11:$A$65525,0)-1,"")</f>
        <v/>
      </c>
      <c r="P1111" t="str">
        <f>IF(LEN(K1111),MATCH(K1111,'MPIO_SFIO Table'!$A$11:$A$65525,0)-1,"")</f>
        <v/>
      </c>
      <c r="Q1111" t="str">
        <f>IF(LEN(L1111),MATCH(L1111,'MPIO_SFIO Table'!$A$11:$A$65525,0)-1,"")</f>
        <v/>
      </c>
      <c r="R1111" t="str">
        <f ca="1">IF(ISNUMBER(M1111),OFFSET('MPIO_SFIO Table'!$AJ$11,M1111,0),"")</f>
        <v/>
      </c>
      <c r="S1111" t="str">
        <f ca="1">IF(ISNUMBER(N1111),OFFSET('MPIO_SFIO Table'!$AJ$11,N1111,0),"")</f>
        <v/>
      </c>
      <c r="T1111" t="str">
        <f ca="1">IF(ISNUMBER(O1111),OFFSET('MPIO_SFIO Table'!$AJ$11,O1111,0),"")</f>
        <v/>
      </c>
      <c r="U1111" t="str">
        <f ca="1">IF(ISNUMBER(P1111),OFFSET('MPIO_SFIO Table'!$AJ$11,P1111,0),"")</f>
        <v/>
      </c>
      <c r="V1111" t="str">
        <f ca="1">IF(ISNUMBER(Q1111),OFFSET('MPIO_SFIO Table'!$AJ$11,Q1111,0),"")</f>
        <v/>
      </c>
      <c r="W1111">
        <f t="shared" ca="1" si="147"/>
        <v>0</v>
      </c>
      <c r="X1111">
        <f t="shared" ca="1" si="148"/>
        <v>0</v>
      </c>
      <c r="Y1111">
        <f t="shared" ca="1" si="149"/>
        <v>0</v>
      </c>
      <c r="Z1111">
        <f t="shared" ca="1" si="150"/>
        <v>0</v>
      </c>
      <c r="AA1111">
        <f t="shared" ca="1" si="151"/>
        <v>0</v>
      </c>
    </row>
    <row r="1112" spans="1:27" x14ac:dyDescent="0.25">
      <c r="A1112">
        <f t="shared" ca="1" si="144"/>
        <v>0</v>
      </c>
      <c r="B1112" t="str">
        <f t="shared" ca="1" si="145"/>
        <v/>
      </c>
      <c r="C1112" t="str">
        <f t="shared" si="146"/>
        <v/>
      </c>
      <c r="D1112" t="s">
        <v>253</v>
      </c>
      <c r="E1112" t="s">
        <v>253</v>
      </c>
      <c r="F1112" s="3" t="s">
        <v>253</v>
      </c>
      <c r="G1112" s="11" t="s">
        <v>253</v>
      </c>
      <c r="H1112" s="11" t="s">
        <v>253</v>
      </c>
      <c r="I1112" s="3" t="s">
        <v>253</v>
      </c>
      <c r="J1112" s="3" t="s">
        <v>253</v>
      </c>
      <c r="K1112" s="3" t="s">
        <v>253</v>
      </c>
      <c r="L1112" s="3" t="s">
        <v>253</v>
      </c>
      <c r="M1112" t="str">
        <f>IF(LEN(H1112),MATCH(H1112,'MPIO_SFIO Table'!$A$11:$A$65525,0)-1,"")</f>
        <v/>
      </c>
      <c r="N1112" t="str">
        <f>IF(LEN(I1112),MATCH(I1112,'MPIO_SFIO Table'!$A$11:$A$65525,0)-1,"")</f>
        <v/>
      </c>
      <c r="O1112" t="str">
        <f>IF(LEN(J1112),MATCH(J1112,'MPIO_SFIO Table'!$A$11:$A$65525,0)-1,"")</f>
        <v/>
      </c>
      <c r="P1112" t="str">
        <f>IF(LEN(K1112),MATCH(K1112,'MPIO_SFIO Table'!$A$11:$A$65525,0)-1,"")</f>
        <v/>
      </c>
      <c r="Q1112" t="str">
        <f>IF(LEN(L1112),MATCH(L1112,'MPIO_SFIO Table'!$A$11:$A$65525,0)-1,"")</f>
        <v/>
      </c>
      <c r="R1112" t="str">
        <f ca="1">IF(ISNUMBER(M1112),OFFSET('MPIO_SFIO Table'!$AJ$11,M1112,0),"")</f>
        <v/>
      </c>
      <c r="S1112" t="str">
        <f ca="1">IF(ISNUMBER(N1112),OFFSET('MPIO_SFIO Table'!$AJ$11,N1112,0),"")</f>
        <v/>
      </c>
      <c r="T1112" t="str">
        <f ca="1">IF(ISNUMBER(O1112),OFFSET('MPIO_SFIO Table'!$AJ$11,O1112,0),"")</f>
        <v/>
      </c>
      <c r="U1112" t="str">
        <f ca="1">IF(ISNUMBER(P1112),OFFSET('MPIO_SFIO Table'!$AJ$11,P1112,0),"")</f>
        <v/>
      </c>
      <c r="V1112" t="str">
        <f ca="1">IF(ISNUMBER(Q1112),OFFSET('MPIO_SFIO Table'!$AJ$11,Q1112,0),"")</f>
        <v/>
      </c>
      <c r="W1112">
        <f t="shared" ca="1" si="147"/>
        <v>0</v>
      </c>
      <c r="X1112">
        <f t="shared" ca="1" si="148"/>
        <v>0</v>
      </c>
      <c r="Y1112">
        <f t="shared" ca="1" si="149"/>
        <v>0</v>
      </c>
      <c r="Z1112">
        <f t="shared" ca="1" si="150"/>
        <v>0</v>
      </c>
      <c r="AA1112">
        <f t="shared" ca="1" si="151"/>
        <v>0</v>
      </c>
    </row>
    <row r="1113" spans="1:27" x14ac:dyDescent="0.25">
      <c r="A1113">
        <f t="shared" ca="1" si="144"/>
        <v>0</v>
      </c>
      <c r="B1113" t="str">
        <f t="shared" ca="1" si="145"/>
        <v/>
      </c>
      <c r="C1113" t="str">
        <f t="shared" si="146"/>
        <v/>
      </c>
      <c r="D1113" t="s">
        <v>253</v>
      </c>
      <c r="E1113" t="s">
        <v>253</v>
      </c>
      <c r="F1113" s="3" t="s">
        <v>253</v>
      </c>
      <c r="G1113" s="11" t="s">
        <v>253</v>
      </c>
      <c r="H1113" s="11" t="s">
        <v>253</v>
      </c>
      <c r="I1113" s="3" t="s">
        <v>253</v>
      </c>
      <c r="J1113" s="3" t="s">
        <v>253</v>
      </c>
      <c r="K1113" s="3" t="s">
        <v>253</v>
      </c>
      <c r="L1113" s="3" t="s">
        <v>253</v>
      </c>
      <c r="M1113" t="str">
        <f>IF(LEN(H1113),MATCH(H1113,'MPIO_SFIO Table'!$A$11:$A$65525,0)-1,"")</f>
        <v/>
      </c>
      <c r="N1113" t="str">
        <f>IF(LEN(I1113),MATCH(I1113,'MPIO_SFIO Table'!$A$11:$A$65525,0)-1,"")</f>
        <v/>
      </c>
      <c r="O1113" t="str">
        <f>IF(LEN(J1113),MATCH(J1113,'MPIO_SFIO Table'!$A$11:$A$65525,0)-1,"")</f>
        <v/>
      </c>
      <c r="P1113" t="str">
        <f>IF(LEN(K1113),MATCH(K1113,'MPIO_SFIO Table'!$A$11:$A$65525,0)-1,"")</f>
        <v/>
      </c>
      <c r="Q1113" t="str">
        <f>IF(LEN(L1113),MATCH(L1113,'MPIO_SFIO Table'!$A$11:$A$65525,0)-1,"")</f>
        <v/>
      </c>
      <c r="R1113" t="str">
        <f ca="1">IF(ISNUMBER(M1113),OFFSET('MPIO_SFIO Table'!$AJ$11,M1113,0),"")</f>
        <v/>
      </c>
      <c r="S1113" t="str">
        <f ca="1">IF(ISNUMBER(N1113),OFFSET('MPIO_SFIO Table'!$AJ$11,N1113,0),"")</f>
        <v/>
      </c>
      <c r="T1113" t="str">
        <f ca="1">IF(ISNUMBER(O1113),OFFSET('MPIO_SFIO Table'!$AJ$11,O1113,0),"")</f>
        <v/>
      </c>
      <c r="U1113" t="str">
        <f ca="1">IF(ISNUMBER(P1113),OFFSET('MPIO_SFIO Table'!$AJ$11,P1113,0),"")</f>
        <v/>
      </c>
      <c r="V1113" t="str">
        <f ca="1">IF(ISNUMBER(Q1113),OFFSET('MPIO_SFIO Table'!$AJ$11,Q1113,0),"")</f>
        <v/>
      </c>
      <c r="W1113">
        <f t="shared" ca="1" si="147"/>
        <v>0</v>
      </c>
      <c r="X1113">
        <f t="shared" ca="1" si="148"/>
        <v>0</v>
      </c>
      <c r="Y1113">
        <f t="shared" ca="1" si="149"/>
        <v>0</v>
      </c>
      <c r="Z1113">
        <f t="shared" ca="1" si="150"/>
        <v>0</v>
      </c>
      <c r="AA1113">
        <f t="shared" ca="1" si="151"/>
        <v>0</v>
      </c>
    </row>
    <row r="1114" spans="1:27" x14ac:dyDescent="0.25">
      <c r="A1114">
        <f t="shared" ca="1" si="144"/>
        <v>0</v>
      </c>
      <c r="B1114" t="str">
        <f t="shared" ca="1" si="145"/>
        <v/>
      </c>
      <c r="C1114" t="str">
        <f t="shared" si="146"/>
        <v/>
      </c>
      <c r="D1114" t="s">
        <v>253</v>
      </c>
      <c r="E1114" t="s">
        <v>253</v>
      </c>
      <c r="F1114" s="3" t="s">
        <v>253</v>
      </c>
      <c r="G1114" s="11" t="s">
        <v>253</v>
      </c>
      <c r="H1114" s="11" t="s">
        <v>253</v>
      </c>
      <c r="I1114" s="3" t="s">
        <v>253</v>
      </c>
      <c r="J1114" s="3" t="s">
        <v>253</v>
      </c>
      <c r="K1114" s="3" t="s">
        <v>253</v>
      </c>
      <c r="L1114" s="3" t="s">
        <v>253</v>
      </c>
      <c r="M1114" t="str">
        <f>IF(LEN(H1114),MATCH(H1114,'MPIO_SFIO Table'!$A$11:$A$65525,0)-1,"")</f>
        <v/>
      </c>
      <c r="N1114" t="str">
        <f>IF(LEN(I1114),MATCH(I1114,'MPIO_SFIO Table'!$A$11:$A$65525,0)-1,"")</f>
        <v/>
      </c>
      <c r="O1114" t="str">
        <f>IF(LEN(J1114),MATCH(J1114,'MPIO_SFIO Table'!$A$11:$A$65525,0)-1,"")</f>
        <v/>
      </c>
      <c r="P1114" t="str">
        <f>IF(LEN(K1114),MATCH(K1114,'MPIO_SFIO Table'!$A$11:$A$65525,0)-1,"")</f>
        <v/>
      </c>
      <c r="Q1114" t="str">
        <f>IF(LEN(L1114),MATCH(L1114,'MPIO_SFIO Table'!$A$11:$A$65525,0)-1,"")</f>
        <v/>
      </c>
      <c r="R1114" t="str">
        <f ca="1">IF(ISNUMBER(M1114),OFFSET('MPIO_SFIO Table'!$AJ$11,M1114,0),"")</f>
        <v/>
      </c>
      <c r="S1114" t="str">
        <f ca="1">IF(ISNUMBER(N1114),OFFSET('MPIO_SFIO Table'!$AJ$11,N1114,0),"")</f>
        <v/>
      </c>
      <c r="T1114" t="str">
        <f ca="1">IF(ISNUMBER(O1114),OFFSET('MPIO_SFIO Table'!$AJ$11,O1114,0),"")</f>
        <v/>
      </c>
      <c r="U1114" t="str">
        <f ca="1">IF(ISNUMBER(P1114),OFFSET('MPIO_SFIO Table'!$AJ$11,P1114,0),"")</f>
        <v/>
      </c>
      <c r="V1114" t="str">
        <f ca="1">IF(ISNUMBER(Q1114),OFFSET('MPIO_SFIO Table'!$AJ$11,Q1114,0),"")</f>
        <v/>
      </c>
      <c r="W1114">
        <f t="shared" ca="1" si="147"/>
        <v>0</v>
      </c>
      <c r="X1114">
        <f t="shared" ca="1" si="148"/>
        <v>0</v>
      </c>
      <c r="Y1114">
        <f t="shared" ca="1" si="149"/>
        <v>0</v>
      </c>
      <c r="Z1114">
        <f t="shared" ca="1" si="150"/>
        <v>0</v>
      </c>
      <c r="AA1114">
        <f t="shared" ca="1" si="151"/>
        <v>0</v>
      </c>
    </row>
    <row r="1115" spans="1:27" x14ac:dyDescent="0.25">
      <c r="A1115">
        <f t="shared" ca="1" si="144"/>
        <v>0</v>
      </c>
      <c r="B1115" t="str">
        <f t="shared" ca="1" si="145"/>
        <v/>
      </c>
      <c r="C1115" t="str">
        <f t="shared" si="146"/>
        <v/>
      </c>
      <c r="D1115" t="s">
        <v>253</v>
      </c>
      <c r="E1115" t="s">
        <v>253</v>
      </c>
      <c r="F1115" s="3" t="s">
        <v>253</v>
      </c>
      <c r="G1115" s="11" t="s">
        <v>253</v>
      </c>
      <c r="H1115" s="11" t="s">
        <v>253</v>
      </c>
      <c r="I1115" s="3" t="s">
        <v>253</v>
      </c>
      <c r="J1115" s="3" t="s">
        <v>253</v>
      </c>
      <c r="K1115" s="3" t="s">
        <v>253</v>
      </c>
      <c r="L1115" s="3" t="s">
        <v>253</v>
      </c>
      <c r="M1115" t="str">
        <f>IF(LEN(H1115),MATCH(H1115,'MPIO_SFIO Table'!$A$11:$A$65525,0)-1,"")</f>
        <v/>
      </c>
      <c r="N1115" t="str">
        <f>IF(LEN(I1115),MATCH(I1115,'MPIO_SFIO Table'!$A$11:$A$65525,0)-1,"")</f>
        <v/>
      </c>
      <c r="O1115" t="str">
        <f>IF(LEN(J1115),MATCH(J1115,'MPIO_SFIO Table'!$A$11:$A$65525,0)-1,"")</f>
        <v/>
      </c>
      <c r="P1115" t="str">
        <f>IF(LEN(K1115),MATCH(K1115,'MPIO_SFIO Table'!$A$11:$A$65525,0)-1,"")</f>
        <v/>
      </c>
      <c r="Q1115" t="str">
        <f>IF(LEN(L1115),MATCH(L1115,'MPIO_SFIO Table'!$A$11:$A$65525,0)-1,"")</f>
        <v/>
      </c>
      <c r="R1115" t="str">
        <f ca="1">IF(ISNUMBER(M1115),OFFSET('MPIO_SFIO Table'!$AJ$11,M1115,0),"")</f>
        <v/>
      </c>
      <c r="S1115" t="str">
        <f ca="1">IF(ISNUMBER(N1115),OFFSET('MPIO_SFIO Table'!$AJ$11,N1115,0),"")</f>
        <v/>
      </c>
      <c r="T1115" t="str">
        <f ca="1">IF(ISNUMBER(O1115),OFFSET('MPIO_SFIO Table'!$AJ$11,O1115,0),"")</f>
        <v/>
      </c>
      <c r="U1115" t="str">
        <f ca="1">IF(ISNUMBER(P1115),OFFSET('MPIO_SFIO Table'!$AJ$11,P1115,0),"")</f>
        <v/>
      </c>
      <c r="V1115" t="str">
        <f ca="1">IF(ISNUMBER(Q1115),OFFSET('MPIO_SFIO Table'!$AJ$11,Q1115,0),"")</f>
        <v/>
      </c>
      <c r="W1115">
        <f t="shared" ca="1" si="147"/>
        <v>0</v>
      </c>
      <c r="X1115">
        <f t="shared" ca="1" si="148"/>
        <v>0</v>
      </c>
      <c r="Y1115">
        <f t="shared" ca="1" si="149"/>
        <v>0</v>
      </c>
      <c r="Z1115">
        <f t="shared" ca="1" si="150"/>
        <v>0</v>
      </c>
      <c r="AA1115">
        <f t="shared" ca="1" si="151"/>
        <v>0</v>
      </c>
    </row>
    <row r="1116" spans="1:27" x14ac:dyDescent="0.25">
      <c r="A1116">
        <f t="shared" ca="1" si="144"/>
        <v>0</v>
      </c>
      <c r="B1116" t="str">
        <f t="shared" ca="1" si="145"/>
        <v/>
      </c>
      <c r="C1116" t="str">
        <f t="shared" si="146"/>
        <v/>
      </c>
      <c r="D1116" t="s">
        <v>253</v>
      </c>
      <c r="E1116" t="s">
        <v>253</v>
      </c>
      <c r="F1116" s="3" t="s">
        <v>253</v>
      </c>
      <c r="G1116" s="11" t="s">
        <v>253</v>
      </c>
      <c r="H1116" s="11" t="s">
        <v>253</v>
      </c>
      <c r="I1116" s="3" t="s">
        <v>253</v>
      </c>
      <c r="J1116" s="3" t="s">
        <v>253</v>
      </c>
      <c r="K1116" s="3" t="s">
        <v>253</v>
      </c>
      <c r="L1116" s="3" t="s">
        <v>253</v>
      </c>
      <c r="M1116" t="str">
        <f>IF(LEN(H1116),MATCH(H1116,'MPIO_SFIO Table'!$A$11:$A$65525,0)-1,"")</f>
        <v/>
      </c>
      <c r="N1116" t="str">
        <f>IF(LEN(I1116),MATCH(I1116,'MPIO_SFIO Table'!$A$11:$A$65525,0)-1,"")</f>
        <v/>
      </c>
      <c r="O1116" t="str">
        <f>IF(LEN(J1116),MATCH(J1116,'MPIO_SFIO Table'!$A$11:$A$65525,0)-1,"")</f>
        <v/>
      </c>
      <c r="P1116" t="str">
        <f>IF(LEN(K1116),MATCH(K1116,'MPIO_SFIO Table'!$A$11:$A$65525,0)-1,"")</f>
        <v/>
      </c>
      <c r="Q1116" t="str">
        <f>IF(LEN(L1116),MATCH(L1116,'MPIO_SFIO Table'!$A$11:$A$65525,0)-1,"")</f>
        <v/>
      </c>
      <c r="R1116" t="str">
        <f ca="1">IF(ISNUMBER(M1116),OFFSET('MPIO_SFIO Table'!$AJ$11,M1116,0),"")</f>
        <v/>
      </c>
      <c r="S1116" t="str">
        <f ca="1">IF(ISNUMBER(N1116),OFFSET('MPIO_SFIO Table'!$AJ$11,N1116,0),"")</f>
        <v/>
      </c>
      <c r="T1116" t="str">
        <f ca="1">IF(ISNUMBER(O1116),OFFSET('MPIO_SFIO Table'!$AJ$11,O1116,0),"")</f>
        <v/>
      </c>
      <c r="U1116" t="str">
        <f ca="1">IF(ISNUMBER(P1116),OFFSET('MPIO_SFIO Table'!$AJ$11,P1116,0),"")</f>
        <v/>
      </c>
      <c r="V1116" t="str">
        <f ca="1">IF(ISNUMBER(Q1116),OFFSET('MPIO_SFIO Table'!$AJ$11,Q1116,0),"")</f>
        <v/>
      </c>
      <c r="W1116">
        <f t="shared" ca="1" si="147"/>
        <v>0</v>
      </c>
      <c r="X1116">
        <f t="shared" ca="1" si="148"/>
        <v>0</v>
      </c>
      <c r="Y1116">
        <f t="shared" ca="1" si="149"/>
        <v>0</v>
      </c>
      <c r="Z1116">
        <f t="shared" ca="1" si="150"/>
        <v>0</v>
      </c>
      <c r="AA1116">
        <f t="shared" ca="1" si="151"/>
        <v>0</v>
      </c>
    </row>
    <row r="1117" spans="1:27" x14ac:dyDescent="0.25">
      <c r="A1117">
        <f t="shared" ca="1" si="144"/>
        <v>0</v>
      </c>
      <c r="B1117" t="str">
        <f t="shared" ca="1" si="145"/>
        <v/>
      </c>
      <c r="C1117" t="str">
        <f t="shared" si="146"/>
        <v/>
      </c>
      <c r="D1117" t="s">
        <v>253</v>
      </c>
      <c r="E1117" t="s">
        <v>253</v>
      </c>
      <c r="F1117" s="3" t="s">
        <v>253</v>
      </c>
      <c r="G1117" s="11" t="s">
        <v>253</v>
      </c>
      <c r="H1117" s="11" t="s">
        <v>253</v>
      </c>
      <c r="I1117" s="3" t="s">
        <v>253</v>
      </c>
      <c r="J1117" s="3" t="s">
        <v>253</v>
      </c>
      <c r="K1117" s="3" t="s">
        <v>253</v>
      </c>
      <c r="L1117" s="3" t="s">
        <v>253</v>
      </c>
      <c r="M1117" t="str">
        <f>IF(LEN(H1117),MATCH(H1117,'MPIO_SFIO Table'!$A$11:$A$65525,0)-1,"")</f>
        <v/>
      </c>
      <c r="N1117" t="str">
        <f>IF(LEN(I1117),MATCH(I1117,'MPIO_SFIO Table'!$A$11:$A$65525,0)-1,"")</f>
        <v/>
      </c>
      <c r="O1117" t="str">
        <f>IF(LEN(J1117),MATCH(J1117,'MPIO_SFIO Table'!$A$11:$A$65525,0)-1,"")</f>
        <v/>
      </c>
      <c r="P1117" t="str">
        <f>IF(LEN(K1117),MATCH(K1117,'MPIO_SFIO Table'!$A$11:$A$65525,0)-1,"")</f>
        <v/>
      </c>
      <c r="Q1117" t="str">
        <f>IF(LEN(L1117),MATCH(L1117,'MPIO_SFIO Table'!$A$11:$A$65525,0)-1,"")</f>
        <v/>
      </c>
      <c r="R1117" t="str">
        <f ca="1">IF(ISNUMBER(M1117),OFFSET('MPIO_SFIO Table'!$AJ$11,M1117,0),"")</f>
        <v/>
      </c>
      <c r="S1117" t="str">
        <f ca="1">IF(ISNUMBER(N1117),OFFSET('MPIO_SFIO Table'!$AJ$11,N1117,0),"")</f>
        <v/>
      </c>
      <c r="T1117" t="str">
        <f ca="1">IF(ISNUMBER(O1117),OFFSET('MPIO_SFIO Table'!$AJ$11,O1117,0),"")</f>
        <v/>
      </c>
      <c r="U1117" t="str">
        <f ca="1">IF(ISNUMBER(P1117),OFFSET('MPIO_SFIO Table'!$AJ$11,P1117,0),"")</f>
        <v/>
      </c>
      <c r="V1117" t="str">
        <f ca="1">IF(ISNUMBER(Q1117),OFFSET('MPIO_SFIO Table'!$AJ$11,Q1117,0),"")</f>
        <v/>
      </c>
      <c r="W1117">
        <f t="shared" ca="1" si="147"/>
        <v>0</v>
      </c>
      <c r="X1117">
        <f t="shared" ca="1" si="148"/>
        <v>0</v>
      </c>
      <c r="Y1117">
        <f t="shared" ca="1" si="149"/>
        <v>0</v>
      </c>
      <c r="Z1117">
        <f t="shared" ca="1" si="150"/>
        <v>0</v>
      </c>
      <c r="AA1117">
        <f t="shared" ca="1" si="151"/>
        <v>0</v>
      </c>
    </row>
    <row r="1118" spans="1:27" x14ac:dyDescent="0.25">
      <c r="A1118">
        <f t="shared" ca="1" si="144"/>
        <v>0</v>
      </c>
      <c r="B1118" t="str">
        <f t="shared" ca="1" si="145"/>
        <v/>
      </c>
      <c r="C1118" t="str">
        <f t="shared" si="146"/>
        <v/>
      </c>
      <c r="D1118" t="s">
        <v>253</v>
      </c>
      <c r="E1118" t="s">
        <v>253</v>
      </c>
      <c r="F1118" s="3" t="s">
        <v>253</v>
      </c>
      <c r="G1118" s="11" t="s">
        <v>253</v>
      </c>
      <c r="H1118" s="11" t="s">
        <v>253</v>
      </c>
      <c r="I1118" s="3" t="s">
        <v>253</v>
      </c>
      <c r="J1118" s="3" t="s">
        <v>253</v>
      </c>
      <c r="K1118" s="3" t="s">
        <v>253</v>
      </c>
      <c r="L1118" s="3" t="s">
        <v>253</v>
      </c>
      <c r="M1118" t="str">
        <f>IF(LEN(H1118),MATCH(H1118,'MPIO_SFIO Table'!$A$11:$A$65525,0)-1,"")</f>
        <v/>
      </c>
      <c r="N1118" t="str">
        <f>IF(LEN(I1118),MATCH(I1118,'MPIO_SFIO Table'!$A$11:$A$65525,0)-1,"")</f>
        <v/>
      </c>
      <c r="O1118" t="str">
        <f>IF(LEN(J1118),MATCH(J1118,'MPIO_SFIO Table'!$A$11:$A$65525,0)-1,"")</f>
        <v/>
      </c>
      <c r="P1118" t="str">
        <f>IF(LEN(K1118),MATCH(K1118,'MPIO_SFIO Table'!$A$11:$A$65525,0)-1,"")</f>
        <v/>
      </c>
      <c r="Q1118" t="str">
        <f>IF(LEN(L1118),MATCH(L1118,'MPIO_SFIO Table'!$A$11:$A$65525,0)-1,"")</f>
        <v/>
      </c>
      <c r="R1118" t="str">
        <f ca="1">IF(ISNUMBER(M1118),OFFSET('MPIO_SFIO Table'!$AJ$11,M1118,0),"")</f>
        <v/>
      </c>
      <c r="S1118" t="str">
        <f ca="1">IF(ISNUMBER(N1118),OFFSET('MPIO_SFIO Table'!$AJ$11,N1118,0),"")</f>
        <v/>
      </c>
      <c r="T1118" t="str">
        <f ca="1">IF(ISNUMBER(O1118),OFFSET('MPIO_SFIO Table'!$AJ$11,O1118,0),"")</f>
        <v/>
      </c>
      <c r="U1118" t="str">
        <f ca="1">IF(ISNUMBER(P1118),OFFSET('MPIO_SFIO Table'!$AJ$11,P1118,0),"")</f>
        <v/>
      </c>
      <c r="V1118" t="str">
        <f ca="1">IF(ISNUMBER(Q1118),OFFSET('MPIO_SFIO Table'!$AJ$11,Q1118,0),"")</f>
        <v/>
      </c>
      <c r="W1118">
        <f t="shared" ca="1" si="147"/>
        <v>0</v>
      </c>
      <c r="X1118">
        <f t="shared" ca="1" si="148"/>
        <v>0</v>
      </c>
      <c r="Y1118">
        <f t="shared" ca="1" si="149"/>
        <v>0</v>
      </c>
      <c r="Z1118">
        <f t="shared" ca="1" si="150"/>
        <v>0</v>
      </c>
      <c r="AA1118">
        <f t="shared" ca="1" si="151"/>
        <v>0</v>
      </c>
    </row>
    <row r="1119" spans="1:27" x14ac:dyDescent="0.25">
      <c r="A1119">
        <f t="shared" ca="1" si="144"/>
        <v>0</v>
      </c>
      <c r="B1119" t="str">
        <f t="shared" ca="1" si="145"/>
        <v/>
      </c>
      <c r="C1119" t="str">
        <f t="shared" si="146"/>
        <v/>
      </c>
      <c r="D1119" t="s">
        <v>253</v>
      </c>
      <c r="E1119" t="s">
        <v>253</v>
      </c>
      <c r="F1119" s="3" t="s">
        <v>253</v>
      </c>
      <c r="G1119" s="11" t="s">
        <v>253</v>
      </c>
      <c r="H1119" s="11" t="s">
        <v>253</v>
      </c>
      <c r="I1119" s="3" t="s">
        <v>253</v>
      </c>
      <c r="J1119" s="3" t="s">
        <v>253</v>
      </c>
      <c r="K1119" s="3" t="s">
        <v>253</v>
      </c>
      <c r="L1119" s="3" t="s">
        <v>253</v>
      </c>
      <c r="M1119" t="str">
        <f>IF(LEN(H1119),MATCH(H1119,'MPIO_SFIO Table'!$A$11:$A$65525,0)-1,"")</f>
        <v/>
      </c>
      <c r="N1119" t="str">
        <f>IF(LEN(I1119),MATCH(I1119,'MPIO_SFIO Table'!$A$11:$A$65525,0)-1,"")</f>
        <v/>
      </c>
      <c r="O1119" t="str">
        <f>IF(LEN(J1119),MATCH(J1119,'MPIO_SFIO Table'!$A$11:$A$65525,0)-1,"")</f>
        <v/>
      </c>
      <c r="P1119" t="str">
        <f>IF(LEN(K1119),MATCH(K1119,'MPIO_SFIO Table'!$A$11:$A$65525,0)-1,"")</f>
        <v/>
      </c>
      <c r="Q1119" t="str">
        <f>IF(LEN(L1119),MATCH(L1119,'MPIO_SFIO Table'!$A$11:$A$65525,0)-1,"")</f>
        <v/>
      </c>
      <c r="R1119" t="str">
        <f ca="1">IF(ISNUMBER(M1119),OFFSET('MPIO_SFIO Table'!$AJ$11,M1119,0),"")</f>
        <v/>
      </c>
      <c r="S1119" t="str">
        <f ca="1">IF(ISNUMBER(N1119),OFFSET('MPIO_SFIO Table'!$AJ$11,N1119,0),"")</f>
        <v/>
      </c>
      <c r="T1119" t="str">
        <f ca="1">IF(ISNUMBER(O1119),OFFSET('MPIO_SFIO Table'!$AJ$11,O1119,0),"")</f>
        <v/>
      </c>
      <c r="U1119" t="str">
        <f ca="1">IF(ISNUMBER(P1119),OFFSET('MPIO_SFIO Table'!$AJ$11,P1119,0),"")</f>
        <v/>
      </c>
      <c r="V1119" t="str">
        <f ca="1">IF(ISNUMBER(Q1119),OFFSET('MPIO_SFIO Table'!$AJ$11,Q1119,0),"")</f>
        <v/>
      </c>
      <c r="W1119">
        <f t="shared" ca="1" si="147"/>
        <v>0</v>
      </c>
      <c r="X1119">
        <f t="shared" ca="1" si="148"/>
        <v>0</v>
      </c>
      <c r="Y1119">
        <f t="shared" ca="1" si="149"/>
        <v>0</v>
      </c>
      <c r="Z1119">
        <f t="shared" ca="1" si="150"/>
        <v>0</v>
      </c>
      <c r="AA1119">
        <f t="shared" ca="1" si="151"/>
        <v>0</v>
      </c>
    </row>
    <row r="1120" spans="1:27" x14ac:dyDescent="0.25">
      <c r="A1120">
        <f t="shared" ca="1" si="144"/>
        <v>0</v>
      </c>
      <c r="B1120" t="str">
        <f t="shared" ca="1" si="145"/>
        <v/>
      </c>
      <c r="C1120" t="str">
        <f t="shared" si="146"/>
        <v/>
      </c>
      <c r="D1120" t="s">
        <v>253</v>
      </c>
      <c r="E1120" t="s">
        <v>253</v>
      </c>
      <c r="F1120" s="3" t="s">
        <v>253</v>
      </c>
      <c r="G1120" s="11" t="s">
        <v>253</v>
      </c>
      <c r="H1120" s="11" t="s">
        <v>253</v>
      </c>
      <c r="I1120" s="3" t="s">
        <v>253</v>
      </c>
      <c r="J1120" s="3" t="s">
        <v>253</v>
      </c>
      <c r="K1120" s="3" t="s">
        <v>253</v>
      </c>
      <c r="L1120" s="3" t="s">
        <v>253</v>
      </c>
      <c r="M1120" t="str">
        <f>IF(LEN(H1120),MATCH(H1120,'MPIO_SFIO Table'!$A$11:$A$65525,0)-1,"")</f>
        <v/>
      </c>
      <c r="N1120" t="str">
        <f>IF(LEN(I1120),MATCH(I1120,'MPIO_SFIO Table'!$A$11:$A$65525,0)-1,"")</f>
        <v/>
      </c>
      <c r="O1120" t="str">
        <f>IF(LEN(J1120),MATCH(J1120,'MPIO_SFIO Table'!$A$11:$A$65525,0)-1,"")</f>
        <v/>
      </c>
      <c r="P1120" t="str">
        <f>IF(LEN(K1120),MATCH(K1120,'MPIO_SFIO Table'!$A$11:$A$65525,0)-1,"")</f>
        <v/>
      </c>
      <c r="Q1120" t="str">
        <f>IF(LEN(L1120),MATCH(L1120,'MPIO_SFIO Table'!$A$11:$A$65525,0)-1,"")</f>
        <v/>
      </c>
      <c r="R1120" t="str">
        <f ca="1">IF(ISNUMBER(M1120),OFFSET('MPIO_SFIO Table'!$AJ$11,M1120,0),"")</f>
        <v/>
      </c>
      <c r="S1120" t="str">
        <f ca="1">IF(ISNUMBER(N1120),OFFSET('MPIO_SFIO Table'!$AJ$11,N1120,0),"")</f>
        <v/>
      </c>
      <c r="T1120" t="str">
        <f ca="1">IF(ISNUMBER(O1120),OFFSET('MPIO_SFIO Table'!$AJ$11,O1120,0),"")</f>
        <v/>
      </c>
      <c r="U1120" t="str">
        <f ca="1">IF(ISNUMBER(P1120),OFFSET('MPIO_SFIO Table'!$AJ$11,P1120,0),"")</f>
        <v/>
      </c>
      <c r="V1120" t="str">
        <f ca="1">IF(ISNUMBER(Q1120),OFFSET('MPIO_SFIO Table'!$AJ$11,Q1120,0),"")</f>
        <v/>
      </c>
      <c r="W1120">
        <f t="shared" ca="1" si="147"/>
        <v>0</v>
      </c>
      <c r="X1120">
        <f t="shared" ca="1" si="148"/>
        <v>0</v>
      </c>
      <c r="Y1120">
        <f t="shared" ca="1" si="149"/>
        <v>0</v>
      </c>
      <c r="Z1120">
        <f t="shared" ca="1" si="150"/>
        <v>0</v>
      </c>
      <c r="AA1120">
        <f t="shared" ca="1" si="151"/>
        <v>0</v>
      </c>
    </row>
    <row r="1121" spans="1:27" x14ac:dyDescent="0.25">
      <c r="A1121">
        <f t="shared" ca="1" si="144"/>
        <v>0</v>
      </c>
      <c r="B1121" t="str">
        <f t="shared" ca="1" si="145"/>
        <v/>
      </c>
      <c r="C1121" t="str">
        <f t="shared" si="146"/>
        <v/>
      </c>
      <c r="D1121" t="s">
        <v>253</v>
      </c>
      <c r="E1121" t="s">
        <v>253</v>
      </c>
      <c r="F1121" s="3" t="s">
        <v>253</v>
      </c>
      <c r="G1121" s="11" t="s">
        <v>253</v>
      </c>
      <c r="H1121" s="11" t="s">
        <v>253</v>
      </c>
      <c r="I1121" s="3" t="s">
        <v>253</v>
      </c>
      <c r="J1121" s="3" t="s">
        <v>253</v>
      </c>
      <c r="K1121" s="3" t="s">
        <v>253</v>
      </c>
      <c r="L1121" s="3" t="s">
        <v>253</v>
      </c>
      <c r="M1121" t="str">
        <f>IF(LEN(H1121),MATCH(H1121,'MPIO_SFIO Table'!$A$11:$A$65525,0)-1,"")</f>
        <v/>
      </c>
      <c r="N1121" t="str">
        <f>IF(LEN(I1121),MATCH(I1121,'MPIO_SFIO Table'!$A$11:$A$65525,0)-1,"")</f>
        <v/>
      </c>
      <c r="O1121" t="str">
        <f>IF(LEN(J1121),MATCH(J1121,'MPIO_SFIO Table'!$A$11:$A$65525,0)-1,"")</f>
        <v/>
      </c>
      <c r="P1121" t="str">
        <f>IF(LEN(K1121),MATCH(K1121,'MPIO_SFIO Table'!$A$11:$A$65525,0)-1,"")</f>
        <v/>
      </c>
      <c r="Q1121" t="str">
        <f>IF(LEN(L1121),MATCH(L1121,'MPIO_SFIO Table'!$A$11:$A$65525,0)-1,"")</f>
        <v/>
      </c>
      <c r="R1121" t="str">
        <f ca="1">IF(ISNUMBER(M1121),OFFSET('MPIO_SFIO Table'!$AJ$11,M1121,0),"")</f>
        <v/>
      </c>
      <c r="S1121" t="str">
        <f ca="1">IF(ISNUMBER(N1121),OFFSET('MPIO_SFIO Table'!$AJ$11,N1121,0),"")</f>
        <v/>
      </c>
      <c r="T1121" t="str">
        <f ca="1">IF(ISNUMBER(O1121),OFFSET('MPIO_SFIO Table'!$AJ$11,O1121,0),"")</f>
        <v/>
      </c>
      <c r="U1121" t="str">
        <f ca="1">IF(ISNUMBER(P1121),OFFSET('MPIO_SFIO Table'!$AJ$11,P1121,0),"")</f>
        <v/>
      </c>
      <c r="V1121" t="str">
        <f ca="1">IF(ISNUMBER(Q1121),OFFSET('MPIO_SFIO Table'!$AJ$11,Q1121,0),"")</f>
        <v/>
      </c>
      <c r="W1121">
        <f t="shared" ca="1" si="147"/>
        <v>0</v>
      </c>
      <c r="X1121">
        <f t="shared" ca="1" si="148"/>
        <v>0</v>
      </c>
      <c r="Y1121">
        <f t="shared" ca="1" si="149"/>
        <v>0</v>
      </c>
      <c r="Z1121">
        <f t="shared" ca="1" si="150"/>
        <v>0</v>
      </c>
      <c r="AA1121">
        <f t="shared" ca="1" si="151"/>
        <v>0</v>
      </c>
    </row>
    <row r="1122" spans="1:27" x14ac:dyDescent="0.25">
      <c r="A1122">
        <f t="shared" ca="1" si="144"/>
        <v>0</v>
      </c>
      <c r="B1122" t="str">
        <f t="shared" ca="1" si="145"/>
        <v/>
      </c>
      <c r="C1122" t="str">
        <f t="shared" si="146"/>
        <v/>
      </c>
      <c r="D1122" t="s">
        <v>253</v>
      </c>
      <c r="E1122" t="s">
        <v>253</v>
      </c>
      <c r="F1122" s="3" t="s">
        <v>253</v>
      </c>
      <c r="G1122" s="11" t="s">
        <v>253</v>
      </c>
      <c r="H1122" s="11" t="s">
        <v>253</v>
      </c>
      <c r="I1122" s="3" t="s">
        <v>253</v>
      </c>
      <c r="J1122" s="3" t="s">
        <v>253</v>
      </c>
      <c r="K1122" s="3" t="s">
        <v>253</v>
      </c>
      <c r="L1122" s="3" t="s">
        <v>253</v>
      </c>
      <c r="M1122" t="str">
        <f>IF(LEN(H1122),MATCH(H1122,'MPIO_SFIO Table'!$A$11:$A$65525,0)-1,"")</f>
        <v/>
      </c>
      <c r="N1122" t="str">
        <f>IF(LEN(I1122),MATCH(I1122,'MPIO_SFIO Table'!$A$11:$A$65525,0)-1,"")</f>
        <v/>
      </c>
      <c r="O1122" t="str">
        <f>IF(LEN(J1122),MATCH(J1122,'MPIO_SFIO Table'!$A$11:$A$65525,0)-1,"")</f>
        <v/>
      </c>
      <c r="P1122" t="str">
        <f>IF(LEN(K1122),MATCH(K1122,'MPIO_SFIO Table'!$A$11:$A$65525,0)-1,"")</f>
        <v/>
      </c>
      <c r="Q1122" t="str">
        <f>IF(LEN(L1122),MATCH(L1122,'MPIO_SFIO Table'!$A$11:$A$65525,0)-1,"")</f>
        <v/>
      </c>
      <c r="R1122" t="str">
        <f ca="1">IF(ISNUMBER(M1122),OFFSET('MPIO_SFIO Table'!$AJ$11,M1122,0),"")</f>
        <v/>
      </c>
      <c r="S1122" t="str">
        <f ca="1">IF(ISNUMBER(N1122),OFFSET('MPIO_SFIO Table'!$AJ$11,N1122,0),"")</f>
        <v/>
      </c>
      <c r="T1122" t="str">
        <f ca="1">IF(ISNUMBER(O1122),OFFSET('MPIO_SFIO Table'!$AJ$11,O1122,0),"")</f>
        <v/>
      </c>
      <c r="U1122" t="str">
        <f ca="1">IF(ISNUMBER(P1122),OFFSET('MPIO_SFIO Table'!$AJ$11,P1122,0),"")</f>
        <v/>
      </c>
      <c r="V1122" t="str">
        <f ca="1">IF(ISNUMBER(Q1122),OFFSET('MPIO_SFIO Table'!$AJ$11,Q1122,0),"")</f>
        <v/>
      </c>
      <c r="W1122">
        <f t="shared" ca="1" si="147"/>
        <v>0</v>
      </c>
      <c r="X1122">
        <f t="shared" ca="1" si="148"/>
        <v>0</v>
      </c>
      <c r="Y1122">
        <f t="shared" ca="1" si="149"/>
        <v>0</v>
      </c>
      <c r="Z1122">
        <f t="shared" ca="1" si="150"/>
        <v>0</v>
      </c>
      <c r="AA1122">
        <f t="shared" ca="1" si="151"/>
        <v>0</v>
      </c>
    </row>
    <row r="1123" spans="1:27" x14ac:dyDescent="0.25">
      <c r="A1123">
        <f t="shared" ca="1" si="144"/>
        <v>0</v>
      </c>
      <c r="B1123" t="str">
        <f t="shared" ca="1" si="145"/>
        <v/>
      </c>
      <c r="C1123" t="str">
        <f t="shared" si="146"/>
        <v/>
      </c>
      <c r="D1123" t="s">
        <v>253</v>
      </c>
      <c r="E1123" t="s">
        <v>253</v>
      </c>
      <c r="F1123" s="3" t="s">
        <v>253</v>
      </c>
      <c r="G1123" s="11" t="s">
        <v>253</v>
      </c>
      <c r="H1123" s="11" t="s">
        <v>253</v>
      </c>
      <c r="I1123" s="3" t="s">
        <v>253</v>
      </c>
      <c r="J1123" s="3" t="s">
        <v>253</v>
      </c>
      <c r="K1123" s="3" t="s">
        <v>253</v>
      </c>
      <c r="L1123" s="3" t="s">
        <v>253</v>
      </c>
      <c r="M1123" t="str">
        <f>IF(LEN(H1123),MATCH(H1123,'MPIO_SFIO Table'!$A$11:$A$65525,0)-1,"")</f>
        <v/>
      </c>
      <c r="N1123" t="str">
        <f>IF(LEN(I1123),MATCH(I1123,'MPIO_SFIO Table'!$A$11:$A$65525,0)-1,"")</f>
        <v/>
      </c>
      <c r="O1123" t="str">
        <f>IF(LEN(J1123),MATCH(J1123,'MPIO_SFIO Table'!$A$11:$A$65525,0)-1,"")</f>
        <v/>
      </c>
      <c r="P1123" t="str">
        <f>IF(LEN(K1123),MATCH(K1123,'MPIO_SFIO Table'!$A$11:$A$65525,0)-1,"")</f>
        <v/>
      </c>
      <c r="Q1123" t="str">
        <f>IF(LEN(L1123),MATCH(L1123,'MPIO_SFIO Table'!$A$11:$A$65525,0)-1,"")</f>
        <v/>
      </c>
      <c r="R1123" t="str">
        <f ca="1">IF(ISNUMBER(M1123),OFFSET('MPIO_SFIO Table'!$AJ$11,M1123,0),"")</f>
        <v/>
      </c>
      <c r="S1123" t="str">
        <f ca="1">IF(ISNUMBER(N1123),OFFSET('MPIO_SFIO Table'!$AJ$11,N1123,0),"")</f>
        <v/>
      </c>
      <c r="T1123" t="str">
        <f ca="1">IF(ISNUMBER(O1123),OFFSET('MPIO_SFIO Table'!$AJ$11,O1123,0),"")</f>
        <v/>
      </c>
      <c r="U1123" t="str">
        <f ca="1">IF(ISNUMBER(P1123),OFFSET('MPIO_SFIO Table'!$AJ$11,P1123,0),"")</f>
        <v/>
      </c>
      <c r="V1123" t="str">
        <f ca="1">IF(ISNUMBER(Q1123),OFFSET('MPIO_SFIO Table'!$AJ$11,Q1123,0),"")</f>
        <v/>
      </c>
      <c r="W1123">
        <f t="shared" ca="1" si="147"/>
        <v>0</v>
      </c>
      <c r="X1123">
        <f t="shared" ca="1" si="148"/>
        <v>0</v>
      </c>
      <c r="Y1123">
        <f t="shared" ca="1" si="149"/>
        <v>0</v>
      </c>
      <c r="Z1123">
        <f t="shared" ca="1" si="150"/>
        <v>0</v>
      </c>
      <c r="AA1123">
        <f t="shared" ca="1" si="151"/>
        <v>0</v>
      </c>
    </row>
    <row r="1124" spans="1:27" x14ac:dyDescent="0.25">
      <c r="A1124">
        <f t="shared" ca="1" si="144"/>
        <v>0</v>
      </c>
      <c r="B1124" t="str">
        <f t="shared" ca="1" si="145"/>
        <v/>
      </c>
      <c r="C1124" t="str">
        <f t="shared" si="146"/>
        <v/>
      </c>
      <c r="D1124" t="s">
        <v>253</v>
      </c>
      <c r="E1124" t="s">
        <v>253</v>
      </c>
      <c r="F1124" s="3" t="s">
        <v>253</v>
      </c>
      <c r="G1124" s="11" t="s">
        <v>253</v>
      </c>
      <c r="H1124" s="11" t="s">
        <v>253</v>
      </c>
      <c r="I1124" s="3" t="s">
        <v>253</v>
      </c>
      <c r="J1124" s="3" t="s">
        <v>253</v>
      </c>
      <c r="K1124" s="3" t="s">
        <v>253</v>
      </c>
      <c r="L1124" s="3" t="s">
        <v>253</v>
      </c>
      <c r="M1124" t="str">
        <f>IF(LEN(H1124),MATCH(H1124,'MPIO_SFIO Table'!$A$11:$A$65525,0)-1,"")</f>
        <v/>
      </c>
      <c r="N1124" t="str">
        <f>IF(LEN(I1124),MATCH(I1124,'MPIO_SFIO Table'!$A$11:$A$65525,0)-1,"")</f>
        <v/>
      </c>
      <c r="O1124" t="str">
        <f>IF(LEN(J1124),MATCH(J1124,'MPIO_SFIO Table'!$A$11:$A$65525,0)-1,"")</f>
        <v/>
      </c>
      <c r="P1124" t="str">
        <f>IF(LEN(K1124),MATCH(K1124,'MPIO_SFIO Table'!$A$11:$A$65525,0)-1,"")</f>
        <v/>
      </c>
      <c r="Q1124" t="str">
        <f>IF(LEN(L1124),MATCH(L1124,'MPIO_SFIO Table'!$A$11:$A$65525,0)-1,"")</f>
        <v/>
      </c>
      <c r="R1124" t="str">
        <f ca="1">IF(ISNUMBER(M1124),OFFSET('MPIO_SFIO Table'!$AJ$11,M1124,0),"")</f>
        <v/>
      </c>
      <c r="S1124" t="str">
        <f ca="1">IF(ISNUMBER(N1124),OFFSET('MPIO_SFIO Table'!$AJ$11,N1124,0),"")</f>
        <v/>
      </c>
      <c r="T1124" t="str">
        <f ca="1">IF(ISNUMBER(O1124),OFFSET('MPIO_SFIO Table'!$AJ$11,O1124,0),"")</f>
        <v/>
      </c>
      <c r="U1124" t="str">
        <f ca="1">IF(ISNUMBER(P1124),OFFSET('MPIO_SFIO Table'!$AJ$11,P1124,0),"")</f>
        <v/>
      </c>
      <c r="V1124" t="str">
        <f ca="1">IF(ISNUMBER(Q1124),OFFSET('MPIO_SFIO Table'!$AJ$11,Q1124,0),"")</f>
        <v/>
      </c>
      <c r="W1124">
        <f t="shared" ca="1" si="147"/>
        <v>0</v>
      </c>
      <c r="X1124">
        <f t="shared" ca="1" si="148"/>
        <v>0</v>
      </c>
      <c r="Y1124">
        <f t="shared" ca="1" si="149"/>
        <v>0</v>
      </c>
      <c r="Z1124">
        <f t="shared" ca="1" si="150"/>
        <v>0</v>
      </c>
      <c r="AA1124">
        <f t="shared" ca="1" si="151"/>
        <v>0</v>
      </c>
    </row>
    <row r="1125" spans="1:27" x14ac:dyDescent="0.25">
      <c r="A1125">
        <f t="shared" ca="1" si="144"/>
        <v>0</v>
      </c>
      <c r="B1125" t="str">
        <f t="shared" ca="1" si="145"/>
        <v/>
      </c>
      <c r="C1125" t="str">
        <f t="shared" si="146"/>
        <v/>
      </c>
      <c r="D1125" t="s">
        <v>253</v>
      </c>
      <c r="E1125" t="s">
        <v>253</v>
      </c>
      <c r="F1125" s="3" t="s">
        <v>253</v>
      </c>
      <c r="G1125" s="11" t="s">
        <v>253</v>
      </c>
      <c r="H1125" s="11" t="s">
        <v>253</v>
      </c>
      <c r="I1125" s="3" t="s">
        <v>253</v>
      </c>
      <c r="J1125" s="3" t="s">
        <v>253</v>
      </c>
      <c r="K1125" s="3" t="s">
        <v>253</v>
      </c>
      <c r="L1125" s="3" t="s">
        <v>253</v>
      </c>
      <c r="M1125" t="str">
        <f>IF(LEN(H1125),MATCH(H1125,'MPIO_SFIO Table'!$A$11:$A$65525,0)-1,"")</f>
        <v/>
      </c>
      <c r="N1125" t="str">
        <f>IF(LEN(I1125),MATCH(I1125,'MPIO_SFIO Table'!$A$11:$A$65525,0)-1,"")</f>
        <v/>
      </c>
      <c r="O1125" t="str">
        <f>IF(LEN(J1125),MATCH(J1125,'MPIO_SFIO Table'!$A$11:$A$65525,0)-1,"")</f>
        <v/>
      </c>
      <c r="P1125" t="str">
        <f>IF(LEN(K1125),MATCH(K1125,'MPIO_SFIO Table'!$A$11:$A$65525,0)-1,"")</f>
        <v/>
      </c>
      <c r="Q1125" t="str">
        <f>IF(LEN(L1125),MATCH(L1125,'MPIO_SFIO Table'!$A$11:$A$65525,0)-1,"")</f>
        <v/>
      </c>
      <c r="R1125" t="str">
        <f ca="1">IF(ISNUMBER(M1125),OFFSET('MPIO_SFIO Table'!$AJ$11,M1125,0),"")</f>
        <v/>
      </c>
      <c r="S1125" t="str">
        <f ca="1">IF(ISNUMBER(N1125),OFFSET('MPIO_SFIO Table'!$AJ$11,N1125,0),"")</f>
        <v/>
      </c>
      <c r="T1125" t="str">
        <f ca="1">IF(ISNUMBER(O1125),OFFSET('MPIO_SFIO Table'!$AJ$11,O1125,0),"")</f>
        <v/>
      </c>
      <c r="U1125" t="str">
        <f ca="1">IF(ISNUMBER(P1125),OFFSET('MPIO_SFIO Table'!$AJ$11,P1125,0),"")</f>
        <v/>
      </c>
      <c r="V1125" t="str">
        <f ca="1">IF(ISNUMBER(Q1125),OFFSET('MPIO_SFIO Table'!$AJ$11,Q1125,0),"")</f>
        <v/>
      </c>
      <c r="W1125">
        <f t="shared" ca="1" si="147"/>
        <v>0</v>
      </c>
      <c r="X1125">
        <f t="shared" ca="1" si="148"/>
        <v>0</v>
      </c>
      <c r="Y1125">
        <f t="shared" ca="1" si="149"/>
        <v>0</v>
      </c>
      <c r="Z1125">
        <f t="shared" ca="1" si="150"/>
        <v>0</v>
      </c>
      <c r="AA1125">
        <f t="shared" ca="1" si="151"/>
        <v>0</v>
      </c>
    </row>
    <row r="1126" spans="1:27" x14ac:dyDescent="0.25">
      <c r="A1126">
        <f t="shared" ca="1" si="144"/>
        <v>0</v>
      </c>
      <c r="B1126" t="str">
        <f t="shared" ca="1" si="145"/>
        <v/>
      </c>
      <c r="C1126" t="str">
        <f t="shared" si="146"/>
        <v/>
      </c>
      <c r="D1126" t="s">
        <v>253</v>
      </c>
      <c r="E1126" t="s">
        <v>253</v>
      </c>
      <c r="F1126" s="3" t="s">
        <v>253</v>
      </c>
      <c r="G1126" s="11" t="s">
        <v>253</v>
      </c>
      <c r="H1126" s="11" t="s">
        <v>253</v>
      </c>
      <c r="I1126" s="3" t="s">
        <v>253</v>
      </c>
      <c r="J1126" s="3" t="s">
        <v>253</v>
      </c>
      <c r="K1126" s="3" t="s">
        <v>253</v>
      </c>
      <c r="L1126" s="3" t="s">
        <v>253</v>
      </c>
      <c r="M1126" t="str">
        <f>IF(LEN(H1126),MATCH(H1126,'MPIO_SFIO Table'!$A$11:$A$65525,0)-1,"")</f>
        <v/>
      </c>
      <c r="N1126" t="str">
        <f>IF(LEN(I1126),MATCH(I1126,'MPIO_SFIO Table'!$A$11:$A$65525,0)-1,"")</f>
        <v/>
      </c>
      <c r="O1126" t="str">
        <f>IF(LEN(J1126),MATCH(J1126,'MPIO_SFIO Table'!$A$11:$A$65525,0)-1,"")</f>
        <v/>
      </c>
      <c r="P1126" t="str">
        <f>IF(LEN(K1126),MATCH(K1126,'MPIO_SFIO Table'!$A$11:$A$65525,0)-1,"")</f>
        <v/>
      </c>
      <c r="Q1126" t="str">
        <f>IF(LEN(L1126),MATCH(L1126,'MPIO_SFIO Table'!$A$11:$A$65525,0)-1,"")</f>
        <v/>
      </c>
      <c r="R1126" t="str">
        <f ca="1">IF(ISNUMBER(M1126),OFFSET('MPIO_SFIO Table'!$AJ$11,M1126,0),"")</f>
        <v/>
      </c>
      <c r="S1126" t="str">
        <f ca="1">IF(ISNUMBER(N1126),OFFSET('MPIO_SFIO Table'!$AJ$11,N1126,0),"")</f>
        <v/>
      </c>
      <c r="T1126" t="str">
        <f ca="1">IF(ISNUMBER(O1126),OFFSET('MPIO_SFIO Table'!$AJ$11,O1126,0),"")</f>
        <v/>
      </c>
      <c r="U1126" t="str">
        <f ca="1">IF(ISNUMBER(P1126),OFFSET('MPIO_SFIO Table'!$AJ$11,P1126,0),"")</f>
        <v/>
      </c>
      <c r="V1126" t="str">
        <f ca="1">IF(ISNUMBER(Q1126),OFFSET('MPIO_SFIO Table'!$AJ$11,Q1126,0),"")</f>
        <v/>
      </c>
      <c r="W1126">
        <f t="shared" ca="1" si="147"/>
        <v>0</v>
      </c>
      <c r="X1126">
        <f t="shared" ca="1" si="148"/>
        <v>0</v>
      </c>
      <c r="Y1126">
        <f t="shared" ca="1" si="149"/>
        <v>0</v>
      </c>
      <c r="Z1126">
        <f t="shared" ca="1" si="150"/>
        <v>0</v>
      </c>
      <c r="AA1126">
        <f t="shared" ca="1" si="151"/>
        <v>0</v>
      </c>
    </row>
    <row r="1127" spans="1:27" x14ac:dyDescent="0.25">
      <c r="A1127">
        <f t="shared" ca="1" si="144"/>
        <v>0</v>
      </c>
      <c r="B1127" t="str">
        <f t="shared" ca="1" si="145"/>
        <v/>
      </c>
      <c r="C1127" t="str">
        <f t="shared" si="146"/>
        <v/>
      </c>
      <c r="D1127" t="s">
        <v>253</v>
      </c>
      <c r="E1127" t="s">
        <v>253</v>
      </c>
      <c r="F1127" s="3" t="s">
        <v>253</v>
      </c>
      <c r="G1127" s="11" t="s">
        <v>253</v>
      </c>
      <c r="H1127" s="11" t="s">
        <v>253</v>
      </c>
      <c r="I1127" s="3" t="s">
        <v>253</v>
      </c>
      <c r="J1127" s="3" t="s">
        <v>253</v>
      </c>
      <c r="K1127" s="3" t="s">
        <v>253</v>
      </c>
      <c r="L1127" s="3" t="s">
        <v>253</v>
      </c>
      <c r="M1127" t="str">
        <f>IF(LEN(H1127),MATCH(H1127,'MPIO_SFIO Table'!$A$11:$A$65525,0)-1,"")</f>
        <v/>
      </c>
      <c r="N1127" t="str">
        <f>IF(LEN(I1127),MATCH(I1127,'MPIO_SFIO Table'!$A$11:$A$65525,0)-1,"")</f>
        <v/>
      </c>
      <c r="O1127" t="str">
        <f>IF(LEN(J1127),MATCH(J1127,'MPIO_SFIO Table'!$A$11:$A$65525,0)-1,"")</f>
        <v/>
      </c>
      <c r="P1127" t="str">
        <f>IF(LEN(K1127),MATCH(K1127,'MPIO_SFIO Table'!$A$11:$A$65525,0)-1,"")</f>
        <v/>
      </c>
      <c r="Q1127" t="str">
        <f>IF(LEN(L1127),MATCH(L1127,'MPIO_SFIO Table'!$A$11:$A$65525,0)-1,"")</f>
        <v/>
      </c>
      <c r="R1127" t="str">
        <f ca="1">IF(ISNUMBER(M1127),OFFSET('MPIO_SFIO Table'!$AJ$11,M1127,0),"")</f>
        <v/>
      </c>
      <c r="S1127" t="str">
        <f ca="1">IF(ISNUMBER(N1127),OFFSET('MPIO_SFIO Table'!$AJ$11,N1127,0),"")</f>
        <v/>
      </c>
      <c r="T1127" t="str">
        <f ca="1">IF(ISNUMBER(O1127),OFFSET('MPIO_SFIO Table'!$AJ$11,O1127,0),"")</f>
        <v/>
      </c>
      <c r="U1127" t="str">
        <f ca="1">IF(ISNUMBER(P1127),OFFSET('MPIO_SFIO Table'!$AJ$11,P1127,0),"")</f>
        <v/>
      </c>
      <c r="V1127" t="str">
        <f ca="1">IF(ISNUMBER(Q1127),OFFSET('MPIO_SFIO Table'!$AJ$11,Q1127,0),"")</f>
        <v/>
      </c>
      <c r="W1127">
        <f t="shared" ca="1" si="147"/>
        <v>0</v>
      </c>
      <c r="X1127">
        <f t="shared" ca="1" si="148"/>
        <v>0</v>
      </c>
      <c r="Y1127">
        <f t="shared" ca="1" si="149"/>
        <v>0</v>
      </c>
      <c r="Z1127">
        <f t="shared" ca="1" si="150"/>
        <v>0</v>
      </c>
      <c r="AA1127">
        <f t="shared" ca="1" si="151"/>
        <v>0</v>
      </c>
    </row>
    <row r="1128" spans="1:27" x14ac:dyDescent="0.25">
      <c r="A1128">
        <f t="shared" ca="1" si="144"/>
        <v>0</v>
      </c>
      <c r="B1128" t="str">
        <f t="shared" ca="1" si="145"/>
        <v/>
      </c>
      <c r="C1128" t="str">
        <f t="shared" si="146"/>
        <v/>
      </c>
      <c r="D1128" t="s">
        <v>253</v>
      </c>
      <c r="E1128" t="s">
        <v>253</v>
      </c>
      <c r="F1128" s="3" t="s">
        <v>253</v>
      </c>
      <c r="G1128" s="11" t="s">
        <v>253</v>
      </c>
      <c r="H1128" s="11" t="s">
        <v>253</v>
      </c>
      <c r="I1128" s="3" t="s">
        <v>253</v>
      </c>
      <c r="J1128" s="3" t="s">
        <v>253</v>
      </c>
      <c r="K1128" s="3" t="s">
        <v>253</v>
      </c>
      <c r="L1128" s="3" t="s">
        <v>253</v>
      </c>
      <c r="M1128" t="str">
        <f>IF(LEN(H1128),MATCH(H1128,'MPIO_SFIO Table'!$A$11:$A$65525,0)-1,"")</f>
        <v/>
      </c>
      <c r="N1128" t="str">
        <f>IF(LEN(I1128),MATCH(I1128,'MPIO_SFIO Table'!$A$11:$A$65525,0)-1,"")</f>
        <v/>
      </c>
      <c r="O1128" t="str">
        <f>IF(LEN(J1128),MATCH(J1128,'MPIO_SFIO Table'!$A$11:$A$65525,0)-1,"")</f>
        <v/>
      </c>
      <c r="P1128" t="str">
        <f>IF(LEN(K1128),MATCH(K1128,'MPIO_SFIO Table'!$A$11:$A$65525,0)-1,"")</f>
        <v/>
      </c>
      <c r="Q1128" t="str">
        <f>IF(LEN(L1128),MATCH(L1128,'MPIO_SFIO Table'!$A$11:$A$65525,0)-1,"")</f>
        <v/>
      </c>
      <c r="R1128" t="str">
        <f ca="1">IF(ISNUMBER(M1128),OFFSET('MPIO_SFIO Table'!$AJ$11,M1128,0),"")</f>
        <v/>
      </c>
      <c r="S1128" t="str">
        <f ca="1">IF(ISNUMBER(N1128),OFFSET('MPIO_SFIO Table'!$AJ$11,N1128,0),"")</f>
        <v/>
      </c>
      <c r="T1128" t="str">
        <f ca="1">IF(ISNUMBER(O1128),OFFSET('MPIO_SFIO Table'!$AJ$11,O1128,0),"")</f>
        <v/>
      </c>
      <c r="U1128" t="str">
        <f ca="1">IF(ISNUMBER(P1128),OFFSET('MPIO_SFIO Table'!$AJ$11,P1128,0),"")</f>
        <v/>
      </c>
      <c r="V1128" t="str">
        <f ca="1">IF(ISNUMBER(Q1128),OFFSET('MPIO_SFIO Table'!$AJ$11,Q1128,0),"")</f>
        <v/>
      </c>
      <c r="W1128">
        <f t="shared" ca="1" si="147"/>
        <v>0</v>
      </c>
      <c r="X1128">
        <f t="shared" ca="1" si="148"/>
        <v>0</v>
      </c>
      <c r="Y1128">
        <f t="shared" ca="1" si="149"/>
        <v>0</v>
      </c>
      <c r="Z1128">
        <f t="shared" ca="1" si="150"/>
        <v>0</v>
      </c>
      <c r="AA1128">
        <f t="shared" ca="1" si="151"/>
        <v>0</v>
      </c>
    </row>
    <row r="1129" spans="1:27" x14ac:dyDescent="0.25">
      <c r="A1129">
        <f t="shared" ca="1" si="144"/>
        <v>0</v>
      </c>
      <c r="B1129" t="str">
        <f t="shared" ca="1" si="145"/>
        <v/>
      </c>
      <c r="C1129" t="str">
        <f t="shared" si="146"/>
        <v/>
      </c>
      <c r="D1129" t="s">
        <v>253</v>
      </c>
      <c r="E1129" t="s">
        <v>253</v>
      </c>
      <c r="F1129" s="3" t="s">
        <v>253</v>
      </c>
      <c r="G1129" s="11" t="s">
        <v>253</v>
      </c>
      <c r="H1129" s="11" t="s">
        <v>253</v>
      </c>
      <c r="I1129" s="3" t="s">
        <v>253</v>
      </c>
      <c r="J1129" s="3" t="s">
        <v>253</v>
      </c>
      <c r="K1129" s="3" t="s">
        <v>253</v>
      </c>
      <c r="L1129" s="3" t="s">
        <v>253</v>
      </c>
      <c r="M1129" t="str">
        <f>IF(LEN(H1129),MATCH(H1129,'MPIO_SFIO Table'!$A$11:$A$65525,0)-1,"")</f>
        <v/>
      </c>
      <c r="N1129" t="str">
        <f>IF(LEN(I1129),MATCH(I1129,'MPIO_SFIO Table'!$A$11:$A$65525,0)-1,"")</f>
        <v/>
      </c>
      <c r="O1129" t="str">
        <f>IF(LEN(J1129),MATCH(J1129,'MPIO_SFIO Table'!$A$11:$A$65525,0)-1,"")</f>
        <v/>
      </c>
      <c r="P1129" t="str">
        <f>IF(LEN(K1129),MATCH(K1129,'MPIO_SFIO Table'!$A$11:$A$65525,0)-1,"")</f>
        <v/>
      </c>
      <c r="Q1129" t="str">
        <f>IF(LEN(L1129),MATCH(L1129,'MPIO_SFIO Table'!$A$11:$A$65525,0)-1,"")</f>
        <v/>
      </c>
      <c r="R1129" t="str">
        <f ca="1">IF(ISNUMBER(M1129),OFFSET('MPIO_SFIO Table'!$AJ$11,M1129,0),"")</f>
        <v/>
      </c>
      <c r="S1129" t="str">
        <f ca="1">IF(ISNUMBER(N1129),OFFSET('MPIO_SFIO Table'!$AJ$11,N1129,0),"")</f>
        <v/>
      </c>
      <c r="T1129" t="str">
        <f ca="1">IF(ISNUMBER(O1129),OFFSET('MPIO_SFIO Table'!$AJ$11,O1129,0),"")</f>
        <v/>
      </c>
      <c r="U1129" t="str">
        <f ca="1">IF(ISNUMBER(P1129),OFFSET('MPIO_SFIO Table'!$AJ$11,P1129,0),"")</f>
        <v/>
      </c>
      <c r="V1129" t="str">
        <f ca="1">IF(ISNUMBER(Q1129),OFFSET('MPIO_SFIO Table'!$AJ$11,Q1129,0),"")</f>
        <v/>
      </c>
      <c r="W1129">
        <f t="shared" ca="1" si="147"/>
        <v>0</v>
      </c>
      <c r="X1129">
        <f t="shared" ca="1" si="148"/>
        <v>0</v>
      </c>
      <c r="Y1129">
        <f t="shared" ca="1" si="149"/>
        <v>0</v>
      </c>
      <c r="Z1129">
        <f t="shared" ca="1" si="150"/>
        <v>0</v>
      </c>
      <c r="AA1129">
        <f t="shared" ca="1" si="151"/>
        <v>0</v>
      </c>
    </row>
    <row r="1130" spans="1:27" x14ac:dyDescent="0.25">
      <c r="A1130">
        <f t="shared" ca="1" si="144"/>
        <v>0</v>
      </c>
      <c r="B1130" t="str">
        <f t="shared" ca="1" si="145"/>
        <v/>
      </c>
      <c r="C1130" t="str">
        <f t="shared" si="146"/>
        <v/>
      </c>
      <c r="D1130" t="s">
        <v>253</v>
      </c>
      <c r="E1130" t="s">
        <v>253</v>
      </c>
      <c r="F1130" s="3" t="s">
        <v>253</v>
      </c>
      <c r="G1130" s="11" t="s">
        <v>253</v>
      </c>
      <c r="H1130" s="11" t="s">
        <v>253</v>
      </c>
      <c r="I1130" s="3" t="s">
        <v>253</v>
      </c>
      <c r="J1130" s="3" t="s">
        <v>253</v>
      </c>
      <c r="K1130" s="3" t="s">
        <v>253</v>
      </c>
      <c r="L1130" s="3" t="s">
        <v>253</v>
      </c>
      <c r="M1130" t="str">
        <f>IF(LEN(H1130),MATCH(H1130,'MPIO_SFIO Table'!$A$11:$A$65525,0)-1,"")</f>
        <v/>
      </c>
      <c r="N1130" t="str">
        <f>IF(LEN(I1130),MATCH(I1130,'MPIO_SFIO Table'!$A$11:$A$65525,0)-1,"")</f>
        <v/>
      </c>
      <c r="O1130" t="str">
        <f>IF(LEN(J1130),MATCH(J1130,'MPIO_SFIO Table'!$A$11:$A$65525,0)-1,"")</f>
        <v/>
      </c>
      <c r="P1130" t="str">
        <f>IF(LEN(K1130),MATCH(K1130,'MPIO_SFIO Table'!$A$11:$A$65525,0)-1,"")</f>
        <v/>
      </c>
      <c r="Q1130" t="str">
        <f>IF(LEN(L1130),MATCH(L1130,'MPIO_SFIO Table'!$A$11:$A$65525,0)-1,"")</f>
        <v/>
      </c>
      <c r="R1130" t="str">
        <f ca="1">IF(ISNUMBER(M1130),OFFSET('MPIO_SFIO Table'!$AJ$11,M1130,0),"")</f>
        <v/>
      </c>
      <c r="S1130" t="str">
        <f ca="1">IF(ISNUMBER(N1130),OFFSET('MPIO_SFIO Table'!$AJ$11,N1130,0),"")</f>
        <v/>
      </c>
      <c r="T1130" t="str">
        <f ca="1">IF(ISNUMBER(O1130),OFFSET('MPIO_SFIO Table'!$AJ$11,O1130,0),"")</f>
        <v/>
      </c>
      <c r="U1130" t="str">
        <f ca="1">IF(ISNUMBER(P1130),OFFSET('MPIO_SFIO Table'!$AJ$11,P1130,0),"")</f>
        <v/>
      </c>
      <c r="V1130" t="str">
        <f ca="1">IF(ISNUMBER(Q1130),OFFSET('MPIO_SFIO Table'!$AJ$11,Q1130,0),"")</f>
        <v/>
      </c>
      <c r="W1130">
        <f t="shared" ca="1" si="147"/>
        <v>0</v>
      </c>
      <c r="X1130">
        <f t="shared" ca="1" si="148"/>
        <v>0</v>
      </c>
      <c r="Y1130">
        <f t="shared" ca="1" si="149"/>
        <v>0</v>
      </c>
      <c r="Z1130">
        <f t="shared" ca="1" si="150"/>
        <v>0</v>
      </c>
      <c r="AA1130">
        <f t="shared" ca="1" si="151"/>
        <v>0</v>
      </c>
    </row>
    <row r="1131" spans="1:27" x14ac:dyDescent="0.25">
      <c r="A1131">
        <f t="shared" ca="1" si="144"/>
        <v>0</v>
      </c>
      <c r="B1131" t="str">
        <f t="shared" ca="1" si="145"/>
        <v/>
      </c>
      <c r="C1131" t="str">
        <f t="shared" si="146"/>
        <v/>
      </c>
      <c r="D1131" t="s">
        <v>253</v>
      </c>
      <c r="E1131" t="s">
        <v>253</v>
      </c>
      <c r="F1131" s="3" t="s">
        <v>253</v>
      </c>
      <c r="G1131" s="11" t="s">
        <v>253</v>
      </c>
      <c r="H1131" s="11" t="s">
        <v>253</v>
      </c>
      <c r="I1131" s="3" t="s">
        <v>253</v>
      </c>
      <c r="J1131" s="3" t="s">
        <v>253</v>
      </c>
      <c r="K1131" s="3" t="s">
        <v>253</v>
      </c>
      <c r="L1131" s="3" t="s">
        <v>253</v>
      </c>
      <c r="M1131" t="str">
        <f>IF(LEN(H1131),MATCH(H1131,'MPIO_SFIO Table'!$A$11:$A$65525,0)-1,"")</f>
        <v/>
      </c>
      <c r="N1131" t="str">
        <f>IF(LEN(I1131),MATCH(I1131,'MPIO_SFIO Table'!$A$11:$A$65525,0)-1,"")</f>
        <v/>
      </c>
      <c r="O1131" t="str">
        <f>IF(LEN(J1131),MATCH(J1131,'MPIO_SFIO Table'!$A$11:$A$65525,0)-1,"")</f>
        <v/>
      </c>
      <c r="P1131" t="str">
        <f>IF(LEN(K1131),MATCH(K1131,'MPIO_SFIO Table'!$A$11:$A$65525,0)-1,"")</f>
        <v/>
      </c>
      <c r="Q1131" t="str">
        <f>IF(LEN(L1131),MATCH(L1131,'MPIO_SFIO Table'!$A$11:$A$65525,0)-1,"")</f>
        <v/>
      </c>
      <c r="R1131" t="str">
        <f ca="1">IF(ISNUMBER(M1131),OFFSET('MPIO_SFIO Table'!$AJ$11,M1131,0),"")</f>
        <v/>
      </c>
      <c r="S1131" t="str">
        <f ca="1">IF(ISNUMBER(N1131),OFFSET('MPIO_SFIO Table'!$AJ$11,N1131,0),"")</f>
        <v/>
      </c>
      <c r="T1131" t="str">
        <f ca="1">IF(ISNUMBER(O1131),OFFSET('MPIO_SFIO Table'!$AJ$11,O1131,0),"")</f>
        <v/>
      </c>
      <c r="U1131" t="str">
        <f ca="1">IF(ISNUMBER(P1131),OFFSET('MPIO_SFIO Table'!$AJ$11,P1131,0),"")</f>
        <v/>
      </c>
      <c r="V1131" t="str">
        <f ca="1">IF(ISNUMBER(Q1131),OFFSET('MPIO_SFIO Table'!$AJ$11,Q1131,0),"")</f>
        <v/>
      </c>
      <c r="W1131">
        <f t="shared" ca="1" si="147"/>
        <v>0</v>
      </c>
      <c r="X1131">
        <f t="shared" ca="1" si="148"/>
        <v>0</v>
      </c>
      <c r="Y1131">
        <f t="shared" ca="1" si="149"/>
        <v>0</v>
      </c>
      <c r="Z1131">
        <f t="shared" ca="1" si="150"/>
        <v>0</v>
      </c>
      <c r="AA1131">
        <f t="shared" ca="1" si="151"/>
        <v>0</v>
      </c>
    </row>
    <row r="1132" spans="1:27" x14ac:dyDescent="0.25">
      <c r="A1132">
        <f t="shared" ca="1" si="144"/>
        <v>0</v>
      </c>
      <c r="B1132" t="str">
        <f t="shared" ca="1" si="145"/>
        <v/>
      </c>
      <c r="C1132" t="str">
        <f t="shared" si="146"/>
        <v/>
      </c>
      <c r="D1132" t="s">
        <v>253</v>
      </c>
      <c r="E1132" t="s">
        <v>253</v>
      </c>
      <c r="F1132" s="3" t="s">
        <v>253</v>
      </c>
      <c r="G1132" s="11" t="s">
        <v>253</v>
      </c>
      <c r="H1132" s="11" t="s">
        <v>253</v>
      </c>
      <c r="I1132" s="3" t="s">
        <v>253</v>
      </c>
      <c r="J1132" s="3" t="s">
        <v>253</v>
      </c>
      <c r="K1132" s="3" t="s">
        <v>253</v>
      </c>
      <c r="L1132" s="3" t="s">
        <v>253</v>
      </c>
      <c r="M1132" t="str">
        <f>IF(LEN(H1132),MATCH(H1132,'MPIO_SFIO Table'!$A$11:$A$65525,0)-1,"")</f>
        <v/>
      </c>
      <c r="N1132" t="str">
        <f>IF(LEN(I1132),MATCH(I1132,'MPIO_SFIO Table'!$A$11:$A$65525,0)-1,"")</f>
        <v/>
      </c>
      <c r="O1132" t="str">
        <f>IF(LEN(J1132),MATCH(J1132,'MPIO_SFIO Table'!$A$11:$A$65525,0)-1,"")</f>
        <v/>
      </c>
      <c r="P1132" t="str">
        <f>IF(LEN(K1132),MATCH(K1132,'MPIO_SFIO Table'!$A$11:$A$65525,0)-1,"")</f>
        <v/>
      </c>
      <c r="Q1132" t="str">
        <f>IF(LEN(L1132),MATCH(L1132,'MPIO_SFIO Table'!$A$11:$A$65525,0)-1,"")</f>
        <v/>
      </c>
      <c r="R1132" t="str">
        <f ca="1">IF(ISNUMBER(M1132),OFFSET('MPIO_SFIO Table'!$AJ$11,M1132,0),"")</f>
        <v/>
      </c>
      <c r="S1132" t="str">
        <f ca="1">IF(ISNUMBER(N1132),OFFSET('MPIO_SFIO Table'!$AJ$11,N1132,0),"")</f>
        <v/>
      </c>
      <c r="T1132" t="str">
        <f ca="1">IF(ISNUMBER(O1132),OFFSET('MPIO_SFIO Table'!$AJ$11,O1132,0),"")</f>
        <v/>
      </c>
      <c r="U1132" t="str">
        <f ca="1">IF(ISNUMBER(P1132),OFFSET('MPIO_SFIO Table'!$AJ$11,P1132,0),"")</f>
        <v/>
      </c>
      <c r="V1132" t="str">
        <f ca="1">IF(ISNUMBER(Q1132),OFFSET('MPIO_SFIO Table'!$AJ$11,Q1132,0),"")</f>
        <v/>
      </c>
      <c r="W1132">
        <f t="shared" ca="1" si="147"/>
        <v>0</v>
      </c>
      <c r="X1132">
        <f t="shared" ca="1" si="148"/>
        <v>0</v>
      </c>
      <c r="Y1132">
        <f t="shared" ca="1" si="149"/>
        <v>0</v>
      </c>
      <c r="Z1132">
        <f t="shared" ca="1" si="150"/>
        <v>0</v>
      </c>
      <c r="AA1132">
        <f t="shared" ca="1" si="151"/>
        <v>0</v>
      </c>
    </row>
    <row r="1133" spans="1:27" x14ac:dyDescent="0.25">
      <c r="A1133">
        <f t="shared" ca="1" si="144"/>
        <v>0</v>
      </c>
      <c r="B1133" t="str">
        <f t="shared" ca="1" si="145"/>
        <v/>
      </c>
      <c r="C1133" t="str">
        <f t="shared" si="146"/>
        <v/>
      </c>
      <c r="D1133" t="s">
        <v>253</v>
      </c>
      <c r="E1133" t="s">
        <v>253</v>
      </c>
      <c r="F1133" s="3" t="s">
        <v>253</v>
      </c>
      <c r="G1133" s="11" t="s">
        <v>253</v>
      </c>
      <c r="H1133" s="11" t="s">
        <v>253</v>
      </c>
      <c r="I1133" s="3" t="s">
        <v>253</v>
      </c>
      <c r="J1133" s="3" t="s">
        <v>253</v>
      </c>
      <c r="K1133" s="3" t="s">
        <v>253</v>
      </c>
      <c r="L1133" s="3" t="s">
        <v>253</v>
      </c>
      <c r="M1133" t="str">
        <f>IF(LEN(H1133),MATCH(H1133,'MPIO_SFIO Table'!$A$11:$A$65525,0)-1,"")</f>
        <v/>
      </c>
      <c r="N1133" t="str">
        <f>IF(LEN(I1133),MATCH(I1133,'MPIO_SFIO Table'!$A$11:$A$65525,0)-1,"")</f>
        <v/>
      </c>
      <c r="O1133" t="str">
        <f>IF(LEN(J1133),MATCH(J1133,'MPIO_SFIO Table'!$A$11:$A$65525,0)-1,"")</f>
        <v/>
      </c>
      <c r="P1133" t="str">
        <f>IF(LEN(K1133),MATCH(K1133,'MPIO_SFIO Table'!$A$11:$A$65525,0)-1,"")</f>
        <v/>
      </c>
      <c r="Q1133" t="str">
        <f>IF(LEN(L1133),MATCH(L1133,'MPIO_SFIO Table'!$A$11:$A$65525,0)-1,"")</f>
        <v/>
      </c>
      <c r="R1133" t="str">
        <f ca="1">IF(ISNUMBER(M1133),OFFSET('MPIO_SFIO Table'!$AJ$11,M1133,0),"")</f>
        <v/>
      </c>
      <c r="S1133" t="str">
        <f ca="1">IF(ISNUMBER(N1133),OFFSET('MPIO_SFIO Table'!$AJ$11,N1133,0),"")</f>
        <v/>
      </c>
      <c r="T1133" t="str">
        <f ca="1">IF(ISNUMBER(O1133),OFFSET('MPIO_SFIO Table'!$AJ$11,O1133,0),"")</f>
        <v/>
      </c>
      <c r="U1133" t="str">
        <f ca="1">IF(ISNUMBER(P1133),OFFSET('MPIO_SFIO Table'!$AJ$11,P1133,0),"")</f>
        <v/>
      </c>
      <c r="V1133" t="str">
        <f ca="1">IF(ISNUMBER(Q1133),OFFSET('MPIO_SFIO Table'!$AJ$11,Q1133,0),"")</f>
        <v/>
      </c>
      <c r="W1133">
        <f t="shared" ca="1" si="147"/>
        <v>0</v>
      </c>
      <c r="X1133">
        <f t="shared" ca="1" si="148"/>
        <v>0</v>
      </c>
      <c r="Y1133">
        <f t="shared" ca="1" si="149"/>
        <v>0</v>
      </c>
      <c r="Z1133">
        <f t="shared" ca="1" si="150"/>
        <v>0</v>
      </c>
      <c r="AA1133">
        <f t="shared" ca="1" si="151"/>
        <v>0</v>
      </c>
    </row>
    <row r="1134" spans="1:27" x14ac:dyDescent="0.25">
      <c r="A1134">
        <f t="shared" ca="1" si="144"/>
        <v>0</v>
      </c>
      <c r="B1134" t="str">
        <f t="shared" ca="1" si="145"/>
        <v/>
      </c>
      <c r="C1134" t="str">
        <f t="shared" si="146"/>
        <v/>
      </c>
      <c r="D1134" t="s">
        <v>253</v>
      </c>
      <c r="E1134" t="s">
        <v>253</v>
      </c>
      <c r="F1134" s="3" t="s">
        <v>253</v>
      </c>
      <c r="G1134" s="11" t="s">
        <v>253</v>
      </c>
      <c r="H1134" s="11" t="s">
        <v>253</v>
      </c>
      <c r="I1134" s="3" t="s">
        <v>253</v>
      </c>
      <c r="J1134" s="3" t="s">
        <v>253</v>
      </c>
      <c r="K1134" s="3" t="s">
        <v>253</v>
      </c>
      <c r="L1134" s="3" t="s">
        <v>253</v>
      </c>
      <c r="M1134" t="str">
        <f>IF(LEN(H1134),MATCH(H1134,'MPIO_SFIO Table'!$A$11:$A$65525,0)-1,"")</f>
        <v/>
      </c>
      <c r="N1134" t="str">
        <f>IF(LEN(I1134),MATCH(I1134,'MPIO_SFIO Table'!$A$11:$A$65525,0)-1,"")</f>
        <v/>
      </c>
      <c r="O1134" t="str">
        <f>IF(LEN(J1134),MATCH(J1134,'MPIO_SFIO Table'!$A$11:$A$65525,0)-1,"")</f>
        <v/>
      </c>
      <c r="P1134" t="str">
        <f>IF(LEN(K1134),MATCH(K1134,'MPIO_SFIO Table'!$A$11:$A$65525,0)-1,"")</f>
        <v/>
      </c>
      <c r="Q1134" t="str">
        <f>IF(LEN(L1134),MATCH(L1134,'MPIO_SFIO Table'!$A$11:$A$65525,0)-1,"")</f>
        <v/>
      </c>
      <c r="R1134" t="str">
        <f ca="1">IF(ISNUMBER(M1134),OFFSET('MPIO_SFIO Table'!$AJ$11,M1134,0),"")</f>
        <v/>
      </c>
      <c r="S1134" t="str">
        <f ca="1">IF(ISNUMBER(N1134),OFFSET('MPIO_SFIO Table'!$AJ$11,N1134,0),"")</f>
        <v/>
      </c>
      <c r="T1134" t="str">
        <f ca="1">IF(ISNUMBER(O1134),OFFSET('MPIO_SFIO Table'!$AJ$11,O1134,0),"")</f>
        <v/>
      </c>
      <c r="U1134" t="str">
        <f ca="1">IF(ISNUMBER(P1134),OFFSET('MPIO_SFIO Table'!$AJ$11,P1134,0),"")</f>
        <v/>
      </c>
      <c r="V1134" t="str">
        <f ca="1">IF(ISNUMBER(Q1134),OFFSET('MPIO_SFIO Table'!$AJ$11,Q1134,0),"")</f>
        <v/>
      </c>
      <c r="W1134">
        <f t="shared" ca="1" si="147"/>
        <v>0</v>
      </c>
      <c r="X1134">
        <f t="shared" ca="1" si="148"/>
        <v>0</v>
      </c>
      <c r="Y1134">
        <f t="shared" ca="1" si="149"/>
        <v>0</v>
      </c>
      <c r="Z1134">
        <f t="shared" ca="1" si="150"/>
        <v>0</v>
      </c>
      <c r="AA1134">
        <f t="shared" ca="1" si="151"/>
        <v>0</v>
      </c>
    </row>
    <row r="1135" spans="1:27" x14ac:dyDescent="0.25">
      <c r="A1135">
        <f t="shared" ca="1" si="144"/>
        <v>0</v>
      </c>
      <c r="B1135" t="str">
        <f t="shared" ca="1" si="145"/>
        <v/>
      </c>
      <c r="C1135" t="str">
        <f t="shared" si="146"/>
        <v/>
      </c>
      <c r="D1135" t="s">
        <v>253</v>
      </c>
      <c r="E1135" t="s">
        <v>253</v>
      </c>
      <c r="F1135" s="3" t="s">
        <v>253</v>
      </c>
      <c r="G1135" s="11" t="s">
        <v>253</v>
      </c>
      <c r="H1135" s="11" t="s">
        <v>253</v>
      </c>
      <c r="I1135" s="3" t="s">
        <v>253</v>
      </c>
      <c r="J1135" s="3" t="s">
        <v>253</v>
      </c>
      <c r="K1135" s="3" t="s">
        <v>253</v>
      </c>
      <c r="L1135" s="3" t="s">
        <v>253</v>
      </c>
      <c r="M1135" t="str">
        <f>IF(LEN(H1135),MATCH(H1135,'MPIO_SFIO Table'!$A$11:$A$65525,0)-1,"")</f>
        <v/>
      </c>
      <c r="N1135" t="str">
        <f>IF(LEN(I1135),MATCH(I1135,'MPIO_SFIO Table'!$A$11:$A$65525,0)-1,"")</f>
        <v/>
      </c>
      <c r="O1135" t="str">
        <f>IF(LEN(J1135),MATCH(J1135,'MPIO_SFIO Table'!$A$11:$A$65525,0)-1,"")</f>
        <v/>
      </c>
      <c r="P1135" t="str">
        <f>IF(LEN(K1135),MATCH(K1135,'MPIO_SFIO Table'!$A$11:$A$65525,0)-1,"")</f>
        <v/>
      </c>
      <c r="Q1135" t="str">
        <f>IF(LEN(L1135),MATCH(L1135,'MPIO_SFIO Table'!$A$11:$A$65525,0)-1,"")</f>
        <v/>
      </c>
      <c r="R1135" t="str">
        <f ca="1">IF(ISNUMBER(M1135),OFFSET('MPIO_SFIO Table'!$AJ$11,M1135,0),"")</f>
        <v/>
      </c>
      <c r="S1135" t="str">
        <f ca="1">IF(ISNUMBER(N1135),OFFSET('MPIO_SFIO Table'!$AJ$11,N1135,0),"")</f>
        <v/>
      </c>
      <c r="T1135" t="str">
        <f ca="1">IF(ISNUMBER(O1135),OFFSET('MPIO_SFIO Table'!$AJ$11,O1135,0),"")</f>
        <v/>
      </c>
      <c r="U1135" t="str">
        <f ca="1">IF(ISNUMBER(P1135),OFFSET('MPIO_SFIO Table'!$AJ$11,P1135,0),"")</f>
        <v/>
      </c>
      <c r="V1135" t="str">
        <f ca="1">IF(ISNUMBER(Q1135),OFFSET('MPIO_SFIO Table'!$AJ$11,Q1135,0),"")</f>
        <v/>
      </c>
      <c r="W1135">
        <f t="shared" ca="1" si="147"/>
        <v>0</v>
      </c>
      <c r="X1135">
        <f t="shared" ca="1" si="148"/>
        <v>0</v>
      </c>
      <c r="Y1135">
        <f t="shared" ca="1" si="149"/>
        <v>0</v>
      </c>
      <c r="Z1135">
        <f t="shared" ca="1" si="150"/>
        <v>0</v>
      </c>
      <c r="AA1135">
        <f t="shared" ca="1" si="151"/>
        <v>0</v>
      </c>
    </row>
    <row r="1136" spans="1:27" x14ac:dyDescent="0.25">
      <c r="A1136">
        <f t="shared" ca="1" si="144"/>
        <v>0</v>
      </c>
      <c r="B1136" t="str">
        <f t="shared" ca="1" si="145"/>
        <v/>
      </c>
      <c r="C1136" t="str">
        <f t="shared" si="146"/>
        <v/>
      </c>
      <c r="D1136" t="s">
        <v>253</v>
      </c>
      <c r="E1136" t="s">
        <v>253</v>
      </c>
      <c r="F1136" s="3" t="s">
        <v>253</v>
      </c>
      <c r="G1136" s="11" t="s">
        <v>253</v>
      </c>
      <c r="H1136" s="11" t="s">
        <v>253</v>
      </c>
      <c r="I1136" s="3" t="s">
        <v>253</v>
      </c>
      <c r="J1136" s="3" t="s">
        <v>253</v>
      </c>
      <c r="K1136" s="3" t="s">
        <v>253</v>
      </c>
      <c r="L1136" s="3" t="s">
        <v>253</v>
      </c>
      <c r="M1136" t="str">
        <f>IF(LEN(H1136),MATCH(H1136,'MPIO_SFIO Table'!$A$11:$A$65525,0)-1,"")</f>
        <v/>
      </c>
      <c r="N1136" t="str">
        <f>IF(LEN(I1136),MATCH(I1136,'MPIO_SFIO Table'!$A$11:$A$65525,0)-1,"")</f>
        <v/>
      </c>
      <c r="O1136" t="str">
        <f>IF(LEN(J1136),MATCH(J1136,'MPIO_SFIO Table'!$A$11:$A$65525,0)-1,"")</f>
        <v/>
      </c>
      <c r="P1136" t="str">
        <f>IF(LEN(K1136),MATCH(K1136,'MPIO_SFIO Table'!$A$11:$A$65525,0)-1,"")</f>
        <v/>
      </c>
      <c r="Q1136" t="str">
        <f>IF(LEN(L1136),MATCH(L1136,'MPIO_SFIO Table'!$A$11:$A$65525,0)-1,"")</f>
        <v/>
      </c>
      <c r="R1136" t="str">
        <f ca="1">IF(ISNUMBER(M1136),OFFSET('MPIO_SFIO Table'!$AJ$11,M1136,0),"")</f>
        <v/>
      </c>
      <c r="S1136" t="str">
        <f ca="1">IF(ISNUMBER(N1136),OFFSET('MPIO_SFIO Table'!$AJ$11,N1136,0),"")</f>
        <v/>
      </c>
      <c r="T1136" t="str">
        <f ca="1">IF(ISNUMBER(O1136),OFFSET('MPIO_SFIO Table'!$AJ$11,O1136,0),"")</f>
        <v/>
      </c>
      <c r="U1136" t="str">
        <f ca="1">IF(ISNUMBER(P1136),OFFSET('MPIO_SFIO Table'!$AJ$11,P1136,0),"")</f>
        <v/>
      </c>
      <c r="V1136" t="str">
        <f ca="1">IF(ISNUMBER(Q1136),OFFSET('MPIO_SFIO Table'!$AJ$11,Q1136,0),"")</f>
        <v/>
      </c>
      <c r="W1136">
        <f t="shared" ca="1" si="147"/>
        <v>0</v>
      </c>
      <c r="X1136">
        <f t="shared" ca="1" si="148"/>
        <v>0</v>
      </c>
      <c r="Y1136">
        <f t="shared" ca="1" si="149"/>
        <v>0</v>
      </c>
      <c r="Z1136">
        <f t="shared" ca="1" si="150"/>
        <v>0</v>
      </c>
      <c r="AA1136">
        <f t="shared" ca="1" si="151"/>
        <v>0</v>
      </c>
    </row>
    <row r="1137" spans="1:27" x14ac:dyDescent="0.25">
      <c r="A1137">
        <f t="shared" ca="1" si="144"/>
        <v>0</v>
      </c>
      <c r="B1137" t="str">
        <f t="shared" ca="1" si="145"/>
        <v/>
      </c>
      <c r="C1137" t="str">
        <f t="shared" si="146"/>
        <v/>
      </c>
      <c r="D1137" t="s">
        <v>253</v>
      </c>
      <c r="E1137" t="s">
        <v>253</v>
      </c>
      <c r="F1137" s="3" t="s">
        <v>253</v>
      </c>
      <c r="G1137" s="11" t="s">
        <v>253</v>
      </c>
      <c r="H1137" s="11" t="s">
        <v>253</v>
      </c>
      <c r="I1137" s="3" t="s">
        <v>253</v>
      </c>
      <c r="J1137" s="3" t="s">
        <v>253</v>
      </c>
      <c r="K1137" s="3" t="s">
        <v>253</v>
      </c>
      <c r="L1137" s="3" t="s">
        <v>253</v>
      </c>
      <c r="M1137" t="str">
        <f>IF(LEN(H1137),MATCH(H1137,'MPIO_SFIO Table'!$A$11:$A$65525,0)-1,"")</f>
        <v/>
      </c>
      <c r="N1137" t="str">
        <f>IF(LEN(I1137),MATCH(I1137,'MPIO_SFIO Table'!$A$11:$A$65525,0)-1,"")</f>
        <v/>
      </c>
      <c r="O1137" t="str">
        <f>IF(LEN(J1137),MATCH(J1137,'MPIO_SFIO Table'!$A$11:$A$65525,0)-1,"")</f>
        <v/>
      </c>
      <c r="P1137" t="str">
        <f>IF(LEN(K1137),MATCH(K1137,'MPIO_SFIO Table'!$A$11:$A$65525,0)-1,"")</f>
        <v/>
      </c>
      <c r="Q1137" t="str">
        <f>IF(LEN(L1137),MATCH(L1137,'MPIO_SFIO Table'!$A$11:$A$65525,0)-1,"")</f>
        <v/>
      </c>
      <c r="R1137" t="str">
        <f ca="1">IF(ISNUMBER(M1137),OFFSET('MPIO_SFIO Table'!$AJ$11,M1137,0),"")</f>
        <v/>
      </c>
      <c r="S1137" t="str">
        <f ca="1">IF(ISNUMBER(N1137),OFFSET('MPIO_SFIO Table'!$AJ$11,N1137,0),"")</f>
        <v/>
      </c>
      <c r="T1137" t="str">
        <f ca="1">IF(ISNUMBER(O1137),OFFSET('MPIO_SFIO Table'!$AJ$11,O1137,0),"")</f>
        <v/>
      </c>
      <c r="U1137" t="str">
        <f ca="1">IF(ISNUMBER(P1137),OFFSET('MPIO_SFIO Table'!$AJ$11,P1137,0),"")</f>
        <v/>
      </c>
      <c r="V1137" t="str">
        <f ca="1">IF(ISNUMBER(Q1137),OFFSET('MPIO_SFIO Table'!$AJ$11,Q1137,0),"")</f>
        <v/>
      </c>
      <c r="W1137">
        <f t="shared" ca="1" si="147"/>
        <v>0</v>
      </c>
      <c r="X1137">
        <f t="shared" ca="1" si="148"/>
        <v>0</v>
      </c>
      <c r="Y1137">
        <f t="shared" ca="1" si="149"/>
        <v>0</v>
      </c>
      <c r="Z1137">
        <f t="shared" ca="1" si="150"/>
        <v>0</v>
      </c>
      <c r="AA1137">
        <f t="shared" ca="1" si="151"/>
        <v>0</v>
      </c>
    </row>
    <row r="1138" spans="1:27" x14ac:dyDescent="0.25">
      <c r="A1138">
        <f t="shared" ca="1" si="144"/>
        <v>0</v>
      </c>
      <c r="B1138" t="str">
        <f t="shared" ca="1" si="145"/>
        <v/>
      </c>
      <c r="C1138" t="str">
        <f t="shared" si="146"/>
        <v/>
      </c>
      <c r="D1138" t="s">
        <v>253</v>
      </c>
      <c r="E1138" t="s">
        <v>253</v>
      </c>
      <c r="F1138" s="3" t="s">
        <v>253</v>
      </c>
      <c r="G1138" s="11" t="s">
        <v>253</v>
      </c>
      <c r="H1138" s="11" t="s">
        <v>253</v>
      </c>
      <c r="I1138" s="3" t="s">
        <v>253</v>
      </c>
      <c r="J1138" s="3" t="s">
        <v>253</v>
      </c>
      <c r="K1138" s="3" t="s">
        <v>253</v>
      </c>
      <c r="L1138" s="3" t="s">
        <v>253</v>
      </c>
      <c r="M1138" t="str">
        <f>IF(LEN(H1138),MATCH(H1138,'MPIO_SFIO Table'!$A$11:$A$65525,0)-1,"")</f>
        <v/>
      </c>
      <c r="N1138" t="str">
        <f>IF(LEN(I1138),MATCH(I1138,'MPIO_SFIO Table'!$A$11:$A$65525,0)-1,"")</f>
        <v/>
      </c>
      <c r="O1138" t="str">
        <f>IF(LEN(J1138),MATCH(J1138,'MPIO_SFIO Table'!$A$11:$A$65525,0)-1,"")</f>
        <v/>
      </c>
      <c r="P1138" t="str">
        <f>IF(LEN(K1138),MATCH(K1138,'MPIO_SFIO Table'!$A$11:$A$65525,0)-1,"")</f>
        <v/>
      </c>
      <c r="Q1138" t="str">
        <f>IF(LEN(L1138),MATCH(L1138,'MPIO_SFIO Table'!$A$11:$A$65525,0)-1,"")</f>
        <v/>
      </c>
      <c r="R1138" t="str">
        <f ca="1">IF(ISNUMBER(M1138),OFFSET('MPIO_SFIO Table'!$AJ$11,M1138,0),"")</f>
        <v/>
      </c>
      <c r="S1138" t="str">
        <f ca="1">IF(ISNUMBER(N1138),OFFSET('MPIO_SFIO Table'!$AJ$11,N1138,0),"")</f>
        <v/>
      </c>
      <c r="T1138" t="str">
        <f ca="1">IF(ISNUMBER(O1138),OFFSET('MPIO_SFIO Table'!$AJ$11,O1138,0),"")</f>
        <v/>
      </c>
      <c r="U1138" t="str">
        <f ca="1">IF(ISNUMBER(P1138),OFFSET('MPIO_SFIO Table'!$AJ$11,P1138,0),"")</f>
        <v/>
      </c>
      <c r="V1138" t="str">
        <f ca="1">IF(ISNUMBER(Q1138),OFFSET('MPIO_SFIO Table'!$AJ$11,Q1138,0),"")</f>
        <v/>
      </c>
      <c r="W1138">
        <f t="shared" ca="1" si="147"/>
        <v>0</v>
      </c>
      <c r="X1138">
        <f t="shared" ca="1" si="148"/>
        <v>0</v>
      </c>
      <c r="Y1138">
        <f t="shared" ca="1" si="149"/>
        <v>0</v>
      </c>
      <c r="Z1138">
        <f t="shared" ca="1" si="150"/>
        <v>0</v>
      </c>
      <c r="AA1138">
        <f t="shared" ca="1" si="151"/>
        <v>0</v>
      </c>
    </row>
    <row r="1139" spans="1:27" x14ac:dyDescent="0.25">
      <c r="A1139">
        <f t="shared" ca="1" si="144"/>
        <v>0</v>
      </c>
      <c r="B1139" t="str">
        <f t="shared" ca="1" si="145"/>
        <v/>
      </c>
      <c r="C1139" t="str">
        <f t="shared" si="146"/>
        <v/>
      </c>
      <c r="D1139" t="s">
        <v>253</v>
      </c>
      <c r="E1139" t="s">
        <v>253</v>
      </c>
      <c r="F1139" s="3" t="s">
        <v>253</v>
      </c>
      <c r="G1139" s="11" t="s">
        <v>253</v>
      </c>
      <c r="H1139" s="11" t="s">
        <v>253</v>
      </c>
      <c r="I1139" s="3" t="s">
        <v>253</v>
      </c>
      <c r="J1139" s="3" t="s">
        <v>253</v>
      </c>
      <c r="K1139" s="3" t="s">
        <v>253</v>
      </c>
      <c r="L1139" s="3" t="s">
        <v>253</v>
      </c>
      <c r="M1139" t="str">
        <f>IF(LEN(H1139),MATCH(H1139,'MPIO_SFIO Table'!$A$11:$A$65525,0)-1,"")</f>
        <v/>
      </c>
      <c r="N1139" t="str">
        <f>IF(LEN(I1139),MATCH(I1139,'MPIO_SFIO Table'!$A$11:$A$65525,0)-1,"")</f>
        <v/>
      </c>
      <c r="O1139" t="str">
        <f>IF(LEN(J1139),MATCH(J1139,'MPIO_SFIO Table'!$A$11:$A$65525,0)-1,"")</f>
        <v/>
      </c>
      <c r="P1139" t="str">
        <f>IF(LEN(K1139),MATCH(K1139,'MPIO_SFIO Table'!$A$11:$A$65525,0)-1,"")</f>
        <v/>
      </c>
      <c r="Q1139" t="str">
        <f>IF(LEN(L1139),MATCH(L1139,'MPIO_SFIO Table'!$A$11:$A$65525,0)-1,"")</f>
        <v/>
      </c>
      <c r="R1139" t="str">
        <f ca="1">IF(ISNUMBER(M1139),OFFSET('MPIO_SFIO Table'!$AJ$11,M1139,0),"")</f>
        <v/>
      </c>
      <c r="S1139" t="str">
        <f ca="1">IF(ISNUMBER(N1139),OFFSET('MPIO_SFIO Table'!$AJ$11,N1139,0),"")</f>
        <v/>
      </c>
      <c r="T1139" t="str">
        <f ca="1">IF(ISNUMBER(O1139),OFFSET('MPIO_SFIO Table'!$AJ$11,O1139,0),"")</f>
        <v/>
      </c>
      <c r="U1139" t="str">
        <f ca="1">IF(ISNUMBER(P1139),OFFSET('MPIO_SFIO Table'!$AJ$11,P1139,0),"")</f>
        <v/>
      </c>
      <c r="V1139" t="str">
        <f ca="1">IF(ISNUMBER(Q1139),OFFSET('MPIO_SFIO Table'!$AJ$11,Q1139,0),"")</f>
        <v/>
      </c>
      <c r="W1139">
        <f t="shared" ca="1" si="147"/>
        <v>0</v>
      </c>
      <c r="X1139">
        <f t="shared" ca="1" si="148"/>
        <v>0</v>
      </c>
      <c r="Y1139">
        <f t="shared" ca="1" si="149"/>
        <v>0</v>
      </c>
      <c r="Z1139">
        <f t="shared" ca="1" si="150"/>
        <v>0</v>
      </c>
      <c r="AA1139">
        <f t="shared" ca="1" si="151"/>
        <v>0</v>
      </c>
    </row>
    <row r="1140" spans="1:27" x14ac:dyDescent="0.25">
      <c r="A1140">
        <f t="shared" ca="1" si="144"/>
        <v>0</v>
      </c>
      <c r="B1140" t="str">
        <f t="shared" ca="1" si="145"/>
        <v/>
      </c>
      <c r="C1140" t="str">
        <f t="shared" si="146"/>
        <v/>
      </c>
      <c r="D1140" t="s">
        <v>253</v>
      </c>
      <c r="E1140" t="s">
        <v>253</v>
      </c>
      <c r="F1140" s="3" t="s">
        <v>253</v>
      </c>
      <c r="G1140" s="11" t="s">
        <v>253</v>
      </c>
      <c r="H1140" s="11" t="s">
        <v>253</v>
      </c>
      <c r="I1140" s="3" t="s">
        <v>253</v>
      </c>
      <c r="J1140" s="3" t="s">
        <v>253</v>
      </c>
      <c r="K1140" s="3" t="s">
        <v>253</v>
      </c>
      <c r="L1140" s="3" t="s">
        <v>253</v>
      </c>
      <c r="M1140" t="str">
        <f>IF(LEN(H1140),MATCH(H1140,'MPIO_SFIO Table'!$A$11:$A$65525,0)-1,"")</f>
        <v/>
      </c>
      <c r="N1140" t="str">
        <f>IF(LEN(I1140),MATCH(I1140,'MPIO_SFIO Table'!$A$11:$A$65525,0)-1,"")</f>
        <v/>
      </c>
      <c r="O1140" t="str">
        <f>IF(LEN(J1140),MATCH(J1140,'MPIO_SFIO Table'!$A$11:$A$65525,0)-1,"")</f>
        <v/>
      </c>
      <c r="P1140" t="str">
        <f>IF(LEN(K1140),MATCH(K1140,'MPIO_SFIO Table'!$A$11:$A$65525,0)-1,"")</f>
        <v/>
      </c>
      <c r="Q1140" t="str">
        <f>IF(LEN(L1140),MATCH(L1140,'MPIO_SFIO Table'!$A$11:$A$65525,0)-1,"")</f>
        <v/>
      </c>
      <c r="R1140" t="str">
        <f ca="1">IF(ISNUMBER(M1140),OFFSET('MPIO_SFIO Table'!$AJ$11,M1140,0),"")</f>
        <v/>
      </c>
      <c r="S1140" t="str">
        <f ca="1">IF(ISNUMBER(N1140),OFFSET('MPIO_SFIO Table'!$AJ$11,N1140,0),"")</f>
        <v/>
      </c>
      <c r="T1140" t="str">
        <f ca="1">IF(ISNUMBER(O1140),OFFSET('MPIO_SFIO Table'!$AJ$11,O1140,0),"")</f>
        <v/>
      </c>
      <c r="U1140" t="str">
        <f ca="1">IF(ISNUMBER(P1140),OFFSET('MPIO_SFIO Table'!$AJ$11,P1140,0),"")</f>
        <v/>
      </c>
      <c r="V1140" t="str">
        <f ca="1">IF(ISNUMBER(Q1140),OFFSET('MPIO_SFIO Table'!$AJ$11,Q1140,0),"")</f>
        <v/>
      </c>
      <c r="W1140">
        <f t="shared" ca="1" si="147"/>
        <v>0</v>
      </c>
      <c r="X1140">
        <f t="shared" ca="1" si="148"/>
        <v>0</v>
      </c>
      <c r="Y1140">
        <f t="shared" ca="1" si="149"/>
        <v>0</v>
      </c>
      <c r="Z1140">
        <f t="shared" ca="1" si="150"/>
        <v>0</v>
      </c>
      <c r="AA1140">
        <f t="shared" ca="1" si="151"/>
        <v>0</v>
      </c>
    </row>
    <row r="1141" spans="1:27" x14ac:dyDescent="0.25">
      <c r="A1141">
        <f t="shared" ca="1" si="144"/>
        <v>0</v>
      </c>
      <c r="B1141" t="str">
        <f t="shared" ca="1" si="145"/>
        <v/>
      </c>
      <c r="C1141" t="str">
        <f t="shared" si="146"/>
        <v/>
      </c>
      <c r="D1141" t="s">
        <v>253</v>
      </c>
      <c r="E1141" t="s">
        <v>253</v>
      </c>
      <c r="F1141" s="3" t="s">
        <v>253</v>
      </c>
      <c r="G1141" s="11" t="s">
        <v>253</v>
      </c>
      <c r="H1141" s="11" t="s">
        <v>253</v>
      </c>
      <c r="I1141" s="3" t="s">
        <v>253</v>
      </c>
      <c r="J1141" s="3" t="s">
        <v>253</v>
      </c>
      <c r="K1141" s="3" t="s">
        <v>253</v>
      </c>
      <c r="L1141" s="3" t="s">
        <v>253</v>
      </c>
      <c r="M1141" t="str">
        <f>IF(LEN(H1141),MATCH(H1141,'MPIO_SFIO Table'!$A$11:$A$65525,0)-1,"")</f>
        <v/>
      </c>
      <c r="N1141" t="str">
        <f>IF(LEN(I1141),MATCH(I1141,'MPIO_SFIO Table'!$A$11:$A$65525,0)-1,"")</f>
        <v/>
      </c>
      <c r="O1141" t="str">
        <f>IF(LEN(J1141),MATCH(J1141,'MPIO_SFIO Table'!$A$11:$A$65525,0)-1,"")</f>
        <v/>
      </c>
      <c r="P1141" t="str">
        <f>IF(LEN(K1141),MATCH(K1141,'MPIO_SFIO Table'!$A$11:$A$65525,0)-1,"")</f>
        <v/>
      </c>
      <c r="Q1141" t="str">
        <f>IF(LEN(L1141),MATCH(L1141,'MPIO_SFIO Table'!$A$11:$A$65525,0)-1,"")</f>
        <v/>
      </c>
      <c r="R1141" t="str">
        <f ca="1">IF(ISNUMBER(M1141),OFFSET('MPIO_SFIO Table'!$AJ$11,M1141,0),"")</f>
        <v/>
      </c>
      <c r="S1141" t="str">
        <f ca="1">IF(ISNUMBER(N1141),OFFSET('MPIO_SFIO Table'!$AJ$11,N1141,0),"")</f>
        <v/>
      </c>
      <c r="T1141" t="str">
        <f ca="1">IF(ISNUMBER(O1141),OFFSET('MPIO_SFIO Table'!$AJ$11,O1141,0),"")</f>
        <v/>
      </c>
      <c r="U1141" t="str">
        <f ca="1">IF(ISNUMBER(P1141),OFFSET('MPIO_SFIO Table'!$AJ$11,P1141,0),"")</f>
        <v/>
      </c>
      <c r="V1141" t="str">
        <f ca="1">IF(ISNUMBER(Q1141),OFFSET('MPIO_SFIO Table'!$AJ$11,Q1141,0),"")</f>
        <v/>
      </c>
      <c r="W1141">
        <f t="shared" ca="1" si="147"/>
        <v>0</v>
      </c>
      <c r="X1141">
        <f t="shared" ca="1" si="148"/>
        <v>0</v>
      </c>
      <c r="Y1141">
        <f t="shared" ca="1" si="149"/>
        <v>0</v>
      </c>
      <c r="Z1141">
        <f t="shared" ca="1" si="150"/>
        <v>0</v>
      </c>
      <c r="AA1141">
        <f t="shared" ca="1" si="151"/>
        <v>0</v>
      </c>
    </row>
    <row r="1142" spans="1:27" x14ac:dyDescent="0.25">
      <c r="A1142">
        <f t="shared" ca="1" si="144"/>
        <v>0</v>
      </c>
      <c r="B1142" t="str">
        <f t="shared" ca="1" si="145"/>
        <v/>
      </c>
      <c r="C1142" t="str">
        <f t="shared" si="146"/>
        <v/>
      </c>
      <c r="D1142" t="s">
        <v>253</v>
      </c>
      <c r="E1142" t="s">
        <v>253</v>
      </c>
      <c r="F1142" s="3" t="s">
        <v>253</v>
      </c>
      <c r="G1142" s="11" t="s">
        <v>253</v>
      </c>
      <c r="H1142" s="11" t="s">
        <v>253</v>
      </c>
      <c r="I1142" s="3" t="s">
        <v>253</v>
      </c>
      <c r="J1142" s="3" t="s">
        <v>253</v>
      </c>
      <c r="K1142" s="3" t="s">
        <v>253</v>
      </c>
      <c r="L1142" s="3" t="s">
        <v>253</v>
      </c>
      <c r="M1142" t="str">
        <f>IF(LEN(H1142),MATCH(H1142,'MPIO_SFIO Table'!$A$11:$A$65525,0)-1,"")</f>
        <v/>
      </c>
      <c r="N1142" t="str">
        <f>IF(LEN(I1142),MATCH(I1142,'MPIO_SFIO Table'!$A$11:$A$65525,0)-1,"")</f>
        <v/>
      </c>
      <c r="O1142" t="str">
        <f>IF(LEN(J1142),MATCH(J1142,'MPIO_SFIO Table'!$A$11:$A$65525,0)-1,"")</f>
        <v/>
      </c>
      <c r="P1142" t="str">
        <f>IF(LEN(K1142),MATCH(K1142,'MPIO_SFIO Table'!$A$11:$A$65525,0)-1,"")</f>
        <v/>
      </c>
      <c r="Q1142" t="str">
        <f>IF(LEN(L1142),MATCH(L1142,'MPIO_SFIO Table'!$A$11:$A$65525,0)-1,"")</f>
        <v/>
      </c>
      <c r="R1142" t="str">
        <f ca="1">IF(ISNUMBER(M1142),OFFSET('MPIO_SFIO Table'!$AJ$11,M1142,0),"")</f>
        <v/>
      </c>
      <c r="S1142" t="str">
        <f ca="1">IF(ISNUMBER(N1142),OFFSET('MPIO_SFIO Table'!$AJ$11,N1142,0),"")</f>
        <v/>
      </c>
      <c r="T1142" t="str">
        <f ca="1">IF(ISNUMBER(O1142),OFFSET('MPIO_SFIO Table'!$AJ$11,O1142,0),"")</f>
        <v/>
      </c>
      <c r="U1142" t="str">
        <f ca="1">IF(ISNUMBER(P1142),OFFSET('MPIO_SFIO Table'!$AJ$11,P1142,0),"")</f>
        <v/>
      </c>
      <c r="V1142" t="str">
        <f ca="1">IF(ISNUMBER(Q1142),OFFSET('MPIO_SFIO Table'!$AJ$11,Q1142,0),"")</f>
        <v/>
      </c>
      <c r="W1142">
        <f t="shared" ca="1" si="147"/>
        <v>0</v>
      </c>
      <c r="X1142">
        <f t="shared" ca="1" si="148"/>
        <v>0</v>
      </c>
      <c r="Y1142">
        <f t="shared" ca="1" si="149"/>
        <v>0</v>
      </c>
      <c r="Z1142">
        <f t="shared" ca="1" si="150"/>
        <v>0</v>
      </c>
      <c r="AA1142">
        <f t="shared" ca="1" si="151"/>
        <v>0</v>
      </c>
    </row>
    <row r="1143" spans="1:27" x14ac:dyDescent="0.25">
      <c r="A1143">
        <f t="shared" ca="1" si="144"/>
        <v>0</v>
      </c>
      <c r="B1143" t="str">
        <f t="shared" ca="1" si="145"/>
        <v/>
      </c>
      <c r="C1143" t="str">
        <f t="shared" si="146"/>
        <v/>
      </c>
      <c r="D1143" t="s">
        <v>253</v>
      </c>
      <c r="E1143" t="s">
        <v>253</v>
      </c>
      <c r="F1143" s="3" t="s">
        <v>253</v>
      </c>
      <c r="G1143" s="11" t="s">
        <v>253</v>
      </c>
      <c r="H1143" s="11" t="s">
        <v>253</v>
      </c>
      <c r="I1143" s="3" t="s">
        <v>253</v>
      </c>
      <c r="J1143" s="3" t="s">
        <v>253</v>
      </c>
      <c r="K1143" s="3" t="s">
        <v>253</v>
      </c>
      <c r="L1143" s="3" t="s">
        <v>253</v>
      </c>
      <c r="M1143" t="str">
        <f>IF(LEN(H1143),MATCH(H1143,'MPIO_SFIO Table'!$A$11:$A$65525,0)-1,"")</f>
        <v/>
      </c>
      <c r="N1143" t="str">
        <f>IF(LEN(I1143),MATCH(I1143,'MPIO_SFIO Table'!$A$11:$A$65525,0)-1,"")</f>
        <v/>
      </c>
      <c r="O1143" t="str">
        <f>IF(LEN(J1143),MATCH(J1143,'MPIO_SFIO Table'!$A$11:$A$65525,0)-1,"")</f>
        <v/>
      </c>
      <c r="P1143" t="str">
        <f>IF(LEN(K1143),MATCH(K1143,'MPIO_SFIO Table'!$A$11:$A$65525,0)-1,"")</f>
        <v/>
      </c>
      <c r="Q1143" t="str">
        <f>IF(LEN(L1143),MATCH(L1143,'MPIO_SFIO Table'!$A$11:$A$65525,0)-1,"")</f>
        <v/>
      </c>
      <c r="R1143" t="str">
        <f ca="1">IF(ISNUMBER(M1143),OFFSET('MPIO_SFIO Table'!$AJ$11,M1143,0),"")</f>
        <v/>
      </c>
      <c r="S1143" t="str">
        <f ca="1">IF(ISNUMBER(N1143),OFFSET('MPIO_SFIO Table'!$AJ$11,N1143,0),"")</f>
        <v/>
      </c>
      <c r="T1143" t="str">
        <f ca="1">IF(ISNUMBER(O1143),OFFSET('MPIO_SFIO Table'!$AJ$11,O1143,0),"")</f>
        <v/>
      </c>
      <c r="U1143" t="str">
        <f ca="1">IF(ISNUMBER(P1143),OFFSET('MPIO_SFIO Table'!$AJ$11,P1143,0),"")</f>
        <v/>
      </c>
      <c r="V1143" t="str">
        <f ca="1">IF(ISNUMBER(Q1143),OFFSET('MPIO_SFIO Table'!$AJ$11,Q1143,0),"")</f>
        <v/>
      </c>
      <c r="W1143">
        <f t="shared" ca="1" si="147"/>
        <v>0</v>
      </c>
      <c r="X1143">
        <f t="shared" ca="1" si="148"/>
        <v>0</v>
      </c>
      <c r="Y1143">
        <f t="shared" ca="1" si="149"/>
        <v>0</v>
      </c>
      <c r="Z1143">
        <f t="shared" ca="1" si="150"/>
        <v>0</v>
      </c>
      <c r="AA1143">
        <f t="shared" ca="1" si="151"/>
        <v>0</v>
      </c>
    </row>
    <row r="1144" spans="1:27" x14ac:dyDescent="0.25">
      <c r="A1144">
        <f t="shared" ca="1" si="144"/>
        <v>0</v>
      </c>
      <c r="B1144" t="str">
        <f t="shared" ca="1" si="145"/>
        <v/>
      </c>
      <c r="C1144" t="str">
        <f t="shared" si="146"/>
        <v/>
      </c>
      <c r="D1144" t="s">
        <v>253</v>
      </c>
      <c r="E1144" t="s">
        <v>253</v>
      </c>
      <c r="F1144" s="3" t="s">
        <v>253</v>
      </c>
      <c r="G1144" s="11" t="s">
        <v>253</v>
      </c>
      <c r="H1144" s="11" t="s">
        <v>253</v>
      </c>
      <c r="I1144" s="3" t="s">
        <v>253</v>
      </c>
      <c r="J1144" s="3" t="s">
        <v>253</v>
      </c>
      <c r="K1144" s="3" t="s">
        <v>253</v>
      </c>
      <c r="L1144" s="3" t="s">
        <v>253</v>
      </c>
      <c r="M1144" t="str">
        <f>IF(LEN(H1144),MATCH(H1144,'MPIO_SFIO Table'!$A$11:$A$65525,0)-1,"")</f>
        <v/>
      </c>
      <c r="N1144" t="str">
        <f>IF(LEN(I1144),MATCH(I1144,'MPIO_SFIO Table'!$A$11:$A$65525,0)-1,"")</f>
        <v/>
      </c>
      <c r="O1144" t="str">
        <f>IF(LEN(J1144),MATCH(J1144,'MPIO_SFIO Table'!$A$11:$A$65525,0)-1,"")</f>
        <v/>
      </c>
      <c r="P1144" t="str">
        <f>IF(LEN(K1144),MATCH(K1144,'MPIO_SFIO Table'!$A$11:$A$65525,0)-1,"")</f>
        <v/>
      </c>
      <c r="Q1144" t="str">
        <f>IF(LEN(L1144),MATCH(L1144,'MPIO_SFIO Table'!$A$11:$A$65525,0)-1,"")</f>
        <v/>
      </c>
      <c r="R1144" t="str">
        <f ca="1">IF(ISNUMBER(M1144),OFFSET('MPIO_SFIO Table'!$AJ$11,M1144,0),"")</f>
        <v/>
      </c>
      <c r="S1144" t="str">
        <f ca="1">IF(ISNUMBER(N1144),OFFSET('MPIO_SFIO Table'!$AJ$11,N1144,0),"")</f>
        <v/>
      </c>
      <c r="T1144" t="str">
        <f ca="1">IF(ISNUMBER(O1144),OFFSET('MPIO_SFIO Table'!$AJ$11,O1144,0),"")</f>
        <v/>
      </c>
      <c r="U1144" t="str">
        <f ca="1">IF(ISNUMBER(P1144),OFFSET('MPIO_SFIO Table'!$AJ$11,P1144,0),"")</f>
        <v/>
      </c>
      <c r="V1144" t="str">
        <f ca="1">IF(ISNUMBER(Q1144),OFFSET('MPIO_SFIO Table'!$AJ$11,Q1144,0),"")</f>
        <v/>
      </c>
      <c r="W1144">
        <f t="shared" ca="1" si="147"/>
        <v>0</v>
      </c>
      <c r="X1144">
        <f t="shared" ca="1" si="148"/>
        <v>0</v>
      </c>
      <c r="Y1144">
        <f t="shared" ca="1" si="149"/>
        <v>0</v>
      </c>
      <c r="Z1144">
        <f t="shared" ca="1" si="150"/>
        <v>0</v>
      </c>
      <c r="AA1144">
        <f t="shared" ca="1" si="151"/>
        <v>0</v>
      </c>
    </row>
    <row r="1145" spans="1:27" x14ac:dyDescent="0.25">
      <c r="A1145">
        <f t="shared" ca="1" si="144"/>
        <v>0</v>
      </c>
      <c r="B1145" t="str">
        <f t="shared" ca="1" si="145"/>
        <v/>
      </c>
      <c r="C1145" t="str">
        <f t="shared" si="146"/>
        <v/>
      </c>
      <c r="D1145" t="s">
        <v>253</v>
      </c>
      <c r="E1145" t="s">
        <v>253</v>
      </c>
      <c r="F1145" s="3" t="s">
        <v>253</v>
      </c>
      <c r="G1145" s="11" t="s">
        <v>253</v>
      </c>
      <c r="H1145" s="11" t="s">
        <v>253</v>
      </c>
      <c r="I1145" s="3" t="s">
        <v>253</v>
      </c>
      <c r="J1145" s="3" t="s">
        <v>253</v>
      </c>
      <c r="K1145" s="3" t="s">
        <v>253</v>
      </c>
      <c r="L1145" s="3" t="s">
        <v>253</v>
      </c>
      <c r="M1145" t="str">
        <f>IF(LEN(H1145),MATCH(H1145,'MPIO_SFIO Table'!$A$11:$A$65525,0)-1,"")</f>
        <v/>
      </c>
      <c r="N1145" t="str">
        <f>IF(LEN(I1145),MATCH(I1145,'MPIO_SFIO Table'!$A$11:$A$65525,0)-1,"")</f>
        <v/>
      </c>
      <c r="O1145" t="str">
        <f>IF(LEN(J1145),MATCH(J1145,'MPIO_SFIO Table'!$A$11:$A$65525,0)-1,"")</f>
        <v/>
      </c>
      <c r="P1145" t="str">
        <f>IF(LEN(K1145),MATCH(K1145,'MPIO_SFIO Table'!$A$11:$A$65525,0)-1,"")</f>
        <v/>
      </c>
      <c r="Q1145" t="str">
        <f>IF(LEN(L1145),MATCH(L1145,'MPIO_SFIO Table'!$A$11:$A$65525,0)-1,"")</f>
        <v/>
      </c>
      <c r="R1145" t="str">
        <f ca="1">IF(ISNUMBER(M1145),OFFSET('MPIO_SFIO Table'!$AJ$11,M1145,0),"")</f>
        <v/>
      </c>
      <c r="S1145" t="str">
        <f ca="1">IF(ISNUMBER(N1145),OFFSET('MPIO_SFIO Table'!$AJ$11,N1145,0),"")</f>
        <v/>
      </c>
      <c r="T1145" t="str">
        <f ca="1">IF(ISNUMBER(O1145),OFFSET('MPIO_SFIO Table'!$AJ$11,O1145,0),"")</f>
        <v/>
      </c>
      <c r="U1145" t="str">
        <f ca="1">IF(ISNUMBER(P1145),OFFSET('MPIO_SFIO Table'!$AJ$11,P1145,0),"")</f>
        <v/>
      </c>
      <c r="V1145" t="str">
        <f ca="1">IF(ISNUMBER(Q1145),OFFSET('MPIO_SFIO Table'!$AJ$11,Q1145,0),"")</f>
        <v/>
      </c>
      <c r="W1145">
        <f t="shared" ca="1" si="147"/>
        <v>0</v>
      </c>
      <c r="X1145">
        <f t="shared" ca="1" si="148"/>
        <v>0</v>
      </c>
      <c r="Y1145">
        <f t="shared" ca="1" si="149"/>
        <v>0</v>
      </c>
      <c r="Z1145">
        <f t="shared" ca="1" si="150"/>
        <v>0</v>
      </c>
      <c r="AA1145">
        <f t="shared" ca="1" si="151"/>
        <v>0</v>
      </c>
    </row>
    <row r="1146" spans="1:27" x14ac:dyDescent="0.25">
      <c r="A1146">
        <f t="shared" ca="1" si="144"/>
        <v>0</v>
      </c>
      <c r="B1146" t="str">
        <f t="shared" ca="1" si="145"/>
        <v/>
      </c>
      <c r="C1146" t="str">
        <f t="shared" si="146"/>
        <v/>
      </c>
      <c r="D1146" t="s">
        <v>253</v>
      </c>
      <c r="E1146" t="s">
        <v>253</v>
      </c>
      <c r="F1146" s="3" t="s">
        <v>253</v>
      </c>
      <c r="G1146" s="11" t="s">
        <v>253</v>
      </c>
      <c r="H1146" s="11" t="s">
        <v>253</v>
      </c>
      <c r="I1146" s="3" t="s">
        <v>253</v>
      </c>
      <c r="J1146" s="3" t="s">
        <v>253</v>
      </c>
      <c r="K1146" s="3" t="s">
        <v>253</v>
      </c>
      <c r="L1146" s="3" t="s">
        <v>253</v>
      </c>
      <c r="M1146" t="str">
        <f>IF(LEN(H1146),MATCH(H1146,'MPIO_SFIO Table'!$A$11:$A$65525,0)-1,"")</f>
        <v/>
      </c>
      <c r="N1146" t="str">
        <f>IF(LEN(I1146),MATCH(I1146,'MPIO_SFIO Table'!$A$11:$A$65525,0)-1,"")</f>
        <v/>
      </c>
      <c r="O1146" t="str">
        <f>IF(LEN(J1146),MATCH(J1146,'MPIO_SFIO Table'!$A$11:$A$65525,0)-1,"")</f>
        <v/>
      </c>
      <c r="P1146" t="str">
        <f>IF(LEN(K1146),MATCH(K1146,'MPIO_SFIO Table'!$A$11:$A$65525,0)-1,"")</f>
        <v/>
      </c>
      <c r="Q1146" t="str">
        <f>IF(LEN(L1146),MATCH(L1146,'MPIO_SFIO Table'!$A$11:$A$65525,0)-1,"")</f>
        <v/>
      </c>
      <c r="R1146" t="str">
        <f ca="1">IF(ISNUMBER(M1146),OFFSET('MPIO_SFIO Table'!$AJ$11,M1146,0),"")</f>
        <v/>
      </c>
      <c r="S1146" t="str">
        <f ca="1">IF(ISNUMBER(N1146),OFFSET('MPIO_SFIO Table'!$AJ$11,N1146,0),"")</f>
        <v/>
      </c>
      <c r="T1146" t="str">
        <f ca="1">IF(ISNUMBER(O1146),OFFSET('MPIO_SFIO Table'!$AJ$11,O1146,0),"")</f>
        <v/>
      </c>
      <c r="U1146" t="str">
        <f ca="1">IF(ISNUMBER(P1146),OFFSET('MPIO_SFIO Table'!$AJ$11,P1146,0),"")</f>
        <v/>
      </c>
      <c r="V1146" t="str">
        <f ca="1">IF(ISNUMBER(Q1146),OFFSET('MPIO_SFIO Table'!$AJ$11,Q1146,0),"")</f>
        <v/>
      </c>
      <c r="W1146">
        <f t="shared" ca="1" si="147"/>
        <v>0</v>
      </c>
      <c r="X1146">
        <f t="shared" ca="1" si="148"/>
        <v>0</v>
      </c>
      <c r="Y1146">
        <f t="shared" ca="1" si="149"/>
        <v>0</v>
      </c>
      <c r="Z1146">
        <f t="shared" ca="1" si="150"/>
        <v>0</v>
      </c>
      <c r="AA1146">
        <f t="shared" ca="1" si="151"/>
        <v>0</v>
      </c>
    </row>
    <row r="1147" spans="1:27" x14ac:dyDescent="0.25">
      <c r="A1147">
        <f t="shared" ca="1" si="144"/>
        <v>0</v>
      </c>
      <c r="B1147" t="str">
        <f t="shared" ca="1" si="145"/>
        <v/>
      </c>
      <c r="C1147" t="str">
        <f t="shared" si="146"/>
        <v/>
      </c>
      <c r="D1147" t="s">
        <v>253</v>
      </c>
      <c r="E1147" t="s">
        <v>253</v>
      </c>
      <c r="F1147" s="3" t="s">
        <v>253</v>
      </c>
      <c r="G1147" s="11" t="s">
        <v>253</v>
      </c>
      <c r="H1147" s="11" t="s">
        <v>253</v>
      </c>
      <c r="I1147" s="3" t="s">
        <v>253</v>
      </c>
      <c r="J1147" s="3" t="s">
        <v>253</v>
      </c>
      <c r="K1147" s="3" t="s">
        <v>253</v>
      </c>
      <c r="L1147" s="3" t="s">
        <v>253</v>
      </c>
      <c r="M1147" t="str">
        <f>IF(LEN(H1147),MATCH(H1147,'MPIO_SFIO Table'!$A$11:$A$65525,0)-1,"")</f>
        <v/>
      </c>
      <c r="N1147" t="str">
        <f>IF(LEN(I1147),MATCH(I1147,'MPIO_SFIO Table'!$A$11:$A$65525,0)-1,"")</f>
        <v/>
      </c>
      <c r="O1147" t="str">
        <f>IF(LEN(J1147),MATCH(J1147,'MPIO_SFIO Table'!$A$11:$A$65525,0)-1,"")</f>
        <v/>
      </c>
      <c r="P1147" t="str">
        <f>IF(LEN(K1147),MATCH(K1147,'MPIO_SFIO Table'!$A$11:$A$65525,0)-1,"")</f>
        <v/>
      </c>
      <c r="Q1147" t="str">
        <f>IF(LEN(L1147),MATCH(L1147,'MPIO_SFIO Table'!$A$11:$A$65525,0)-1,"")</f>
        <v/>
      </c>
      <c r="R1147" t="str">
        <f ca="1">IF(ISNUMBER(M1147),OFFSET('MPIO_SFIO Table'!$AJ$11,M1147,0),"")</f>
        <v/>
      </c>
      <c r="S1147" t="str">
        <f ca="1">IF(ISNUMBER(N1147),OFFSET('MPIO_SFIO Table'!$AJ$11,N1147,0),"")</f>
        <v/>
      </c>
      <c r="T1147" t="str">
        <f ca="1">IF(ISNUMBER(O1147),OFFSET('MPIO_SFIO Table'!$AJ$11,O1147,0),"")</f>
        <v/>
      </c>
      <c r="U1147" t="str">
        <f ca="1">IF(ISNUMBER(P1147),OFFSET('MPIO_SFIO Table'!$AJ$11,P1147,0),"")</f>
        <v/>
      </c>
      <c r="V1147" t="str">
        <f ca="1">IF(ISNUMBER(Q1147),OFFSET('MPIO_SFIO Table'!$AJ$11,Q1147,0),"")</f>
        <v/>
      </c>
      <c r="W1147">
        <f t="shared" ca="1" si="147"/>
        <v>0</v>
      </c>
      <c r="X1147">
        <f t="shared" ca="1" si="148"/>
        <v>0</v>
      </c>
      <c r="Y1147">
        <f t="shared" ca="1" si="149"/>
        <v>0</v>
      </c>
      <c r="Z1147">
        <f t="shared" ca="1" si="150"/>
        <v>0</v>
      </c>
      <c r="AA1147">
        <f t="shared" ca="1" si="151"/>
        <v>0</v>
      </c>
    </row>
    <row r="1148" spans="1:27" x14ac:dyDescent="0.25">
      <c r="A1148">
        <f t="shared" ca="1" si="144"/>
        <v>0</v>
      </c>
      <c r="B1148" t="str">
        <f t="shared" ca="1" si="145"/>
        <v/>
      </c>
      <c r="C1148" t="str">
        <f t="shared" si="146"/>
        <v/>
      </c>
      <c r="D1148" t="s">
        <v>253</v>
      </c>
      <c r="E1148" t="s">
        <v>253</v>
      </c>
      <c r="F1148" s="3" t="s">
        <v>253</v>
      </c>
      <c r="G1148" s="11" t="s">
        <v>253</v>
      </c>
      <c r="H1148" s="11" t="s">
        <v>253</v>
      </c>
      <c r="I1148" s="3" t="s">
        <v>253</v>
      </c>
      <c r="J1148" s="3" t="s">
        <v>253</v>
      </c>
      <c r="K1148" s="3" t="s">
        <v>253</v>
      </c>
      <c r="L1148" s="3" t="s">
        <v>253</v>
      </c>
      <c r="M1148" t="str">
        <f>IF(LEN(H1148),MATCH(H1148,'MPIO_SFIO Table'!$A$11:$A$65525,0)-1,"")</f>
        <v/>
      </c>
      <c r="N1148" t="str">
        <f>IF(LEN(I1148),MATCH(I1148,'MPIO_SFIO Table'!$A$11:$A$65525,0)-1,"")</f>
        <v/>
      </c>
      <c r="O1148" t="str">
        <f>IF(LEN(J1148),MATCH(J1148,'MPIO_SFIO Table'!$A$11:$A$65525,0)-1,"")</f>
        <v/>
      </c>
      <c r="P1148" t="str">
        <f>IF(LEN(K1148),MATCH(K1148,'MPIO_SFIO Table'!$A$11:$A$65525,0)-1,"")</f>
        <v/>
      </c>
      <c r="Q1148" t="str">
        <f>IF(LEN(L1148),MATCH(L1148,'MPIO_SFIO Table'!$A$11:$A$65525,0)-1,"")</f>
        <v/>
      </c>
      <c r="R1148" t="str">
        <f ca="1">IF(ISNUMBER(M1148),OFFSET('MPIO_SFIO Table'!$AJ$11,M1148,0),"")</f>
        <v/>
      </c>
      <c r="S1148" t="str">
        <f ca="1">IF(ISNUMBER(N1148),OFFSET('MPIO_SFIO Table'!$AJ$11,N1148,0),"")</f>
        <v/>
      </c>
      <c r="T1148" t="str">
        <f ca="1">IF(ISNUMBER(O1148),OFFSET('MPIO_SFIO Table'!$AJ$11,O1148,0),"")</f>
        <v/>
      </c>
      <c r="U1148" t="str">
        <f ca="1">IF(ISNUMBER(P1148),OFFSET('MPIO_SFIO Table'!$AJ$11,P1148,0),"")</f>
        <v/>
      </c>
      <c r="V1148" t="str">
        <f ca="1">IF(ISNUMBER(Q1148),OFFSET('MPIO_SFIO Table'!$AJ$11,Q1148,0),"")</f>
        <v/>
      </c>
      <c r="W1148">
        <f t="shared" ca="1" si="147"/>
        <v>0</v>
      </c>
      <c r="X1148">
        <f t="shared" ca="1" si="148"/>
        <v>0</v>
      </c>
      <c r="Y1148">
        <f t="shared" ca="1" si="149"/>
        <v>0</v>
      </c>
      <c r="Z1148">
        <f t="shared" ca="1" si="150"/>
        <v>0</v>
      </c>
      <c r="AA1148">
        <f t="shared" ca="1" si="151"/>
        <v>0</v>
      </c>
    </row>
    <row r="1149" spans="1:27" x14ac:dyDescent="0.25">
      <c r="A1149">
        <f t="shared" ca="1" si="144"/>
        <v>0</v>
      </c>
      <c r="B1149" t="str">
        <f t="shared" ca="1" si="145"/>
        <v/>
      </c>
      <c r="C1149" t="str">
        <f t="shared" si="146"/>
        <v/>
      </c>
      <c r="D1149" t="s">
        <v>253</v>
      </c>
      <c r="E1149" t="s">
        <v>253</v>
      </c>
      <c r="F1149" s="3" t="s">
        <v>253</v>
      </c>
      <c r="G1149" s="11" t="s">
        <v>253</v>
      </c>
      <c r="H1149" s="11" t="s">
        <v>253</v>
      </c>
      <c r="I1149" s="3" t="s">
        <v>253</v>
      </c>
      <c r="J1149" s="3" t="s">
        <v>253</v>
      </c>
      <c r="K1149" s="3" t="s">
        <v>253</v>
      </c>
      <c r="L1149" s="3" t="s">
        <v>253</v>
      </c>
      <c r="M1149" t="str">
        <f>IF(LEN(H1149),MATCH(H1149,'MPIO_SFIO Table'!$A$11:$A$65525,0)-1,"")</f>
        <v/>
      </c>
      <c r="N1149" t="str">
        <f>IF(LEN(I1149),MATCH(I1149,'MPIO_SFIO Table'!$A$11:$A$65525,0)-1,"")</f>
        <v/>
      </c>
      <c r="O1149" t="str">
        <f>IF(LEN(J1149),MATCH(J1149,'MPIO_SFIO Table'!$A$11:$A$65525,0)-1,"")</f>
        <v/>
      </c>
      <c r="P1149" t="str">
        <f>IF(LEN(K1149),MATCH(K1149,'MPIO_SFIO Table'!$A$11:$A$65525,0)-1,"")</f>
        <v/>
      </c>
      <c r="Q1149" t="str">
        <f>IF(LEN(L1149),MATCH(L1149,'MPIO_SFIO Table'!$A$11:$A$65525,0)-1,"")</f>
        <v/>
      </c>
      <c r="R1149" t="str">
        <f ca="1">IF(ISNUMBER(M1149),OFFSET('MPIO_SFIO Table'!$AJ$11,M1149,0),"")</f>
        <v/>
      </c>
      <c r="S1149" t="str">
        <f ca="1">IF(ISNUMBER(N1149),OFFSET('MPIO_SFIO Table'!$AJ$11,N1149,0),"")</f>
        <v/>
      </c>
      <c r="T1149" t="str">
        <f ca="1">IF(ISNUMBER(O1149),OFFSET('MPIO_SFIO Table'!$AJ$11,O1149,0),"")</f>
        <v/>
      </c>
      <c r="U1149" t="str">
        <f ca="1">IF(ISNUMBER(P1149),OFFSET('MPIO_SFIO Table'!$AJ$11,P1149,0),"")</f>
        <v/>
      </c>
      <c r="V1149" t="str">
        <f ca="1">IF(ISNUMBER(Q1149),OFFSET('MPIO_SFIO Table'!$AJ$11,Q1149,0),"")</f>
        <v/>
      </c>
      <c r="W1149">
        <f t="shared" ca="1" si="147"/>
        <v>0</v>
      </c>
      <c r="X1149">
        <f t="shared" ca="1" si="148"/>
        <v>0</v>
      </c>
      <c r="Y1149">
        <f t="shared" ca="1" si="149"/>
        <v>0</v>
      </c>
      <c r="Z1149">
        <f t="shared" ca="1" si="150"/>
        <v>0</v>
      </c>
      <c r="AA1149">
        <f t="shared" ca="1" si="151"/>
        <v>0</v>
      </c>
    </row>
    <row r="1150" spans="1:27" x14ac:dyDescent="0.25">
      <c r="A1150">
        <f t="shared" ca="1" si="144"/>
        <v>0</v>
      </c>
      <c r="B1150" t="str">
        <f t="shared" ca="1" si="145"/>
        <v/>
      </c>
      <c r="C1150" t="str">
        <f t="shared" si="146"/>
        <v/>
      </c>
      <c r="D1150" t="s">
        <v>253</v>
      </c>
      <c r="E1150" t="s">
        <v>253</v>
      </c>
      <c r="F1150" s="3" t="s">
        <v>253</v>
      </c>
      <c r="G1150" s="11" t="s">
        <v>253</v>
      </c>
      <c r="H1150" s="11" t="s">
        <v>253</v>
      </c>
      <c r="I1150" s="3" t="s">
        <v>253</v>
      </c>
      <c r="J1150" s="3" t="s">
        <v>253</v>
      </c>
      <c r="K1150" s="3" t="s">
        <v>253</v>
      </c>
      <c r="L1150" s="3" t="s">
        <v>253</v>
      </c>
      <c r="M1150" t="str">
        <f>IF(LEN(H1150),MATCH(H1150,'MPIO_SFIO Table'!$A$11:$A$65525,0)-1,"")</f>
        <v/>
      </c>
      <c r="N1150" t="str">
        <f>IF(LEN(I1150),MATCH(I1150,'MPIO_SFIO Table'!$A$11:$A$65525,0)-1,"")</f>
        <v/>
      </c>
      <c r="O1150" t="str">
        <f>IF(LEN(J1150),MATCH(J1150,'MPIO_SFIO Table'!$A$11:$A$65525,0)-1,"")</f>
        <v/>
      </c>
      <c r="P1150" t="str">
        <f>IF(LEN(K1150),MATCH(K1150,'MPIO_SFIO Table'!$A$11:$A$65525,0)-1,"")</f>
        <v/>
      </c>
      <c r="Q1150" t="str">
        <f>IF(LEN(L1150),MATCH(L1150,'MPIO_SFIO Table'!$A$11:$A$65525,0)-1,"")</f>
        <v/>
      </c>
      <c r="R1150" t="str">
        <f ca="1">IF(ISNUMBER(M1150),OFFSET('MPIO_SFIO Table'!$AJ$11,M1150,0),"")</f>
        <v/>
      </c>
      <c r="S1150" t="str">
        <f ca="1">IF(ISNUMBER(N1150),OFFSET('MPIO_SFIO Table'!$AJ$11,N1150,0),"")</f>
        <v/>
      </c>
      <c r="T1150" t="str">
        <f ca="1">IF(ISNUMBER(O1150),OFFSET('MPIO_SFIO Table'!$AJ$11,O1150,0),"")</f>
        <v/>
      </c>
      <c r="U1150" t="str">
        <f ca="1">IF(ISNUMBER(P1150),OFFSET('MPIO_SFIO Table'!$AJ$11,P1150,0),"")</f>
        <v/>
      </c>
      <c r="V1150" t="str">
        <f ca="1">IF(ISNUMBER(Q1150),OFFSET('MPIO_SFIO Table'!$AJ$11,Q1150,0),"")</f>
        <v/>
      </c>
      <c r="W1150">
        <f t="shared" ca="1" si="147"/>
        <v>0</v>
      </c>
      <c r="X1150">
        <f t="shared" ca="1" si="148"/>
        <v>0</v>
      </c>
      <c r="Y1150">
        <f t="shared" ca="1" si="149"/>
        <v>0</v>
      </c>
      <c r="Z1150">
        <f t="shared" ca="1" si="150"/>
        <v>0</v>
      </c>
      <c r="AA1150">
        <f t="shared" ca="1" si="151"/>
        <v>0</v>
      </c>
    </row>
    <row r="1151" spans="1:27" x14ac:dyDescent="0.25">
      <c r="A1151">
        <f t="shared" ca="1" si="144"/>
        <v>0</v>
      </c>
      <c r="B1151" t="str">
        <f t="shared" ca="1" si="145"/>
        <v/>
      </c>
      <c r="C1151" t="str">
        <f t="shared" si="146"/>
        <v/>
      </c>
      <c r="D1151" t="s">
        <v>253</v>
      </c>
      <c r="E1151" t="s">
        <v>253</v>
      </c>
      <c r="F1151" s="3" t="s">
        <v>253</v>
      </c>
      <c r="G1151" s="11" t="s">
        <v>253</v>
      </c>
      <c r="H1151" s="11" t="s">
        <v>253</v>
      </c>
      <c r="I1151" s="3" t="s">
        <v>253</v>
      </c>
      <c r="J1151" s="3" t="s">
        <v>253</v>
      </c>
      <c r="K1151" s="3" t="s">
        <v>253</v>
      </c>
      <c r="L1151" s="3" t="s">
        <v>253</v>
      </c>
      <c r="M1151" t="str">
        <f>IF(LEN(H1151),MATCH(H1151,'MPIO_SFIO Table'!$A$11:$A$65525,0)-1,"")</f>
        <v/>
      </c>
      <c r="N1151" t="str">
        <f>IF(LEN(I1151),MATCH(I1151,'MPIO_SFIO Table'!$A$11:$A$65525,0)-1,"")</f>
        <v/>
      </c>
      <c r="O1151" t="str">
        <f>IF(LEN(J1151),MATCH(J1151,'MPIO_SFIO Table'!$A$11:$A$65525,0)-1,"")</f>
        <v/>
      </c>
      <c r="P1151" t="str">
        <f>IF(LEN(K1151),MATCH(K1151,'MPIO_SFIO Table'!$A$11:$A$65525,0)-1,"")</f>
        <v/>
      </c>
      <c r="Q1151" t="str">
        <f>IF(LEN(L1151),MATCH(L1151,'MPIO_SFIO Table'!$A$11:$A$65525,0)-1,"")</f>
        <v/>
      </c>
      <c r="R1151" t="str">
        <f ca="1">IF(ISNUMBER(M1151),OFFSET('MPIO_SFIO Table'!$AJ$11,M1151,0),"")</f>
        <v/>
      </c>
      <c r="S1151" t="str">
        <f ca="1">IF(ISNUMBER(N1151),OFFSET('MPIO_SFIO Table'!$AJ$11,N1151,0),"")</f>
        <v/>
      </c>
      <c r="T1151" t="str">
        <f ca="1">IF(ISNUMBER(O1151),OFFSET('MPIO_SFIO Table'!$AJ$11,O1151,0),"")</f>
        <v/>
      </c>
      <c r="U1151" t="str">
        <f ca="1">IF(ISNUMBER(P1151),OFFSET('MPIO_SFIO Table'!$AJ$11,P1151,0),"")</f>
        <v/>
      </c>
      <c r="V1151" t="str">
        <f ca="1">IF(ISNUMBER(Q1151),OFFSET('MPIO_SFIO Table'!$AJ$11,Q1151,0),"")</f>
        <v/>
      </c>
      <c r="W1151">
        <f t="shared" ca="1" si="147"/>
        <v>0</v>
      </c>
      <c r="X1151">
        <f t="shared" ca="1" si="148"/>
        <v>0</v>
      </c>
      <c r="Y1151">
        <f t="shared" ca="1" si="149"/>
        <v>0</v>
      </c>
      <c r="Z1151">
        <f t="shared" ca="1" si="150"/>
        <v>0</v>
      </c>
      <c r="AA1151">
        <f t="shared" ca="1" si="151"/>
        <v>0</v>
      </c>
    </row>
    <row r="1152" spans="1:27" x14ac:dyDescent="0.25">
      <c r="A1152">
        <f t="shared" ca="1" si="144"/>
        <v>0</v>
      </c>
      <c r="B1152" t="str">
        <f t="shared" ca="1" si="145"/>
        <v/>
      </c>
      <c r="C1152" t="str">
        <f t="shared" si="146"/>
        <v/>
      </c>
      <c r="D1152" t="s">
        <v>253</v>
      </c>
      <c r="E1152" t="s">
        <v>253</v>
      </c>
      <c r="F1152" s="3" t="s">
        <v>253</v>
      </c>
      <c r="G1152" s="11" t="s">
        <v>253</v>
      </c>
      <c r="H1152" s="11" t="s">
        <v>253</v>
      </c>
      <c r="I1152" s="3" t="s">
        <v>253</v>
      </c>
      <c r="J1152" s="3" t="s">
        <v>253</v>
      </c>
      <c r="K1152" s="3" t="s">
        <v>253</v>
      </c>
      <c r="L1152" s="3" t="s">
        <v>253</v>
      </c>
      <c r="M1152" t="str">
        <f>IF(LEN(H1152),MATCH(H1152,'MPIO_SFIO Table'!$A$11:$A$65525,0)-1,"")</f>
        <v/>
      </c>
      <c r="N1152" t="str">
        <f>IF(LEN(I1152),MATCH(I1152,'MPIO_SFIO Table'!$A$11:$A$65525,0)-1,"")</f>
        <v/>
      </c>
      <c r="O1152" t="str">
        <f>IF(LEN(J1152),MATCH(J1152,'MPIO_SFIO Table'!$A$11:$A$65525,0)-1,"")</f>
        <v/>
      </c>
      <c r="P1152" t="str">
        <f>IF(LEN(K1152),MATCH(K1152,'MPIO_SFIO Table'!$A$11:$A$65525,0)-1,"")</f>
        <v/>
      </c>
      <c r="Q1152" t="str">
        <f>IF(LEN(L1152),MATCH(L1152,'MPIO_SFIO Table'!$A$11:$A$65525,0)-1,"")</f>
        <v/>
      </c>
      <c r="R1152" t="str">
        <f ca="1">IF(ISNUMBER(M1152),OFFSET('MPIO_SFIO Table'!$AJ$11,M1152,0),"")</f>
        <v/>
      </c>
      <c r="S1152" t="str">
        <f ca="1">IF(ISNUMBER(N1152),OFFSET('MPIO_SFIO Table'!$AJ$11,N1152,0),"")</f>
        <v/>
      </c>
      <c r="T1152" t="str">
        <f ca="1">IF(ISNUMBER(O1152),OFFSET('MPIO_SFIO Table'!$AJ$11,O1152,0),"")</f>
        <v/>
      </c>
      <c r="U1152" t="str">
        <f ca="1">IF(ISNUMBER(P1152),OFFSET('MPIO_SFIO Table'!$AJ$11,P1152,0),"")</f>
        <v/>
      </c>
      <c r="V1152" t="str">
        <f ca="1">IF(ISNUMBER(Q1152),OFFSET('MPIO_SFIO Table'!$AJ$11,Q1152,0),"")</f>
        <v/>
      </c>
      <c r="W1152">
        <f t="shared" ca="1" si="147"/>
        <v>0</v>
      </c>
      <c r="X1152">
        <f t="shared" ca="1" si="148"/>
        <v>0</v>
      </c>
      <c r="Y1152">
        <f t="shared" ca="1" si="149"/>
        <v>0</v>
      </c>
      <c r="Z1152">
        <f t="shared" ca="1" si="150"/>
        <v>0</v>
      </c>
      <c r="AA1152">
        <f t="shared" ca="1" si="151"/>
        <v>0</v>
      </c>
    </row>
    <row r="1153" spans="1:27" x14ac:dyDescent="0.25">
      <c r="A1153">
        <f t="shared" ca="1" si="144"/>
        <v>0</v>
      </c>
      <c r="B1153" t="str">
        <f t="shared" ca="1" si="145"/>
        <v/>
      </c>
      <c r="C1153" t="str">
        <f t="shared" si="146"/>
        <v/>
      </c>
      <c r="D1153" t="s">
        <v>253</v>
      </c>
      <c r="E1153" t="s">
        <v>253</v>
      </c>
      <c r="F1153" s="3" t="s">
        <v>253</v>
      </c>
      <c r="G1153" s="11" t="s">
        <v>253</v>
      </c>
      <c r="H1153" s="11" t="s">
        <v>253</v>
      </c>
      <c r="I1153" s="3" t="s">
        <v>253</v>
      </c>
      <c r="J1153" s="3" t="s">
        <v>253</v>
      </c>
      <c r="K1153" s="3" t="s">
        <v>253</v>
      </c>
      <c r="L1153" s="3" t="s">
        <v>253</v>
      </c>
      <c r="M1153" t="str">
        <f>IF(LEN(H1153),MATCH(H1153,'MPIO_SFIO Table'!$A$11:$A$65525,0)-1,"")</f>
        <v/>
      </c>
      <c r="N1153" t="str">
        <f>IF(LEN(I1153),MATCH(I1153,'MPIO_SFIO Table'!$A$11:$A$65525,0)-1,"")</f>
        <v/>
      </c>
      <c r="O1153" t="str">
        <f>IF(LEN(J1153),MATCH(J1153,'MPIO_SFIO Table'!$A$11:$A$65525,0)-1,"")</f>
        <v/>
      </c>
      <c r="P1153" t="str">
        <f>IF(LEN(K1153),MATCH(K1153,'MPIO_SFIO Table'!$A$11:$A$65525,0)-1,"")</f>
        <v/>
      </c>
      <c r="Q1153" t="str">
        <f>IF(LEN(L1153),MATCH(L1153,'MPIO_SFIO Table'!$A$11:$A$65525,0)-1,"")</f>
        <v/>
      </c>
      <c r="R1153" t="str">
        <f ca="1">IF(ISNUMBER(M1153),OFFSET('MPIO_SFIO Table'!$AJ$11,M1153,0),"")</f>
        <v/>
      </c>
      <c r="S1153" t="str">
        <f ca="1">IF(ISNUMBER(N1153),OFFSET('MPIO_SFIO Table'!$AJ$11,N1153,0),"")</f>
        <v/>
      </c>
      <c r="T1153" t="str">
        <f ca="1">IF(ISNUMBER(O1153),OFFSET('MPIO_SFIO Table'!$AJ$11,O1153,0),"")</f>
        <v/>
      </c>
      <c r="U1153" t="str">
        <f ca="1">IF(ISNUMBER(P1153),OFFSET('MPIO_SFIO Table'!$AJ$11,P1153,0),"")</f>
        <v/>
      </c>
      <c r="V1153" t="str">
        <f ca="1">IF(ISNUMBER(Q1153),OFFSET('MPIO_SFIO Table'!$AJ$11,Q1153,0),"")</f>
        <v/>
      </c>
      <c r="W1153">
        <f t="shared" ca="1" si="147"/>
        <v>0</v>
      </c>
      <c r="X1153">
        <f t="shared" ca="1" si="148"/>
        <v>0</v>
      </c>
      <c r="Y1153">
        <f t="shared" ca="1" si="149"/>
        <v>0</v>
      </c>
      <c r="Z1153">
        <f t="shared" ca="1" si="150"/>
        <v>0</v>
      </c>
      <c r="AA1153">
        <f t="shared" ca="1" si="151"/>
        <v>0</v>
      </c>
    </row>
    <row r="1154" spans="1:27" x14ac:dyDescent="0.25">
      <c r="A1154">
        <f t="shared" ca="1" si="144"/>
        <v>0</v>
      </c>
      <c r="B1154" t="str">
        <f t="shared" ca="1" si="145"/>
        <v/>
      </c>
      <c r="C1154" t="str">
        <f t="shared" si="146"/>
        <v/>
      </c>
      <c r="D1154" t="s">
        <v>253</v>
      </c>
      <c r="E1154" t="s">
        <v>253</v>
      </c>
      <c r="F1154" s="3" t="s">
        <v>253</v>
      </c>
      <c r="G1154" s="11" t="s">
        <v>253</v>
      </c>
      <c r="H1154" s="11" t="s">
        <v>253</v>
      </c>
      <c r="I1154" s="3" t="s">
        <v>253</v>
      </c>
      <c r="J1154" s="3" t="s">
        <v>253</v>
      </c>
      <c r="K1154" s="3" t="s">
        <v>253</v>
      </c>
      <c r="L1154" s="3" t="s">
        <v>253</v>
      </c>
      <c r="M1154" t="str">
        <f>IF(LEN(H1154),MATCH(H1154,'MPIO_SFIO Table'!$A$11:$A$65525,0)-1,"")</f>
        <v/>
      </c>
      <c r="N1154" t="str">
        <f>IF(LEN(I1154),MATCH(I1154,'MPIO_SFIO Table'!$A$11:$A$65525,0)-1,"")</f>
        <v/>
      </c>
      <c r="O1154" t="str">
        <f>IF(LEN(J1154),MATCH(J1154,'MPIO_SFIO Table'!$A$11:$A$65525,0)-1,"")</f>
        <v/>
      </c>
      <c r="P1154" t="str">
        <f>IF(LEN(K1154),MATCH(K1154,'MPIO_SFIO Table'!$A$11:$A$65525,0)-1,"")</f>
        <v/>
      </c>
      <c r="Q1154" t="str">
        <f>IF(LEN(L1154),MATCH(L1154,'MPIO_SFIO Table'!$A$11:$A$65525,0)-1,"")</f>
        <v/>
      </c>
      <c r="R1154" t="str">
        <f ca="1">IF(ISNUMBER(M1154),OFFSET('MPIO_SFIO Table'!$AJ$11,M1154,0),"")</f>
        <v/>
      </c>
      <c r="S1154" t="str">
        <f ca="1">IF(ISNUMBER(N1154),OFFSET('MPIO_SFIO Table'!$AJ$11,N1154,0),"")</f>
        <v/>
      </c>
      <c r="T1154" t="str">
        <f ca="1">IF(ISNUMBER(O1154),OFFSET('MPIO_SFIO Table'!$AJ$11,O1154,0),"")</f>
        <v/>
      </c>
      <c r="U1154" t="str">
        <f ca="1">IF(ISNUMBER(P1154),OFFSET('MPIO_SFIO Table'!$AJ$11,P1154,0),"")</f>
        <v/>
      </c>
      <c r="V1154" t="str">
        <f ca="1">IF(ISNUMBER(Q1154),OFFSET('MPIO_SFIO Table'!$AJ$11,Q1154,0),"")</f>
        <v/>
      </c>
      <c r="W1154">
        <f t="shared" ca="1" si="147"/>
        <v>0</v>
      </c>
      <c r="X1154">
        <f t="shared" ca="1" si="148"/>
        <v>0</v>
      </c>
      <c r="Y1154">
        <f t="shared" ca="1" si="149"/>
        <v>0</v>
      </c>
      <c r="Z1154">
        <f t="shared" ca="1" si="150"/>
        <v>0</v>
      </c>
      <c r="AA1154">
        <f t="shared" ca="1" si="151"/>
        <v>0</v>
      </c>
    </row>
    <row r="1155" spans="1:27" x14ac:dyDescent="0.25">
      <c r="A1155">
        <f t="shared" ca="1" si="144"/>
        <v>0</v>
      </c>
      <c r="B1155" t="str">
        <f t="shared" ca="1" si="145"/>
        <v/>
      </c>
      <c r="C1155" t="str">
        <f t="shared" si="146"/>
        <v/>
      </c>
      <c r="D1155" t="s">
        <v>253</v>
      </c>
      <c r="E1155" t="s">
        <v>253</v>
      </c>
      <c r="F1155" s="3" t="s">
        <v>253</v>
      </c>
      <c r="G1155" s="11" t="s">
        <v>253</v>
      </c>
      <c r="H1155" s="11" t="s">
        <v>253</v>
      </c>
      <c r="I1155" s="3" t="s">
        <v>253</v>
      </c>
      <c r="J1155" s="3" t="s">
        <v>253</v>
      </c>
      <c r="K1155" s="3" t="s">
        <v>253</v>
      </c>
      <c r="L1155" s="3" t="s">
        <v>253</v>
      </c>
      <c r="M1155" t="str">
        <f>IF(LEN(H1155),MATCH(H1155,'MPIO_SFIO Table'!$A$11:$A$65525,0)-1,"")</f>
        <v/>
      </c>
      <c r="N1155" t="str">
        <f>IF(LEN(I1155),MATCH(I1155,'MPIO_SFIO Table'!$A$11:$A$65525,0)-1,"")</f>
        <v/>
      </c>
      <c r="O1155" t="str">
        <f>IF(LEN(J1155),MATCH(J1155,'MPIO_SFIO Table'!$A$11:$A$65525,0)-1,"")</f>
        <v/>
      </c>
      <c r="P1155" t="str">
        <f>IF(LEN(K1155),MATCH(K1155,'MPIO_SFIO Table'!$A$11:$A$65525,0)-1,"")</f>
        <v/>
      </c>
      <c r="Q1155" t="str">
        <f>IF(LEN(L1155),MATCH(L1155,'MPIO_SFIO Table'!$A$11:$A$65525,0)-1,"")</f>
        <v/>
      </c>
      <c r="R1155" t="str">
        <f ca="1">IF(ISNUMBER(M1155),OFFSET('MPIO_SFIO Table'!$AJ$11,M1155,0),"")</f>
        <v/>
      </c>
      <c r="S1155" t="str">
        <f ca="1">IF(ISNUMBER(N1155),OFFSET('MPIO_SFIO Table'!$AJ$11,N1155,0),"")</f>
        <v/>
      </c>
      <c r="T1155" t="str">
        <f ca="1">IF(ISNUMBER(O1155),OFFSET('MPIO_SFIO Table'!$AJ$11,O1155,0),"")</f>
        <v/>
      </c>
      <c r="U1155" t="str">
        <f ca="1">IF(ISNUMBER(P1155),OFFSET('MPIO_SFIO Table'!$AJ$11,P1155,0),"")</f>
        <v/>
      </c>
      <c r="V1155" t="str">
        <f ca="1">IF(ISNUMBER(Q1155),OFFSET('MPIO_SFIO Table'!$AJ$11,Q1155,0),"")</f>
        <v/>
      </c>
      <c r="W1155">
        <f t="shared" ca="1" si="147"/>
        <v>0</v>
      </c>
      <c r="X1155">
        <f t="shared" ca="1" si="148"/>
        <v>0</v>
      </c>
      <c r="Y1155">
        <f t="shared" ca="1" si="149"/>
        <v>0</v>
      </c>
      <c r="Z1155">
        <f t="shared" ca="1" si="150"/>
        <v>0</v>
      </c>
      <c r="AA1155">
        <f t="shared" ca="1" si="151"/>
        <v>0</v>
      </c>
    </row>
    <row r="1156" spans="1:27" x14ac:dyDescent="0.25">
      <c r="A1156">
        <f t="shared" ca="1" si="144"/>
        <v>0</v>
      </c>
      <c r="B1156" t="str">
        <f t="shared" ca="1" si="145"/>
        <v/>
      </c>
      <c r="C1156" t="str">
        <f t="shared" si="146"/>
        <v/>
      </c>
      <c r="D1156" t="s">
        <v>253</v>
      </c>
      <c r="E1156" t="s">
        <v>253</v>
      </c>
      <c r="F1156" s="3" t="s">
        <v>253</v>
      </c>
      <c r="G1156" s="11" t="s">
        <v>253</v>
      </c>
      <c r="H1156" s="11" t="s">
        <v>253</v>
      </c>
      <c r="I1156" s="3" t="s">
        <v>253</v>
      </c>
      <c r="J1156" s="3" t="s">
        <v>253</v>
      </c>
      <c r="K1156" s="3" t="s">
        <v>253</v>
      </c>
      <c r="L1156" s="3" t="s">
        <v>253</v>
      </c>
      <c r="M1156" t="str">
        <f>IF(LEN(H1156),MATCH(H1156,'MPIO_SFIO Table'!$A$11:$A$65525,0)-1,"")</f>
        <v/>
      </c>
      <c r="N1156" t="str">
        <f>IF(LEN(I1156),MATCH(I1156,'MPIO_SFIO Table'!$A$11:$A$65525,0)-1,"")</f>
        <v/>
      </c>
      <c r="O1156" t="str">
        <f>IF(LEN(J1156),MATCH(J1156,'MPIO_SFIO Table'!$A$11:$A$65525,0)-1,"")</f>
        <v/>
      </c>
      <c r="P1156" t="str">
        <f>IF(LEN(K1156),MATCH(K1156,'MPIO_SFIO Table'!$A$11:$A$65525,0)-1,"")</f>
        <v/>
      </c>
      <c r="Q1156" t="str">
        <f>IF(LEN(L1156),MATCH(L1156,'MPIO_SFIO Table'!$A$11:$A$65525,0)-1,"")</f>
        <v/>
      </c>
      <c r="R1156" t="str">
        <f ca="1">IF(ISNUMBER(M1156),OFFSET('MPIO_SFIO Table'!$AJ$11,M1156,0),"")</f>
        <v/>
      </c>
      <c r="S1156" t="str">
        <f ca="1">IF(ISNUMBER(N1156),OFFSET('MPIO_SFIO Table'!$AJ$11,N1156,0),"")</f>
        <v/>
      </c>
      <c r="T1156" t="str">
        <f ca="1">IF(ISNUMBER(O1156),OFFSET('MPIO_SFIO Table'!$AJ$11,O1156,0),"")</f>
        <v/>
      </c>
      <c r="U1156" t="str">
        <f ca="1">IF(ISNUMBER(P1156),OFFSET('MPIO_SFIO Table'!$AJ$11,P1156,0),"")</f>
        <v/>
      </c>
      <c r="V1156" t="str">
        <f ca="1">IF(ISNUMBER(Q1156),OFFSET('MPIO_SFIO Table'!$AJ$11,Q1156,0),"")</f>
        <v/>
      </c>
      <c r="W1156">
        <f t="shared" ca="1" si="147"/>
        <v>0</v>
      </c>
      <c r="X1156">
        <f t="shared" ca="1" si="148"/>
        <v>0</v>
      </c>
      <c r="Y1156">
        <f t="shared" ca="1" si="149"/>
        <v>0</v>
      </c>
      <c r="Z1156">
        <f t="shared" ca="1" si="150"/>
        <v>0</v>
      </c>
      <c r="AA1156">
        <f t="shared" ca="1" si="151"/>
        <v>0</v>
      </c>
    </row>
    <row r="1157" spans="1:27" x14ac:dyDescent="0.25">
      <c r="A1157">
        <f t="shared" ca="1" si="144"/>
        <v>0</v>
      </c>
      <c r="B1157" t="str">
        <f t="shared" ca="1" si="145"/>
        <v/>
      </c>
      <c r="C1157" t="str">
        <f t="shared" si="146"/>
        <v/>
      </c>
      <c r="D1157" t="s">
        <v>253</v>
      </c>
      <c r="E1157" t="s">
        <v>253</v>
      </c>
      <c r="F1157" s="3" t="s">
        <v>253</v>
      </c>
      <c r="G1157" s="11" t="s">
        <v>253</v>
      </c>
      <c r="H1157" s="11" t="s">
        <v>253</v>
      </c>
      <c r="I1157" s="3" t="s">
        <v>253</v>
      </c>
      <c r="J1157" s="3" t="s">
        <v>253</v>
      </c>
      <c r="K1157" s="3" t="s">
        <v>253</v>
      </c>
      <c r="L1157" s="3" t="s">
        <v>253</v>
      </c>
      <c r="M1157" t="str">
        <f>IF(LEN(H1157),MATCH(H1157,'MPIO_SFIO Table'!$A$11:$A$65525,0)-1,"")</f>
        <v/>
      </c>
      <c r="N1157" t="str">
        <f>IF(LEN(I1157),MATCH(I1157,'MPIO_SFIO Table'!$A$11:$A$65525,0)-1,"")</f>
        <v/>
      </c>
      <c r="O1157" t="str">
        <f>IF(LEN(J1157),MATCH(J1157,'MPIO_SFIO Table'!$A$11:$A$65525,0)-1,"")</f>
        <v/>
      </c>
      <c r="P1157" t="str">
        <f>IF(LEN(K1157),MATCH(K1157,'MPIO_SFIO Table'!$A$11:$A$65525,0)-1,"")</f>
        <v/>
      </c>
      <c r="Q1157" t="str">
        <f>IF(LEN(L1157),MATCH(L1157,'MPIO_SFIO Table'!$A$11:$A$65525,0)-1,"")</f>
        <v/>
      </c>
      <c r="R1157" t="str">
        <f ca="1">IF(ISNUMBER(M1157),OFFSET('MPIO_SFIO Table'!$AJ$11,M1157,0),"")</f>
        <v/>
      </c>
      <c r="S1157" t="str">
        <f ca="1">IF(ISNUMBER(N1157),OFFSET('MPIO_SFIO Table'!$AJ$11,N1157,0),"")</f>
        <v/>
      </c>
      <c r="T1157" t="str">
        <f ca="1">IF(ISNUMBER(O1157),OFFSET('MPIO_SFIO Table'!$AJ$11,O1157,0),"")</f>
        <v/>
      </c>
      <c r="U1157" t="str">
        <f ca="1">IF(ISNUMBER(P1157),OFFSET('MPIO_SFIO Table'!$AJ$11,P1157,0),"")</f>
        <v/>
      </c>
      <c r="V1157" t="str">
        <f ca="1">IF(ISNUMBER(Q1157),OFFSET('MPIO_SFIO Table'!$AJ$11,Q1157,0),"")</f>
        <v/>
      </c>
      <c r="W1157">
        <f t="shared" ca="1" si="147"/>
        <v>0</v>
      </c>
      <c r="X1157">
        <f t="shared" ca="1" si="148"/>
        <v>0</v>
      </c>
      <c r="Y1157">
        <f t="shared" ca="1" si="149"/>
        <v>0</v>
      </c>
      <c r="Z1157">
        <f t="shared" ca="1" si="150"/>
        <v>0</v>
      </c>
      <c r="AA1157">
        <f t="shared" ca="1" si="151"/>
        <v>0</v>
      </c>
    </row>
    <row r="1158" spans="1:27" x14ac:dyDescent="0.25">
      <c r="A1158">
        <f t="shared" ca="1" si="144"/>
        <v>0</v>
      </c>
      <c r="B1158" t="str">
        <f t="shared" ca="1" si="145"/>
        <v/>
      </c>
      <c r="C1158" t="str">
        <f t="shared" si="146"/>
        <v/>
      </c>
      <c r="D1158" t="s">
        <v>253</v>
      </c>
      <c r="E1158" t="s">
        <v>253</v>
      </c>
      <c r="F1158" s="3" t="s">
        <v>253</v>
      </c>
      <c r="G1158" s="11" t="s">
        <v>253</v>
      </c>
      <c r="H1158" s="11" t="s">
        <v>253</v>
      </c>
      <c r="I1158" s="3" t="s">
        <v>253</v>
      </c>
      <c r="J1158" s="3" t="s">
        <v>253</v>
      </c>
      <c r="K1158" s="3" t="s">
        <v>253</v>
      </c>
      <c r="L1158" s="3" t="s">
        <v>253</v>
      </c>
      <c r="M1158" t="str">
        <f>IF(LEN(H1158),MATCH(H1158,'MPIO_SFIO Table'!$A$11:$A$65525,0)-1,"")</f>
        <v/>
      </c>
      <c r="N1158" t="str">
        <f>IF(LEN(I1158),MATCH(I1158,'MPIO_SFIO Table'!$A$11:$A$65525,0)-1,"")</f>
        <v/>
      </c>
      <c r="O1158" t="str">
        <f>IF(LEN(J1158),MATCH(J1158,'MPIO_SFIO Table'!$A$11:$A$65525,0)-1,"")</f>
        <v/>
      </c>
      <c r="P1158" t="str">
        <f>IF(LEN(K1158),MATCH(K1158,'MPIO_SFIO Table'!$A$11:$A$65525,0)-1,"")</f>
        <v/>
      </c>
      <c r="Q1158" t="str">
        <f>IF(LEN(L1158),MATCH(L1158,'MPIO_SFIO Table'!$A$11:$A$65525,0)-1,"")</f>
        <v/>
      </c>
      <c r="R1158" t="str">
        <f ca="1">IF(ISNUMBER(M1158),OFFSET('MPIO_SFIO Table'!$AJ$11,M1158,0),"")</f>
        <v/>
      </c>
      <c r="S1158" t="str">
        <f ca="1">IF(ISNUMBER(N1158),OFFSET('MPIO_SFIO Table'!$AJ$11,N1158,0),"")</f>
        <v/>
      </c>
      <c r="T1158" t="str">
        <f ca="1">IF(ISNUMBER(O1158),OFFSET('MPIO_SFIO Table'!$AJ$11,O1158,0),"")</f>
        <v/>
      </c>
      <c r="U1158" t="str">
        <f ca="1">IF(ISNUMBER(P1158),OFFSET('MPIO_SFIO Table'!$AJ$11,P1158,0),"")</f>
        <v/>
      </c>
      <c r="V1158" t="str">
        <f ca="1">IF(ISNUMBER(Q1158),OFFSET('MPIO_SFIO Table'!$AJ$11,Q1158,0),"")</f>
        <v/>
      </c>
      <c r="W1158">
        <f t="shared" ca="1" si="147"/>
        <v>0</v>
      </c>
      <c r="X1158">
        <f t="shared" ca="1" si="148"/>
        <v>0</v>
      </c>
      <c r="Y1158">
        <f t="shared" ca="1" si="149"/>
        <v>0</v>
      </c>
      <c r="Z1158">
        <f t="shared" ca="1" si="150"/>
        <v>0</v>
      </c>
      <c r="AA1158">
        <f t="shared" ca="1" si="151"/>
        <v>0</v>
      </c>
    </row>
    <row r="1159" spans="1:27" x14ac:dyDescent="0.25">
      <c r="A1159">
        <f t="shared" ca="1" si="144"/>
        <v>0</v>
      </c>
      <c r="B1159" t="str">
        <f t="shared" ca="1" si="145"/>
        <v/>
      </c>
      <c r="C1159" t="str">
        <f t="shared" si="146"/>
        <v/>
      </c>
      <c r="D1159" t="s">
        <v>253</v>
      </c>
      <c r="E1159" t="s">
        <v>253</v>
      </c>
      <c r="F1159" s="3" t="s">
        <v>253</v>
      </c>
      <c r="G1159" s="11" t="s">
        <v>253</v>
      </c>
      <c r="H1159" s="11" t="s">
        <v>253</v>
      </c>
      <c r="I1159" s="3" t="s">
        <v>253</v>
      </c>
      <c r="J1159" s="3" t="s">
        <v>253</v>
      </c>
      <c r="K1159" s="3" t="s">
        <v>253</v>
      </c>
      <c r="L1159" s="3" t="s">
        <v>253</v>
      </c>
      <c r="M1159" t="str">
        <f>IF(LEN(H1159),MATCH(H1159,'MPIO_SFIO Table'!$A$11:$A$65525,0)-1,"")</f>
        <v/>
      </c>
      <c r="N1159" t="str">
        <f>IF(LEN(I1159),MATCH(I1159,'MPIO_SFIO Table'!$A$11:$A$65525,0)-1,"")</f>
        <v/>
      </c>
      <c r="O1159" t="str">
        <f>IF(LEN(J1159),MATCH(J1159,'MPIO_SFIO Table'!$A$11:$A$65525,0)-1,"")</f>
        <v/>
      </c>
      <c r="P1159" t="str">
        <f>IF(LEN(K1159),MATCH(K1159,'MPIO_SFIO Table'!$A$11:$A$65525,0)-1,"")</f>
        <v/>
      </c>
      <c r="Q1159" t="str">
        <f>IF(LEN(L1159),MATCH(L1159,'MPIO_SFIO Table'!$A$11:$A$65525,0)-1,"")</f>
        <v/>
      </c>
      <c r="R1159" t="str">
        <f ca="1">IF(ISNUMBER(M1159),OFFSET('MPIO_SFIO Table'!$AJ$11,M1159,0),"")</f>
        <v/>
      </c>
      <c r="S1159" t="str">
        <f ca="1">IF(ISNUMBER(N1159),OFFSET('MPIO_SFIO Table'!$AJ$11,N1159,0),"")</f>
        <v/>
      </c>
      <c r="T1159" t="str">
        <f ca="1">IF(ISNUMBER(O1159),OFFSET('MPIO_SFIO Table'!$AJ$11,O1159,0),"")</f>
        <v/>
      </c>
      <c r="U1159" t="str">
        <f ca="1">IF(ISNUMBER(P1159),OFFSET('MPIO_SFIO Table'!$AJ$11,P1159,0),"")</f>
        <v/>
      </c>
      <c r="V1159" t="str">
        <f ca="1">IF(ISNUMBER(Q1159),OFFSET('MPIO_SFIO Table'!$AJ$11,Q1159,0),"")</f>
        <v/>
      </c>
      <c r="W1159">
        <f t="shared" ca="1" si="147"/>
        <v>0</v>
      </c>
      <c r="X1159">
        <f t="shared" ca="1" si="148"/>
        <v>0</v>
      </c>
      <c r="Y1159">
        <f t="shared" ca="1" si="149"/>
        <v>0</v>
      </c>
      <c r="Z1159">
        <f t="shared" ca="1" si="150"/>
        <v>0</v>
      </c>
      <c r="AA1159">
        <f t="shared" ca="1" si="151"/>
        <v>0</v>
      </c>
    </row>
    <row r="1160" spans="1:27" x14ac:dyDescent="0.25">
      <c r="A1160">
        <f t="shared" ref="A1160:A1223" ca="1" si="152">SUM($W1160:$AA1160)</f>
        <v>0</v>
      </c>
      <c r="B1160" t="str">
        <f t="shared" ref="B1160:B1223" ca="1" si="153">IF(A1160&lt;&gt;0,REPLACE(G1160,FIND("-",G1160),LEN(G1160),""),"")</f>
        <v/>
      </c>
      <c r="C1160" t="str">
        <f t="shared" si="146"/>
        <v/>
      </c>
      <c r="D1160" t="s">
        <v>253</v>
      </c>
      <c r="E1160" t="s">
        <v>253</v>
      </c>
      <c r="F1160" s="3" t="s">
        <v>253</v>
      </c>
      <c r="G1160" s="11" t="s">
        <v>253</v>
      </c>
      <c r="H1160" s="11" t="s">
        <v>253</v>
      </c>
      <c r="I1160" s="3" t="s">
        <v>253</v>
      </c>
      <c r="J1160" s="3" t="s">
        <v>253</v>
      </c>
      <c r="K1160" s="3" t="s">
        <v>253</v>
      </c>
      <c r="L1160" s="3" t="s">
        <v>253</v>
      </c>
      <c r="M1160" t="str">
        <f>IF(LEN(H1160),MATCH(H1160,'MPIO_SFIO Table'!$A$11:$A$65525,0)-1,"")</f>
        <v/>
      </c>
      <c r="N1160" t="str">
        <f>IF(LEN(I1160),MATCH(I1160,'MPIO_SFIO Table'!$A$11:$A$65525,0)-1,"")</f>
        <v/>
      </c>
      <c r="O1160" t="str">
        <f>IF(LEN(J1160),MATCH(J1160,'MPIO_SFIO Table'!$A$11:$A$65525,0)-1,"")</f>
        <v/>
      </c>
      <c r="P1160" t="str">
        <f>IF(LEN(K1160),MATCH(K1160,'MPIO_SFIO Table'!$A$11:$A$65525,0)-1,"")</f>
        <v/>
      </c>
      <c r="Q1160" t="str">
        <f>IF(LEN(L1160),MATCH(L1160,'MPIO_SFIO Table'!$A$11:$A$65525,0)-1,"")</f>
        <v/>
      </c>
      <c r="R1160" t="str">
        <f ca="1">IF(ISNUMBER(M1160),OFFSET('MPIO_SFIO Table'!$AJ$11,M1160,0),"")</f>
        <v/>
      </c>
      <c r="S1160" t="str">
        <f ca="1">IF(ISNUMBER(N1160),OFFSET('MPIO_SFIO Table'!$AJ$11,N1160,0),"")</f>
        <v/>
      </c>
      <c r="T1160" t="str">
        <f ca="1">IF(ISNUMBER(O1160),OFFSET('MPIO_SFIO Table'!$AJ$11,O1160,0),"")</f>
        <v/>
      </c>
      <c r="U1160" t="str">
        <f ca="1">IF(ISNUMBER(P1160),OFFSET('MPIO_SFIO Table'!$AJ$11,P1160,0),"")</f>
        <v/>
      </c>
      <c r="V1160" t="str">
        <f ca="1">IF(ISNUMBER(Q1160),OFFSET('MPIO_SFIO Table'!$AJ$11,Q1160,0),"")</f>
        <v/>
      </c>
      <c r="W1160">
        <f t="shared" ca="1" si="147"/>
        <v>0</v>
      </c>
      <c r="X1160">
        <f t="shared" ca="1" si="148"/>
        <v>0</v>
      </c>
      <c r="Y1160">
        <f t="shared" ca="1" si="149"/>
        <v>0</v>
      </c>
      <c r="Z1160">
        <f t="shared" ca="1" si="150"/>
        <v>0</v>
      </c>
      <c r="AA1160">
        <f t="shared" ca="1" si="151"/>
        <v>0</v>
      </c>
    </row>
    <row r="1161" spans="1:27" x14ac:dyDescent="0.25">
      <c r="A1161">
        <f t="shared" ca="1" si="152"/>
        <v>0</v>
      </c>
      <c r="B1161" t="str">
        <f t="shared" ca="1" si="153"/>
        <v/>
      </c>
      <c r="C1161" t="str">
        <f t="shared" ref="C1161:C1224" si="154">REPLACE(G1161,FIND(".",CONCATENATE(REPLACE(G1161,FIND("-",CONCATENATE(G1161,"-")),LEN(G1161),""),".")),LEN(G1161),"")</f>
        <v/>
      </c>
      <c r="D1161" t="s">
        <v>253</v>
      </c>
      <c r="E1161" t="s">
        <v>253</v>
      </c>
      <c r="F1161" s="3" t="s">
        <v>253</v>
      </c>
      <c r="G1161" s="11" t="s">
        <v>253</v>
      </c>
      <c r="H1161" s="11" t="s">
        <v>253</v>
      </c>
      <c r="I1161" s="3" t="s">
        <v>253</v>
      </c>
      <c r="J1161" s="3" t="s">
        <v>253</v>
      </c>
      <c r="K1161" s="3" t="s">
        <v>253</v>
      </c>
      <c r="L1161" s="3" t="s">
        <v>253</v>
      </c>
      <c r="M1161" t="str">
        <f>IF(LEN(H1161),MATCH(H1161,'MPIO_SFIO Table'!$A$11:$A$65525,0)-1,"")</f>
        <v/>
      </c>
      <c r="N1161" t="str">
        <f>IF(LEN(I1161),MATCH(I1161,'MPIO_SFIO Table'!$A$11:$A$65525,0)-1,"")</f>
        <v/>
      </c>
      <c r="O1161" t="str">
        <f>IF(LEN(J1161),MATCH(J1161,'MPIO_SFIO Table'!$A$11:$A$65525,0)-1,"")</f>
        <v/>
      </c>
      <c r="P1161" t="str">
        <f>IF(LEN(K1161),MATCH(K1161,'MPIO_SFIO Table'!$A$11:$A$65525,0)-1,"")</f>
        <v/>
      </c>
      <c r="Q1161" t="str">
        <f>IF(LEN(L1161),MATCH(L1161,'MPIO_SFIO Table'!$A$11:$A$65525,0)-1,"")</f>
        <v/>
      </c>
      <c r="R1161" t="str">
        <f ca="1">IF(ISNUMBER(M1161),OFFSET('MPIO_SFIO Table'!$AJ$11,M1161,0),"")</f>
        <v/>
      </c>
      <c r="S1161" t="str">
        <f ca="1">IF(ISNUMBER(N1161),OFFSET('MPIO_SFIO Table'!$AJ$11,N1161,0),"")</f>
        <v/>
      </c>
      <c r="T1161" t="str">
        <f ca="1">IF(ISNUMBER(O1161),OFFSET('MPIO_SFIO Table'!$AJ$11,O1161,0),"")</f>
        <v/>
      </c>
      <c r="U1161" t="str">
        <f ca="1">IF(ISNUMBER(P1161),OFFSET('MPIO_SFIO Table'!$AJ$11,P1161,0),"")</f>
        <v/>
      </c>
      <c r="V1161" t="str">
        <f ca="1">IF(ISNUMBER(Q1161),OFFSET('MPIO_SFIO Table'!$AJ$11,Q1161,0),"")</f>
        <v/>
      </c>
      <c r="W1161">
        <f t="shared" ref="W1161:W1224" ca="1" si="155">1*AND(ISTEXT(R1161),LEN(R1161),R1161=$G1161)</f>
        <v>0</v>
      </c>
      <c r="X1161">
        <f t="shared" ref="X1161:X1224" ca="1" si="156">1*AND(ISTEXT(S1161),LEN(S1161),S1161=$G1161)</f>
        <v>0</v>
      </c>
      <c r="Y1161">
        <f t="shared" ref="Y1161:Y1224" ca="1" si="157">1*AND(ISTEXT(T1161),LEN(T1161),T1161=$G1161)</f>
        <v>0</v>
      </c>
      <c r="Z1161">
        <f t="shared" ref="Z1161:Z1224" ca="1" si="158">1*AND(ISTEXT(U1161),LEN(U1161),U1161=$G1161)</f>
        <v>0</v>
      </c>
      <c r="AA1161">
        <f t="shared" ref="AA1161:AA1224" ca="1" si="159">1*AND(ISTEXT(V1161),LEN(V1161),V1161=$G1161)</f>
        <v>0</v>
      </c>
    </row>
    <row r="1162" spans="1:27" x14ac:dyDescent="0.25">
      <c r="A1162">
        <f t="shared" ca="1" si="152"/>
        <v>0</v>
      </c>
      <c r="B1162" t="str">
        <f t="shared" ca="1" si="153"/>
        <v/>
      </c>
      <c r="C1162" t="str">
        <f t="shared" si="154"/>
        <v/>
      </c>
      <c r="D1162" t="s">
        <v>253</v>
      </c>
      <c r="E1162" t="s">
        <v>253</v>
      </c>
      <c r="F1162" s="3" t="s">
        <v>253</v>
      </c>
      <c r="G1162" s="11" t="s">
        <v>253</v>
      </c>
      <c r="H1162" s="11" t="s">
        <v>253</v>
      </c>
      <c r="I1162" s="3" t="s">
        <v>253</v>
      </c>
      <c r="J1162" s="3" t="s">
        <v>253</v>
      </c>
      <c r="K1162" s="3" t="s">
        <v>253</v>
      </c>
      <c r="L1162" s="3" t="s">
        <v>253</v>
      </c>
      <c r="M1162" t="str">
        <f>IF(LEN(H1162),MATCH(H1162,'MPIO_SFIO Table'!$A$11:$A$65525,0)-1,"")</f>
        <v/>
      </c>
      <c r="N1162" t="str">
        <f>IF(LEN(I1162),MATCH(I1162,'MPIO_SFIO Table'!$A$11:$A$65525,0)-1,"")</f>
        <v/>
      </c>
      <c r="O1162" t="str">
        <f>IF(LEN(J1162),MATCH(J1162,'MPIO_SFIO Table'!$A$11:$A$65525,0)-1,"")</f>
        <v/>
      </c>
      <c r="P1162" t="str">
        <f>IF(LEN(K1162),MATCH(K1162,'MPIO_SFIO Table'!$A$11:$A$65525,0)-1,"")</f>
        <v/>
      </c>
      <c r="Q1162" t="str">
        <f>IF(LEN(L1162),MATCH(L1162,'MPIO_SFIO Table'!$A$11:$A$65525,0)-1,"")</f>
        <v/>
      </c>
      <c r="R1162" t="str">
        <f ca="1">IF(ISNUMBER(M1162),OFFSET('MPIO_SFIO Table'!$AJ$11,M1162,0),"")</f>
        <v/>
      </c>
      <c r="S1162" t="str">
        <f ca="1">IF(ISNUMBER(N1162),OFFSET('MPIO_SFIO Table'!$AJ$11,N1162,0),"")</f>
        <v/>
      </c>
      <c r="T1162" t="str">
        <f ca="1">IF(ISNUMBER(O1162),OFFSET('MPIO_SFIO Table'!$AJ$11,O1162,0),"")</f>
        <v/>
      </c>
      <c r="U1162" t="str">
        <f ca="1">IF(ISNUMBER(P1162),OFFSET('MPIO_SFIO Table'!$AJ$11,P1162,0),"")</f>
        <v/>
      </c>
      <c r="V1162" t="str">
        <f ca="1">IF(ISNUMBER(Q1162),OFFSET('MPIO_SFIO Table'!$AJ$11,Q1162,0),"")</f>
        <v/>
      </c>
      <c r="W1162">
        <f t="shared" ca="1" si="155"/>
        <v>0</v>
      </c>
      <c r="X1162">
        <f t="shared" ca="1" si="156"/>
        <v>0</v>
      </c>
      <c r="Y1162">
        <f t="shared" ca="1" si="157"/>
        <v>0</v>
      </c>
      <c r="Z1162">
        <f t="shared" ca="1" si="158"/>
        <v>0</v>
      </c>
      <c r="AA1162">
        <f t="shared" ca="1" si="159"/>
        <v>0</v>
      </c>
    </row>
    <row r="1163" spans="1:27" x14ac:dyDescent="0.25">
      <c r="A1163">
        <f t="shared" ca="1" si="152"/>
        <v>0</v>
      </c>
      <c r="B1163" t="str">
        <f t="shared" ca="1" si="153"/>
        <v/>
      </c>
      <c r="C1163" t="str">
        <f t="shared" si="154"/>
        <v/>
      </c>
      <c r="D1163" t="s">
        <v>253</v>
      </c>
      <c r="E1163" t="s">
        <v>253</v>
      </c>
      <c r="F1163" s="3" t="s">
        <v>253</v>
      </c>
      <c r="G1163" s="11" t="s">
        <v>253</v>
      </c>
      <c r="H1163" s="11" t="s">
        <v>253</v>
      </c>
      <c r="I1163" s="3" t="s">
        <v>253</v>
      </c>
      <c r="J1163" s="3" t="s">
        <v>253</v>
      </c>
      <c r="K1163" s="3" t="s">
        <v>253</v>
      </c>
      <c r="L1163" s="3" t="s">
        <v>253</v>
      </c>
      <c r="M1163" t="str">
        <f>IF(LEN(H1163),MATCH(H1163,'MPIO_SFIO Table'!$A$11:$A$65525,0)-1,"")</f>
        <v/>
      </c>
      <c r="N1163" t="str">
        <f>IF(LEN(I1163),MATCH(I1163,'MPIO_SFIO Table'!$A$11:$A$65525,0)-1,"")</f>
        <v/>
      </c>
      <c r="O1163" t="str">
        <f>IF(LEN(J1163),MATCH(J1163,'MPIO_SFIO Table'!$A$11:$A$65525,0)-1,"")</f>
        <v/>
      </c>
      <c r="P1163" t="str">
        <f>IF(LEN(K1163),MATCH(K1163,'MPIO_SFIO Table'!$A$11:$A$65525,0)-1,"")</f>
        <v/>
      </c>
      <c r="Q1163" t="str">
        <f>IF(LEN(L1163),MATCH(L1163,'MPIO_SFIO Table'!$A$11:$A$65525,0)-1,"")</f>
        <v/>
      </c>
      <c r="R1163" t="str">
        <f ca="1">IF(ISNUMBER(M1163),OFFSET('MPIO_SFIO Table'!$AJ$11,M1163,0),"")</f>
        <v/>
      </c>
      <c r="S1163" t="str">
        <f ca="1">IF(ISNUMBER(N1163),OFFSET('MPIO_SFIO Table'!$AJ$11,N1163,0),"")</f>
        <v/>
      </c>
      <c r="T1163" t="str">
        <f ca="1">IF(ISNUMBER(O1163),OFFSET('MPIO_SFIO Table'!$AJ$11,O1163,0),"")</f>
        <v/>
      </c>
      <c r="U1163" t="str">
        <f ca="1">IF(ISNUMBER(P1163),OFFSET('MPIO_SFIO Table'!$AJ$11,P1163,0),"")</f>
        <v/>
      </c>
      <c r="V1163" t="str">
        <f ca="1">IF(ISNUMBER(Q1163),OFFSET('MPIO_SFIO Table'!$AJ$11,Q1163,0),"")</f>
        <v/>
      </c>
      <c r="W1163">
        <f t="shared" ca="1" si="155"/>
        <v>0</v>
      </c>
      <c r="X1163">
        <f t="shared" ca="1" si="156"/>
        <v>0</v>
      </c>
      <c r="Y1163">
        <f t="shared" ca="1" si="157"/>
        <v>0</v>
      </c>
      <c r="Z1163">
        <f t="shared" ca="1" si="158"/>
        <v>0</v>
      </c>
      <c r="AA1163">
        <f t="shared" ca="1" si="159"/>
        <v>0</v>
      </c>
    </row>
    <row r="1164" spans="1:27" x14ac:dyDescent="0.25">
      <c r="A1164">
        <f t="shared" ca="1" si="152"/>
        <v>0</v>
      </c>
      <c r="B1164" t="str">
        <f t="shared" ca="1" si="153"/>
        <v/>
      </c>
      <c r="C1164" t="str">
        <f t="shared" si="154"/>
        <v/>
      </c>
      <c r="D1164" t="s">
        <v>253</v>
      </c>
      <c r="E1164" t="s">
        <v>253</v>
      </c>
      <c r="F1164" s="3" t="s">
        <v>253</v>
      </c>
      <c r="G1164" s="11" t="s">
        <v>253</v>
      </c>
      <c r="H1164" s="11" t="s">
        <v>253</v>
      </c>
      <c r="I1164" s="3" t="s">
        <v>253</v>
      </c>
      <c r="J1164" s="3" t="s">
        <v>253</v>
      </c>
      <c r="K1164" s="3" t="s">
        <v>253</v>
      </c>
      <c r="L1164" s="3" t="s">
        <v>253</v>
      </c>
      <c r="M1164" t="str">
        <f>IF(LEN(H1164),MATCH(H1164,'MPIO_SFIO Table'!$A$11:$A$65525,0)-1,"")</f>
        <v/>
      </c>
      <c r="N1164" t="str">
        <f>IF(LEN(I1164),MATCH(I1164,'MPIO_SFIO Table'!$A$11:$A$65525,0)-1,"")</f>
        <v/>
      </c>
      <c r="O1164" t="str">
        <f>IF(LEN(J1164),MATCH(J1164,'MPIO_SFIO Table'!$A$11:$A$65525,0)-1,"")</f>
        <v/>
      </c>
      <c r="P1164" t="str">
        <f>IF(LEN(K1164),MATCH(K1164,'MPIO_SFIO Table'!$A$11:$A$65525,0)-1,"")</f>
        <v/>
      </c>
      <c r="Q1164" t="str">
        <f>IF(LEN(L1164),MATCH(L1164,'MPIO_SFIO Table'!$A$11:$A$65525,0)-1,"")</f>
        <v/>
      </c>
      <c r="R1164" t="str">
        <f ca="1">IF(ISNUMBER(M1164),OFFSET('MPIO_SFIO Table'!$AJ$11,M1164,0),"")</f>
        <v/>
      </c>
      <c r="S1164" t="str">
        <f ca="1">IF(ISNUMBER(N1164),OFFSET('MPIO_SFIO Table'!$AJ$11,N1164,0),"")</f>
        <v/>
      </c>
      <c r="T1164" t="str">
        <f ca="1">IF(ISNUMBER(O1164),OFFSET('MPIO_SFIO Table'!$AJ$11,O1164,0),"")</f>
        <v/>
      </c>
      <c r="U1164" t="str">
        <f ca="1">IF(ISNUMBER(P1164),OFFSET('MPIO_SFIO Table'!$AJ$11,P1164,0),"")</f>
        <v/>
      </c>
      <c r="V1164" t="str">
        <f ca="1">IF(ISNUMBER(Q1164),OFFSET('MPIO_SFIO Table'!$AJ$11,Q1164,0),"")</f>
        <v/>
      </c>
      <c r="W1164">
        <f t="shared" ca="1" si="155"/>
        <v>0</v>
      </c>
      <c r="X1164">
        <f t="shared" ca="1" si="156"/>
        <v>0</v>
      </c>
      <c r="Y1164">
        <f t="shared" ca="1" si="157"/>
        <v>0</v>
      </c>
      <c r="Z1164">
        <f t="shared" ca="1" si="158"/>
        <v>0</v>
      </c>
      <c r="AA1164">
        <f t="shared" ca="1" si="159"/>
        <v>0</v>
      </c>
    </row>
    <row r="1165" spans="1:27" x14ac:dyDescent="0.25">
      <c r="A1165">
        <f t="shared" ca="1" si="152"/>
        <v>0</v>
      </c>
      <c r="B1165" t="str">
        <f t="shared" ca="1" si="153"/>
        <v/>
      </c>
      <c r="C1165" t="str">
        <f t="shared" si="154"/>
        <v/>
      </c>
      <c r="D1165" t="s">
        <v>253</v>
      </c>
      <c r="E1165" t="s">
        <v>253</v>
      </c>
      <c r="F1165" s="3" t="s">
        <v>253</v>
      </c>
      <c r="G1165" s="11" t="s">
        <v>253</v>
      </c>
      <c r="H1165" s="11" t="s">
        <v>253</v>
      </c>
      <c r="I1165" s="3" t="s">
        <v>253</v>
      </c>
      <c r="J1165" s="3" t="s">
        <v>253</v>
      </c>
      <c r="K1165" s="3" t="s">
        <v>253</v>
      </c>
      <c r="L1165" s="3" t="s">
        <v>253</v>
      </c>
      <c r="M1165" t="str">
        <f>IF(LEN(H1165),MATCH(H1165,'MPIO_SFIO Table'!$A$11:$A$65525,0)-1,"")</f>
        <v/>
      </c>
      <c r="N1165" t="str">
        <f>IF(LEN(I1165),MATCH(I1165,'MPIO_SFIO Table'!$A$11:$A$65525,0)-1,"")</f>
        <v/>
      </c>
      <c r="O1165" t="str">
        <f>IF(LEN(J1165),MATCH(J1165,'MPIO_SFIO Table'!$A$11:$A$65525,0)-1,"")</f>
        <v/>
      </c>
      <c r="P1165" t="str">
        <f>IF(LEN(K1165),MATCH(K1165,'MPIO_SFIO Table'!$A$11:$A$65525,0)-1,"")</f>
        <v/>
      </c>
      <c r="Q1165" t="str">
        <f>IF(LEN(L1165),MATCH(L1165,'MPIO_SFIO Table'!$A$11:$A$65525,0)-1,"")</f>
        <v/>
      </c>
      <c r="R1165" t="str">
        <f ca="1">IF(ISNUMBER(M1165),OFFSET('MPIO_SFIO Table'!$AJ$11,M1165,0),"")</f>
        <v/>
      </c>
      <c r="S1165" t="str">
        <f ca="1">IF(ISNUMBER(N1165),OFFSET('MPIO_SFIO Table'!$AJ$11,N1165,0),"")</f>
        <v/>
      </c>
      <c r="T1165" t="str">
        <f ca="1">IF(ISNUMBER(O1165),OFFSET('MPIO_SFIO Table'!$AJ$11,O1165,0),"")</f>
        <v/>
      </c>
      <c r="U1165" t="str">
        <f ca="1">IF(ISNUMBER(P1165),OFFSET('MPIO_SFIO Table'!$AJ$11,P1165,0),"")</f>
        <v/>
      </c>
      <c r="V1165" t="str">
        <f ca="1">IF(ISNUMBER(Q1165),OFFSET('MPIO_SFIO Table'!$AJ$11,Q1165,0),"")</f>
        <v/>
      </c>
      <c r="W1165">
        <f t="shared" ca="1" si="155"/>
        <v>0</v>
      </c>
      <c r="X1165">
        <f t="shared" ca="1" si="156"/>
        <v>0</v>
      </c>
      <c r="Y1165">
        <f t="shared" ca="1" si="157"/>
        <v>0</v>
      </c>
      <c r="Z1165">
        <f t="shared" ca="1" si="158"/>
        <v>0</v>
      </c>
      <c r="AA1165">
        <f t="shared" ca="1" si="159"/>
        <v>0</v>
      </c>
    </row>
    <row r="1166" spans="1:27" x14ac:dyDescent="0.25">
      <c r="A1166">
        <f t="shared" ca="1" si="152"/>
        <v>0</v>
      </c>
      <c r="B1166" t="str">
        <f t="shared" ca="1" si="153"/>
        <v/>
      </c>
      <c r="C1166" t="str">
        <f t="shared" si="154"/>
        <v/>
      </c>
      <c r="D1166" t="s">
        <v>253</v>
      </c>
      <c r="E1166" t="s">
        <v>253</v>
      </c>
      <c r="F1166" s="3" t="s">
        <v>253</v>
      </c>
      <c r="G1166" s="11" t="s">
        <v>253</v>
      </c>
      <c r="H1166" s="11" t="s">
        <v>253</v>
      </c>
      <c r="I1166" s="3" t="s">
        <v>253</v>
      </c>
      <c r="J1166" s="3" t="s">
        <v>253</v>
      </c>
      <c r="K1166" s="3" t="s">
        <v>253</v>
      </c>
      <c r="L1166" s="3" t="s">
        <v>253</v>
      </c>
      <c r="M1166" t="str">
        <f>IF(LEN(H1166),MATCH(H1166,'MPIO_SFIO Table'!$A$11:$A$65525,0)-1,"")</f>
        <v/>
      </c>
      <c r="N1166" t="str">
        <f>IF(LEN(I1166),MATCH(I1166,'MPIO_SFIO Table'!$A$11:$A$65525,0)-1,"")</f>
        <v/>
      </c>
      <c r="O1166" t="str">
        <f>IF(LEN(J1166),MATCH(J1166,'MPIO_SFIO Table'!$A$11:$A$65525,0)-1,"")</f>
        <v/>
      </c>
      <c r="P1166" t="str">
        <f>IF(LEN(K1166),MATCH(K1166,'MPIO_SFIO Table'!$A$11:$A$65525,0)-1,"")</f>
        <v/>
      </c>
      <c r="Q1166" t="str">
        <f>IF(LEN(L1166),MATCH(L1166,'MPIO_SFIO Table'!$A$11:$A$65525,0)-1,"")</f>
        <v/>
      </c>
      <c r="R1166" t="str">
        <f ca="1">IF(ISNUMBER(M1166),OFFSET('MPIO_SFIO Table'!$AJ$11,M1166,0),"")</f>
        <v/>
      </c>
      <c r="S1166" t="str">
        <f ca="1">IF(ISNUMBER(N1166),OFFSET('MPIO_SFIO Table'!$AJ$11,N1166,0),"")</f>
        <v/>
      </c>
      <c r="T1166" t="str">
        <f ca="1">IF(ISNUMBER(O1166),OFFSET('MPIO_SFIO Table'!$AJ$11,O1166,0),"")</f>
        <v/>
      </c>
      <c r="U1166" t="str">
        <f ca="1">IF(ISNUMBER(P1166),OFFSET('MPIO_SFIO Table'!$AJ$11,P1166,0),"")</f>
        <v/>
      </c>
      <c r="V1166" t="str">
        <f ca="1">IF(ISNUMBER(Q1166),OFFSET('MPIO_SFIO Table'!$AJ$11,Q1166,0),"")</f>
        <v/>
      </c>
      <c r="W1166">
        <f t="shared" ca="1" si="155"/>
        <v>0</v>
      </c>
      <c r="X1166">
        <f t="shared" ca="1" si="156"/>
        <v>0</v>
      </c>
      <c r="Y1166">
        <f t="shared" ca="1" si="157"/>
        <v>0</v>
      </c>
      <c r="Z1166">
        <f t="shared" ca="1" si="158"/>
        <v>0</v>
      </c>
      <c r="AA1166">
        <f t="shared" ca="1" si="159"/>
        <v>0</v>
      </c>
    </row>
    <row r="1167" spans="1:27" x14ac:dyDescent="0.25">
      <c r="A1167">
        <f t="shared" ca="1" si="152"/>
        <v>0</v>
      </c>
      <c r="B1167" t="str">
        <f t="shared" ca="1" si="153"/>
        <v/>
      </c>
      <c r="C1167" t="str">
        <f t="shared" si="154"/>
        <v/>
      </c>
      <c r="D1167" t="s">
        <v>253</v>
      </c>
      <c r="E1167" t="s">
        <v>253</v>
      </c>
      <c r="F1167" s="3" t="s">
        <v>253</v>
      </c>
      <c r="G1167" s="11" t="s">
        <v>253</v>
      </c>
      <c r="H1167" s="11" t="s">
        <v>253</v>
      </c>
      <c r="I1167" s="3" t="s">
        <v>253</v>
      </c>
      <c r="J1167" s="3" t="s">
        <v>253</v>
      </c>
      <c r="K1167" s="3" t="s">
        <v>253</v>
      </c>
      <c r="L1167" s="3" t="s">
        <v>253</v>
      </c>
      <c r="M1167" t="str">
        <f>IF(LEN(H1167),MATCH(H1167,'MPIO_SFIO Table'!$A$11:$A$65525,0)-1,"")</f>
        <v/>
      </c>
      <c r="N1167" t="str">
        <f>IF(LEN(I1167),MATCH(I1167,'MPIO_SFIO Table'!$A$11:$A$65525,0)-1,"")</f>
        <v/>
      </c>
      <c r="O1167" t="str">
        <f>IF(LEN(J1167),MATCH(J1167,'MPIO_SFIO Table'!$A$11:$A$65525,0)-1,"")</f>
        <v/>
      </c>
      <c r="P1167" t="str">
        <f>IF(LEN(K1167),MATCH(K1167,'MPIO_SFIO Table'!$A$11:$A$65525,0)-1,"")</f>
        <v/>
      </c>
      <c r="Q1167" t="str">
        <f>IF(LEN(L1167),MATCH(L1167,'MPIO_SFIO Table'!$A$11:$A$65525,0)-1,"")</f>
        <v/>
      </c>
      <c r="R1167" t="str">
        <f ca="1">IF(ISNUMBER(M1167),OFFSET('MPIO_SFIO Table'!$AJ$11,M1167,0),"")</f>
        <v/>
      </c>
      <c r="S1167" t="str">
        <f ca="1">IF(ISNUMBER(N1167),OFFSET('MPIO_SFIO Table'!$AJ$11,N1167,0),"")</f>
        <v/>
      </c>
      <c r="T1167" t="str">
        <f ca="1">IF(ISNUMBER(O1167),OFFSET('MPIO_SFIO Table'!$AJ$11,O1167,0),"")</f>
        <v/>
      </c>
      <c r="U1167" t="str">
        <f ca="1">IF(ISNUMBER(P1167),OFFSET('MPIO_SFIO Table'!$AJ$11,P1167,0),"")</f>
        <v/>
      </c>
      <c r="V1167" t="str">
        <f ca="1">IF(ISNUMBER(Q1167),OFFSET('MPIO_SFIO Table'!$AJ$11,Q1167,0),"")</f>
        <v/>
      </c>
      <c r="W1167">
        <f t="shared" ca="1" si="155"/>
        <v>0</v>
      </c>
      <c r="X1167">
        <f t="shared" ca="1" si="156"/>
        <v>0</v>
      </c>
      <c r="Y1167">
        <f t="shared" ca="1" si="157"/>
        <v>0</v>
      </c>
      <c r="Z1167">
        <f t="shared" ca="1" si="158"/>
        <v>0</v>
      </c>
      <c r="AA1167">
        <f t="shared" ca="1" si="159"/>
        <v>0</v>
      </c>
    </row>
    <row r="1168" spans="1:27" x14ac:dyDescent="0.25">
      <c r="A1168">
        <f t="shared" ca="1" si="152"/>
        <v>0</v>
      </c>
      <c r="B1168" t="str">
        <f t="shared" ca="1" si="153"/>
        <v/>
      </c>
      <c r="C1168" t="str">
        <f t="shared" si="154"/>
        <v/>
      </c>
      <c r="D1168" t="s">
        <v>253</v>
      </c>
      <c r="E1168" t="s">
        <v>253</v>
      </c>
      <c r="F1168" s="3" t="s">
        <v>253</v>
      </c>
      <c r="G1168" s="11" t="s">
        <v>253</v>
      </c>
      <c r="H1168" s="11" t="s">
        <v>253</v>
      </c>
      <c r="I1168" s="3" t="s">
        <v>253</v>
      </c>
      <c r="J1168" s="3" t="s">
        <v>253</v>
      </c>
      <c r="K1168" s="3" t="s">
        <v>253</v>
      </c>
      <c r="L1168" s="3" t="s">
        <v>253</v>
      </c>
      <c r="M1168" t="str">
        <f>IF(LEN(H1168),MATCH(H1168,'MPIO_SFIO Table'!$A$11:$A$65525,0)-1,"")</f>
        <v/>
      </c>
      <c r="N1168" t="str">
        <f>IF(LEN(I1168),MATCH(I1168,'MPIO_SFIO Table'!$A$11:$A$65525,0)-1,"")</f>
        <v/>
      </c>
      <c r="O1168" t="str">
        <f>IF(LEN(J1168),MATCH(J1168,'MPIO_SFIO Table'!$A$11:$A$65525,0)-1,"")</f>
        <v/>
      </c>
      <c r="P1168" t="str">
        <f>IF(LEN(K1168),MATCH(K1168,'MPIO_SFIO Table'!$A$11:$A$65525,0)-1,"")</f>
        <v/>
      </c>
      <c r="Q1168" t="str">
        <f>IF(LEN(L1168),MATCH(L1168,'MPIO_SFIO Table'!$A$11:$A$65525,0)-1,"")</f>
        <v/>
      </c>
      <c r="R1168" t="str">
        <f ca="1">IF(ISNUMBER(M1168),OFFSET('MPIO_SFIO Table'!$AJ$11,M1168,0),"")</f>
        <v/>
      </c>
      <c r="S1168" t="str">
        <f ca="1">IF(ISNUMBER(N1168),OFFSET('MPIO_SFIO Table'!$AJ$11,N1168,0),"")</f>
        <v/>
      </c>
      <c r="T1168" t="str">
        <f ca="1">IF(ISNUMBER(O1168),OFFSET('MPIO_SFIO Table'!$AJ$11,O1168,0),"")</f>
        <v/>
      </c>
      <c r="U1168" t="str">
        <f ca="1">IF(ISNUMBER(P1168),OFFSET('MPIO_SFIO Table'!$AJ$11,P1168,0),"")</f>
        <v/>
      </c>
      <c r="V1168" t="str">
        <f ca="1">IF(ISNUMBER(Q1168),OFFSET('MPIO_SFIO Table'!$AJ$11,Q1168,0),"")</f>
        <v/>
      </c>
      <c r="W1168">
        <f t="shared" ca="1" si="155"/>
        <v>0</v>
      </c>
      <c r="X1168">
        <f t="shared" ca="1" si="156"/>
        <v>0</v>
      </c>
      <c r="Y1168">
        <f t="shared" ca="1" si="157"/>
        <v>0</v>
      </c>
      <c r="Z1168">
        <f t="shared" ca="1" si="158"/>
        <v>0</v>
      </c>
      <c r="AA1168">
        <f t="shared" ca="1" si="159"/>
        <v>0</v>
      </c>
    </row>
    <row r="1169" spans="1:27" x14ac:dyDescent="0.25">
      <c r="A1169">
        <f t="shared" ca="1" si="152"/>
        <v>0</v>
      </c>
      <c r="B1169" t="str">
        <f t="shared" ca="1" si="153"/>
        <v/>
      </c>
      <c r="C1169" t="str">
        <f t="shared" si="154"/>
        <v/>
      </c>
      <c r="D1169" t="s">
        <v>253</v>
      </c>
      <c r="E1169" t="s">
        <v>253</v>
      </c>
      <c r="F1169" s="3" t="s">
        <v>253</v>
      </c>
      <c r="G1169" s="11" t="s">
        <v>253</v>
      </c>
      <c r="H1169" s="11" t="s">
        <v>253</v>
      </c>
      <c r="I1169" s="3" t="s">
        <v>253</v>
      </c>
      <c r="J1169" s="3" t="s">
        <v>253</v>
      </c>
      <c r="K1169" s="3" t="s">
        <v>253</v>
      </c>
      <c r="L1169" s="3" t="s">
        <v>253</v>
      </c>
      <c r="M1169" t="str">
        <f>IF(LEN(H1169),MATCH(H1169,'MPIO_SFIO Table'!$A$11:$A$65525,0)-1,"")</f>
        <v/>
      </c>
      <c r="N1169" t="str">
        <f>IF(LEN(I1169),MATCH(I1169,'MPIO_SFIO Table'!$A$11:$A$65525,0)-1,"")</f>
        <v/>
      </c>
      <c r="O1169" t="str">
        <f>IF(LEN(J1169),MATCH(J1169,'MPIO_SFIO Table'!$A$11:$A$65525,0)-1,"")</f>
        <v/>
      </c>
      <c r="P1169" t="str">
        <f>IF(LEN(K1169),MATCH(K1169,'MPIO_SFIO Table'!$A$11:$A$65525,0)-1,"")</f>
        <v/>
      </c>
      <c r="Q1169" t="str">
        <f>IF(LEN(L1169),MATCH(L1169,'MPIO_SFIO Table'!$A$11:$A$65525,0)-1,"")</f>
        <v/>
      </c>
      <c r="R1169" t="str">
        <f ca="1">IF(ISNUMBER(M1169),OFFSET('MPIO_SFIO Table'!$AJ$11,M1169,0),"")</f>
        <v/>
      </c>
      <c r="S1169" t="str">
        <f ca="1">IF(ISNUMBER(N1169),OFFSET('MPIO_SFIO Table'!$AJ$11,N1169,0),"")</f>
        <v/>
      </c>
      <c r="T1169" t="str">
        <f ca="1">IF(ISNUMBER(O1169),OFFSET('MPIO_SFIO Table'!$AJ$11,O1169,0),"")</f>
        <v/>
      </c>
      <c r="U1169" t="str">
        <f ca="1">IF(ISNUMBER(P1169),OFFSET('MPIO_SFIO Table'!$AJ$11,P1169,0),"")</f>
        <v/>
      </c>
      <c r="V1169" t="str">
        <f ca="1">IF(ISNUMBER(Q1169),OFFSET('MPIO_SFIO Table'!$AJ$11,Q1169,0),"")</f>
        <v/>
      </c>
      <c r="W1169">
        <f t="shared" ca="1" si="155"/>
        <v>0</v>
      </c>
      <c r="X1169">
        <f t="shared" ca="1" si="156"/>
        <v>0</v>
      </c>
      <c r="Y1169">
        <f t="shared" ca="1" si="157"/>
        <v>0</v>
      </c>
      <c r="Z1169">
        <f t="shared" ca="1" si="158"/>
        <v>0</v>
      </c>
      <c r="AA1169">
        <f t="shared" ca="1" si="159"/>
        <v>0</v>
      </c>
    </row>
    <row r="1170" spans="1:27" x14ac:dyDescent="0.25">
      <c r="A1170">
        <f t="shared" ca="1" si="152"/>
        <v>0</v>
      </c>
      <c r="B1170" t="str">
        <f t="shared" ca="1" si="153"/>
        <v/>
      </c>
      <c r="C1170" t="str">
        <f t="shared" si="154"/>
        <v/>
      </c>
      <c r="D1170" t="s">
        <v>253</v>
      </c>
      <c r="E1170" t="s">
        <v>253</v>
      </c>
      <c r="F1170" s="3" t="s">
        <v>253</v>
      </c>
      <c r="G1170" s="11" t="s">
        <v>253</v>
      </c>
      <c r="H1170" s="11" t="s">
        <v>253</v>
      </c>
      <c r="I1170" s="3" t="s">
        <v>253</v>
      </c>
      <c r="J1170" s="3" t="s">
        <v>253</v>
      </c>
      <c r="K1170" s="3" t="s">
        <v>253</v>
      </c>
      <c r="L1170" s="3" t="s">
        <v>253</v>
      </c>
      <c r="M1170" t="str">
        <f>IF(LEN(H1170),MATCH(H1170,'MPIO_SFIO Table'!$A$11:$A$65525,0)-1,"")</f>
        <v/>
      </c>
      <c r="N1170" t="str">
        <f>IF(LEN(I1170),MATCH(I1170,'MPIO_SFIO Table'!$A$11:$A$65525,0)-1,"")</f>
        <v/>
      </c>
      <c r="O1170" t="str">
        <f>IF(LEN(J1170),MATCH(J1170,'MPIO_SFIO Table'!$A$11:$A$65525,0)-1,"")</f>
        <v/>
      </c>
      <c r="P1170" t="str">
        <f>IF(LEN(K1170),MATCH(K1170,'MPIO_SFIO Table'!$A$11:$A$65525,0)-1,"")</f>
        <v/>
      </c>
      <c r="Q1170" t="str">
        <f>IF(LEN(L1170),MATCH(L1170,'MPIO_SFIO Table'!$A$11:$A$65525,0)-1,"")</f>
        <v/>
      </c>
      <c r="R1170" t="str">
        <f ca="1">IF(ISNUMBER(M1170),OFFSET('MPIO_SFIO Table'!$AJ$11,M1170,0),"")</f>
        <v/>
      </c>
      <c r="S1170" t="str">
        <f ca="1">IF(ISNUMBER(N1170),OFFSET('MPIO_SFIO Table'!$AJ$11,N1170,0),"")</f>
        <v/>
      </c>
      <c r="T1170" t="str">
        <f ca="1">IF(ISNUMBER(O1170),OFFSET('MPIO_SFIO Table'!$AJ$11,O1170,0),"")</f>
        <v/>
      </c>
      <c r="U1170" t="str">
        <f ca="1">IF(ISNUMBER(P1170),OFFSET('MPIO_SFIO Table'!$AJ$11,P1170,0),"")</f>
        <v/>
      </c>
      <c r="V1170" t="str">
        <f ca="1">IF(ISNUMBER(Q1170),OFFSET('MPIO_SFIO Table'!$AJ$11,Q1170,0),"")</f>
        <v/>
      </c>
      <c r="W1170">
        <f t="shared" ca="1" si="155"/>
        <v>0</v>
      </c>
      <c r="X1170">
        <f t="shared" ca="1" si="156"/>
        <v>0</v>
      </c>
      <c r="Y1170">
        <f t="shared" ca="1" si="157"/>
        <v>0</v>
      </c>
      <c r="Z1170">
        <f t="shared" ca="1" si="158"/>
        <v>0</v>
      </c>
      <c r="AA1170">
        <f t="shared" ca="1" si="159"/>
        <v>0</v>
      </c>
    </row>
    <row r="1171" spans="1:27" x14ac:dyDescent="0.25">
      <c r="A1171">
        <f t="shared" ca="1" si="152"/>
        <v>0</v>
      </c>
      <c r="B1171" t="str">
        <f t="shared" ca="1" si="153"/>
        <v/>
      </c>
      <c r="C1171" t="str">
        <f t="shared" si="154"/>
        <v/>
      </c>
      <c r="D1171" t="s">
        <v>253</v>
      </c>
      <c r="E1171" t="s">
        <v>253</v>
      </c>
      <c r="F1171" s="3" t="s">
        <v>253</v>
      </c>
      <c r="G1171" s="11" t="s">
        <v>253</v>
      </c>
      <c r="H1171" s="11" t="s">
        <v>253</v>
      </c>
      <c r="I1171" s="3" t="s">
        <v>253</v>
      </c>
      <c r="J1171" s="3" t="s">
        <v>253</v>
      </c>
      <c r="K1171" s="3" t="s">
        <v>253</v>
      </c>
      <c r="L1171" s="3" t="s">
        <v>253</v>
      </c>
      <c r="M1171" t="str">
        <f>IF(LEN(H1171),MATCH(H1171,'MPIO_SFIO Table'!$A$11:$A$65525,0)-1,"")</f>
        <v/>
      </c>
      <c r="N1171" t="str">
        <f>IF(LEN(I1171),MATCH(I1171,'MPIO_SFIO Table'!$A$11:$A$65525,0)-1,"")</f>
        <v/>
      </c>
      <c r="O1171" t="str">
        <f>IF(LEN(J1171),MATCH(J1171,'MPIO_SFIO Table'!$A$11:$A$65525,0)-1,"")</f>
        <v/>
      </c>
      <c r="P1171" t="str">
        <f>IF(LEN(K1171),MATCH(K1171,'MPIO_SFIO Table'!$A$11:$A$65525,0)-1,"")</f>
        <v/>
      </c>
      <c r="Q1171" t="str">
        <f>IF(LEN(L1171),MATCH(L1171,'MPIO_SFIO Table'!$A$11:$A$65525,0)-1,"")</f>
        <v/>
      </c>
      <c r="R1171" t="str">
        <f ca="1">IF(ISNUMBER(M1171),OFFSET('MPIO_SFIO Table'!$AJ$11,M1171,0),"")</f>
        <v/>
      </c>
      <c r="S1171" t="str">
        <f ca="1">IF(ISNUMBER(N1171),OFFSET('MPIO_SFIO Table'!$AJ$11,N1171,0),"")</f>
        <v/>
      </c>
      <c r="T1171" t="str">
        <f ca="1">IF(ISNUMBER(O1171),OFFSET('MPIO_SFIO Table'!$AJ$11,O1171,0),"")</f>
        <v/>
      </c>
      <c r="U1171" t="str">
        <f ca="1">IF(ISNUMBER(P1171),OFFSET('MPIO_SFIO Table'!$AJ$11,P1171,0),"")</f>
        <v/>
      </c>
      <c r="V1171" t="str">
        <f ca="1">IF(ISNUMBER(Q1171),OFFSET('MPIO_SFIO Table'!$AJ$11,Q1171,0),"")</f>
        <v/>
      </c>
      <c r="W1171">
        <f t="shared" ca="1" si="155"/>
        <v>0</v>
      </c>
      <c r="X1171">
        <f t="shared" ca="1" si="156"/>
        <v>0</v>
      </c>
      <c r="Y1171">
        <f t="shared" ca="1" si="157"/>
        <v>0</v>
      </c>
      <c r="Z1171">
        <f t="shared" ca="1" si="158"/>
        <v>0</v>
      </c>
      <c r="AA1171">
        <f t="shared" ca="1" si="159"/>
        <v>0</v>
      </c>
    </row>
    <row r="1172" spans="1:27" x14ac:dyDescent="0.25">
      <c r="A1172">
        <f t="shared" ca="1" si="152"/>
        <v>0</v>
      </c>
      <c r="B1172" t="str">
        <f t="shared" ca="1" si="153"/>
        <v/>
      </c>
      <c r="C1172" t="str">
        <f t="shared" si="154"/>
        <v/>
      </c>
      <c r="D1172" t="s">
        <v>253</v>
      </c>
      <c r="E1172" t="s">
        <v>253</v>
      </c>
      <c r="F1172" s="3" t="s">
        <v>253</v>
      </c>
      <c r="G1172" s="11" t="s">
        <v>253</v>
      </c>
      <c r="H1172" s="11" t="s">
        <v>253</v>
      </c>
      <c r="I1172" s="3" t="s">
        <v>253</v>
      </c>
      <c r="J1172" s="3" t="s">
        <v>253</v>
      </c>
      <c r="K1172" s="3" t="s">
        <v>253</v>
      </c>
      <c r="L1172" s="3" t="s">
        <v>253</v>
      </c>
      <c r="M1172" t="str">
        <f>IF(LEN(H1172),MATCH(H1172,'MPIO_SFIO Table'!$A$11:$A$65525,0)-1,"")</f>
        <v/>
      </c>
      <c r="N1172" t="str">
        <f>IF(LEN(I1172),MATCH(I1172,'MPIO_SFIO Table'!$A$11:$A$65525,0)-1,"")</f>
        <v/>
      </c>
      <c r="O1172" t="str">
        <f>IF(LEN(J1172),MATCH(J1172,'MPIO_SFIO Table'!$A$11:$A$65525,0)-1,"")</f>
        <v/>
      </c>
      <c r="P1172" t="str">
        <f>IF(LEN(K1172),MATCH(K1172,'MPIO_SFIO Table'!$A$11:$A$65525,0)-1,"")</f>
        <v/>
      </c>
      <c r="Q1172" t="str">
        <f>IF(LEN(L1172),MATCH(L1172,'MPIO_SFIO Table'!$A$11:$A$65525,0)-1,"")</f>
        <v/>
      </c>
      <c r="R1172" t="str">
        <f ca="1">IF(ISNUMBER(M1172),OFFSET('MPIO_SFIO Table'!$AJ$11,M1172,0),"")</f>
        <v/>
      </c>
      <c r="S1172" t="str">
        <f ca="1">IF(ISNUMBER(N1172),OFFSET('MPIO_SFIO Table'!$AJ$11,N1172,0),"")</f>
        <v/>
      </c>
      <c r="T1172" t="str">
        <f ca="1">IF(ISNUMBER(O1172),OFFSET('MPIO_SFIO Table'!$AJ$11,O1172,0),"")</f>
        <v/>
      </c>
      <c r="U1172" t="str">
        <f ca="1">IF(ISNUMBER(P1172),OFFSET('MPIO_SFIO Table'!$AJ$11,P1172,0),"")</f>
        <v/>
      </c>
      <c r="V1172" t="str">
        <f ca="1">IF(ISNUMBER(Q1172),OFFSET('MPIO_SFIO Table'!$AJ$11,Q1172,0),"")</f>
        <v/>
      </c>
      <c r="W1172">
        <f t="shared" ca="1" si="155"/>
        <v>0</v>
      </c>
      <c r="X1172">
        <f t="shared" ca="1" si="156"/>
        <v>0</v>
      </c>
      <c r="Y1172">
        <f t="shared" ca="1" si="157"/>
        <v>0</v>
      </c>
      <c r="Z1172">
        <f t="shared" ca="1" si="158"/>
        <v>0</v>
      </c>
      <c r="AA1172">
        <f t="shared" ca="1" si="159"/>
        <v>0</v>
      </c>
    </row>
    <row r="1173" spans="1:27" x14ac:dyDescent="0.25">
      <c r="A1173">
        <f t="shared" ca="1" si="152"/>
        <v>0</v>
      </c>
      <c r="B1173" t="str">
        <f t="shared" ca="1" si="153"/>
        <v/>
      </c>
      <c r="C1173" t="str">
        <f t="shared" si="154"/>
        <v/>
      </c>
      <c r="D1173" t="s">
        <v>253</v>
      </c>
      <c r="E1173" t="s">
        <v>253</v>
      </c>
      <c r="F1173" s="3" t="s">
        <v>253</v>
      </c>
      <c r="G1173" s="11" t="s">
        <v>253</v>
      </c>
      <c r="H1173" s="11" t="s">
        <v>253</v>
      </c>
      <c r="I1173" s="3" t="s">
        <v>253</v>
      </c>
      <c r="J1173" s="3" t="s">
        <v>253</v>
      </c>
      <c r="K1173" s="3" t="s">
        <v>253</v>
      </c>
      <c r="L1173" s="3" t="s">
        <v>253</v>
      </c>
      <c r="M1173" t="str">
        <f>IF(LEN(H1173),MATCH(H1173,'MPIO_SFIO Table'!$A$11:$A$65525,0)-1,"")</f>
        <v/>
      </c>
      <c r="N1173" t="str">
        <f>IF(LEN(I1173),MATCH(I1173,'MPIO_SFIO Table'!$A$11:$A$65525,0)-1,"")</f>
        <v/>
      </c>
      <c r="O1173" t="str">
        <f>IF(LEN(J1173),MATCH(J1173,'MPIO_SFIO Table'!$A$11:$A$65525,0)-1,"")</f>
        <v/>
      </c>
      <c r="P1173" t="str">
        <f>IF(LEN(K1173),MATCH(K1173,'MPIO_SFIO Table'!$A$11:$A$65525,0)-1,"")</f>
        <v/>
      </c>
      <c r="Q1173" t="str">
        <f>IF(LEN(L1173),MATCH(L1173,'MPIO_SFIO Table'!$A$11:$A$65525,0)-1,"")</f>
        <v/>
      </c>
      <c r="R1173" t="str">
        <f ca="1">IF(ISNUMBER(M1173),OFFSET('MPIO_SFIO Table'!$AJ$11,M1173,0),"")</f>
        <v/>
      </c>
      <c r="S1173" t="str">
        <f ca="1">IF(ISNUMBER(N1173),OFFSET('MPIO_SFIO Table'!$AJ$11,N1173,0),"")</f>
        <v/>
      </c>
      <c r="T1173" t="str">
        <f ca="1">IF(ISNUMBER(O1173),OFFSET('MPIO_SFIO Table'!$AJ$11,O1173,0),"")</f>
        <v/>
      </c>
      <c r="U1173" t="str">
        <f ca="1">IF(ISNUMBER(P1173),OFFSET('MPIO_SFIO Table'!$AJ$11,P1173,0),"")</f>
        <v/>
      </c>
      <c r="V1173" t="str">
        <f ca="1">IF(ISNUMBER(Q1173),OFFSET('MPIO_SFIO Table'!$AJ$11,Q1173,0),"")</f>
        <v/>
      </c>
      <c r="W1173">
        <f t="shared" ca="1" si="155"/>
        <v>0</v>
      </c>
      <c r="X1173">
        <f t="shared" ca="1" si="156"/>
        <v>0</v>
      </c>
      <c r="Y1173">
        <f t="shared" ca="1" si="157"/>
        <v>0</v>
      </c>
      <c r="Z1173">
        <f t="shared" ca="1" si="158"/>
        <v>0</v>
      </c>
      <c r="AA1173">
        <f t="shared" ca="1" si="159"/>
        <v>0</v>
      </c>
    </row>
    <row r="1174" spans="1:27" x14ac:dyDescent="0.25">
      <c r="A1174">
        <f t="shared" ca="1" si="152"/>
        <v>0</v>
      </c>
      <c r="B1174" t="str">
        <f t="shared" ca="1" si="153"/>
        <v/>
      </c>
      <c r="C1174" t="str">
        <f t="shared" si="154"/>
        <v/>
      </c>
      <c r="D1174" t="s">
        <v>253</v>
      </c>
      <c r="E1174" t="s">
        <v>253</v>
      </c>
      <c r="F1174" s="3" t="s">
        <v>253</v>
      </c>
      <c r="G1174" s="11" t="s">
        <v>253</v>
      </c>
      <c r="H1174" s="11" t="s">
        <v>253</v>
      </c>
      <c r="I1174" s="3" t="s">
        <v>253</v>
      </c>
      <c r="J1174" s="3" t="s">
        <v>253</v>
      </c>
      <c r="K1174" s="3" t="s">
        <v>253</v>
      </c>
      <c r="L1174" s="3" t="s">
        <v>253</v>
      </c>
      <c r="M1174" t="str">
        <f>IF(LEN(H1174),MATCH(H1174,'MPIO_SFIO Table'!$A$11:$A$65525,0)-1,"")</f>
        <v/>
      </c>
      <c r="N1174" t="str">
        <f>IF(LEN(I1174),MATCH(I1174,'MPIO_SFIO Table'!$A$11:$A$65525,0)-1,"")</f>
        <v/>
      </c>
      <c r="O1174" t="str">
        <f>IF(LEN(J1174),MATCH(J1174,'MPIO_SFIO Table'!$A$11:$A$65525,0)-1,"")</f>
        <v/>
      </c>
      <c r="P1174" t="str">
        <f>IF(LEN(K1174),MATCH(K1174,'MPIO_SFIO Table'!$A$11:$A$65525,0)-1,"")</f>
        <v/>
      </c>
      <c r="Q1174" t="str">
        <f>IF(LEN(L1174),MATCH(L1174,'MPIO_SFIO Table'!$A$11:$A$65525,0)-1,"")</f>
        <v/>
      </c>
      <c r="R1174" t="str">
        <f ca="1">IF(ISNUMBER(M1174),OFFSET('MPIO_SFIO Table'!$AJ$11,M1174,0),"")</f>
        <v/>
      </c>
      <c r="S1174" t="str">
        <f ca="1">IF(ISNUMBER(N1174),OFFSET('MPIO_SFIO Table'!$AJ$11,N1174,0),"")</f>
        <v/>
      </c>
      <c r="T1174" t="str">
        <f ca="1">IF(ISNUMBER(O1174),OFFSET('MPIO_SFIO Table'!$AJ$11,O1174,0),"")</f>
        <v/>
      </c>
      <c r="U1174" t="str">
        <f ca="1">IF(ISNUMBER(P1174),OFFSET('MPIO_SFIO Table'!$AJ$11,P1174,0),"")</f>
        <v/>
      </c>
      <c r="V1174" t="str">
        <f ca="1">IF(ISNUMBER(Q1174),OFFSET('MPIO_SFIO Table'!$AJ$11,Q1174,0),"")</f>
        <v/>
      </c>
      <c r="W1174">
        <f t="shared" ca="1" si="155"/>
        <v>0</v>
      </c>
      <c r="X1174">
        <f t="shared" ca="1" si="156"/>
        <v>0</v>
      </c>
      <c r="Y1174">
        <f t="shared" ca="1" si="157"/>
        <v>0</v>
      </c>
      <c r="Z1174">
        <f t="shared" ca="1" si="158"/>
        <v>0</v>
      </c>
      <c r="AA1174">
        <f t="shared" ca="1" si="159"/>
        <v>0</v>
      </c>
    </row>
    <row r="1175" spans="1:27" x14ac:dyDescent="0.25">
      <c r="A1175">
        <f t="shared" ca="1" si="152"/>
        <v>0</v>
      </c>
      <c r="B1175" t="str">
        <f t="shared" ca="1" si="153"/>
        <v/>
      </c>
      <c r="C1175" t="str">
        <f t="shared" si="154"/>
        <v/>
      </c>
      <c r="D1175" t="s">
        <v>253</v>
      </c>
      <c r="E1175" t="s">
        <v>253</v>
      </c>
      <c r="F1175" s="3" t="s">
        <v>253</v>
      </c>
      <c r="G1175" s="11" t="s">
        <v>253</v>
      </c>
      <c r="H1175" s="11" t="s">
        <v>253</v>
      </c>
      <c r="I1175" s="3" t="s">
        <v>253</v>
      </c>
      <c r="J1175" s="3" t="s">
        <v>253</v>
      </c>
      <c r="K1175" s="3" t="s">
        <v>253</v>
      </c>
      <c r="L1175" s="3" t="s">
        <v>253</v>
      </c>
      <c r="M1175" t="str">
        <f>IF(LEN(H1175),MATCH(H1175,'MPIO_SFIO Table'!$A$11:$A$65525,0)-1,"")</f>
        <v/>
      </c>
      <c r="N1175" t="str">
        <f>IF(LEN(I1175),MATCH(I1175,'MPIO_SFIO Table'!$A$11:$A$65525,0)-1,"")</f>
        <v/>
      </c>
      <c r="O1175" t="str">
        <f>IF(LEN(J1175),MATCH(J1175,'MPIO_SFIO Table'!$A$11:$A$65525,0)-1,"")</f>
        <v/>
      </c>
      <c r="P1175" t="str">
        <f>IF(LEN(K1175),MATCH(K1175,'MPIO_SFIO Table'!$A$11:$A$65525,0)-1,"")</f>
        <v/>
      </c>
      <c r="Q1175" t="str">
        <f>IF(LEN(L1175),MATCH(L1175,'MPIO_SFIO Table'!$A$11:$A$65525,0)-1,"")</f>
        <v/>
      </c>
      <c r="R1175" t="str">
        <f ca="1">IF(ISNUMBER(M1175),OFFSET('MPIO_SFIO Table'!$AJ$11,M1175,0),"")</f>
        <v/>
      </c>
      <c r="S1175" t="str">
        <f ca="1">IF(ISNUMBER(N1175),OFFSET('MPIO_SFIO Table'!$AJ$11,N1175,0),"")</f>
        <v/>
      </c>
      <c r="T1175" t="str">
        <f ca="1">IF(ISNUMBER(O1175),OFFSET('MPIO_SFIO Table'!$AJ$11,O1175,0),"")</f>
        <v/>
      </c>
      <c r="U1175" t="str">
        <f ca="1">IF(ISNUMBER(P1175),OFFSET('MPIO_SFIO Table'!$AJ$11,P1175,0),"")</f>
        <v/>
      </c>
      <c r="V1175" t="str">
        <f ca="1">IF(ISNUMBER(Q1175),OFFSET('MPIO_SFIO Table'!$AJ$11,Q1175,0),"")</f>
        <v/>
      </c>
      <c r="W1175">
        <f t="shared" ca="1" si="155"/>
        <v>0</v>
      </c>
      <c r="X1175">
        <f t="shared" ca="1" si="156"/>
        <v>0</v>
      </c>
      <c r="Y1175">
        <f t="shared" ca="1" si="157"/>
        <v>0</v>
      </c>
      <c r="Z1175">
        <f t="shared" ca="1" si="158"/>
        <v>0</v>
      </c>
      <c r="AA1175">
        <f t="shared" ca="1" si="159"/>
        <v>0</v>
      </c>
    </row>
    <row r="1176" spans="1:27" x14ac:dyDescent="0.25">
      <c r="A1176">
        <f t="shared" ca="1" si="152"/>
        <v>0</v>
      </c>
      <c r="B1176" t="str">
        <f t="shared" ca="1" si="153"/>
        <v/>
      </c>
      <c r="C1176" t="str">
        <f t="shared" si="154"/>
        <v/>
      </c>
      <c r="D1176" t="s">
        <v>253</v>
      </c>
      <c r="E1176" t="s">
        <v>253</v>
      </c>
      <c r="F1176" s="3" t="s">
        <v>253</v>
      </c>
      <c r="G1176" s="11" t="s">
        <v>253</v>
      </c>
      <c r="H1176" s="11" t="s">
        <v>253</v>
      </c>
      <c r="I1176" s="3" t="s">
        <v>253</v>
      </c>
      <c r="J1176" s="3" t="s">
        <v>253</v>
      </c>
      <c r="K1176" s="3" t="s">
        <v>253</v>
      </c>
      <c r="L1176" s="3" t="s">
        <v>253</v>
      </c>
      <c r="M1176" t="str">
        <f>IF(LEN(H1176),MATCH(H1176,'MPIO_SFIO Table'!$A$11:$A$65525,0)-1,"")</f>
        <v/>
      </c>
      <c r="N1176" t="str">
        <f>IF(LEN(I1176),MATCH(I1176,'MPIO_SFIO Table'!$A$11:$A$65525,0)-1,"")</f>
        <v/>
      </c>
      <c r="O1176" t="str">
        <f>IF(LEN(J1176),MATCH(J1176,'MPIO_SFIO Table'!$A$11:$A$65525,0)-1,"")</f>
        <v/>
      </c>
      <c r="P1176" t="str">
        <f>IF(LEN(K1176),MATCH(K1176,'MPIO_SFIO Table'!$A$11:$A$65525,0)-1,"")</f>
        <v/>
      </c>
      <c r="Q1176" t="str">
        <f>IF(LEN(L1176),MATCH(L1176,'MPIO_SFIO Table'!$A$11:$A$65525,0)-1,"")</f>
        <v/>
      </c>
      <c r="R1176" t="str">
        <f ca="1">IF(ISNUMBER(M1176),OFFSET('MPIO_SFIO Table'!$AJ$11,M1176,0),"")</f>
        <v/>
      </c>
      <c r="S1176" t="str">
        <f ca="1">IF(ISNUMBER(N1176),OFFSET('MPIO_SFIO Table'!$AJ$11,N1176,0),"")</f>
        <v/>
      </c>
      <c r="T1176" t="str">
        <f ca="1">IF(ISNUMBER(O1176),OFFSET('MPIO_SFIO Table'!$AJ$11,O1176,0),"")</f>
        <v/>
      </c>
      <c r="U1176" t="str">
        <f ca="1">IF(ISNUMBER(P1176),OFFSET('MPIO_SFIO Table'!$AJ$11,P1176,0),"")</f>
        <v/>
      </c>
      <c r="V1176" t="str">
        <f ca="1">IF(ISNUMBER(Q1176),OFFSET('MPIO_SFIO Table'!$AJ$11,Q1176,0),"")</f>
        <v/>
      </c>
      <c r="W1176">
        <f t="shared" ca="1" si="155"/>
        <v>0</v>
      </c>
      <c r="X1176">
        <f t="shared" ca="1" si="156"/>
        <v>0</v>
      </c>
      <c r="Y1176">
        <f t="shared" ca="1" si="157"/>
        <v>0</v>
      </c>
      <c r="Z1176">
        <f t="shared" ca="1" si="158"/>
        <v>0</v>
      </c>
      <c r="AA1176">
        <f t="shared" ca="1" si="159"/>
        <v>0</v>
      </c>
    </row>
    <row r="1177" spans="1:27" x14ac:dyDescent="0.25">
      <c r="A1177">
        <f t="shared" ca="1" si="152"/>
        <v>0</v>
      </c>
      <c r="B1177" t="str">
        <f t="shared" ca="1" si="153"/>
        <v/>
      </c>
      <c r="C1177" t="str">
        <f t="shared" si="154"/>
        <v/>
      </c>
      <c r="D1177" t="s">
        <v>253</v>
      </c>
      <c r="E1177" t="s">
        <v>253</v>
      </c>
      <c r="F1177" s="3" t="s">
        <v>253</v>
      </c>
      <c r="G1177" s="11" t="s">
        <v>253</v>
      </c>
      <c r="H1177" s="11" t="s">
        <v>253</v>
      </c>
      <c r="I1177" s="3" t="s">
        <v>253</v>
      </c>
      <c r="J1177" s="3" t="s">
        <v>253</v>
      </c>
      <c r="K1177" s="3" t="s">
        <v>253</v>
      </c>
      <c r="L1177" s="3" t="s">
        <v>253</v>
      </c>
      <c r="M1177" t="str">
        <f>IF(LEN(H1177),MATCH(H1177,'MPIO_SFIO Table'!$A$11:$A$65525,0)-1,"")</f>
        <v/>
      </c>
      <c r="N1177" t="str">
        <f>IF(LEN(I1177),MATCH(I1177,'MPIO_SFIO Table'!$A$11:$A$65525,0)-1,"")</f>
        <v/>
      </c>
      <c r="O1177" t="str">
        <f>IF(LEN(J1177),MATCH(J1177,'MPIO_SFIO Table'!$A$11:$A$65525,0)-1,"")</f>
        <v/>
      </c>
      <c r="P1177" t="str">
        <f>IF(LEN(K1177),MATCH(K1177,'MPIO_SFIO Table'!$A$11:$A$65525,0)-1,"")</f>
        <v/>
      </c>
      <c r="Q1177" t="str">
        <f>IF(LEN(L1177),MATCH(L1177,'MPIO_SFIO Table'!$A$11:$A$65525,0)-1,"")</f>
        <v/>
      </c>
      <c r="R1177" t="str">
        <f ca="1">IF(ISNUMBER(M1177),OFFSET('MPIO_SFIO Table'!$AJ$11,M1177,0),"")</f>
        <v/>
      </c>
      <c r="S1177" t="str">
        <f ca="1">IF(ISNUMBER(N1177),OFFSET('MPIO_SFIO Table'!$AJ$11,N1177,0),"")</f>
        <v/>
      </c>
      <c r="T1177" t="str">
        <f ca="1">IF(ISNUMBER(O1177),OFFSET('MPIO_SFIO Table'!$AJ$11,O1177,0),"")</f>
        <v/>
      </c>
      <c r="U1177" t="str">
        <f ca="1">IF(ISNUMBER(P1177),OFFSET('MPIO_SFIO Table'!$AJ$11,P1177,0),"")</f>
        <v/>
      </c>
      <c r="V1177" t="str">
        <f ca="1">IF(ISNUMBER(Q1177),OFFSET('MPIO_SFIO Table'!$AJ$11,Q1177,0),"")</f>
        <v/>
      </c>
      <c r="W1177">
        <f t="shared" ca="1" si="155"/>
        <v>0</v>
      </c>
      <c r="X1177">
        <f t="shared" ca="1" si="156"/>
        <v>0</v>
      </c>
      <c r="Y1177">
        <f t="shared" ca="1" si="157"/>
        <v>0</v>
      </c>
      <c r="Z1177">
        <f t="shared" ca="1" si="158"/>
        <v>0</v>
      </c>
      <c r="AA1177">
        <f t="shared" ca="1" si="159"/>
        <v>0</v>
      </c>
    </row>
    <row r="1178" spans="1:27" x14ac:dyDescent="0.25">
      <c r="A1178">
        <f t="shared" ca="1" si="152"/>
        <v>0</v>
      </c>
      <c r="B1178" t="str">
        <f t="shared" ca="1" si="153"/>
        <v/>
      </c>
      <c r="C1178" t="str">
        <f t="shared" si="154"/>
        <v/>
      </c>
      <c r="D1178" t="s">
        <v>253</v>
      </c>
      <c r="E1178" t="s">
        <v>253</v>
      </c>
      <c r="F1178" s="3" t="s">
        <v>253</v>
      </c>
      <c r="G1178" s="11" t="s">
        <v>253</v>
      </c>
      <c r="H1178" s="11" t="s">
        <v>253</v>
      </c>
      <c r="I1178" s="3" t="s">
        <v>253</v>
      </c>
      <c r="J1178" s="3" t="s">
        <v>253</v>
      </c>
      <c r="K1178" s="3" t="s">
        <v>253</v>
      </c>
      <c r="L1178" s="3" t="s">
        <v>253</v>
      </c>
      <c r="M1178" t="str">
        <f>IF(LEN(H1178),MATCH(H1178,'MPIO_SFIO Table'!$A$11:$A$65525,0)-1,"")</f>
        <v/>
      </c>
      <c r="N1178" t="str">
        <f>IF(LEN(I1178),MATCH(I1178,'MPIO_SFIO Table'!$A$11:$A$65525,0)-1,"")</f>
        <v/>
      </c>
      <c r="O1178" t="str">
        <f>IF(LEN(J1178),MATCH(J1178,'MPIO_SFIO Table'!$A$11:$A$65525,0)-1,"")</f>
        <v/>
      </c>
      <c r="P1178" t="str">
        <f>IF(LEN(K1178),MATCH(K1178,'MPIO_SFIO Table'!$A$11:$A$65525,0)-1,"")</f>
        <v/>
      </c>
      <c r="Q1178" t="str">
        <f>IF(LEN(L1178),MATCH(L1178,'MPIO_SFIO Table'!$A$11:$A$65525,0)-1,"")</f>
        <v/>
      </c>
      <c r="R1178" t="str">
        <f ca="1">IF(ISNUMBER(M1178),OFFSET('MPIO_SFIO Table'!$AJ$11,M1178,0),"")</f>
        <v/>
      </c>
      <c r="S1178" t="str">
        <f ca="1">IF(ISNUMBER(N1178),OFFSET('MPIO_SFIO Table'!$AJ$11,N1178,0),"")</f>
        <v/>
      </c>
      <c r="T1178" t="str">
        <f ca="1">IF(ISNUMBER(O1178),OFFSET('MPIO_SFIO Table'!$AJ$11,O1178,0),"")</f>
        <v/>
      </c>
      <c r="U1178" t="str">
        <f ca="1">IF(ISNUMBER(P1178),OFFSET('MPIO_SFIO Table'!$AJ$11,P1178,0),"")</f>
        <v/>
      </c>
      <c r="V1178" t="str">
        <f ca="1">IF(ISNUMBER(Q1178),OFFSET('MPIO_SFIO Table'!$AJ$11,Q1178,0),"")</f>
        <v/>
      </c>
      <c r="W1178">
        <f t="shared" ca="1" si="155"/>
        <v>0</v>
      </c>
      <c r="X1178">
        <f t="shared" ca="1" si="156"/>
        <v>0</v>
      </c>
      <c r="Y1178">
        <f t="shared" ca="1" si="157"/>
        <v>0</v>
      </c>
      <c r="Z1178">
        <f t="shared" ca="1" si="158"/>
        <v>0</v>
      </c>
      <c r="AA1178">
        <f t="shared" ca="1" si="159"/>
        <v>0</v>
      </c>
    </row>
    <row r="1179" spans="1:27" x14ac:dyDescent="0.25">
      <c r="A1179">
        <f t="shared" ca="1" si="152"/>
        <v>0</v>
      </c>
      <c r="B1179" t="str">
        <f t="shared" ca="1" si="153"/>
        <v/>
      </c>
      <c r="C1179" t="str">
        <f t="shared" si="154"/>
        <v/>
      </c>
      <c r="D1179" t="s">
        <v>253</v>
      </c>
      <c r="E1179" t="s">
        <v>253</v>
      </c>
      <c r="F1179" s="3" t="s">
        <v>253</v>
      </c>
      <c r="G1179" s="11" t="s">
        <v>253</v>
      </c>
      <c r="H1179" s="11" t="s">
        <v>253</v>
      </c>
      <c r="I1179" s="3" t="s">
        <v>253</v>
      </c>
      <c r="J1179" s="3" t="s">
        <v>253</v>
      </c>
      <c r="K1179" s="3" t="s">
        <v>253</v>
      </c>
      <c r="L1179" s="3" t="s">
        <v>253</v>
      </c>
      <c r="M1179" t="str">
        <f>IF(LEN(H1179),MATCH(H1179,'MPIO_SFIO Table'!$A$11:$A$65525,0)-1,"")</f>
        <v/>
      </c>
      <c r="N1179" t="str">
        <f>IF(LEN(I1179),MATCH(I1179,'MPIO_SFIO Table'!$A$11:$A$65525,0)-1,"")</f>
        <v/>
      </c>
      <c r="O1179" t="str">
        <f>IF(LEN(J1179),MATCH(J1179,'MPIO_SFIO Table'!$A$11:$A$65525,0)-1,"")</f>
        <v/>
      </c>
      <c r="P1179" t="str">
        <f>IF(LEN(K1179),MATCH(K1179,'MPIO_SFIO Table'!$A$11:$A$65525,0)-1,"")</f>
        <v/>
      </c>
      <c r="Q1179" t="str">
        <f>IF(LEN(L1179),MATCH(L1179,'MPIO_SFIO Table'!$A$11:$A$65525,0)-1,"")</f>
        <v/>
      </c>
      <c r="R1179" t="str">
        <f ca="1">IF(ISNUMBER(M1179),OFFSET('MPIO_SFIO Table'!$AJ$11,M1179,0),"")</f>
        <v/>
      </c>
      <c r="S1179" t="str">
        <f ca="1">IF(ISNUMBER(N1179),OFFSET('MPIO_SFIO Table'!$AJ$11,N1179,0),"")</f>
        <v/>
      </c>
      <c r="T1179" t="str">
        <f ca="1">IF(ISNUMBER(O1179),OFFSET('MPIO_SFIO Table'!$AJ$11,O1179,0),"")</f>
        <v/>
      </c>
      <c r="U1179" t="str">
        <f ca="1">IF(ISNUMBER(P1179),OFFSET('MPIO_SFIO Table'!$AJ$11,P1179,0),"")</f>
        <v/>
      </c>
      <c r="V1179" t="str">
        <f ca="1">IF(ISNUMBER(Q1179),OFFSET('MPIO_SFIO Table'!$AJ$11,Q1179,0),"")</f>
        <v/>
      </c>
      <c r="W1179">
        <f t="shared" ca="1" si="155"/>
        <v>0</v>
      </c>
      <c r="X1179">
        <f t="shared" ca="1" si="156"/>
        <v>0</v>
      </c>
      <c r="Y1179">
        <f t="shared" ca="1" si="157"/>
        <v>0</v>
      </c>
      <c r="Z1179">
        <f t="shared" ca="1" si="158"/>
        <v>0</v>
      </c>
      <c r="AA1179">
        <f t="shared" ca="1" si="159"/>
        <v>0</v>
      </c>
    </row>
    <row r="1180" spans="1:27" x14ac:dyDescent="0.25">
      <c r="A1180">
        <f t="shared" ca="1" si="152"/>
        <v>0</v>
      </c>
      <c r="B1180" t="str">
        <f t="shared" ca="1" si="153"/>
        <v/>
      </c>
      <c r="C1180" t="str">
        <f t="shared" si="154"/>
        <v/>
      </c>
      <c r="D1180" t="s">
        <v>253</v>
      </c>
      <c r="E1180" t="s">
        <v>253</v>
      </c>
      <c r="F1180" s="3" t="s">
        <v>253</v>
      </c>
      <c r="G1180" s="11" t="s">
        <v>253</v>
      </c>
      <c r="H1180" s="11" t="s">
        <v>253</v>
      </c>
      <c r="I1180" s="3" t="s">
        <v>253</v>
      </c>
      <c r="J1180" s="3" t="s">
        <v>253</v>
      </c>
      <c r="K1180" s="3" t="s">
        <v>253</v>
      </c>
      <c r="L1180" s="3" t="s">
        <v>253</v>
      </c>
      <c r="M1180" t="str">
        <f>IF(LEN(H1180),MATCH(H1180,'MPIO_SFIO Table'!$A$11:$A$65525,0)-1,"")</f>
        <v/>
      </c>
      <c r="N1180" t="str">
        <f>IF(LEN(I1180),MATCH(I1180,'MPIO_SFIO Table'!$A$11:$A$65525,0)-1,"")</f>
        <v/>
      </c>
      <c r="O1180" t="str">
        <f>IF(LEN(J1180),MATCH(J1180,'MPIO_SFIO Table'!$A$11:$A$65525,0)-1,"")</f>
        <v/>
      </c>
      <c r="P1180" t="str">
        <f>IF(LEN(K1180),MATCH(K1180,'MPIO_SFIO Table'!$A$11:$A$65525,0)-1,"")</f>
        <v/>
      </c>
      <c r="Q1180" t="str">
        <f>IF(LEN(L1180),MATCH(L1180,'MPIO_SFIO Table'!$A$11:$A$65525,0)-1,"")</f>
        <v/>
      </c>
      <c r="R1180" t="str">
        <f ca="1">IF(ISNUMBER(M1180),OFFSET('MPIO_SFIO Table'!$AJ$11,M1180,0),"")</f>
        <v/>
      </c>
      <c r="S1180" t="str">
        <f ca="1">IF(ISNUMBER(N1180),OFFSET('MPIO_SFIO Table'!$AJ$11,N1180,0),"")</f>
        <v/>
      </c>
      <c r="T1180" t="str">
        <f ca="1">IF(ISNUMBER(O1180),OFFSET('MPIO_SFIO Table'!$AJ$11,O1180,0),"")</f>
        <v/>
      </c>
      <c r="U1180" t="str">
        <f ca="1">IF(ISNUMBER(P1180),OFFSET('MPIO_SFIO Table'!$AJ$11,P1180,0),"")</f>
        <v/>
      </c>
      <c r="V1180" t="str">
        <f ca="1">IF(ISNUMBER(Q1180),OFFSET('MPIO_SFIO Table'!$AJ$11,Q1180,0),"")</f>
        <v/>
      </c>
      <c r="W1180">
        <f t="shared" ca="1" si="155"/>
        <v>0</v>
      </c>
      <c r="X1180">
        <f t="shared" ca="1" si="156"/>
        <v>0</v>
      </c>
      <c r="Y1180">
        <f t="shared" ca="1" si="157"/>
        <v>0</v>
      </c>
      <c r="Z1180">
        <f t="shared" ca="1" si="158"/>
        <v>0</v>
      </c>
      <c r="AA1180">
        <f t="shared" ca="1" si="159"/>
        <v>0</v>
      </c>
    </row>
    <row r="1181" spans="1:27" x14ac:dyDescent="0.25">
      <c r="A1181">
        <f t="shared" ca="1" si="152"/>
        <v>0</v>
      </c>
      <c r="B1181" t="str">
        <f t="shared" ca="1" si="153"/>
        <v/>
      </c>
      <c r="C1181" t="str">
        <f t="shared" si="154"/>
        <v/>
      </c>
      <c r="D1181" t="s">
        <v>253</v>
      </c>
      <c r="E1181" t="s">
        <v>253</v>
      </c>
      <c r="F1181" s="3" t="s">
        <v>253</v>
      </c>
      <c r="G1181" s="11" t="s">
        <v>253</v>
      </c>
      <c r="H1181" s="11" t="s">
        <v>253</v>
      </c>
      <c r="I1181" s="3" t="s">
        <v>253</v>
      </c>
      <c r="J1181" s="3" t="s">
        <v>253</v>
      </c>
      <c r="K1181" s="3" t="s">
        <v>253</v>
      </c>
      <c r="L1181" s="3" t="s">
        <v>253</v>
      </c>
      <c r="M1181" t="str">
        <f>IF(LEN(H1181),MATCH(H1181,'MPIO_SFIO Table'!$A$11:$A$65525,0)-1,"")</f>
        <v/>
      </c>
      <c r="N1181" t="str">
        <f>IF(LEN(I1181),MATCH(I1181,'MPIO_SFIO Table'!$A$11:$A$65525,0)-1,"")</f>
        <v/>
      </c>
      <c r="O1181" t="str">
        <f>IF(LEN(J1181),MATCH(J1181,'MPIO_SFIO Table'!$A$11:$A$65525,0)-1,"")</f>
        <v/>
      </c>
      <c r="P1181" t="str">
        <f>IF(LEN(K1181),MATCH(K1181,'MPIO_SFIO Table'!$A$11:$A$65525,0)-1,"")</f>
        <v/>
      </c>
      <c r="Q1181" t="str">
        <f>IF(LEN(L1181),MATCH(L1181,'MPIO_SFIO Table'!$A$11:$A$65525,0)-1,"")</f>
        <v/>
      </c>
      <c r="R1181" t="str">
        <f ca="1">IF(ISNUMBER(M1181),OFFSET('MPIO_SFIO Table'!$AJ$11,M1181,0),"")</f>
        <v/>
      </c>
      <c r="S1181" t="str">
        <f ca="1">IF(ISNUMBER(N1181),OFFSET('MPIO_SFIO Table'!$AJ$11,N1181,0),"")</f>
        <v/>
      </c>
      <c r="T1181" t="str">
        <f ca="1">IF(ISNUMBER(O1181),OFFSET('MPIO_SFIO Table'!$AJ$11,O1181,0),"")</f>
        <v/>
      </c>
      <c r="U1181" t="str">
        <f ca="1">IF(ISNUMBER(P1181),OFFSET('MPIO_SFIO Table'!$AJ$11,P1181,0),"")</f>
        <v/>
      </c>
      <c r="V1181" t="str">
        <f ca="1">IF(ISNUMBER(Q1181),OFFSET('MPIO_SFIO Table'!$AJ$11,Q1181,0),"")</f>
        <v/>
      </c>
      <c r="W1181">
        <f t="shared" ca="1" si="155"/>
        <v>0</v>
      </c>
      <c r="X1181">
        <f t="shared" ca="1" si="156"/>
        <v>0</v>
      </c>
      <c r="Y1181">
        <f t="shared" ca="1" si="157"/>
        <v>0</v>
      </c>
      <c r="Z1181">
        <f t="shared" ca="1" si="158"/>
        <v>0</v>
      </c>
      <c r="AA1181">
        <f t="shared" ca="1" si="159"/>
        <v>0</v>
      </c>
    </row>
    <row r="1182" spans="1:27" x14ac:dyDescent="0.25">
      <c r="A1182">
        <f t="shared" ca="1" si="152"/>
        <v>0</v>
      </c>
      <c r="B1182" t="str">
        <f t="shared" ca="1" si="153"/>
        <v/>
      </c>
      <c r="C1182" t="str">
        <f t="shared" si="154"/>
        <v/>
      </c>
      <c r="D1182" t="s">
        <v>253</v>
      </c>
      <c r="E1182" t="s">
        <v>253</v>
      </c>
      <c r="F1182" s="3" t="s">
        <v>253</v>
      </c>
      <c r="G1182" s="11" t="s">
        <v>253</v>
      </c>
      <c r="H1182" s="11" t="s">
        <v>253</v>
      </c>
      <c r="I1182" s="3" t="s">
        <v>253</v>
      </c>
      <c r="J1182" s="3" t="s">
        <v>253</v>
      </c>
      <c r="K1182" s="3" t="s">
        <v>253</v>
      </c>
      <c r="L1182" s="3" t="s">
        <v>253</v>
      </c>
      <c r="M1182" t="str">
        <f>IF(LEN(H1182),MATCH(H1182,'MPIO_SFIO Table'!$A$11:$A$65525,0)-1,"")</f>
        <v/>
      </c>
      <c r="N1182" t="str">
        <f>IF(LEN(I1182),MATCH(I1182,'MPIO_SFIO Table'!$A$11:$A$65525,0)-1,"")</f>
        <v/>
      </c>
      <c r="O1182" t="str">
        <f>IF(LEN(J1182),MATCH(J1182,'MPIO_SFIO Table'!$A$11:$A$65525,0)-1,"")</f>
        <v/>
      </c>
      <c r="P1182" t="str">
        <f>IF(LEN(K1182),MATCH(K1182,'MPIO_SFIO Table'!$A$11:$A$65525,0)-1,"")</f>
        <v/>
      </c>
      <c r="Q1182" t="str">
        <f>IF(LEN(L1182),MATCH(L1182,'MPIO_SFIO Table'!$A$11:$A$65525,0)-1,"")</f>
        <v/>
      </c>
      <c r="R1182" t="str">
        <f ca="1">IF(ISNUMBER(M1182),OFFSET('MPIO_SFIO Table'!$AJ$11,M1182,0),"")</f>
        <v/>
      </c>
      <c r="S1182" t="str">
        <f ca="1">IF(ISNUMBER(N1182),OFFSET('MPIO_SFIO Table'!$AJ$11,N1182,0),"")</f>
        <v/>
      </c>
      <c r="T1182" t="str">
        <f ca="1">IF(ISNUMBER(O1182),OFFSET('MPIO_SFIO Table'!$AJ$11,O1182,0),"")</f>
        <v/>
      </c>
      <c r="U1182" t="str">
        <f ca="1">IF(ISNUMBER(P1182),OFFSET('MPIO_SFIO Table'!$AJ$11,P1182,0),"")</f>
        <v/>
      </c>
      <c r="V1182" t="str">
        <f ca="1">IF(ISNUMBER(Q1182),OFFSET('MPIO_SFIO Table'!$AJ$11,Q1182,0),"")</f>
        <v/>
      </c>
      <c r="W1182">
        <f t="shared" ca="1" si="155"/>
        <v>0</v>
      </c>
      <c r="X1182">
        <f t="shared" ca="1" si="156"/>
        <v>0</v>
      </c>
      <c r="Y1182">
        <f t="shared" ca="1" si="157"/>
        <v>0</v>
      </c>
      <c r="Z1182">
        <f t="shared" ca="1" si="158"/>
        <v>0</v>
      </c>
      <c r="AA1182">
        <f t="shared" ca="1" si="159"/>
        <v>0</v>
      </c>
    </row>
    <row r="1183" spans="1:27" x14ac:dyDescent="0.25">
      <c r="A1183">
        <f t="shared" ca="1" si="152"/>
        <v>0</v>
      </c>
      <c r="B1183" t="str">
        <f t="shared" ca="1" si="153"/>
        <v/>
      </c>
      <c r="C1183" t="str">
        <f t="shared" si="154"/>
        <v/>
      </c>
      <c r="D1183" t="s">
        <v>253</v>
      </c>
      <c r="E1183" t="s">
        <v>253</v>
      </c>
      <c r="F1183" s="3" t="s">
        <v>253</v>
      </c>
      <c r="G1183" s="11" t="s">
        <v>253</v>
      </c>
      <c r="H1183" s="11" t="s">
        <v>253</v>
      </c>
      <c r="I1183" s="3" t="s">
        <v>253</v>
      </c>
      <c r="J1183" s="3" t="s">
        <v>253</v>
      </c>
      <c r="K1183" s="3" t="s">
        <v>253</v>
      </c>
      <c r="L1183" s="3" t="s">
        <v>253</v>
      </c>
      <c r="M1183" t="str">
        <f>IF(LEN(H1183),MATCH(H1183,'MPIO_SFIO Table'!$A$11:$A$65525,0)-1,"")</f>
        <v/>
      </c>
      <c r="N1183" t="str">
        <f>IF(LEN(I1183),MATCH(I1183,'MPIO_SFIO Table'!$A$11:$A$65525,0)-1,"")</f>
        <v/>
      </c>
      <c r="O1183" t="str">
        <f>IF(LEN(J1183),MATCH(J1183,'MPIO_SFIO Table'!$A$11:$A$65525,0)-1,"")</f>
        <v/>
      </c>
      <c r="P1183" t="str">
        <f>IF(LEN(K1183),MATCH(K1183,'MPIO_SFIO Table'!$A$11:$A$65525,0)-1,"")</f>
        <v/>
      </c>
      <c r="Q1183" t="str">
        <f>IF(LEN(L1183),MATCH(L1183,'MPIO_SFIO Table'!$A$11:$A$65525,0)-1,"")</f>
        <v/>
      </c>
      <c r="R1183" t="str">
        <f ca="1">IF(ISNUMBER(M1183),OFFSET('MPIO_SFIO Table'!$AJ$11,M1183,0),"")</f>
        <v/>
      </c>
      <c r="S1183" t="str">
        <f ca="1">IF(ISNUMBER(N1183),OFFSET('MPIO_SFIO Table'!$AJ$11,N1183,0),"")</f>
        <v/>
      </c>
      <c r="T1183" t="str">
        <f ca="1">IF(ISNUMBER(O1183),OFFSET('MPIO_SFIO Table'!$AJ$11,O1183,0),"")</f>
        <v/>
      </c>
      <c r="U1183" t="str">
        <f ca="1">IF(ISNUMBER(P1183),OFFSET('MPIO_SFIO Table'!$AJ$11,P1183,0),"")</f>
        <v/>
      </c>
      <c r="V1183" t="str">
        <f ca="1">IF(ISNUMBER(Q1183),OFFSET('MPIO_SFIO Table'!$AJ$11,Q1183,0),"")</f>
        <v/>
      </c>
      <c r="W1183">
        <f t="shared" ca="1" si="155"/>
        <v>0</v>
      </c>
      <c r="X1183">
        <f t="shared" ca="1" si="156"/>
        <v>0</v>
      </c>
      <c r="Y1183">
        <f t="shared" ca="1" si="157"/>
        <v>0</v>
      </c>
      <c r="Z1183">
        <f t="shared" ca="1" si="158"/>
        <v>0</v>
      </c>
      <c r="AA1183">
        <f t="shared" ca="1" si="159"/>
        <v>0</v>
      </c>
    </row>
    <row r="1184" spans="1:27" x14ac:dyDescent="0.25">
      <c r="A1184">
        <f t="shared" ca="1" si="152"/>
        <v>0</v>
      </c>
      <c r="B1184" t="str">
        <f t="shared" ca="1" si="153"/>
        <v/>
      </c>
      <c r="C1184" t="str">
        <f t="shared" si="154"/>
        <v/>
      </c>
      <c r="D1184" t="s">
        <v>253</v>
      </c>
      <c r="E1184" t="s">
        <v>253</v>
      </c>
      <c r="F1184" s="3" t="s">
        <v>253</v>
      </c>
      <c r="G1184" s="11" t="s">
        <v>253</v>
      </c>
      <c r="H1184" s="11" t="s">
        <v>253</v>
      </c>
      <c r="I1184" s="3" t="s">
        <v>253</v>
      </c>
      <c r="J1184" s="3" t="s">
        <v>253</v>
      </c>
      <c r="K1184" s="3" t="s">
        <v>253</v>
      </c>
      <c r="L1184" s="3" t="s">
        <v>253</v>
      </c>
      <c r="M1184" t="str">
        <f>IF(LEN(H1184),MATCH(H1184,'MPIO_SFIO Table'!$A$11:$A$65525,0)-1,"")</f>
        <v/>
      </c>
      <c r="N1184" t="str">
        <f>IF(LEN(I1184),MATCH(I1184,'MPIO_SFIO Table'!$A$11:$A$65525,0)-1,"")</f>
        <v/>
      </c>
      <c r="O1184" t="str">
        <f>IF(LEN(J1184),MATCH(J1184,'MPIO_SFIO Table'!$A$11:$A$65525,0)-1,"")</f>
        <v/>
      </c>
      <c r="P1184" t="str">
        <f>IF(LEN(K1184),MATCH(K1184,'MPIO_SFIO Table'!$A$11:$A$65525,0)-1,"")</f>
        <v/>
      </c>
      <c r="Q1184" t="str">
        <f>IF(LEN(L1184),MATCH(L1184,'MPIO_SFIO Table'!$A$11:$A$65525,0)-1,"")</f>
        <v/>
      </c>
      <c r="R1184" t="str">
        <f ca="1">IF(ISNUMBER(M1184),OFFSET('MPIO_SFIO Table'!$AJ$11,M1184,0),"")</f>
        <v/>
      </c>
      <c r="S1184" t="str">
        <f ca="1">IF(ISNUMBER(N1184),OFFSET('MPIO_SFIO Table'!$AJ$11,N1184,0),"")</f>
        <v/>
      </c>
      <c r="T1184" t="str">
        <f ca="1">IF(ISNUMBER(O1184),OFFSET('MPIO_SFIO Table'!$AJ$11,O1184,0),"")</f>
        <v/>
      </c>
      <c r="U1184" t="str">
        <f ca="1">IF(ISNUMBER(P1184),OFFSET('MPIO_SFIO Table'!$AJ$11,P1184,0),"")</f>
        <v/>
      </c>
      <c r="V1184" t="str">
        <f ca="1">IF(ISNUMBER(Q1184),OFFSET('MPIO_SFIO Table'!$AJ$11,Q1184,0),"")</f>
        <v/>
      </c>
      <c r="W1184">
        <f t="shared" ca="1" si="155"/>
        <v>0</v>
      </c>
      <c r="X1184">
        <f t="shared" ca="1" si="156"/>
        <v>0</v>
      </c>
      <c r="Y1184">
        <f t="shared" ca="1" si="157"/>
        <v>0</v>
      </c>
      <c r="Z1184">
        <f t="shared" ca="1" si="158"/>
        <v>0</v>
      </c>
      <c r="AA1184">
        <f t="shared" ca="1" si="159"/>
        <v>0</v>
      </c>
    </row>
    <row r="1185" spans="1:27" x14ac:dyDescent="0.25">
      <c r="A1185">
        <f t="shared" ca="1" si="152"/>
        <v>0</v>
      </c>
      <c r="B1185" t="str">
        <f t="shared" ca="1" si="153"/>
        <v/>
      </c>
      <c r="C1185" t="str">
        <f t="shared" si="154"/>
        <v/>
      </c>
      <c r="D1185" t="s">
        <v>253</v>
      </c>
      <c r="E1185" t="s">
        <v>253</v>
      </c>
      <c r="F1185" s="3" t="s">
        <v>253</v>
      </c>
      <c r="G1185" s="11" t="s">
        <v>253</v>
      </c>
      <c r="H1185" s="11" t="s">
        <v>253</v>
      </c>
      <c r="I1185" s="3" t="s">
        <v>253</v>
      </c>
      <c r="J1185" s="3" t="s">
        <v>253</v>
      </c>
      <c r="K1185" s="3" t="s">
        <v>253</v>
      </c>
      <c r="L1185" s="3" t="s">
        <v>253</v>
      </c>
      <c r="M1185" t="str">
        <f>IF(LEN(H1185),MATCH(H1185,'MPIO_SFIO Table'!$A$11:$A$65525,0)-1,"")</f>
        <v/>
      </c>
      <c r="N1185" t="str">
        <f>IF(LEN(I1185),MATCH(I1185,'MPIO_SFIO Table'!$A$11:$A$65525,0)-1,"")</f>
        <v/>
      </c>
      <c r="O1185" t="str">
        <f>IF(LEN(J1185),MATCH(J1185,'MPIO_SFIO Table'!$A$11:$A$65525,0)-1,"")</f>
        <v/>
      </c>
      <c r="P1185" t="str">
        <f>IF(LEN(K1185),MATCH(K1185,'MPIO_SFIO Table'!$A$11:$A$65525,0)-1,"")</f>
        <v/>
      </c>
      <c r="Q1185" t="str">
        <f>IF(LEN(L1185),MATCH(L1185,'MPIO_SFIO Table'!$A$11:$A$65525,0)-1,"")</f>
        <v/>
      </c>
      <c r="R1185" t="str">
        <f ca="1">IF(ISNUMBER(M1185),OFFSET('MPIO_SFIO Table'!$AJ$11,M1185,0),"")</f>
        <v/>
      </c>
      <c r="S1185" t="str">
        <f ca="1">IF(ISNUMBER(N1185),OFFSET('MPIO_SFIO Table'!$AJ$11,N1185,0),"")</f>
        <v/>
      </c>
      <c r="T1185" t="str">
        <f ca="1">IF(ISNUMBER(O1185),OFFSET('MPIO_SFIO Table'!$AJ$11,O1185,0),"")</f>
        <v/>
      </c>
      <c r="U1185" t="str">
        <f ca="1">IF(ISNUMBER(P1185),OFFSET('MPIO_SFIO Table'!$AJ$11,P1185,0),"")</f>
        <v/>
      </c>
      <c r="V1185" t="str">
        <f ca="1">IF(ISNUMBER(Q1185),OFFSET('MPIO_SFIO Table'!$AJ$11,Q1185,0),"")</f>
        <v/>
      </c>
      <c r="W1185">
        <f t="shared" ca="1" si="155"/>
        <v>0</v>
      </c>
      <c r="X1185">
        <f t="shared" ca="1" si="156"/>
        <v>0</v>
      </c>
      <c r="Y1185">
        <f t="shared" ca="1" si="157"/>
        <v>0</v>
      </c>
      <c r="Z1185">
        <f t="shared" ca="1" si="158"/>
        <v>0</v>
      </c>
      <c r="AA1185">
        <f t="shared" ca="1" si="159"/>
        <v>0</v>
      </c>
    </row>
    <row r="1186" spans="1:27" x14ac:dyDescent="0.25">
      <c r="A1186">
        <f t="shared" ca="1" si="152"/>
        <v>0</v>
      </c>
      <c r="B1186" t="str">
        <f t="shared" ca="1" si="153"/>
        <v/>
      </c>
      <c r="C1186" t="str">
        <f t="shared" si="154"/>
        <v/>
      </c>
      <c r="D1186" t="s">
        <v>253</v>
      </c>
      <c r="E1186" t="s">
        <v>253</v>
      </c>
      <c r="F1186" s="3" t="s">
        <v>253</v>
      </c>
      <c r="G1186" s="11" t="s">
        <v>253</v>
      </c>
      <c r="H1186" s="11" t="s">
        <v>253</v>
      </c>
      <c r="I1186" s="3" t="s">
        <v>253</v>
      </c>
      <c r="J1186" s="3" t="s">
        <v>253</v>
      </c>
      <c r="K1186" s="3" t="s">
        <v>253</v>
      </c>
      <c r="L1186" s="3" t="s">
        <v>253</v>
      </c>
      <c r="M1186" t="str">
        <f>IF(LEN(H1186),MATCH(H1186,'MPIO_SFIO Table'!$A$11:$A$65525,0)-1,"")</f>
        <v/>
      </c>
      <c r="N1186" t="str">
        <f>IF(LEN(I1186),MATCH(I1186,'MPIO_SFIO Table'!$A$11:$A$65525,0)-1,"")</f>
        <v/>
      </c>
      <c r="O1186" t="str">
        <f>IF(LEN(J1186),MATCH(J1186,'MPIO_SFIO Table'!$A$11:$A$65525,0)-1,"")</f>
        <v/>
      </c>
      <c r="P1186" t="str">
        <f>IF(LEN(K1186),MATCH(K1186,'MPIO_SFIO Table'!$A$11:$A$65525,0)-1,"")</f>
        <v/>
      </c>
      <c r="Q1186" t="str">
        <f>IF(LEN(L1186),MATCH(L1186,'MPIO_SFIO Table'!$A$11:$A$65525,0)-1,"")</f>
        <v/>
      </c>
      <c r="R1186" t="str">
        <f ca="1">IF(ISNUMBER(M1186),OFFSET('MPIO_SFIO Table'!$AJ$11,M1186,0),"")</f>
        <v/>
      </c>
      <c r="S1186" t="str">
        <f ca="1">IF(ISNUMBER(N1186),OFFSET('MPIO_SFIO Table'!$AJ$11,N1186,0),"")</f>
        <v/>
      </c>
      <c r="T1186" t="str">
        <f ca="1">IF(ISNUMBER(O1186),OFFSET('MPIO_SFIO Table'!$AJ$11,O1186,0),"")</f>
        <v/>
      </c>
      <c r="U1186" t="str">
        <f ca="1">IF(ISNUMBER(P1186),OFFSET('MPIO_SFIO Table'!$AJ$11,P1186,0),"")</f>
        <v/>
      </c>
      <c r="V1186" t="str">
        <f ca="1">IF(ISNUMBER(Q1186),OFFSET('MPIO_SFIO Table'!$AJ$11,Q1186,0),"")</f>
        <v/>
      </c>
      <c r="W1186">
        <f t="shared" ca="1" si="155"/>
        <v>0</v>
      </c>
      <c r="X1186">
        <f t="shared" ca="1" si="156"/>
        <v>0</v>
      </c>
      <c r="Y1186">
        <f t="shared" ca="1" si="157"/>
        <v>0</v>
      </c>
      <c r="Z1186">
        <f t="shared" ca="1" si="158"/>
        <v>0</v>
      </c>
      <c r="AA1186">
        <f t="shared" ca="1" si="159"/>
        <v>0</v>
      </c>
    </row>
    <row r="1187" spans="1:27" x14ac:dyDescent="0.25">
      <c r="A1187">
        <f t="shared" ca="1" si="152"/>
        <v>0</v>
      </c>
      <c r="B1187" t="str">
        <f t="shared" ca="1" si="153"/>
        <v/>
      </c>
      <c r="C1187" t="str">
        <f t="shared" si="154"/>
        <v/>
      </c>
      <c r="D1187" t="s">
        <v>253</v>
      </c>
      <c r="E1187" t="s">
        <v>253</v>
      </c>
      <c r="F1187" s="3" t="s">
        <v>253</v>
      </c>
      <c r="G1187" s="11" t="s">
        <v>253</v>
      </c>
      <c r="H1187" s="11" t="s">
        <v>253</v>
      </c>
      <c r="I1187" s="3" t="s">
        <v>253</v>
      </c>
      <c r="J1187" s="3" t="s">
        <v>253</v>
      </c>
      <c r="K1187" s="3" t="s">
        <v>253</v>
      </c>
      <c r="L1187" s="3" t="s">
        <v>253</v>
      </c>
      <c r="M1187" t="str">
        <f>IF(LEN(H1187),MATCH(H1187,'MPIO_SFIO Table'!$A$11:$A$65525,0)-1,"")</f>
        <v/>
      </c>
      <c r="N1187" t="str">
        <f>IF(LEN(I1187),MATCH(I1187,'MPIO_SFIO Table'!$A$11:$A$65525,0)-1,"")</f>
        <v/>
      </c>
      <c r="O1187" t="str">
        <f>IF(LEN(J1187),MATCH(J1187,'MPIO_SFIO Table'!$A$11:$A$65525,0)-1,"")</f>
        <v/>
      </c>
      <c r="P1187" t="str">
        <f>IF(LEN(K1187),MATCH(K1187,'MPIO_SFIO Table'!$A$11:$A$65525,0)-1,"")</f>
        <v/>
      </c>
      <c r="Q1187" t="str">
        <f>IF(LEN(L1187),MATCH(L1187,'MPIO_SFIO Table'!$A$11:$A$65525,0)-1,"")</f>
        <v/>
      </c>
      <c r="R1187" t="str">
        <f ca="1">IF(ISNUMBER(M1187),OFFSET('MPIO_SFIO Table'!$AJ$11,M1187,0),"")</f>
        <v/>
      </c>
      <c r="S1187" t="str">
        <f ca="1">IF(ISNUMBER(N1187),OFFSET('MPIO_SFIO Table'!$AJ$11,N1187,0),"")</f>
        <v/>
      </c>
      <c r="T1187" t="str">
        <f ca="1">IF(ISNUMBER(O1187),OFFSET('MPIO_SFIO Table'!$AJ$11,O1187,0),"")</f>
        <v/>
      </c>
      <c r="U1187" t="str">
        <f ca="1">IF(ISNUMBER(P1187),OFFSET('MPIO_SFIO Table'!$AJ$11,P1187,0),"")</f>
        <v/>
      </c>
      <c r="V1187" t="str">
        <f ca="1">IF(ISNUMBER(Q1187),OFFSET('MPIO_SFIO Table'!$AJ$11,Q1187,0),"")</f>
        <v/>
      </c>
      <c r="W1187">
        <f t="shared" ca="1" si="155"/>
        <v>0</v>
      </c>
      <c r="X1187">
        <f t="shared" ca="1" si="156"/>
        <v>0</v>
      </c>
      <c r="Y1187">
        <f t="shared" ca="1" si="157"/>
        <v>0</v>
      </c>
      <c r="Z1187">
        <f t="shared" ca="1" si="158"/>
        <v>0</v>
      </c>
      <c r="AA1187">
        <f t="shared" ca="1" si="159"/>
        <v>0</v>
      </c>
    </row>
    <row r="1188" spans="1:27" x14ac:dyDescent="0.25">
      <c r="A1188">
        <f t="shared" ca="1" si="152"/>
        <v>0</v>
      </c>
      <c r="B1188" t="str">
        <f t="shared" ca="1" si="153"/>
        <v/>
      </c>
      <c r="C1188" t="str">
        <f t="shared" si="154"/>
        <v/>
      </c>
      <c r="D1188" t="s">
        <v>253</v>
      </c>
      <c r="E1188" t="s">
        <v>253</v>
      </c>
      <c r="F1188" s="3" t="s">
        <v>253</v>
      </c>
      <c r="G1188" s="11" t="s">
        <v>253</v>
      </c>
      <c r="H1188" s="11" t="s">
        <v>253</v>
      </c>
      <c r="I1188" s="3" t="s">
        <v>253</v>
      </c>
      <c r="J1188" s="3" t="s">
        <v>253</v>
      </c>
      <c r="K1188" s="3" t="s">
        <v>253</v>
      </c>
      <c r="L1188" s="3" t="s">
        <v>253</v>
      </c>
      <c r="M1188" t="str">
        <f>IF(LEN(H1188),MATCH(H1188,'MPIO_SFIO Table'!$A$11:$A$65525,0)-1,"")</f>
        <v/>
      </c>
      <c r="N1188" t="str">
        <f>IF(LEN(I1188),MATCH(I1188,'MPIO_SFIO Table'!$A$11:$A$65525,0)-1,"")</f>
        <v/>
      </c>
      <c r="O1188" t="str">
        <f>IF(LEN(J1188),MATCH(J1188,'MPIO_SFIO Table'!$A$11:$A$65525,0)-1,"")</f>
        <v/>
      </c>
      <c r="P1188" t="str">
        <f>IF(LEN(K1188),MATCH(K1188,'MPIO_SFIO Table'!$A$11:$A$65525,0)-1,"")</f>
        <v/>
      </c>
      <c r="Q1188" t="str">
        <f>IF(LEN(L1188),MATCH(L1188,'MPIO_SFIO Table'!$A$11:$A$65525,0)-1,"")</f>
        <v/>
      </c>
      <c r="R1188" t="str">
        <f ca="1">IF(ISNUMBER(M1188),OFFSET('MPIO_SFIO Table'!$AJ$11,M1188,0),"")</f>
        <v/>
      </c>
      <c r="S1188" t="str">
        <f ca="1">IF(ISNUMBER(N1188),OFFSET('MPIO_SFIO Table'!$AJ$11,N1188,0),"")</f>
        <v/>
      </c>
      <c r="T1188" t="str">
        <f ca="1">IF(ISNUMBER(O1188),OFFSET('MPIO_SFIO Table'!$AJ$11,O1188,0),"")</f>
        <v/>
      </c>
      <c r="U1188" t="str">
        <f ca="1">IF(ISNUMBER(P1188),OFFSET('MPIO_SFIO Table'!$AJ$11,P1188,0),"")</f>
        <v/>
      </c>
      <c r="V1188" t="str">
        <f ca="1">IF(ISNUMBER(Q1188),OFFSET('MPIO_SFIO Table'!$AJ$11,Q1188,0),"")</f>
        <v/>
      </c>
      <c r="W1188">
        <f t="shared" ca="1" si="155"/>
        <v>0</v>
      </c>
      <c r="X1188">
        <f t="shared" ca="1" si="156"/>
        <v>0</v>
      </c>
      <c r="Y1188">
        <f t="shared" ca="1" si="157"/>
        <v>0</v>
      </c>
      <c r="Z1188">
        <f t="shared" ca="1" si="158"/>
        <v>0</v>
      </c>
      <c r="AA1188">
        <f t="shared" ca="1" si="159"/>
        <v>0</v>
      </c>
    </row>
    <row r="1189" spans="1:27" x14ac:dyDescent="0.25">
      <c r="A1189">
        <f t="shared" ca="1" si="152"/>
        <v>0</v>
      </c>
      <c r="B1189" t="str">
        <f t="shared" ca="1" si="153"/>
        <v/>
      </c>
      <c r="C1189" t="str">
        <f t="shared" si="154"/>
        <v/>
      </c>
      <c r="D1189" t="s">
        <v>253</v>
      </c>
      <c r="E1189" t="s">
        <v>253</v>
      </c>
      <c r="F1189" s="3" t="s">
        <v>253</v>
      </c>
      <c r="G1189" s="11" t="s">
        <v>253</v>
      </c>
      <c r="H1189" s="11" t="s">
        <v>253</v>
      </c>
      <c r="I1189" s="3" t="s">
        <v>253</v>
      </c>
      <c r="J1189" s="3" t="s">
        <v>253</v>
      </c>
      <c r="K1189" s="3" t="s">
        <v>253</v>
      </c>
      <c r="L1189" s="3" t="s">
        <v>253</v>
      </c>
      <c r="M1189" t="str">
        <f>IF(LEN(H1189),MATCH(H1189,'MPIO_SFIO Table'!$A$11:$A$65525,0)-1,"")</f>
        <v/>
      </c>
      <c r="N1189" t="str">
        <f>IF(LEN(I1189),MATCH(I1189,'MPIO_SFIO Table'!$A$11:$A$65525,0)-1,"")</f>
        <v/>
      </c>
      <c r="O1189" t="str">
        <f>IF(LEN(J1189),MATCH(J1189,'MPIO_SFIO Table'!$A$11:$A$65525,0)-1,"")</f>
        <v/>
      </c>
      <c r="P1189" t="str">
        <f>IF(LEN(K1189),MATCH(K1189,'MPIO_SFIO Table'!$A$11:$A$65525,0)-1,"")</f>
        <v/>
      </c>
      <c r="Q1189" t="str">
        <f>IF(LEN(L1189),MATCH(L1189,'MPIO_SFIO Table'!$A$11:$A$65525,0)-1,"")</f>
        <v/>
      </c>
      <c r="R1189" t="str">
        <f ca="1">IF(ISNUMBER(M1189),OFFSET('MPIO_SFIO Table'!$AJ$11,M1189,0),"")</f>
        <v/>
      </c>
      <c r="S1189" t="str">
        <f ca="1">IF(ISNUMBER(N1189),OFFSET('MPIO_SFIO Table'!$AJ$11,N1189,0),"")</f>
        <v/>
      </c>
      <c r="T1189" t="str">
        <f ca="1">IF(ISNUMBER(O1189),OFFSET('MPIO_SFIO Table'!$AJ$11,O1189,0),"")</f>
        <v/>
      </c>
      <c r="U1189" t="str">
        <f ca="1">IF(ISNUMBER(P1189),OFFSET('MPIO_SFIO Table'!$AJ$11,P1189,0),"")</f>
        <v/>
      </c>
      <c r="V1189" t="str">
        <f ca="1">IF(ISNUMBER(Q1189),OFFSET('MPIO_SFIO Table'!$AJ$11,Q1189,0),"")</f>
        <v/>
      </c>
      <c r="W1189">
        <f t="shared" ca="1" si="155"/>
        <v>0</v>
      </c>
      <c r="X1189">
        <f t="shared" ca="1" si="156"/>
        <v>0</v>
      </c>
      <c r="Y1189">
        <f t="shared" ca="1" si="157"/>
        <v>0</v>
      </c>
      <c r="Z1189">
        <f t="shared" ca="1" si="158"/>
        <v>0</v>
      </c>
      <c r="AA1189">
        <f t="shared" ca="1" si="159"/>
        <v>0</v>
      </c>
    </row>
    <row r="1190" spans="1:27" x14ac:dyDescent="0.25">
      <c r="A1190">
        <f t="shared" ca="1" si="152"/>
        <v>0</v>
      </c>
      <c r="B1190" t="str">
        <f t="shared" ca="1" si="153"/>
        <v/>
      </c>
      <c r="C1190" t="str">
        <f t="shared" si="154"/>
        <v/>
      </c>
      <c r="D1190" t="s">
        <v>253</v>
      </c>
      <c r="E1190" t="s">
        <v>253</v>
      </c>
      <c r="F1190" s="3" t="s">
        <v>253</v>
      </c>
      <c r="G1190" s="11" t="s">
        <v>253</v>
      </c>
      <c r="H1190" s="11" t="s">
        <v>253</v>
      </c>
      <c r="I1190" s="3" t="s">
        <v>253</v>
      </c>
      <c r="J1190" s="3" t="s">
        <v>253</v>
      </c>
      <c r="K1190" s="3" t="s">
        <v>253</v>
      </c>
      <c r="L1190" s="3" t="s">
        <v>253</v>
      </c>
      <c r="M1190" t="str">
        <f>IF(LEN(H1190),MATCH(H1190,'MPIO_SFIO Table'!$A$11:$A$65525,0)-1,"")</f>
        <v/>
      </c>
      <c r="N1190" t="str">
        <f>IF(LEN(I1190),MATCH(I1190,'MPIO_SFIO Table'!$A$11:$A$65525,0)-1,"")</f>
        <v/>
      </c>
      <c r="O1190" t="str">
        <f>IF(LEN(J1190),MATCH(J1190,'MPIO_SFIO Table'!$A$11:$A$65525,0)-1,"")</f>
        <v/>
      </c>
      <c r="P1190" t="str">
        <f>IF(LEN(K1190),MATCH(K1190,'MPIO_SFIO Table'!$A$11:$A$65525,0)-1,"")</f>
        <v/>
      </c>
      <c r="Q1190" t="str">
        <f>IF(LEN(L1190),MATCH(L1190,'MPIO_SFIO Table'!$A$11:$A$65525,0)-1,"")</f>
        <v/>
      </c>
      <c r="R1190" t="str">
        <f ca="1">IF(ISNUMBER(M1190),OFFSET('MPIO_SFIO Table'!$AJ$11,M1190,0),"")</f>
        <v/>
      </c>
      <c r="S1190" t="str">
        <f ca="1">IF(ISNUMBER(N1190),OFFSET('MPIO_SFIO Table'!$AJ$11,N1190,0),"")</f>
        <v/>
      </c>
      <c r="T1190" t="str">
        <f ca="1">IF(ISNUMBER(O1190),OFFSET('MPIO_SFIO Table'!$AJ$11,O1190,0),"")</f>
        <v/>
      </c>
      <c r="U1190" t="str">
        <f ca="1">IF(ISNUMBER(P1190),OFFSET('MPIO_SFIO Table'!$AJ$11,P1190,0),"")</f>
        <v/>
      </c>
      <c r="V1190" t="str">
        <f ca="1">IF(ISNUMBER(Q1190),OFFSET('MPIO_SFIO Table'!$AJ$11,Q1190,0),"")</f>
        <v/>
      </c>
      <c r="W1190">
        <f t="shared" ca="1" si="155"/>
        <v>0</v>
      </c>
      <c r="X1190">
        <f t="shared" ca="1" si="156"/>
        <v>0</v>
      </c>
      <c r="Y1190">
        <f t="shared" ca="1" si="157"/>
        <v>0</v>
      </c>
      <c r="Z1190">
        <f t="shared" ca="1" si="158"/>
        <v>0</v>
      </c>
      <c r="AA1190">
        <f t="shared" ca="1" si="159"/>
        <v>0</v>
      </c>
    </row>
    <row r="1191" spans="1:27" x14ac:dyDescent="0.25">
      <c r="A1191">
        <f t="shared" ca="1" si="152"/>
        <v>0</v>
      </c>
      <c r="B1191" t="str">
        <f t="shared" ca="1" si="153"/>
        <v/>
      </c>
      <c r="C1191" t="str">
        <f t="shared" si="154"/>
        <v/>
      </c>
      <c r="D1191" t="s">
        <v>253</v>
      </c>
      <c r="E1191" t="s">
        <v>253</v>
      </c>
      <c r="F1191" s="3" t="s">
        <v>253</v>
      </c>
      <c r="G1191" s="11" t="s">
        <v>253</v>
      </c>
      <c r="H1191" s="11" t="s">
        <v>253</v>
      </c>
      <c r="I1191" s="3" t="s">
        <v>253</v>
      </c>
      <c r="J1191" s="3" t="s">
        <v>253</v>
      </c>
      <c r="K1191" s="3" t="s">
        <v>253</v>
      </c>
      <c r="L1191" s="3" t="s">
        <v>253</v>
      </c>
      <c r="M1191" t="str">
        <f>IF(LEN(H1191),MATCH(H1191,'MPIO_SFIO Table'!$A$11:$A$65525,0)-1,"")</f>
        <v/>
      </c>
      <c r="N1191" t="str">
        <f>IF(LEN(I1191),MATCH(I1191,'MPIO_SFIO Table'!$A$11:$A$65525,0)-1,"")</f>
        <v/>
      </c>
      <c r="O1191" t="str">
        <f>IF(LEN(J1191),MATCH(J1191,'MPIO_SFIO Table'!$A$11:$A$65525,0)-1,"")</f>
        <v/>
      </c>
      <c r="P1191" t="str">
        <f>IF(LEN(K1191),MATCH(K1191,'MPIO_SFIO Table'!$A$11:$A$65525,0)-1,"")</f>
        <v/>
      </c>
      <c r="Q1191" t="str">
        <f>IF(LEN(L1191),MATCH(L1191,'MPIO_SFIO Table'!$A$11:$A$65525,0)-1,"")</f>
        <v/>
      </c>
      <c r="R1191" t="str">
        <f ca="1">IF(ISNUMBER(M1191),OFFSET('MPIO_SFIO Table'!$AJ$11,M1191,0),"")</f>
        <v/>
      </c>
      <c r="S1191" t="str">
        <f ca="1">IF(ISNUMBER(N1191),OFFSET('MPIO_SFIO Table'!$AJ$11,N1191,0),"")</f>
        <v/>
      </c>
      <c r="T1191" t="str">
        <f ca="1">IF(ISNUMBER(O1191),OFFSET('MPIO_SFIO Table'!$AJ$11,O1191,0),"")</f>
        <v/>
      </c>
      <c r="U1191" t="str">
        <f ca="1">IF(ISNUMBER(P1191),OFFSET('MPIO_SFIO Table'!$AJ$11,P1191,0),"")</f>
        <v/>
      </c>
      <c r="V1191" t="str">
        <f ca="1">IF(ISNUMBER(Q1191),OFFSET('MPIO_SFIO Table'!$AJ$11,Q1191,0),"")</f>
        <v/>
      </c>
      <c r="W1191">
        <f t="shared" ca="1" si="155"/>
        <v>0</v>
      </c>
      <c r="X1191">
        <f t="shared" ca="1" si="156"/>
        <v>0</v>
      </c>
      <c r="Y1191">
        <f t="shared" ca="1" si="157"/>
        <v>0</v>
      </c>
      <c r="Z1191">
        <f t="shared" ca="1" si="158"/>
        <v>0</v>
      </c>
      <c r="AA1191">
        <f t="shared" ca="1" si="159"/>
        <v>0</v>
      </c>
    </row>
    <row r="1192" spans="1:27" x14ac:dyDescent="0.25">
      <c r="A1192">
        <f t="shared" ca="1" si="152"/>
        <v>0</v>
      </c>
      <c r="B1192" t="str">
        <f t="shared" ca="1" si="153"/>
        <v/>
      </c>
      <c r="C1192" t="str">
        <f t="shared" si="154"/>
        <v/>
      </c>
      <c r="D1192" t="s">
        <v>253</v>
      </c>
      <c r="E1192" t="s">
        <v>253</v>
      </c>
      <c r="F1192" s="3" t="s">
        <v>253</v>
      </c>
      <c r="G1192" s="11" t="s">
        <v>253</v>
      </c>
      <c r="H1192" s="11" t="s">
        <v>253</v>
      </c>
      <c r="I1192" s="3" t="s">
        <v>253</v>
      </c>
      <c r="J1192" s="3" t="s">
        <v>253</v>
      </c>
      <c r="K1192" s="3" t="s">
        <v>253</v>
      </c>
      <c r="L1192" s="3" t="s">
        <v>253</v>
      </c>
      <c r="M1192" t="str">
        <f>IF(LEN(H1192),MATCH(H1192,'MPIO_SFIO Table'!$A$11:$A$65525,0)-1,"")</f>
        <v/>
      </c>
      <c r="N1192" t="str">
        <f>IF(LEN(I1192),MATCH(I1192,'MPIO_SFIO Table'!$A$11:$A$65525,0)-1,"")</f>
        <v/>
      </c>
      <c r="O1192" t="str">
        <f>IF(LEN(J1192),MATCH(J1192,'MPIO_SFIO Table'!$A$11:$A$65525,0)-1,"")</f>
        <v/>
      </c>
      <c r="P1192" t="str">
        <f>IF(LEN(K1192),MATCH(K1192,'MPIO_SFIO Table'!$A$11:$A$65525,0)-1,"")</f>
        <v/>
      </c>
      <c r="Q1192" t="str">
        <f>IF(LEN(L1192),MATCH(L1192,'MPIO_SFIO Table'!$A$11:$A$65525,0)-1,"")</f>
        <v/>
      </c>
      <c r="R1192" t="str">
        <f ca="1">IF(ISNUMBER(M1192),OFFSET('MPIO_SFIO Table'!$AJ$11,M1192,0),"")</f>
        <v/>
      </c>
      <c r="S1192" t="str">
        <f ca="1">IF(ISNUMBER(N1192),OFFSET('MPIO_SFIO Table'!$AJ$11,N1192,0),"")</f>
        <v/>
      </c>
      <c r="T1192" t="str">
        <f ca="1">IF(ISNUMBER(O1192),OFFSET('MPIO_SFIO Table'!$AJ$11,O1192,0),"")</f>
        <v/>
      </c>
      <c r="U1192" t="str">
        <f ca="1">IF(ISNUMBER(P1192),OFFSET('MPIO_SFIO Table'!$AJ$11,P1192,0),"")</f>
        <v/>
      </c>
      <c r="V1192" t="str">
        <f ca="1">IF(ISNUMBER(Q1192),OFFSET('MPIO_SFIO Table'!$AJ$11,Q1192,0),"")</f>
        <v/>
      </c>
      <c r="W1192">
        <f t="shared" ca="1" si="155"/>
        <v>0</v>
      </c>
      <c r="X1192">
        <f t="shared" ca="1" si="156"/>
        <v>0</v>
      </c>
      <c r="Y1192">
        <f t="shared" ca="1" si="157"/>
        <v>0</v>
      </c>
      <c r="Z1192">
        <f t="shared" ca="1" si="158"/>
        <v>0</v>
      </c>
      <c r="AA1192">
        <f t="shared" ca="1" si="159"/>
        <v>0</v>
      </c>
    </row>
    <row r="1193" spans="1:27" x14ac:dyDescent="0.25">
      <c r="A1193">
        <f t="shared" ca="1" si="152"/>
        <v>0</v>
      </c>
      <c r="B1193" t="str">
        <f t="shared" ca="1" si="153"/>
        <v/>
      </c>
      <c r="C1193" t="str">
        <f t="shared" si="154"/>
        <v/>
      </c>
      <c r="D1193" t="s">
        <v>253</v>
      </c>
      <c r="E1193" t="s">
        <v>253</v>
      </c>
      <c r="F1193" s="3" t="s">
        <v>253</v>
      </c>
      <c r="G1193" s="11" t="s">
        <v>253</v>
      </c>
      <c r="H1193" s="11" t="s">
        <v>253</v>
      </c>
      <c r="I1193" s="3" t="s">
        <v>253</v>
      </c>
      <c r="J1193" s="3" t="s">
        <v>253</v>
      </c>
      <c r="K1193" s="3" t="s">
        <v>253</v>
      </c>
      <c r="L1193" s="3" t="s">
        <v>253</v>
      </c>
      <c r="M1193" t="str">
        <f>IF(LEN(H1193),MATCH(H1193,'MPIO_SFIO Table'!$A$11:$A$65525,0)-1,"")</f>
        <v/>
      </c>
      <c r="N1193" t="str">
        <f>IF(LEN(I1193),MATCH(I1193,'MPIO_SFIO Table'!$A$11:$A$65525,0)-1,"")</f>
        <v/>
      </c>
      <c r="O1193" t="str">
        <f>IF(LEN(J1193),MATCH(J1193,'MPIO_SFIO Table'!$A$11:$A$65525,0)-1,"")</f>
        <v/>
      </c>
      <c r="P1193" t="str">
        <f>IF(LEN(K1193),MATCH(K1193,'MPIO_SFIO Table'!$A$11:$A$65525,0)-1,"")</f>
        <v/>
      </c>
      <c r="Q1193" t="str">
        <f>IF(LEN(L1193),MATCH(L1193,'MPIO_SFIO Table'!$A$11:$A$65525,0)-1,"")</f>
        <v/>
      </c>
      <c r="R1193" t="str">
        <f ca="1">IF(ISNUMBER(M1193),OFFSET('MPIO_SFIO Table'!$AJ$11,M1193,0),"")</f>
        <v/>
      </c>
      <c r="S1193" t="str">
        <f ca="1">IF(ISNUMBER(N1193),OFFSET('MPIO_SFIO Table'!$AJ$11,N1193,0),"")</f>
        <v/>
      </c>
      <c r="T1193" t="str">
        <f ca="1">IF(ISNUMBER(O1193),OFFSET('MPIO_SFIO Table'!$AJ$11,O1193,0),"")</f>
        <v/>
      </c>
      <c r="U1193" t="str">
        <f ca="1">IF(ISNUMBER(P1193),OFFSET('MPIO_SFIO Table'!$AJ$11,P1193,0),"")</f>
        <v/>
      </c>
      <c r="V1193" t="str">
        <f ca="1">IF(ISNUMBER(Q1193),OFFSET('MPIO_SFIO Table'!$AJ$11,Q1193,0),"")</f>
        <v/>
      </c>
      <c r="W1193">
        <f t="shared" ca="1" si="155"/>
        <v>0</v>
      </c>
      <c r="X1193">
        <f t="shared" ca="1" si="156"/>
        <v>0</v>
      </c>
      <c r="Y1193">
        <f t="shared" ca="1" si="157"/>
        <v>0</v>
      </c>
      <c r="Z1193">
        <f t="shared" ca="1" si="158"/>
        <v>0</v>
      </c>
      <c r="AA1193">
        <f t="shared" ca="1" si="159"/>
        <v>0</v>
      </c>
    </row>
    <row r="1194" spans="1:27" x14ac:dyDescent="0.25">
      <c r="A1194">
        <f t="shared" ca="1" si="152"/>
        <v>0</v>
      </c>
      <c r="B1194" t="str">
        <f t="shared" ca="1" si="153"/>
        <v/>
      </c>
      <c r="C1194" t="str">
        <f t="shared" si="154"/>
        <v/>
      </c>
      <c r="D1194" t="s">
        <v>253</v>
      </c>
      <c r="E1194" t="s">
        <v>253</v>
      </c>
      <c r="F1194" s="3" t="s">
        <v>253</v>
      </c>
      <c r="G1194" s="11" t="s">
        <v>253</v>
      </c>
      <c r="H1194" s="11" t="s">
        <v>253</v>
      </c>
      <c r="I1194" s="3" t="s">
        <v>253</v>
      </c>
      <c r="J1194" s="3" t="s">
        <v>253</v>
      </c>
      <c r="K1194" s="3" t="s">
        <v>253</v>
      </c>
      <c r="L1194" s="3" t="s">
        <v>253</v>
      </c>
      <c r="M1194" t="str">
        <f>IF(LEN(H1194),MATCH(H1194,'MPIO_SFIO Table'!$A$11:$A$65525,0)-1,"")</f>
        <v/>
      </c>
      <c r="N1194" t="str">
        <f>IF(LEN(I1194),MATCH(I1194,'MPIO_SFIO Table'!$A$11:$A$65525,0)-1,"")</f>
        <v/>
      </c>
      <c r="O1194" t="str">
        <f>IF(LEN(J1194),MATCH(J1194,'MPIO_SFIO Table'!$A$11:$A$65525,0)-1,"")</f>
        <v/>
      </c>
      <c r="P1194" t="str">
        <f>IF(LEN(K1194),MATCH(K1194,'MPIO_SFIO Table'!$A$11:$A$65525,0)-1,"")</f>
        <v/>
      </c>
      <c r="Q1194" t="str">
        <f>IF(LEN(L1194),MATCH(L1194,'MPIO_SFIO Table'!$A$11:$A$65525,0)-1,"")</f>
        <v/>
      </c>
      <c r="R1194" t="str">
        <f ca="1">IF(ISNUMBER(M1194),OFFSET('MPIO_SFIO Table'!$AJ$11,M1194,0),"")</f>
        <v/>
      </c>
      <c r="S1194" t="str">
        <f ca="1">IF(ISNUMBER(N1194),OFFSET('MPIO_SFIO Table'!$AJ$11,N1194,0),"")</f>
        <v/>
      </c>
      <c r="T1194" t="str">
        <f ca="1">IF(ISNUMBER(O1194),OFFSET('MPIO_SFIO Table'!$AJ$11,O1194,0),"")</f>
        <v/>
      </c>
      <c r="U1194" t="str">
        <f ca="1">IF(ISNUMBER(P1194),OFFSET('MPIO_SFIO Table'!$AJ$11,P1194,0),"")</f>
        <v/>
      </c>
      <c r="V1194" t="str">
        <f ca="1">IF(ISNUMBER(Q1194),OFFSET('MPIO_SFIO Table'!$AJ$11,Q1194,0),"")</f>
        <v/>
      </c>
      <c r="W1194">
        <f t="shared" ca="1" si="155"/>
        <v>0</v>
      </c>
      <c r="X1194">
        <f t="shared" ca="1" si="156"/>
        <v>0</v>
      </c>
      <c r="Y1194">
        <f t="shared" ca="1" si="157"/>
        <v>0</v>
      </c>
      <c r="Z1194">
        <f t="shared" ca="1" si="158"/>
        <v>0</v>
      </c>
      <c r="AA1194">
        <f t="shared" ca="1" si="159"/>
        <v>0</v>
      </c>
    </row>
    <row r="1195" spans="1:27" x14ac:dyDescent="0.25">
      <c r="A1195">
        <f t="shared" ca="1" si="152"/>
        <v>0</v>
      </c>
      <c r="B1195" t="str">
        <f t="shared" ca="1" si="153"/>
        <v/>
      </c>
      <c r="C1195" t="str">
        <f t="shared" si="154"/>
        <v/>
      </c>
      <c r="D1195" t="s">
        <v>253</v>
      </c>
      <c r="E1195" t="s">
        <v>253</v>
      </c>
      <c r="F1195" s="3" t="s">
        <v>253</v>
      </c>
      <c r="G1195" s="11" t="s">
        <v>253</v>
      </c>
      <c r="H1195" s="11" t="s">
        <v>253</v>
      </c>
      <c r="I1195" s="3" t="s">
        <v>253</v>
      </c>
      <c r="J1195" s="3" t="s">
        <v>253</v>
      </c>
      <c r="K1195" s="3" t="s">
        <v>253</v>
      </c>
      <c r="L1195" s="3" t="s">
        <v>253</v>
      </c>
      <c r="M1195" t="str">
        <f>IF(LEN(H1195),MATCH(H1195,'MPIO_SFIO Table'!$A$11:$A$65525,0)-1,"")</f>
        <v/>
      </c>
      <c r="N1195" t="str">
        <f>IF(LEN(I1195),MATCH(I1195,'MPIO_SFIO Table'!$A$11:$A$65525,0)-1,"")</f>
        <v/>
      </c>
      <c r="O1195" t="str">
        <f>IF(LEN(J1195),MATCH(J1195,'MPIO_SFIO Table'!$A$11:$A$65525,0)-1,"")</f>
        <v/>
      </c>
      <c r="P1195" t="str">
        <f>IF(LEN(K1195),MATCH(K1195,'MPIO_SFIO Table'!$A$11:$A$65525,0)-1,"")</f>
        <v/>
      </c>
      <c r="Q1195" t="str">
        <f>IF(LEN(L1195),MATCH(L1195,'MPIO_SFIO Table'!$A$11:$A$65525,0)-1,"")</f>
        <v/>
      </c>
      <c r="R1195" t="str">
        <f ca="1">IF(ISNUMBER(M1195),OFFSET('MPIO_SFIO Table'!$AJ$11,M1195,0),"")</f>
        <v/>
      </c>
      <c r="S1195" t="str">
        <f ca="1">IF(ISNUMBER(N1195),OFFSET('MPIO_SFIO Table'!$AJ$11,N1195,0),"")</f>
        <v/>
      </c>
      <c r="T1195" t="str">
        <f ca="1">IF(ISNUMBER(O1195),OFFSET('MPIO_SFIO Table'!$AJ$11,O1195,0),"")</f>
        <v/>
      </c>
      <c r="U1195" t="str">
        <f ca="1">IF(ISNUMBER(P1195),OFFSET('MPIO_SFIO Table'!$AJ$11,P1195,0),"")</f>
        <v/>
      </c>
      <c r="V1195" t="str">
        <f ca="1">IF(ISNUMBER(Q1195),OFFSET('MPIO_SFIO Table'!$AJ$11,Q1195,0),"")</f>
        <v/>
      </c>
      <c r="W1195">
        <f t="shared" ca="1" si="155"/>
        <v>0</v>
      </c>
      <c r="X1195">
        <f t="shared" ca="1" si="156"/>
        <v>0</v>
      </c>
      <c r="Y1195">
        <f t="shared" ca="1" si="157"/>
        <v>0</v>
      </c>
      <c r="Z1195">
        <f t="shared" ca="1" si="158"/>
        <v>0</v>
      </c>
      <c r="AA1195">
        <f t="shared" ca="1" si="159"/>
        <v>0</v>
      </c>
    </row>
    <row r="1196" spans="1:27" x14ac:dyDescent="0.25">
      <c r="A1196">
        <f t="shared" ca="1" si="152"/>
        <v>0</v>
      </c>
      <c r="B1196" t="str">
        <f t="shared" ca="1" si="153"/>
        <v/>
      </c>
      <c r="C1196" t="str">
        <f t="shared" si="154"/>
        <v/>
      </c>
      <c r="D1196" t="s">
        <v>253</v>
      </c>
      <c r="E1196" t="s">
        <v>253</v>
      </c>
      <c r="F1196" s="3" t="s">
        <v>253</v>
      </c>
      <c r="G1196" s="11" t="s">
        <v>253</v>
      </c>
      <c r="H1196" s="11" t="s">
        <v>253</v>
      </c>
      <c r="I1196" s="3" t="s">
        <v>253</v>
      </c>
      <c r="J1196" s="3" t="s">
        <v>253</v>
      </c>
      <c r="K1196" s="3" t="s">
        <v>253</v>
      </c>
      <c r="L1196" s="3" t="s">
        <v>253</v>
      </c>
      <c r="M1196" t="str">
        <f>IF(LEN(H1196),MATCH(H1196,'MPIO_SFIO Table'!$A$11:$A$65525,0)-1,"")</f>
        <v/>
      </c>
      <c r="N1196" t="str">
        <f>IF(LEN(I1196),MATCH(I1196,'MPIO_SFIO Table'!$A$11:$A$65525,0)-1,"")</f>
        <v/>
      </c>
      <c r="O1196" t="str">
        <f>IF(LEN(J1196),MATCH(J1196,'MPIO_SFIO Table'!$A$11:$A$65525,0)-1,"")</f>
        <v/>
      </c>
      <c r="P1196" t="str">
        <f>IF(LEN(K1196),MATCH(K1196,'MPIO_SFIO Table'!$A$11:$A$65525,0)-1,"")</f>
        <v/>
      </c>
      <c r="Q1196" t="str">
        <f>IF(LEN(L1196),MATCH(L1196,'MPIO_SFIO Table'!$A$11:$A$65525,0)-1,"")</f>
        <v/>
      </c>
      <c r="R1196" t="str">
        <f ca="1">IF(ISNUMBER(M1196),OFFSET('MPIO_SFIO Table'!$AJ$11,M1196,0),"")</f>
        <v/>
      </c>
      <c r="S1196" t="str">
        <f ca="1">IF(ISNUMBER(N1196),OFFSET('MPIO_SFIO Table'!$AJ$11,N1196,0),"")</f>
        <v/>
      </c>
      <c r="T1196" t="str">
        <f ca="1">IF(ISNUMBER(O1196),OFFSET('MPIO_SFIO Table'!$AJ$11,O1196,0),"")</f>
        <v/>
      </c>
      <c r="U1196" t="str">
        <f ca="1">IF(ISNUMBER(P1196),OFFSET('MPIO_SFIO Table'!$AJ$11,P1196,0),"")</f>
        <v/>
      </c>
      <c r="V1196" t="str">
        <f ca="1">IF(ISNUMBER(Q1196),OFFSET('MPIO_SFIO Table'!$AJ$11,Q1196,0),"")</f>
        <v/>
      </c>
      <c r="W1196">
        <f t="shared" ca="1" si="155"/>
        <v>0</v>
      </c>
      <c r="X1196">
        <f t="shared" ca="1" si="156"/>
        <v>0</v>
      </c>
      <c r="Y1196">
        <f t="shared" ca="1" si="157"/>
        <v>0</v>
      </c>
      <c r="Z1196">
        <f t="shared" ca="1" si="158"/>
        <v>0</v>
      </c>
      <c r="AA1196">
        <f t="shared" ca="1" si="159"/>
        <v>0</v>
      </c>
    </row>
    <row r="1197" spans="1:27" x14ac:dyDescent="0.25">
      <c r="A1197">
        <f t="shared" ca="1" si="152"/>
        <v>0</v>
      </c>
      <c r="B1197" t="str">
        <f t="shared" ca="1" si="153"/>
        <v/>
      </c>
      <c r="C1197" t="str">
        <f t="shared" si="154"/>
        <v/>
      </c>
      <c r="D1197" t="s">
        <v>253</v>
      </c>
      <c r="E1197" t="s">
        <v>253</v>
      </c>
      <c r="F1197" s="3" t="s">
        <v>253</v>
      </c>
      <c r="G1197" s="11" t="s">
        <v>253</v>
      </c>
      <c r="H1197" s="11" t="s">
        <v>253</v>
      </c>
      <c r="I1197" s="3" t="s">
        <v>253</v>
      </c>
      <c r="J1197" s="3" t="s">
        <v>253</v>
      </c>
      <c r="K1197" s="3" t="s">
        <v>253</v>
      </c>
      <c r="L1197" s="3" t="s">
        <v>253</v>
      </c>
      <c r="M1197" t="str">
        <f>IF(LEN(H1197),MATCH(H1197,'MPIO_SFIO Table'!$A$11:$A$65525,0)-1,"")</f>
        <v/>
      </c>
      <c r="N1197" t="str">
        <f>IF(LEN(I1197),MATCH(I1197,'MPIO_SFIO Table'!$A$11:$A$65525,0)-1,"")</f>
        <v/>
      </c>
      <c r="O1197" t="str">
        <f>IF(LEN(J1197),MATCH(J1197,'MPIO_SFIO Table'!$A$11:$A$65525,0)-1,"")</f>
        <v/>
      </c>
      <c r="P1197" t="str">
        <f>IF(LEN(K1197),MATCH(K1197,'MPIO_SFIO Table'!$A$11:$A$65525,0)-1,"")</f>
        <v/>
      </c>
      <c r="Q1197" t="str">
        <f>IF(LEN(L1197),MATCH(L1197,'MPIO_SFIO Table'!$A$11:$A$65525,0)-1,"")</f>
        <v/>
      </c>
      <c r="R1197" t="str">
        <f ca="1">IF(ISNUMBER(M1197),OFFSET('MPIO_SFIO Table'!$AJ$11,M1197,0),"")</f>
        <v/>
      </c>
      <c r="S1197" t="str">
        <f ca="1">IF(ISNUMBER(N1197),OFFSET('MPIO_SFIO Table'!$AJ$11,N1197,0),"")</f>
        <v/>
      </c>
      <c r="T1197" t="str">
        <f ca="1">IF(ISNUMBER(O1197),OFFSET('MPIO_SFIO Table'!$AJ$11,O1197,0),"")</f>
        <v/>
      </c>
      <c r="U1197" t="str">
        <f ca="1">IF(ISNUMBER(P1197),OFFSET('MPIO_SFIO Table'!$AJ$11,P1197,0),"")</f>
        <v/>
      </c>
      <c r="V1197" t="str">
        <f ca="1">IF(ISNUMBER(Q1197),OFFSET('MPIO_SFIO Table'!$AJ$11,Q1197,0),"")</f>
        <v/>
      </c>
      <c r="W1197">
        <f t="shared" ca="1" si="155"/>
        <v>0</v>
      </c>
      <c r="X1197">
        <f t="shared" ca="1" si="156"/>
        <v>0</v>
      </c>
      <c r="Y1197">
        <f t="shared" ca="1" si="157"/>
        <v>0</v>
      </c>
      <c r="Z1197">
        <f t="shared" ca="1" si="158"/>
        <v>0</v>
      </c>
      <c r="AA1197">
        <f t="shared" ca="1" si="159"/>
        <v>0</v>
      </c>
    </row>
    <row r="1198" spans="1:27" x14ac:dyDescent="0.25">
      <c r="A1198">
        <f t="shared" ca="1" si="152"/>
        <v>0</v>
      </c>
      <c r="B1198" t="str">
        <f t="shared" ca="1" si="153"/>
        <v/>
      </c>
      <c r="C1198" t="str">
        <f t="shared" si="154"/>
        <v/>
      </c>
      <c r="D1198" t="s">
        <v>253</v>
      </c>
      <c r="E1198" t="s">
        <v>253</v>
      </c>
      <c r="F1198" s="3" t="s">
        <v>253</v>
      </c>
      <c r="G1198" s="11" t="s">
        <v>253</v>
      </c>
      <c r="H1198" s="11" t="s">
        <v>253</v>
      </c>
      <c r="I1198" s="3" t="s">
        <v>253</v>
      </c>
      <c r="J1198" s="3" t="s">
        <v>253</v>
      </c>
      <c r="K1198" s="3" t="s">
        <v>253</v>
      </c>
      <c r="L1198" s="3" t="s">
        <v>253</v>
      </c>
      <c r="M1198" t="str">
        <f>IF(LEN(H1198),MATCH(H1198,'MPIO_SFIO Table'!$A$11:$A$65525,0)-1,"")</f>
        <v/>
      </c>
      <c r="N1198" t="str">
        <f>IF(LEN(I1198),MATCH(I1198,'MPIO_SFIO Table'!$A$11:$A$65525,0)-1,"")</f>
        <v/>
      </c>
      <c r="O1198" t="str">
        <f>IF(LEN(J1198),MATCH(J1198,'MPIO_SFIO Table'!$A$11:$A$65525,0)-1,"")</f>
        <v/>
      </c>
      <c r="P1198" t="str">
        <f>IF(LEN(K1198),MATCH(K1198,'MPIO_SFIO Table'!$A$11:$A$65525,0)-1,"")</f>
        <v/>
      </c>
      <c r="Q1198" t="str">
        <f>IF(LEN(L1198),MATCH(L1198,'MPIO_SFIO Table'!$A$11:$A$65525,0)-1,"")</f>
        <v/>
      </c>
      <c r="R1198" t="str">
        <f ca="1">IF(ISNUMBER(M1198),OFFSET('MPIO_SFIO Table'!$AJ$11,M1198,0),"")</f>
        <v/>
      </c>
      <c r="S1198" t="str">
        <f ca="1">IF(ISNUMBER(N1198),OFFSET('MPIO_SFIO Table'!$AJ$11,N1198,0),"")</f>
        <v/>
      </c>
      <c r="T1198" t="str">
        <f ca="1">IF(ISNUMBER(O1198),OFFSET('MPIO_SFIO Table'!$AJ$11,O1198,0),"")</f>
        <v/>
      </c>
      <c r="U1198" t="str">
        <f ca="1">IF(ISNUMBER(P1198),OFFSET('MPIO_SFIO Table'!$AJ$11,P1198,0),"")</f>
        <v/>
      </c>
      <c r="V1198" t="str">
        <f ca="1">IF(ISNUMBER(Q1198),OFFSET('MPIO_SFIO Table'!$AJ$11,Q1198,0),"")</f>
        <v/>
      </c>
      <c r="W1198">
        <f t="shared" ca="1" si="155"/>
        <v>0</v>
      </c>
      <c r="X1198">
        <f t="shared" ca="1" si="156"/>
        <v>0</v>
      </c>
      <c r="Y1198">
        <f t="shared" ca="1" si="157"/>
        <v>0</v>
      </c>
      <c r="Z1198">
        <f t="shared" ca="1" si="158"/>
        <v>0</v>
      </c>
      <c r="AA1198">
        <f t="shared" ca="1" si="159"/>
        <v>0</v>
      </c>
    </row>
    <row r="1199" spans="1:27" x14ac:dyDescent="0.25">
      <c r="A1199">
        <f t="shared" ca="1" si="152"/>
        <v>0</v>
      </c>
      <c r="B1199" t="str">
        <f t="shared" ca="1" si="153"/>
        <v/>
      </c>
      <c r="C1199" t="str">
        <f t="shared" si="154"/>
        <v/>
      </c>
      <c r="D1199" t="s">
        <v>253</v>
      </c>
      <c r="E1199" t="s">
        <v>253</v>
      </c>
      <c r="F1199" s="3" t="s">
        <v>253</v>
      </c>
      <c r="G1199" s="11" t="s">
        <v>253</v>
      </c>
      <c r="H1199" s="11" t="s">
        <v>253</v>
      </c>
      <c r="I1199" s="3" t="s">
        <v>253</v>
      </c>
      <c r="J1199" s="3" t="s">
        <v>253</v>
      </c>
      <c r="K1199" s="3" t="s">
        <v>253</v>
      </c>
      <c r="L1199" s="3" t="s">
        <v>253</v>
      </c>
      <c r="M1199" t="str">
        <f>IF(LEN(H1199),MATCH(H1199,'MPIO_SFIO Table'!$A$11:$A$65525,0)-1,"")</f>
        <v/>
      </c>
      <c r="N1199" t="str">
        <f>IF(LEN(I1199),MATCH(I1199,'MPIO_SFIO Table'!$A$11:$A$65525,0)-1,"")</f>
        <v/>
      </c>
      <c r="O1199" t="str">
        <f>IF(LEN(J1199),MATCH(J1199,'MPIO_SFIO Table'!$A$11:$A$65525,0)-1,"")</f>
        <v/>
      </c>
      <c r="P1199" t="str">
        <f>IF(LEN(K1199),MATCH(K1199,'MPIO_SFIO Table'!$A$11:$A$65525,0)-1,"")</f>
        <v/>
      </c>
      <c r="Q1199" t="str">
        <f>IF(LEN(L1199),MATCH(L1199,'MPIO_SFIO Table'!$A$11:$A$65525,0)-1,"")</f>
        <v/>
      </c>
      <c r="R1199" t="str">
        <f ca="1">IF(ISNUMBER(M1199),OFFSET('MPIO_SFIO Table'!$AJ$11,M1199,0),"")</f>
        <v/>
      </c>
      <c r="S1199" t="str">
        <f ca="1">IF(ISNUMBER(N1199),OFFSET('MPIO_SFIO Table'!$AJ$11,N1199,0),"")</f>
        <v/>
      </c>
      <c r="T1199" t="str">
        <f ca="1">IF(ISNUMBER(O1199),OFFSET('MPIO_SFIO Table'!$AJ$11,O1199,0),"")</f>
        <v/>
      </c>
      <c r="U1199" t="str">
        <f ca="1">IF(ISNUMBER(P1199),OFFSET('MPIO_SFIO Table'!$AJ$11,P1199,0),"")</f>
        <v/>
      </c>
      <c r="V1199" t="str">
        <f ca="1">IF(ISNUMBER(Q1199),OFFSET('MPIO_SFIO Table'!$AJ$11,Q1199,0),"")</f>
        <v/>
      </c>
      <c r="W1199">
        <f t="shared" ca="1" si="155"/>
        <v>0</v>
      </c>
      <c r="X1199">
        <f t="shared" ca="1" si="156"/>
        <v>0</v>
      </c>
      <c r="Y1199">
        <f t="shared" ca="1" si="157"/>
        <v>0</v>
      </c>
      <c r="Z1199">
        <f t="shared" ca="1" si="158"/>
        <v>0</v>
      </c>
      <c r="AA1199">
        <f t="shared" ca="1" si="159"/>
        <v>0</v>
      </c>
    </row>
    <row r="1200" spans="1:27" x14ac:dyDescent="0.25">
      <c r="A1200">
        <f t="shared" ca="1" si="152"/>
        <v>0</v>
      </c>
      <c r="B1200" t="str">
        <f t="shared" ca="1" si="153"/>
        <v/>
      </c>
      <c r="C1200" t="str">
        <f t="shared" si="154"/>
        <v/>
      </c>
      <c r="D1200" t="s">
        <v>253</v>
      </c>
      <c r="E1200" t="s">
        <v>253</v>
      </c>
      <c r="F1200" s="3" t="s">
        <v>253</v>
      </c>
      <c r="G1200" s="11" t="s">
        <v>253</v>
      </c>
      <c r="H1200" s="11" t="s">
        <v>253</v>
      </c>
      <c r="I1200" s="3" t="s">
        <v>253</v>
      </c>
      <c r="J1200" s="3" t="s">
        <v>253</v>
      </c>
      <c r="K1200" s="3" t="s">
        <v>253</v>
      </c>
      <c r="L1200" s="3" t="s">
        <v>253</v>
      </c>
      <c r="M1200" t="str">
        <f>IF(LEN(H1200),MATCH(H1200,'MPIO_SFIO Table'!$A$11:$A$65525,0)-1,"")</f>
        <v/>
      </c>
      <c r="N1200" t="str">
        <f>IF(LEN(I1200),MATCH(I1200,'MPIO_SFIO Table'!$A$11:$A$65525,0)-1,"")</f>
        <v/>
      </c>
      <c r="O1200" t="str">
        <f>IF(LEN(J1200),MATCH(J1200,'MPIO_SFIO Table'!$A$11:$A$65525,0)-1,"")</f>
        <v/>
      </c>
      <c r="P1200" t="str">
        <f>IF(LEN(K1200),MATCH(K1200,'MPIO_SFIO Table'!$A$11:$A$65525,0)-1,"")</f>
        <v/>
      </c>
      <c r="Q1200" t="str">
        <f>IF(LEN(L1200),MATCH(L1200,'MPIO_SFIO Table'!$A$11:$A$65525,0)-1,"")</f>
        <v/>
      </c>
      <c r="R1200" t="str">
        <f ca="1">IF(ISNUMBER(M1200),OFFSET('MPIO_SFIO Table'!$AJ$11,M1200,0),"")</f>
        <v/>
      </c>
      <c r="S1200" t="str">
        <f ca="1">IF(ISNUMBER(N1200),OFFSET('MPIO_SFIO Table'!$AJ$11,N1200,0),"")</f>
        <v/>
      </c>
      <c r="T1200" t="str">
        <f ca="1">IF(ISNUMBER(O1200),OFFSET('MPIO_SFIO Table'!$AJ$11,O1200,0),"")</f>
        <v/>
      </c>
      <c r="U1200" t="str">
        <f ca="1">IF(ISNUMBER(P1200),OFFSET('MPIO_SFIO Table'!$AJ$11,P1200,0),"")</f>
        <v/>
      </c>
      <c r="V1200" t="str">
        <f ca="1">IF(ISNUMBER(Q1200),OFFSET('MPIO_SFIO Table'!$AJ$11,Q1200,0),"")</f>
        <v/>
      </c>
      <c r="W1200">
        <f t="shared" ca="1" si="155"/>
        <v>0</v>
      </c>
      <c r="X1200">
        <f t="shared" ca="1" si="156"/>
        <v>0</v>
      </c>
      <c r="Y1200">
        <f t="shared" ca="1" si="157"/>
        <v>0</v>
      </c>
      <c r="Z1200">
        <f t="shared" ca="1" si="158"/>
        <v>0</v>
      </c>
      <c r="AA1200">
        <f t="shared" ca="1" si="159"/>
        <v>0</v>
      </c>
    </row>
    <row r="1201" spans="1:27" x14ac:dyDescent="0.25">
      <c r="A1201">
        <f t="shared" ca="1" si="152"/>
        <v>0</v>
      </c>
      <c r="B1201" t="str">
        <f t="shared" ca="1" si="153"/>
        <v/>
      </c>
      <c r="C1201" t="str">
        <f t="shared" si="154"/>
        <v/>
      </c>
      <c r="D1201" t="s">
        <v>253</v>
      </c>
      <c r="E1201" t="s">
        <v>253</v>
      </c>
      <c r="F1201" s="3" t="s">
        <v>253</v>
      </c>
      <c r="G1201" s="11" t="s">
        <v>253</v>
      </c>
      <c r="H1201" s="11" t="s">
        <v>253</v>
      </c>
      <c r="I1201" s="3" t="s">
        <v>253</v>
      </c>
      <c r="J1201" s="3" t="s">
        <v>253</v>
      </c>
      <c r="K1201" s="3" t="s">
        <v>253</v>
      </c>
      <c r="L1201" s="3" t="s">
        <v>253</v>
      </c>
      <c r="M1201" t="str">
        <f>IF(LEN(H1201),MATCH(H1201,'MPIO_SFIO Table'!$A$11:$A$65525,0)-1,"")</f>
        <v/>
      </c>
      <c r="N1201" t="str">
        <f>IF(LEN(I1201),MATCH(I1201,'MPIO_SFIO Table'!$A$11:$A$65525,0)-1,"")</f>
        <v/>
      </c>
      <c r="O1201" t="str">
        <f>IF(LEN(J1201),MATCH(J1201,'MPIO_SFIO Table'!$A$11:$A$65525,0)-1,"")</f>
        <v/>
      </c>
      <c r="P1201" t="str">
        <f>IF(LEN(K1201),MATCH(K1201,'MPIO_SFIO Table'!$A$11:$A$65525,0)-1,"")</f>
        <v/>
      </c>
      <c r="Q1201" t="str">
        <f>IF(LEN(L1201),MATCH(L1201,'MPIO_SFIO Table'!$A$11:$A$65525,0)-1,"")</f>
        <v/>
      </c>
      <c r="R1201" t="str">
        <f ca="1">IF(ISNUMBER(M1201),OFFSET('MPIO_SFIO Table'!$AJ$11,M1201,0),"")</f>
        <v/>
      </c>
      <c r="S1201" t="str">
        <f ca="1">IF(ISNUMBER(N1201),OFFSET('MPIO_SFIO Table'!$AJ$11,N1201,0),"")</f>
        <v/>
      </c>
      <c r="T1201" t="str">
        <f ca="1">IF(ISNUMBER(O1201),OFFSET('MPIO_SFIO Table'!$AJ$11,O1201,0),"")</f>
        <v/>
      </c>
      <c r="U1201" t="str">
        <f ca="1">IF(ISNUMBER(P1201),OFFSET('MPIO_SFIO Table'!$AJ$11,P1201,0),"")</f>
        <v/>
      </c>
      <c r="V1201" t="str">
        <f ca="1">IF(ISNUMBER(Q1201),OFFSET('MPIO_SFIO Table'!$AJ$11,Q1201,0),"")</f>
        <v/>
      </c>
      <c r="W1201">
        <f t="shared" ca="1" si="155"/>
        <v>0</v>
      </c>
      <c r="X1201">
        <f t="shared" ca="1" si="156"/>
        <v>0</v>
      </c>
      <c r="Y1201">
        <f t="shared" ca="1" si="157"/>
        <v>0</v>
      </c>
      <c r="Z1201">
        <f t="shared" ca="1" si="158"/>
        <v>0</v>
      </c>
      <c r="AA1201">
        <f t="shared" ca="1" si="159"/>
        <v>0</v>
      </c>
    </row>
    <row r="1202" spans="1:27" x14ac:dyDescent="0.25">
      <c r="A1202">
        <f t="shared" ca="1" si="152"/>
        <v>0</v>
      </c>
      <c r="B1202" t="str">
        <f t="shared" ca="1" si="153"/>
        <v/>
      </c>
      <c r="C1202" t="str">
        <f t="shared" si="154"/>
        <v/>
      </c>
      <c r="D1202" t="s">
        <v>253</v>
      </c>
      <c r="E1202" t="s">
        <v>253</v>
      </c>
      <c r="F1202" s="3" t="s">
        <v>253</v>
      </c>
      <c r="G1202" s="11" t="s">
        <v>253</v>
      </c>
      <c r="H1202" s="11" t="s">
        <v>253</v>
      </c>
      <c r="I1202" s="3" t="s">
        <v>253</v>
      </c>
      <c r="J1202" s="3" t="s">
        <v>253</v>
      </c>
      <c r="K1202" s="3" t="s">
        <v>253</v>
      </c>
      <c r="L1202" s="3" t="s">
        <v>253</v>
      </c>
      <c r="M1202" t="str">
        <f>IF(LEN(H1202),MATCH(H1202,'MPIO_SFIO Table'!$A$11:$A$65525,0)-1,"")</f>
        <v/>
      </c>
      <c r="N1202" t="str">
        <f>IF(LEN(I1202),MATCH(I1202,'MPIO_SFIO Table'!$A$11:$A$65525,0)-1,"")</f>
        <v/>
      </c>
      <c r="O1202" t="str">
        <f>IF(LEN(J1202),MATCH(J1202,'MPIO_SFIO Table'!$A$11:$A$65525,0)-1,"")</f>
        <v/>
      </c>
      <c r="P1202" t="str">
        <f>IF(LEN(K1202),MATCH(K1202,'MPIO_SFIO Table'!$A$11:$A$65525,0)-1,"")</f>
        <v/>
      </c>
      <c r="Q1202" t="str">
        <f>IF(LEN(L1202),MATCH(L1202,'MPIO_SFIO Table'!$A$11:$A$65525,0)-1,"")</f>
        <v/>
      </c>
      <c r="R1202" t="str">
        <f ca="1">IF(ISNUMBER(M1202),OFFSET('MPIO_SFIO Table'!$AJ$11,M1202,0),"")</f>
        <v/>
      </c>
      <c r="S1202" t="str">
        <f ca="1">IF(ISNUMBER(N1202),OFFSET('MPIO_SFIO Table'!$AJ$11,N1202,0),"")</f>
        <v/>
      </c>
      <c r="T1202" t="str">
        <f ca="1">IF(ISNUMBER(O1202),OFFSET('MPIO_SFIO Table'!$AJ$11,O1202,0),"")</f>
        <v/>
      </c>
      <c r="U1202" t="str">
        <f ca="1">IF(ISNUMBER(P1202),OFFSET('MPIO_SFIO Table'!$AJ$11,P1202,0),"")</f>
        <v/>
      </c>
      <c r="V1202" t="str">
        <f ca="1">IF(ISNUMBER(Q1202),OFFSET('MPIO_SFIO Table'!$AJ$11,Q1202,0),"")</f>
        <v/>
      </c>
      <c r="W1202">
        <f t="shared" ca="1" si="155"/>
        <v>0</v>
      </c>
      <c r="X1202">
        <f t="shared" ca="1" si="156"/>
        <v>0</v>
      </c>
      <c r="Y1202">
        <f t="shared" ca="1" si="157"/>
        <v>0</v>
      </c>
      <c r="Z1202">
        <f t="shared" ca="1" si="158"/>
        <v>0</v>
      </c>
      <c r="AA1202">
        <f t="shared" ca="1" si="159"/>
        <v>0</v>
      </c>
    </row>
    <row r="1203" spans="1:27" x14ac:dyDescent="0.25">
      <c r="A1203">
        <f t="shared" ca="1" si="152"/>
        <v>0</v>
      </c>
      <c r="B1203" t="str">
        <f t="shared" ca="1" si="153"/>
        <v/>
      </c>
      <c r="C1203" t="str">
        <f t="shared" si="154"/>
        <v/>
      </c>
      <c r="D1203" t="s">
        <v>253</v>
      </c>
      <c r="E1203" t="s">
        <v>253</v>
      </c>
      <c r="F1203" s="3" t="s">
        <v>253</v>
      </c>
      <c r="G1203" s="11" t="s">
        <v>253</v>
      </c>
      <c r="H1203" s="11" t="s">
        <v>253</v>
      </c>
      <c r="I1203" s="3" t="s">
        <v>253</v>
      </c>
      <c r="J1203" s="3" t="s">
        <v>253</v>
      </c>
      <c r="K1203" s="3" t="s">
        <v>253</v>
      </c>
      <c r="L1203" s="3" t="s">
        <v>253</v>
      </c>
      <c r="M1203" t="str">
        <f>IF(LEN(H1203),MATCH(H1203,'MPIO_SFIO Table'!$A$11:$A$65525,0)-1,"")</f>
        <v/>
      </c>
      <c r="N1203" t="str">
        <f>IF(LEN(I1203),MATCH(I1203,'MPIO_SFIO Table'!$A$11:$A$65525,0)-1,"")</f>
        <v/>
      </c>
      <c r="O1203" t="str">
        <f>IF(LEN(J1203),MATCH(J1203,'MPIO_SFIO Table'!$A$11:$A$65525,0)-1,"")</f>
        <v/>
      </c>
      <c r="P1203" t="str">
        <f>IF(LEN(K1203),MATCH(K1203,'MPIO_SFIO Table'!$A$11:$A$65525,0)-1,"")</f>
        <v/>
      </c>
      <c r="Q1203" t="str">
        <f>IF(LEN(L1203),MATCH(L1203,'MPIO_SFIO Table'!$A$11:$A$65525,0)-1,"")</f>
        <v/>
      </c>
      <c r="R1203" t="str">
        <f ca="1">IF(ISNUMBER(M1203),OFFSET('MPIO_SFIO Table'!$AJ$11,M1203,0),"")</f>
        <v/>
      </c>
      <c r="S1203" t="str">
        <f ca="1">IF(ISNUMBER(N1203),OFFSET('MPIO_SFIO Table'!$AJ$11,N1203,0),"")</f>
        <v/>
      </c>
      <c r="T1203" t="str">
        <f ca="1">IF(ISNUMBER(O1203),OFFSET('MPIO_SFIO Table'!$AJ$11,O1203,0),"")</f>
        <v/>
      </c>
      <c r="U1203" t="str">
        <f ca="1">IF(ISNUMBER(P1203),OFFSET('MPIO_SFIO Table'!$AJ$11,P1203,0),"")</f>
        <v/>
      </c>
      <c r="V1203" t="str">
        <f ca="1">IF(ISNUMBER(Q1203),OFFSET('MPIO_SFIO Table'!$AJ$11,Q1203,0),"")</f>
        <v/>
      </c>
      <c r="W1203">
        <f t="shared" ca="1" si="155"/>
        <v>0</v>
      </c>
      <c r="X1203">
        <f t="shared" ca="1" si="156"/>
        <v>0</v>
      </c>
      <c r="Y1203">
        <f t="shared" ca="1" si="157"/>
        <v>0</v>
      </c>
      <c r="Z1203">
        <f t="shared" ca="1" si="158"/>
        <v>0</v>
      </c>
      <c r="AA1203">
        <f t="shared" ca="1" si="159"/>
        <v>0</v>
      </c>
    </row>
    <row r="1204" spans="1:27" x14ac:dyDescent="0.25">
      <c r="A1204">
        <f t="shared" ca="1" si="152"/>
        <v>0</v>
      </c>
      <c r="B1204" t="str">
        <f t="shared" ca="1" si="153"/>
        <v/>
      </c>
      <c r="C1204" t="str">
        <f t="shared" si="154"/>
        <v/>
      </c>
      <c r="D1204" t="s">
        <v>253</v>
      </c>
      <c r="E1204" t="s">
        <v>253</v>
      </c>
      <c r="F1204" s="3" t="s">
        <v>253</v>
      </c>
      <c r="G1204" s="11" t="s">
        <v>253</v>
      </c>
      <c r="H1204" s="11" t="s">
        <v>253</v>
      </c>
      <c r="I1204" s="3" t="s">
        <v>253</v>
      </c>
      <c r="J1204" s="3" t="s">
        <v>253</v>
      </c>
      <c r="K1204" s="3" t="s">
        <v>253</v>
      </c>
      <c r="L1204" s="3" t="s">
        <v>253</v>
      </c>
      <c r="M1204" t="str">
        <f>IF(LEN(H1204),MATCH(H1204,'MPIO_SFIO Table'!$A$11:$A$65525,0)-1,"")</f>
        <v/>
      </c>
      <c r="N1204" t="str">
        <f>IF(LEN(I1204),MATCH(I1204,'MPIO_SFIO Table'!$A$11:$A$65525,0)-1,"")</f>
        <v/>
      </c>
      <c r="O1204" t="str">
        <f>IF(LEN(J1204),MATCH(J1204,'MPIO_SFIO Table'!$A$11:$A$65525,0)-1,"")</f>
        <v/>
      </c>
      <c r="P1204" t="str">
        <f>IF(LEN(K1204),MATCH(K1204,'MPIO_SFIO Table'!$A$11:$A$65525,0)-1,"")</f>
        <v/>
      </c>
      <c r="Q1204" t="str">
        <f>IF(LEN(L1204),MATCH(L1204,'MPIO_SFIO Table'!$A$11:$A$65525,0)-1,"")</f>
        <v/>
      </c>
      <c r="R1204" t="str">
        <f ca="1">IF(ISNUMBER(M1204),OFFSET('MPIO_SFIO Table'!$AJ$11,M1204,0),"")</f>
        <v/>
      </c>
      <c r="S1204" t="str">
        <f ca="1">IF(ISNUMBER(N1204),OFFSET('MPIO_SFIO Table'!$AJ$11,N1204,0),"")</f>
        <v/>
      </c>
      <c r="T1204" t="str">
        <f ca="1">IF(ISNUMBER(O1204),OFFSET('MPIO_SFIO Table'!$AJ$11,O1204,0),"")</f>
        <v/>
      </c>
      <c r="U1204" t="str">
        <f ca="1">IF(ISNUMBER(P1204),OFFSET('MPIO_SFIO Table'!$AJ$11,P1204,0),"")</f>
        <v/>
      </c>
      <c r="V1204" t="str">
        <f ca="1">IF(ISNUMBER(Q1204),OFFSET('MPIO_SFIO Table'!$AJ$11,Q1204,0),"")</f>
        <v/>
      </c>
      <c r="W1204">
        <f t="shared" ca="1" si="155"/>
        <v>0</v>
      </c>
      <c r="X1204">
        <f t="shared" ca="1" si="156"/>
        <v>0</v>
      </c>
      <c r="Y1204">
        <f t="shared" ca="1" si="157"/>
        <v>0</v>
      </c>
      <c r="Z1204">
        <f t="shared" ca="1" si="158"/>
        <v>0</v>
      </c>
      <c r="AA1204">
        <f t="shared" ca="1" si="159"/>
        <v>0</v>
      </c>
    </row>
    <row r="1205" spans="1:27" x14ac:dyDescent="0.25">
      <c r="A1205">
        <f t="shared" ca="1" si="152"/>
        <v>0</v>
      </c>
      <c r="B1205" t="str">
        <f t="shared" ca="1" si="153"/>
        <v/>
      </c>
      <c r="C1205" t="str">
        <f t="shared" si="154"/>
        <v/>
      </c>
      <c r="D1205" t="s">
        <v>253</v>
      </c>
      <c r="E1205" t="s">
        <v>253</v>
      </c>
      <c r="F1205" s="3" t="s">
        <v>253</v>
      </c>
      <c r="G1205" s="11" t="s">
        <v>253</v>
      </c>
      <c r="H1205" s="11" t="s">
        <v>253</v>
      </c>
      <c r="I1205" s="3" t="s">
        <v>253</v>
      </c>
      <c r="J1205" s="3" t="s">
        <v>253</v>
      </c>
      <c r="K1205" s="3" t="s">
        <v>253</v>
      </c>
      <c r="L1205" s="3" t="s">
        <v>253</v>
      </c>
      <c r="M1205" t="str">
        <f>IF(LEN(H1205),MATCH(H1205,'MPIO_SFIO Table'!$A$11:$A$65525,0)-1,"")</f>
        <v/>
      </c>
      <c r="N1205" t="str">
        <f>IF(LEN(I1205),MATCH(I1205,'MPIO_SFIO Table'!$A$11:$A$65525,0)-1,"")</f>
        <v/>
      </c>
      <c r="O1205" t="str">
        <f>IF(LEN(J1205),MATCH(J1205,'MPIO_SFIO Table'!$A$11:$A$65525,0)-1,"")</f>
        <v/>
      </c>
      <c r="P1205" t="str">
        <f>IF(LEN(K1205),MATCH(K1205,'MPIO_SFIO Table'!$A$11:$A$65525,0)-1,"")</f>
        <v/>
      </c>
      <c r="Q1205" t="str">
        <f>IF(LEN(L1205),MATCH(L1205,'MPIO_SFIO Table'!$A$11:$A$65525,0)-1,"")</f>
        <v/>
      </c>
      <c r="R1205" t="str">
        <f ca="1">IF(ISNUMBER(M1205),OFFSET('MPIO_SFIO Table'!$AJ$11,M1205,0),"")</f>
        <v/>
      </c>
      <c r="S1205" t="str">
        <f ca="1">IF(ISNUMBER(N1205),OFFSET('MPIO_SFIO Table'!$AJ$11,N1205,0),"")</f>
        <v/>
      </c>
      <c r="T1205" t="str">
        <f ca="1">IF(ISNUMBER(O1205),OFFSET('MPIO_SFIO Table'!$AJ$11,O1205,0),"")</f>
        <v/>
      </c>
      <c r="U1205" t="str">
        <f ca="1">IF(ISNUMBER(P1205),OFFSET('MPIO_SFIO Table'!$AJ$11,P1205,0),"")</f>
        <v/>
      </c>
      <c r="V1205" t="str">
        <f ca="1">IF(ISNUMBER(Q1205),OFFSET('MPIO_SFIO Table'!$AJ$11,Q1205,0),"")</f>
        <v/>
      </c>
      <c r="W1205">
        <f t="shared" ca="1" si="155"/>
        <v>0</v>
      </c>
      <c r="X1205">
        <f t="shared" ca="1" si="156"/>
        <v>0</v>
      </c>
      <c r="Y1205">
        <f t="shared" ca="1" si="157"/>
        <v>0</v>
      </c>
      <c r="Z1205">
        <f t="shared" ca="1" si="158"/>
        <v>0</v>
      </c>
      <c r="AA1205">
        <f t="shared" ca="1" si="159"/>
        <v>0</v>
      </c>
    </row>
    <row r="1206" spans="1:27" x14ac:dyDescent="0.25">
      <c r="A1206">
        <f t="shared" ca="1" si="152"/>
        <v>0</v>
      </c>
      <c r="B1206" t="str">
        <f t="shared" ca="1" si="153"/>
        <v/>
      </c>
      <c r="C1206" t="str">
        <f t="shared" si="154"/>
        <v/>
      </c>
      <c r="D1206" t="s">
        <v>253</v>
      </c>
      <c r="E1206" t="s">
        <v>253</v>
      </c>
      <c r="F1206" s="3" t="s">
        <v>253</v>
      </c>
      <c r="G1206" s="11" t="s">
        <v>253</v>
      </c>
      <c r="H1206" s="11" t="s">
        <v>253</v>
      </c>
      <c r="I1206" s="3" t="s">
        <v>253</v>
      </c>
      <c r="J1206" s="3" t="s">
        <v>253</v>
      </c>
      <c r="K1206" s="3" t="s">
        <v>253</v>
      </c>
      <c r="L1206" s="3" t="s">
        <v>253</v>
      </c>
      <c r="M1206" t="str">
        <f>IF(LEN(H1206),MATCH(H1206,'MPIO_SFIO Table'!$A$11:$A$65525,0)-1,"")</f>
        <v/>
      </c>
      <c r="N1206" t="str">
        <f>IF(LEN(I1206),MATCH(I1206,'MPIO_SFIO Table'!$A$11:$A$65525,0)-1,"")</f>
        <v/>
      </c>
      <c r="O1206" t="str">
        <f>IF(LEN(J1206),MATCH(J1206,'MPIO_SFIO Table'!$A$11:$A$65525,0)-1,"")</f>
        <v/>
      </c>
      <c r="P1206" t="str">
        <f>IF(LEN(K1206),MATCH(K1206,'MPIO_SFIO Table'!$A$11:$A$65525,0)-1,"")</f>
        <v/>
      </c>
      <c r="Q1206" t="str">
        <f>IF(LEN(L1206),MATCH(L1206,'MPIO_SFIO Table'!$A$11:$A$65525,0)-1,"")</f>
        <v/>
      </c>
      <c r="R1206" t="str">
        <f ca="1">IF(ISNUMBER(M1206),OFFSET('MPIO_SFIO Table'!$AJ$11,M1206,0),"")</f>
        <v/>
      </c>
      <c r="S1206" t="str">
        <f ca="1">IF(ISNUMBER(N1206),OFFSET('MPIO_SFIO Table'!$AJ$11,N1206,0),"")</f>
        <v/>
      </c>
      <c r="T1206" t="str">
        <f ca="1">IF(ISNUMBER(O1206),OFFSET('MPIO_SFIO Table'!$AJ$11,O1206,0),"")</f>
        <v/>
      </c>
      <c r="U1206" t="str">
        <f ca="1">IF(ISNUMBER(P1206),OFFSET('MPIO_SFIO Table'!$AJ$11,P1206,0),"")</f>
        <v/>
      </c>
      <c r="V1206" t="str">
        <f ca="1">IF(ISNUMBER(Q1206),OFFSET('MPIO_SFIO Table'!$AJ$11,Q1206,0),"")</f>
        <v/>
      </c>
      <c r="W1206">
        <f t="shared" ca="1" si="155"/>
        <v>0</v>
      </c>
      <c r="X1206">
        <f t="shared" ca="1" si="156"/>
        <v>0</v>
      </c>
      <c r="Y1206">
        <f t="shared" ca="1" si="157"/>
        <v>0</v>
      </c>
      <c r="Z1206">
        <f t="shared" ca="1" si="158"/>
        <v>0</v>
      </c>
      <c r="AA1206">
        <f t="shared" ca="1" si="159"/>
        <v>0</v>
      </c>
    </row>
    <row r="1207" spans="1:27" x14ac:dyDescent="0.25">
      <c r="A1207">
        <f t="shared" ca="1" si="152"/>
        <v>0</v>
      </c>
      <c r="B1207" t="str">
        <f t="shared" ca="1" si="153"/>
        <v/>
      </c>
      <c r="C1207" t="str">
        <f t="shared" si="154"/>
        <v/>
      </c>
      <c r="D1207" t="s">
        <v>253</v>
      </c>
      <c r="E1207" t="s">
        <v>253</v>
      </c>
      <c r="F1207" s="3" t="s">
        <v>253</v>
      </c>
      <c r="G1207" s="11" t="s">
        <v>253</v>
      </c>
      <c r="H1207" s="11" t="s">
        <v>253</v>
      </c>
      <c r="I1207" s="3" t="s">
        <v>253</v>
      </c>
      <c r="J1207" s="3" t="s">
        <v>253</v>
      </c>
      <c r="K1207" s="3" t="s">
        <v>253</v>
      </c>
      <c r="L1207" s="3" t="s">
        <v>253</v>
      </c>
      <c r="M1207" t="str">
        <f>IF(LEN(H1207),MATCH(H1207,'MPIO_SFIO Table'!$A$11:$A$65525,0)-1,"")</f>
        <v/>
      </c>
      <c r="N1207" t="str">
        <f>IF(LEN(I1207),MATCH(I1207,'MPIO_SFIO Table'!$A$11:$A$65525,0)-1,"")</f>
        <v/>
      </c>
      <c r="O1207" t="str">
        <f>IF(LEN(J1207),MATCH(J1207,'MPIO_SFIO Table'!$A$11:$A$65525,0)-1,"")</f>
        <v/>
      </c>
      <c r="P1207" t="str">
        <f>IF(LEN(K1207),MATCH(K1207,'MPIO_SFIO Table'!$A$11:$A$65525,0)-1,"")</f>
        <v/>
      </c>
      <c r="Q1207" t="str">
        <f>IF(LEN(L1207),MATCH(L1207,'MPIO_SFIO Table'!$A$11:$A$65525,0)-1,"")</f>
        <v/>
      </c>
      <c r="R1207" t="str">
        <f ca="1">IF(ISNUMBER(M1207),OFFSET('MPIO_SFIO Table'!$AJ$11,M1207,0),"")</f>
        <v/>
      </c>
      <c r="S1207" t="str">
        <f ca="1">IF(ISNUMBER(N1207),OFFSET('MPIO_SFIO Table'!$AJ$11,N1207,0),"")</f>
        <v/>
      </c>
      <c r="T1207" t="str">
        <f ca="1">IF(ISNUMBER(O1207),OFFSET('MPIO_SFIO Table'!$AJ$11,O1207,0),"")</f>
        <v/>
      </c>
      <c r="U1207" t="str">
        <f ca="1">IF(ISNUMBER(P1207),OFFSET('MPIO_SFIO Table'!$AJ$11,P1207,0),"")</f>
        <v/>
      </c>
      <c r="V1207" t="str">
        <f ca="1">IF(ISNUMBER(Q1207),OFFSET('MPIO_SFIO Table'!$AJ$11,Q1207,0),"")</f>
        <v/>
      </c>
      <c r="W1207">
        <f t="shared" ca="1" si="155"/>
        <v>0</v>
      </c>
      <c r="X1207">
        <f t="shared" ca="1" si="156"/>
        <v>0</v>
      </c>
      <c r="Y1207">
        <f t="shared" ca="1" si="157"/>
        <v>0</v>
      </c>
      <c r="Z1207">
        <f t="shared" ca="1" si="158"/>
        <v>0</v>
      </c>
      <c r="AA1207">
        <f t="shared" ca="1" si="159"/>
        <v>0</v>
      </c>
    </row>
    <row r="1208" spans="1:27" x14ac:dyDescent="0.25">
      <c r="A1208">
        <f t="shared" ca="1" si="152"/>
        <v>0</v>
      </c>
      <c r="B1208" t="str">
        <f t="shared" ca="1" si="153"/>
        <v/>
      </c>
      <c r="C1208" t="str">
        <f t="shared" si="154"/>
        <v/>
      </c>
      <c r="D1208" t="s">
        <v>253</v>
      </c>
      <c r="E1208" t="s">
        <v>253</v>
      </c>
      <c r="F1208" s="3" t="s">
        <v>253</v>
      </c>
      <c r="G1208" s="11" t="s">
        <v>253</v>
      </c>
      <c r="H1208" s="11" t="s">
        <v>253</v>
      </c>
      <c r="I1208" s="3" t="s">
        <v>253</v>
      </c>
      <c r="J1208" s="3" t="s">
        <v>253</v>
      </c>
      <c r="K1208" s="3" t="s">
        <v>253</v>
      </c>
      <c r="L1208" s="3" t="s">
        <v>253</v>
      </c>
      <c r="M1208" t="str">
        <f>IF(LEN(H1208),MATCH(H1208,'MPIO_SFIO Table'!$A$11:$A$65525,0)-1,"")</f>
        <v/>
      </c>
      <c r="N1208" t="str">
        <f>IF(LEN(I1208),MATCH(I1208,'MPIO_SFIO Table'!$A$11:$A$65525,0)-1,"")</f>
        <v/>
      </c>
      <c r="O1208" t="str">
        <f>IF(LEN(J1208),MATCH(J1208,'MPIO_SFIO Table'!$A$11:$A$65525,0)-1,"")</f>
        <v/>
      </c>
      <c r="P1208" t="str">
        <f>IF(LEN(K1208),MATCH(K1208,'MPIO_SFIO Table'!$A$11:$A$65525,0)-1,"")</f>
        <v/>
      </c>
      <c r="Q1208" t="str">
        <f>IF(LEN(L1208),MATCH(L1208,'MPIO_SFIO Table'!$A$11:$A$65525,0)-1,"")</f>
        <v/>
      </c>
      <c r="R1208" t="str">
        <f ca="1">IF(ISNUMBER(M1208),OFFSET('MPIO_SFIO Table'!$AJ$11,M1208,0),"")</f>
        <v/>
      </c>
      <c r="S1208" t="str">
        <f ca="1">IF(ISNUMBER(N1208),OFFSET('MPIO_SFIO Table'!$AJ$11,N1208,0),"")</f>
        <v/>
      </c>
      <c r="T1208" t="str">
        <f ca="1">IF(ISNUMBER(O1208),OFFSET('MPIO_SFIO Table'!$AJ$11,O1208,0),"")</f>
        <v/>
      </c>
      <c r="U1208" t="str">
        <f ca="1">IF(ISNUMBER(P1208),OFFSET('MPIO_SFIO Table'!$AJ$11,P1208,0),"")</f>
        <v/>
      </c>
      <c r="V1208" t="str">
        <f ca="1">IF(ISNUMBER(Q1208),OFFSET('MPIO_SFIO Table'!$AJ$11,Q1208,0),"")</f>
        <v/>
      </c>
      <c r="W1208">
        <f t="shared" ca="1" si="155"/>
        <v>0</v>
      </c>
      <c r="X1208">
        <f t="shared" ca="1" si="156"/>
        <v>0</v>
      </c>
      <c r="Y1208">
        <f t="shared" ca="1" si="157"/>
        <v>0</v>
      </c>
      <c r="Z1208">
        <f t="shared" ca="1" si="158"/>
        <v>0</v>
      </c>
      <c r="AA1208">
        <f t="shared" ca="1" si="159"/>
        <v>0</v>
      </c>
    </row>
    <row r="1209" spans="1:27" x14ac:dyDescent="0.25">
      <c r="A1209">
        <f t="shared" ca="1" si="152"/>
        <v>0</v>
      </c>
      <c r="B1209" t="str">
        <f t="shared" ca="1" si="153"/>
        <v/>
      </c>
      <c r="C1209" t="str">
        <f t="shared" si="154"/>
        <v/>
      </c>
      <c r="D1209" t="s">
        <v>253</v>
      </c>
      <c r="E1209" t="s">
        <v>253</v>
      </c>
      <c r="F1209" s="3" t="s">
        <v>253</v>
      </c>
      <c r="G1209" s="11" t="s">
        <v>253</v>
      </c>
      <c r="H1209" s="11" t="s">
        <v>253</v>
      </c>
      <c r="I1209" s="3" t="s">
        <v>253</v>
      </c>
      <c r="J1209" s="3" t="s">
        <v>253</v>
      </c>
      <c r="K1209" s="3" t="s">
        <v>253</v>
      </c>
      <c r="L1209" s="3" t="s">
        <v>253</v>
      </c>
      <c r="M1209" t="str">
        <f>IF(LEN(H1209),MATCH(H1209,'MPIO_SFIO Table'!$A$11:$A$65525,0)-1,"")</f>
        <v/>
      </c>
      <c r="N1209" t="str">
        <f>IF(LEN(I1209),MATCH(I1209,'MPIO_SFIO Table'!$A$11:$A$65525,0)-1,"")</f>
        <v/>
      </c>
      <c r="O1209" t="str">
        <f>IF(LEN(J1209),MATCH(J1209,'MPIO_SFIO Table'!$A$11:$A$65525,0)-1,"")</f>
        <v/>
      </c>
      <c r="P1209" t="str">
        <f>IF(LEN(K1209),MATCH(K1209,'MPIO_SFIO Table'!$A$11:$A$65525,0)-1,"")</f>
        <v/>
      </c>
      <c r="Q1209" t="str">
        <f>IF(LEN(L1209),MATCH(L1209,'MPIO_SFIO Table'!$A$11:$A$65525,0)-1,"")</f>
        <v/>
      </c>
      <c r="R1209" t="str">
        <f ca="1">IF(ISNUMBER(M1209),OFFSET('MPIO_SFIO Table'!$AJ$11,M1209,0),"")</f>
        <v/>
      </c>
      <c r="S1209" t="str">
        <f ca="1">IF(ISNUMBER(N1209),OFFSET('MPIO_SFIO Table'!$AJ$11,N1209,0),"")</f>
        <v/>
      </c>
      <c r="T1209" t="str">
        <f ca="1">IF(ISNUMBER(O1209),OFFSET('MPIO_SFIO Table'!$AJ$11,O1209,0),"")</f>
        <v/>
      </c>
      <c r="U1209" t="str">
        <f ca="1">IF(ISNUMBER(P1209),OFFSET('MPIO_SFIO Table'!$AJ$11,P1209,0),"")</f>
        <v/>
      </c>
      <c r="V1209" t="str">
        <f ca="1">IF(ISNUMBER(Q1209),OFFSET('MPIO_SFIO Table'!$AJ$11,Q1209,0),"")</f>
        <v/>
      </c>
      <c r="W1209">
        <f t="shared" ca="1" si="155"/>
        <v>0</v>
      </c>
      <c r="X1209">
        <f t="shared" ca="1" si="156"/>
        <v>0</v>
      </c>
      <c r="Y1209">
        <f t="shared" ca="1" si="157"/>
        <v>0</v>
      </c>
      <c r="Z1209">
        <f t="shared" ca="1" si="158"/>
        <v>0</v>
      </c>
      <c r="AA1209">
        <f t="shared" ca="1" si="159"/>
        <v>0</v>
      </c>
    </row>
    <row r="1210" spans="1:27" x14ac:dyDescent="0.25">
      <c r="A1210">
        <f t="shared" ca="1" si="152"/>
        <v>0</v>
      </c>
      <c r="B1210" t="str">
        <f t="shared" ca="1" si="153"/>
        <v/>
      </c>
      <c r="C1210" t="str">
        <f t="shared" si="154"/>
        <v/>
      </c>
      <c r="D1210" t="s">
        <v>253</v>
      </c>
      <c r="E1210" t="s">
        <v>253</v>
      </c>
      <c r="F1210" s="3" t="s">
        <v>253</v>
      </c>
      <c r="G1210" s="11" t="s">
        <v>253</v>
      </c>
      <c r="H1210" s="11" t="s">
        <v>253</v>
      </c>
      <c r="I1210" s="3" t="s">
        <v>253</v>
      </c>
      <c r="J1210" s="3" t="s">
        <v>253</v>
      </c>
      <c r="K1210" s="3" t="s">
        <v>253</v>
      </c>
      <c r="L1210" s="3" t="s">
        <v>253</v>
      </c>
      <c r="M1210" t="str">
        <f>IF(LEN(H1210),MATCH(H1210,'MPIO_SFIO Table'!$A$11:$A$65525,0)-1,"")</f>
        <v/>
      </c>
      <c r="N1210" t="str">
        <f>IF(LEN(I1210),MATCH(I1210,'MPIO_SFIO Table'!$A$11:$A$65525,0)-1,"")</f>
        <v/>
      </c>
      <c r="O1210" t="str">
        <f>IF(LEN(J1210),MATCH(J1210,'MPIO_SFIO Table'!$A$11:$A$65525,0)-1,"")</f>
        <v/>
      </c>
      <c r="P1210" t="str">
        <f>IF(LEN(K1210),MATCH(K1210,'MPIO_SFIO Table'!$A$11:$A$65525,0)-1,"")</f>
        <v/>
      </c>
      <c r="Q1210" t="str">
        <f>IF(LEN(L1210),MATCH(L1210,'MPIO_SFIO Table'!$A$11:$A$65525,0)-1,"")</f>
        <v/>
      </c>
      <c r="R1210" t="str">
        <f ca="1">IF(ISNUMBER(M1210),OFFSET('MPIO_SFIO Table'!$AJ$11,M1210,0),"")</f>
        <v/>
      </c>
      <c r="S1210" t="str">
        <f ca="1">IF(ISNUMBER(N1210),OFFSET('MPIO_SFIO Table'!$AJ$11,N1210,0),"")</f>
        <v/>
      </c>
      <c r="T1210" t="str">
        <f ca="1">IF(ISNUMBER(O1210),OFFSET('MPIO_SFIO Table'!$AJ$11,O1210,0),"")</f>
        <v/>
      </c>
      <c r="U1210" t="str">
        <f ca="1">IF(ISNUMBER(P1210),OFFSET('MPIO_SFIO Table'!$AJ$11,P1210,0),"")</f>
        <v/>
      </c>
      <c r="V1210" t="str">
        <f ca="1">IF(ISNUMBER(Q1210),OFFSET('MPIO_SFIO Table'!$AJ$11,Q1210,0),"")</f>
        <v/>
      </c>
      <c r="W1210">
        <f t="shared" ca="1" si="155"/>
        <v>0</v>
      </c>
      <c r="X1210">
        <f t="shared" ca="1" si="156"/>
        <v>0</v>
      </c>
      <c r="Y1210">
        <f t="shared" ca="1" si="157"/>
        <v>0</v>
      </c>
      <c r="Z1210">
        <f t="shared" ca="1" si="158"/>
        <v>0</v>
      </c>
      <c r="AA1210">
        <f t="shared" ca="1" si="159"/>
        <v>0</v>
      </c>
    </row>
    <row r="1211" spans="1:27" x14ac:dyDescent="0.25">
      <c r="A1211">
        <f t="shared" ca="1" si="152"/>
        <v>0</v>
      </c>
      <c r="B1211" t="str">
        <f t="shared" ca="1" si="153"/>
        <v/>
      </c>
      <c r="C1211" t="str">
        <f t="shared" si="154"/>
        <v/>
      </c>
      <c r="D1211" t="s">
        <v>253</v>
      </c>
      <c r="E1211" t="s">
        <v>253</v>
      </c>
      <c r="F1211" s="3" t="s">
        <v>253</v>
      </c>
      <c r="G1211" s="11" t="s">
        <v>253</v>
      </c>
      <c r="H1211" s="11" t="s">
        <v>253</v>
      </c>
      <c r="I1211" s="3" t="s">
        <v>253</v>
      </c>
      <c r="J1211" s="3" t="s">
        <v>253</v>
      </c>
      <c r="K1211" s="3" t="s">
        <v>253</v>
      </c>
      <c r="L1211" s="3" t="s">
        <v>253</v>
      </c>
      <c r="M1211" t="str">
        <f>IF(LEN(H1211),MATCH(H1211,'MPIO_SFIO Table'!$A$11:$A$65525,0)-1,"")</f>
        <v/>
      </c>
      <c r="N1211" t="str">
        <f>IF(LEN(I1211),MATCH(I1211,'MPIO_SFIO Table'!$A$11:$A$65525,0)-1,"")</f>
        <v/>
      </c>
      <c r="O1211" t="str">
        <f>IF(LEN(J1211),MATCH(J1211,'MPIO_SFIO Table'!$A$11:$A$65525,0)-1,"")</f>
        <v/>
      </c>
      <c r="P1211" t="str">
        <f>IF(LEN(K1211),MATCH(K1211,'MPIO_SFIO Table'!$A$11:$A$65525,0)-1,"")</f>
        <v/>
      </c>
      <c r="Q1211" t="str">
        <f>IF(LEN(L1211),MATCH(L1211,'MPIO_SFIO Table'!$A$11:$A$65525,0)-1,"")</f>
        <v/>
      </c>
      <c r="R1211" t="str">
        <f ca="1">IF(ISNUMBER(M1211),OFFSET('MPIO_SFIO Table'!$AJ$11,M1211,0),"")</f>
        <v/>
      </c>
      <c r="S1211" t="str">
        <f ca="1">IF(ISNUMBER(N1211),OFFSET('MPIO_SFIO Table'!$AJ$11,N1211,0),"")</f>
        <v/>
      </c>
      <c r="T1211" t="str">
        <f ca="1">IF(ISNUMBER(O1211),OFFSET('MPIO_SFIO Table'!$AJ$11,O1211,0),"")</f>
        <v/>
      </c>
      <c r="U1211" t="str">
        <f ca="1">IF(ISNUMBER(P1211),OFFSET('MPIO_SFIO Table'!$AJ$11,P1211,0),"")</f>
        <v/>
      </c>
      <c r="V1211" t="str">
        <f ca="1">IF(ISNUMBER(Q1211),OFFSET('MPIO_SFIO Table'!$AJ$11,Q1211,0),"")</f>
        <v/>
      </c>
      <c r="W1211">
        <f t="shared" ca="1" si="155"/>
        <v>0</v>
      </c>
      <c r="X1211">
        <f t="shared" ca="1" si="156"/>
        <v>0</v>
      </c>
      <c r="Y1211">
        <f t="shared" ca="1" si="157"/>
        <v>0</v>
      </c>
      <c r="Z1211">
        <f t="shared" ca="1" si="158"/>
        <v>0</v>
      </c>
      <c r="AA1211">
        <f t="shared" ca="1" si="159"/>
        <v>0</v>
      </c>
    </row>
    <row r="1212" spans="1:27" x14ac:dyDescent="0.25">
      <c r="A1212">
        <f t="shared" ca="1" si="152"/>
        <v>0</v>
      </c>
      <c r="B1212" t="str">
        <f t="shared" ca="1" si="153"/>
        <v/>
      </c>
      <c r="C1212" t="str">
        <f t="shared" si="154"/>
        <v/>
      </c>
      <c r="D1212" t="s">
        <v>253</v>
      </c>
      <c r="E1212" t="s">
        <v>253</v>
      </c>
      <c r="F1212" s="3" t="s">
        <v>253</v>
      </c>
      <c r="G1212" s="11" t="s">
        <v>253</v>
      </c>
      <c r="H1212" s="11" t="s">
        <v>253</v>
      </c>
      <c r="I1212" s="3" t="s">
        <v>253</v>
      </c>
      <c r="J1212" s="3" t="s">
        <v>253</v>
      </c>
      <c r="K1212" s="3" t="s">
        <v>253</v>
      </c>
      <c r="L1212" s="3" t="s">
        <v>253</v>
      </c>
      <c r="M1212" t="str">
        <f>IF(LEN(H1212),MATCH(H1212,'MPIO_SFIO Table'!$A$11:$A$65525,0)-1,"")</f>
        <v/>
      </c>
      <c r="N1212" t="str">
        <f>IF(LEN(I1212),MATCH(I1212,'MPIO_SFIO Table'!$A$11:$A$65525,0)-1,"")</f>
        <v/>
      </c>
      <c r="O1212" t="str">
        <f>IF(LEN(J1212),MATCH(J1212,'MPIO_SFIO Table'!$A$11:$A$65525,0)-1,"")</f>
        <v/>
      </c>
      <c r="P1212" t="str">
        <f>IF(LEN(K1212),MATCH(K1212,'MPIO_SFIO Table'!$A$11:$A$65525,0)-1,"")</f>
        <v/>
      </c>
      <c r="Q1212" t="str">
        <f>IF(LEN(L1212),MATCH(L1212,'MPIO_SFIO Table'!$A$11:$A$65525,0)-1,"")</f>
        <v/>
      </c>
      <c r="R1212" t="str">
        <f ca="1">IF(ISNUMBER(M1212),OFFSET('MPIO_SFIO Table'!$AJ$11,M1212,0),"")</f>
        <v/>
      </c>
      <c r="S1212" t="str">
        <f ca="1">IF(ISNUMBER(N1212),OFFSET('MPIO_SFIO Table'!$AJ$11,N1212,0),"")</f>
        <v/>
      </c>
      <c r="T1212" t="str">
        <f ca="1">IF(ISNUMBER(O1212),OFFSET('MPIO_SFIO Table'!$AJ$11,O1212,0),"")</f>
        <v/>
      </c>
      <c r="U1212" t="str">
        <f ca="1">IF(ISNUMBER(P1212),OFFSET('MPIO_SFIO Table'!$AJ$11,P1212,0),"")</f>
        <v/>
      </c>
      <c r="V1212" t="str">
        <f ca="1">IF(ISNUMBER(Q1212),OFFSET('MPIO_SFIO Table'!$AJ$11,Q1212,0),"")</f>
        <v/>
      </c>
      <c r="W1212">
        <f t="shared" ca="1" si="155"/>
        <v>0</v>
      </c>
      <c r="X1212">
        <f t="shared" ca="1" si="156"/>
        <v>0</v>
      </c>
      <c r="Y1212">
        <f t="shared" ca="1" si="157"/>
        <v>0</v>
      </c>
      <c r="Z1212">
        <f t="shared" ca="1" si="158"/>
        <v>0</v>
      </c>
      <c r="AA1212">
        <f t="shared" ca="1" si="159"/>
        <v>0</v>
      </c>
    </row>
    <row r="1213" spans="1:27" x14ac:dyDescent="0.25">
      <c r="A1213">
        <f t="shared" ca="1" si="152"/>
        <v>0</v>
      </c>
      <c r="B1213" t="str">
        <f t="shared" ca="1" si="153"/>
        <v/>
      </c>
      <c r="C1213" t="str">
        <f t="shared" si="154"/>
        <v/>
      </c>
      <c r="D1213" t="s">
        <v>253</v>
      </c>
      <c r="E1213" t="s">
        <v>253</v>
      </c>
      <c r="F1213" s="3" t="s">
        <v>253</v>
      </c>
      <c r="G1213" s="11" t="s">
        <v>253</v>
      </c>
      <c r="H1213" s="11" t="s">
        <v>253</v>
      </c>
      <c r="I1213" s="3" t="s">
        <v>253</v>
      </c>
      <c r="J1213" s="3" t="s">
        <v>253</v>
      </c>
      <c r="K1213" s="3" t="s">
        <v>253</v>
      </c>
      <c r="L1213" s="3" t="s">
        <v>253</v>
      </c>
      <c r="M1213" t="str">
        <f>IF(LEN(H1213),MATCH(H1213,'MPIO_SFIO Table'!$A$11:$A$65525,0)-1,"")</f>
        <v/>
      </c>
      <c r="N1213" t="str">
        <f>IF(LEN(I1213),MATCH(I1213,'MPIO_SFIO Table'!$A$11:$A$65525,0)-1,"")</f>
        <v/>
      </c>
      <c r="O1213" t="str">
        <f>IF(LEN(J1213),MATCH(J1213,'MPIO_SFIO Table'!$A$11:$A$65525,0)-1,"")</f>
        <v/>
      </c>
      <c r="P1213" t="str">
        <f>IF(LEN(K1213),MATCH(K1213,'MPIO_SFIO Table'!$A$11:$A$65525,0)-1,"")</f>
        <v/>
      </c>
      <c r="Q1213" t="str">
        <f>IF(LEN(L1213),MATCH(L1213,'MPIO_SFIO Table'!$A$11:$A$65525,0)-1,"")</f>
        <v/>
      </c>
      <c r="R1213" t="str">
        <f ca="1">IF(ISNUMBER(M1213),OFFSET('MPIO_SFIO Table'!$AJ$11,M1213,0),"")</f>
        <v/>
      </c>
      <c r="S1213" t="str">
        <f ca="1">IF(ISNUMBER(N1213),OFFSET('MPIO_SFIO Table'!$AJ$11,N1213,0),"")</f>
        <v/>
      </c>
      <c r="T1213" t="str">
        <f ca="1">IF(ISNUMBER(O1213),OFFSET('MPIO_SFIO Table'!$AJ$11,O1213,0),"")</f>
        <v/>
      </c>
      <c r="U1213" t="str">
        <f ca="1">IF(ISNUMBER(P1213),OFFSET('MPIO_SFIO Table'!$AJ$11,P1213,0),"")</f>
        <v/>
      </c>
      <c r="V1213" t="str">
        <f ca="1">IF(ISNUMBER(Q1213),OFFSET('MPIO_SFIO Table'!$AJ$11,Q1213,0),"")</f>
        <v/>
      </c>
      <c r="W1213">
        <f t="shared" ca="1" si="155"/>
        <v>0</v>
      </c>
      <c r="X1213">
        <f t="shared" ca="1" si="156"/>
        <v>0</v>
      </c>
      <c r="Y1213">
        <f t="shared" ca="1" si="157"/>
        <v>0</v>
      </c>
      <c r="Z1213">
        <f t="shared" ca="1" si="158"/>
        <v>0</v>
      </c>
      <c r="AA1213">
        <f t="shared" ca="1" si="159"/>
        <v>0</v>
      </c>
    </row>
    <row r="1214" spans="1:27" x14ac:dyDescent="0.25">
      <c r="A1214">
        <f t="shared" ca="1" si="152"/>
        <v>0</v>
      </c>
      <c r="B1214" t="str">
        <f t="shared" ca="1" si="153"/>
        <v/>
      </c>
      <c r="C1214" t="str">
        <f t="shared" si="154"/>
        <v/>
      </c>
      <c r="D1214" t="s">
        <v>253</v>
      </c>
      <c r="E1214" t="s">
        <v>253</v>
      </c>
      <c r="F1214" s="3" t="s">
        <v>253</v>
      </c>
      <c r="G1214" s="11" t="s">
        <v>253</v>
      </c>
      <c r="H1214" s="11" t="s">
        <v>253</v>
      </c>
      <c r="I1214" s="3" t="s">
        <v>253</v>
      </c>
      <c r="J1214" s="3" t="s">
        <v>253</v>
      </c>
      <c r="K1214" s="3" t="s">
        <v>253</v>
      </c>
      <c r="L1214" s="3" t="s">
        <v>253</v>
      </c>
      <c r="M1214" t="str">
        <f>IF(LEN(H1214),MATCH(H1214,'MPIO_SFIO Table'!$A$11:$A$65525,0)-1,"")</f>
        <v/>
      </c>
      <c r="N1214" t="str">
        <f>IF(LEN(I1214),MATCH(I1214,'MPIO_SFIO Table'!$A$11:$A$65525,0)-1,"")</f>
        <v/>
      </c>
      <c r="O1214" t="str">
        <f>IF(LEN(J1214),MATCH(J1214,'MPIO_SFIO Table'!$A$11:$A$65525,0)-1,"")</f>
        <v/>
      </c>
      <c r="P1214" t="str">
        <f>IF(LEN(K1214),MATCH(K1214,'MPIO_SFIO Table'!$A$11:$A$65525,0)-1,"")</f>
        <v/>
      </c>
      <c r="Q1214" t="str">
        <f>IF(LEN(L1214),MATCH(L1214,'MPIO_SFIO Table'!$A$11:$A$65525,0)-1,"")</f>
        <v/>
      </c>
      <c r="R1214" t="str">
        <f ca="1">IF(ISNUMBER(M1214),OFFSET('MPIO_SFIO Table'!$AJ$11,M1214,0),"")</f>
        <v/>
      </c>
      <c r="S1214" t="str">
        <f ca="1">IF(ISNUMBER(N1214),OFFSET('MPIO_SFIO Table'!$AJ$11,N1214,0),"")</f>
        <v/>
      </c>
      <c r="T1214" t="str">
        <f ca="1">IF(ISNUMBER(O1214),OFFSET('MPIO_SFIO Table'!$AJ$11,O1214,0),"")</f>
        <v/>
      </c>
      <c r="U1214" t="str">
        <f ca="1">IF(ISNUMBER(P1214),OFFSET('MPIO_SFIO Table'!$AJ$11,P1214,0),"")</f>
        <v/>
      </c>
      <c r="V1214" t="str">
        <f ca="1">IF(ISNUMBER(Q1214),OFFSET('MPIO_SFIO Table'!$AJ$11,Q1214,0),"")</f>
        <v/>
      </c>
      <c r="W1214">
        <f t="shared" ca="1" si="155"/>
        <v>0</v>
      </c>
      <c r="X1214">
        <f t="shared" ca="1" si="156"/>
        <v>0</v>
      </c>
      <c r="Y1214">
        <f t="shared" ca="1" si="157"/>
        <v>0</v>
      </c>
      <c r="Z1214">
        <f t="shared" ca="1" si="158"/>
        <v>0</v>
      </c>
      <c r="AA1214">
        <f t="shared" ca="1" si="159"/>
        <v>0</v>
      </c>
    </row>
    <row r="1215" spans="1:27" x14ac:dyDescent="0.25">
      <c r="A1215">
        <f t="shared" ca="1" si="152"/>
        <v>0</v>
      </c>
      <c r="B1215" t="str">
        <f t="shared" ca="1" si="153"/>
        <v/>
      </c>
      <c r="C1215" t="str">
        <f t="shared" si="154"/>
        <v/>
      </c>
      <c r="D1215" t="s">
        <v>253</v>
      </c>
      <c r="E1215" t="s">
        <v>253</v>
      </c>
      <c r="F1215" s="3" t="s">
        <v>253</v>
      </c>
      <c r="G1215" s="11" t="s">
        <v>253</v>
      </c>
      <c r="H1215" s="11" t="s">
        <v>253</v>
      </c>
      <c r="I1215" s="3" t="s">
        <v>253</v>
      </c>
      <c r="J1215" s="3" t="s">
        <v>253</v>
      </c>
      <c r="K1215" s="3" t="s">
        <v>253</v>
      </c>
      <c r="L1215" s="3" t="s">
        <v>253</v>
      </c>
      <c r="M1215" t="str">
        <f>IF(LEN(H1215),MATCH(H1215,'MPIO_SFIO Table'!$A$11:$A$65525,0)-1,"")</f>
        <v/>
      </c>
      <c r="N1215" t="str">
        <f>IF(LEN(I1215),MATCH(I1215,'MPIO_SFIO Table'!$A$11:$A$65525,0)-1,"")</f>
        <v/>
      </c>
      <c r="O1215" t="str">
        <f>IF(LEN(J1215),MATCH(J1215,'MPIO_SFIO Table'!$A$11:$A$65525,0)-1,"")</f>
        <v/>
      </c>
      <c r="P1215" t="str">
        <f>IF(LEN(K1215),MATCH(K1215,'MPIO_SFIO Table'!$A$11:$A$65525,0)-1,"")</f>
        <v/>
      </c>
      <c r="Q1215" t="str">
        <f>IF(LEN(L1215),MATCH(L1215,'MPIO_SFIO Table'!$A$11:$A$65525,0)-1,"")</f>
        <v/>
      </c>
      <c r="R1215" t="str">
        <f ca="1">IF(ISNUMBER(M1215),OFFSET('MPIO_SFIO Table'!$AJ$11,M1215,0),"")</f>
        <v/>
      </c>
      <c r="S1215" t="str">
        <f ca="1">IF(ISNUMBER(N1215),OFFSET('MPIO_SFIO Table'!$AJ$11,N1215,0),"")</f>
        <v/>
      </c>
      <c r="T1215" t="str">
        <f ca="1">IF(ISNUMBER(O1215),OFFSET('MPIO_SFIO Table'!$AJ$11,O1215,0),"")</f>
        <v/>
      </c>
      <c r="U1215" t="str">
        <f ca="1">IF(ISNUMBER(P1215),OFFSET('MPIO_SFIO Table'!$AJ$11,P1215,0),"")</f>
        <v/>
      </c>
      <c r="V1215" t="str">
        <f ca="1">IF(ISNUMBER(Q1215),OFFSET('MPIO_SFIO Table'!$AJ$11,Q1215,0),"")</f>
        <v/>
      </c>
      <c r="W1215">
        <f t="shared" ca="1" si="155"/>
        <v>0</v>
      </c>
      <c r="X1215">
        <f t="shared" ca="1" si="156"/>
        <v>0</v>
      </c>
      <c r="Y1215">
        <f t="shared" ca="1" si="157"/>
        <v>0</v>
      </c>
      <c r="Z1215">
        <f t="shared" ca="1" si="158"/>
        <v>0</v>
      </c>
      <c r="AA1215">
        <f t="shared" ca="1" si="159"/>
        <v>0</v>
      </c>
    </row>
    <row r="1216" spans="1:27" x14ac:dyDescent="0.25">
      <c r="A1216">
        <f t="shared" ca="1" si="152"/>
        <v>0</v>
      </c>
      <c r="B1216" t="str">
        <f t="shared" ca="1" si="153"/>
        <v/>
      </c>
      <c r="C1216" t="str">
        <f t="shared" si="154"/>
        <v/>
      </c>
      <c r="D1216" t="s">
        <v>253</v>
      </c>
      <c r="E1216" t="s">
        <v>253</v>
      </c>
      <c r="F1216" s="3" t="s">
        <v>253</v>
      </c>
      <c r="G1216" s="11" t="s">
        <v>253</v>
      </c>
      <c r="H1216" s="11" t="s">
        <v>253</v>
      </c>
      <c r="I1216" s="3" t="s">
        <v>253</v>
      </c>
      <c r="J1216" s="3" t="s">
        <v>253</v>
      </c>
      <c r="K1216" s="3" t="s">
        <v>253</v>
      </c>
      <c r="L1216" s="3" t="s">
        <v>253</v>
      </c>
      <c r="M1216" t="str">
        <f>IF(LEN(H1216),MATCH(H1216,'MPIO_SFIO Table'!$A$11:$A$65525,0)-1,"")</f>
        <v/>
      </c>
      <c r="N1216" t="str">
        <f>IF(LEN(I1216),MATCH(I1216,'MPIO_SFIO Table'!$A$11:$A$65525,0)-1,"")</f>
        <v/>
      </c>
      <c r="O1216" t="str">
        <f>IF(LEN(J1216),MATCH(J1216,'MPIO_SFIO Table'!$A$11:$A$65525,0)-1,"")</f>
        <v/>
      </c>
      <c r="P1216" t="str">
        <f>IF(LEN(K1216),MATCH(K1216,'MPIO_SFIO Table'!$A$11:$A$65525,0)-1,"")</f>
        <v/>
      </c>
      <c r="Q1216" t="str">
        <f>IF(LEN(L1216),MATCH(L1216,'MPIO_SFIO Table'!$A$11:$A$65525,0)-1,"")</f>
        <v/>
      </c>
      <c r="R1216" t="str">
        <f ca="1">IF(ISNUMBER(M1216),OFFSET('MPIO_SFIO Table'!$AJ$11,M1216,0),"")</f>
        <v/>
      </c>
      <c r="S1216" t="str">
        <f ca="1">IF(ISNUMBER(N1216),OFFSET('MPIO_SFIO Table'!$AJ$11,N1216,0),"")</f>
        <v/>
      </c>
      <c r="T1216" t="str">
        <f ca="1">IF(ISNUMBER(O1216),OFFSET('MPIO_SFIO Table'!$AJ$11,O1216,0),"")</f>
        <v/>
      </c>
      <c r="U1216" t="str">
        <f ca="1">IF(ISNUMBER(P1216),OFFSET('MPIO_SFIO Table'!$AJ$11,P1216,0),"")</f>
        <v/>
      </c>
      <c r="V1216" t="str">
        <f ca="1">IF(ISNUMBER(Q1216),OFFSET('MPIO_SFIO Table'!$AJ$11,Q1216,0),"")</f>
        <v/>
      </c>
      <c r="W1216">
        <f t="shared" ca="1" si="155"/>
        <v>0</v>
      </c>
      <c r="X1216">
        <f t="shared" ca="1" si="156"/>
        <v>0</v>
      </c>
      <c r="Y1216">
        <f t="shared" ca="1" si="157"/>
        <v>0</v>
      </c>
      <c r="Z1216">
        <f t="shared" ca="1" si="158"/>
        <v>0</v>
      </c>
      <c r="AA1216">
        <f t="shared" ca="1" si="159"/>
        <v>0</v>
      </c>
    </row>
    <row r="1217" spans="1:27" x14ac:dyDescent="0.25">
      <c r="A1217">
        <f t="shared" ca="1" si="152"/>
        <v>0</v>
      </c>
      <c r="B1217" t="str">
        <f t="shared" ca="1" si="153"/>
        <v/>
      </c>
      <c r="C1217" t="str">
        <f t="shared" si="154"/>
        <v/>
      </c>
      <c r="D1217" t="s">
        <v>253</v>
      </c>
      <c r="E1217" t="s">
        <v>253</v>
      </c>
      <c r="F1217" s="3" t="s">
        <v>253</v>
      </c>
      <c r="G1217" s="11" t="s">
        <v>253</v>
      </c>
      <c r="H1217" s="11" t="s">
        <v>253</v>
      </c>
      <c r="I1217" s="3" t="s">
        <v>253</v>
      </c>
      <c r="J1217" s="3" t="s">
        <v>253</v>
      </c>
      <c r="K1217" s="3" t="s">
        <v>253</v>
      </c>
      <c r="L1217" s="3" t="s">
        <v>253</v>
      </c>
      <c r="M1217" t="str">
        <f>IF(LEN(H1217),MATCH(H1217,'MPIO_SFIO Table'!$A$11:$A$65525,0)-1,"")</f>
        <v/>
      </c>
      <c r="N1217" t="str">
        <f>IF(LEN(I1217),MATCH(I1217,'MPIO_SFIO Table'!$A$11:$A$65525,0)-1,"")</f>
        <v/>
      </c>
      <c r="O1217" t="str">
        <f>IF(LEN(J1217),MATCH(J1217,'MPIO_SFIO Table'!$A$11:$A$65525,0)-1,"")</f>
        <v/>
      </c>
      <c r="P1217" t="str">
        <f>IF(LEN(K1217),MATCH(K1217,'MPIO_SFIO Table'!$A$11:$A$65525,0)-1,"")</f>
        <v/>
      </c>
      <c r="Q1217" t="str">
        <f>IF(LEN(L1217),MATCH(L1217,'MPIO_SFIO Table'!$A$11:$A$65525,0)-1,"")</f>
        <v/>
      </c>
      <c r="R1217" t="str">
        <f ca="1">IF(ISNUMBER(M1217),OFFSET('MPIO_SFIO Table'!$AJ$11,M1217,0),"")</f>
        <v/>
      </c>
      <c r="S1217" t="str">
        <f ca="1">IF(ISNUMBER(N1217),OFFSET('MPIO_SFIO Table'!$AJ$11,N1217,0),"")</f>
        <v/>
      </c>
      <c r="T1217" t="str">
        <f ca="1">IF(ISNUMBER(O1217),OFFSET('MPIO_SFIO Table'!$AJ$11,O1217,0),"")</f>
        <v/>
      </c>
      <c r="U1217" t="str">
        <f ca="1">IF(ISNUMBER(P1217),OFFSET('MPIO_SFIO Table'!$AJ$11,P1217,0),"")</f>
        <v/>
      </c>
      <c r="V1217" t="str">
        <f ca="1">IF(ISNUMBER(Q1217),OFFSET('MPIO_SFIO Table'!$AJ$11,Q1217,0),"")</f>
        <v/>
      </c>
      <c r="W1217">
        <f t="shared" ca="1" si="155"/>
        <v>0</v>
      </c>
      <c r="X1217">
        <f t="shared" ca="1" si="156"/>
        <v>0</v>
      </c>
      <c r="Y1217">
        <f t="shared" ca="1" si="157"/>
        <v>0</v>
      </c>
      <c r="Z1217">
        <f t="shared" ca="1" si="158"/>
        <v>0</v>
      </c>
      <c r="AA1217">
        <f t="shared" ca="1" si="159"/>
        <v>0</v>
      </c>
    </row>
    <row r="1218" spans="1:27" x14ac:dyDescent="0.25">
      <c r="A1218">
        <f t="shared" ca="1" si="152"/>
        <v>0</v>
      </c>
      <c r="B1218" t="str">
        <f t="shared" ca="1" si="153"/>
        <v/>
      </c>
      <c r="C1218" t="str">
        <f t="shared" si="154"/>
        <v/>
      </c>
      <c r="D1218" t="s">
        <v>253</v>
      </c>
      <c r="E1218" t="s">
        <v>253</v>
      </c>
      <c r="F1218" s="3" t="s">
        <v>253</v>
      </c>
      <c r="G1218" s="11" t="s">
        <v>253</v>
      </c>
      <c r="H1218" s="11" t="s">
        <v>253</v>
      </c>
      <c r="I1218" s="3" t="s">
        <v>253</v>
      </c>
      <c r="J1218" s="3" t="s">
        <v>253</v>
      </c>
      <c r="K1218" s="3" t="s">
        <v>253</v>
      </c>
      <c r="L1218" s="3" t="s">
        <v>253</v>
      </c>
      <c r="M1218" t="str">
        <f>IF(LEN(H1218),MATCH(H1218,'MPIO_SFIO Table'!$A$11:$A$65525,0)-1,"")</f>
        <v/>
      </c>
      <c r="N1218" t="str">
        <f>IF(LEN(I1218),MATCH(I1218,'MPIO_SFIO Table'!$A$11:$A$65525,0)-1,"")</f>
        <v/>
      </c>
      <c r="O1218" t="str">
        <f>IF(LEN(J1218),MATCH(J1218,'MPIO_SFIO Table'!$A$11:$A$65525,0)-1,"")</f>
        <v/>
      </c>
      <c r="P1218" t="str">
        <f>IF(LEN(K1218),MATCH(K1218,'MPIO_SFIO Table'!$A$11:$A$65525,0)-1,"")</f>
        <v/>
      </c>
      <c r="Q1218" t="str">
        <f>IF(LEN(L1218),MATCH(L1218,'MPIO_SFIO Table'!$A$11:$A$65525,0)-1,"")</f>
        <v/>
      </c>
      <c r="R1218" t="str">
        <f ca="1">IF(ISNUMBER(M1218),OFFSET('MPIO_SFIO Table'!$AJ$11,M1218,0),"")</f>
        <v/>
      </c>
      <c r="S1218" t="str">
        <f ca="1">IF(ISNUMBER(N1218),OFFSET('MPIO_SFIO Table'!$AJ$11,N1218,0),"")</f>
        <v/>
      </c>
      <c r="T1218" t="str">
        <f ca="1">IF(ISNUMBER(O1218),OFFSET('MPIO_SFIO Table'!$AJ$11,O1218,0),"")</f>
        <v/>
      </c>
      <c r="U1218" t="str">
        <f ca="1">IF(ISNUMBER(P1218),OFFSET('MPIO_SFIO Table'!$AJ$11,P1218,0),"")</f>
        <v/>
      </c>
      <c r="V1218" t="str">
        <f ca="1">IF(ISNUMBER(Q1218),OFFSET('MPIO_SFIO Table'!$AJ$11,Q1218,0),"")</f>
        <v/>
      </c>
      <c r="W1218">
        <f t="shared" ca="1" si="155"/>
        <v>0</v>
      </c>
      <c r="X1218">
        <f t="shared" ca="1" si="156"/>
        <v>0</v>
      </c>
      <c r="Y1218">
        <f t="shared" ca="1" si="157"/>
        <v>0</v>
      </c>
      <c r="Z1218">
        <f t="shared" ca="1" si="158"/>
        <v>0</v>
      </c>
      <c r="AA1218">
        <f t="shared" ca="1" si="159"/>
        <v>0</v>
      </c>
    </row>
    <row r="1219" spans="1:27" x14ac:dyDescent="0.25">
      <c r="A1219">
        <f t="shared" ca="1" si="152"/>
        <v>0</v>
      </c>
      <c r="B1219" t="str">
        <f t="shared" ca="1" si="153"/>
        <v/>
      </c>
      <c r="C1219" t="str">
        <f t="shared" si="154"/>
        <v/>
      </c>
      <c r="D1219" t="s">
        <v>253</v>
      </c>
      <c r="E1219" t="s">
        <v>253</v>
      </c>
      <c r="F1219" s="3" t="s">
        <v>253</v>
      </c>
      <c r="G1219" s="11" t="s">
        <v>253</v>
      </c>
      <c r="H1219" s="11" t="s">
        <v>253</v>
      </c>
      <c r="I1219" s="3" t="s">
        <v>253</v>
      </c>
      <c r="J1219" s="3" t="s">
        <v>253</v>
      </c>
      <c r="K1219" s="3" t="s">
        <v>253</v>
      </c>
      <c r="L1219" s="3" t="s">
        <v>253</v>
      </c>
      <c r="M1219" t="str">
        <f>IF(LEN(H1219),MATCH(H1219,'MPIO_SFIO Table'!$A$11:$A$65525,0)-1,"")</f>
        <v/>
      </c>
      <c r="N1219" t="str">
        <f>IF(LEN(I1219),MATCH(I1219,'MPIO_SFIO Table'!$A$11:$A$65525,0)-1,"")</f>
        <v/>
      </c>
      <c r="O1219" t="str">
        <f>IF(LEN(J1219),MATCH(J1219,'MPIO_SFIO Table'!$A$11:$A$65525,0)-1,"")</f>
        <v/>
      </c>
      <c r="P1219" t="str">
        <f>IF(LEN(K1219),MATCH(K1219,'MPIO_SFIO Table'!$A$11:$A$65525,0)-1,"")</f>
        <v/>
      </c>
      <c r="Q1219" t="str">
        <f>IF(LEN(L1219),MATCH(L1219,'MPIO_SFIO Table'!$A$11:$A$65525,0)-1,"")</f>
        <v/>
      </c>
      <c r="R1219" t="str">
        <f ca="1">IF(ISNUMBER(M1219),OFFSET('MPIO_SFIO Table'!$AJ$11,M1219,0),"")</f>
        <v/>
      </c>
      <c r="S1219" t="str">
        <f ca="1">IF(ISNUMBER(N1219),OFFSET('MPIO_SFIO Table'!$AJ$11,N1219,0),"")</f>
        <v/>
      </c>
      <c r="T1219" t="str">
        <f ca="1">IF(ISNUMBER(O1219),OFFSET('MPIO_SFIO Table'!$AJ$11,O1219,0),"")</f>
        <v/>
      </c>
      <c r="U1219" t="str">
        <f ca="1">IF(ISNUMBER(P1219),OFFSET('MPIO_SFIO Table'!$AJ$11,P1219,0),"")</f>
        <v/>
      </c>
      <c r="V1219" t="str">
        <f ca="1">IF(ISNUMBER(Q1219),OFFSET('MPIO_SFIO Table'!$AJ$11,Q1219,0),"")</f>
        <v/>
      </c>
      <c r="W1219">
        <f t="shared" ca="1" si="155"/>
        <v>0</v>
      </c>
      <c r="X1219">
        <f t="shared" ca="1" si="156"/>
        <v>0</v>
      </c>
      <c r="Y1219">
        <f t="shared" ca="1" si="157"/>
        <v>0</v>
      </c>
      <c r="Z1219">
        <f t="shared" ca="1" si="158"/>
        <v>0</v>
      </c>
      <c r="AA1219">
        <f t="shared" ca="1" si="159"/>
        <v>0</v>
      </c>
    </row>
    <row r="1220" spans="1:27" x14ac:dyDescent="0.25">
      <c r="A1220">
        <f t="shared" ca="1" si="152"/>
        <v>0</v>
      </c>
      <c r="B1220" t="str">
        <f t="shared" ca="1" si="153"/>
        <v/>
      </c>
      <c r="C1220" t="str">
        <f t="shared" si="154"/>
        <v/>
      </c>
      <c r="D1220" t="s">
        <v>253</v>
      </c>
      <c r="E1220" t="s">
        <v>253</v>
      </c>
      <c r="F1220" s="3" t="s">
        <v>253</v>
      </c>
      <c r="G1220" s="11" t="s">
        <v>253</v>
      </c>
      <c r="H1220" s="11" t="s">
        <v>253</v>
      </c>
      <c r="I1220" s="3" t="s">
        <v>253</v>
      </c>
      <c r="J1220" s="3" t="s">
        <v>253</v>
      </c>
      <c r="K1220" s="3" t="s">
        <v>253</v>
      </c>
      <c r="L1220" s="3" t="s">
        <v>253</v>
      </c>
      <c r="M1220" t="str">
        <f>IF(LEN(H1220),MATCH(H1220,'MPIO_SFIO Table'!$A$11:$A$65525,0)-1,"")</f>
        <v/>
      </c>
      <c r="N1220" t="str">
        <f>IF(LEN(I1220),MATCH(I1220,'MPIO_SFIO Table'!$A$11:$A$65525,0)-1,"")</f>
        <v/>
      </c>
      <c r="O1220" t="str">
        <f>IF(LEN(J1220),MATCH(J1220,'MPIO_SFIO Table'!$A$11:$A$65525,0)-1,"")</f>
        <v/>
      </c>
      <c r="P1220" t="str">
        <f>IF(LEN(K1220),MATCH(K1220,'MPIO_SFIO Table'!$A$11:$A$65525,0)-1,"")</f>
        <v/>
      </c>
      <c r="Q1220" t="str">
        <f>IF(LEN(L1220),MATCH(L1220,'MPIO_SFIO Table'!$A$11:$A$65525,0)-1,"")</f>
        <v/>
      </c>
      <c r="R1220" t="str">
        <f ca="1">IF(ISNUMBER(M1220),OFFSET('MPIO_SFIO Table'!$AJ$11,M1220,0),"")</f>
        <v/>
      </c>
      <c r="S1220" t="str">
        <f ca="1">IF(ISNUMBER(N1220),OFFSET('MPIO_SFIO Table'!$AJ$11,N1220,0),"")</f>
        <v/>
      </c>
      <c r="T1220" t="str">
        <f ca="1">IF(ISNUMBER(O1220),OFFSET('MPIO_SFIO Table'!$AJ$11,O1220,0),"")</f>
        <v/>
      </c>
      <c r="U1220" t="str">
        <f ca="1">IF(ISNUMBER(P1220),OFFSET('MPIO_SFIO Table'!$AJ$11,P1220,0),"")</f>
        <v/>
      </c>
      <c r="V1220" t="str">
        <f ca="1">IF(ISNUMBER(Q1220),OFFSET('MPIO_SFIO Table'!$AJ$11,Q1220,0),"")</f>
        <v/>
      </c>
      <c r="W1220">
        <f t="shared" ca="1" si="155"/>
        <v>0</v>
      </c>
      <c r="X1220">
        <f t="shared" ca="1" si="156"/>
        <v>0</v>
      </c>
      <c r="Y1220">
        <f t="shared" ca="1" si="157"/>
        <v>0</v>
      </c>
      <c r="Z1220">
        <f t="shared" ca="1" si="158"/>
        <v>0</v>
      </c>
      <c r="AA1220">
        <f t="shared" ca="1" si="159"/>
        <v>0</v>
      </c>
    </row>
    <row r="1221" spans="1:27" x14ac:dyDescent="0.25">
      <c r="A1221">
        <f t="shared" ca="1" si="152"/>
        <v>0</v>
      </c>
      <c r="B1221" t="str">
        <f t="shared" ca="1" si="153"/>
        <v/>
      </c>
      <c r="C1221" t="str">
        <f t="shared" si="154"/>
        <v/>
      </c>
      <c r="D1221" t="s">
        <v>253</v>
      </c>
      <c r="E1221" t="s">
        <v>253</v>
      </c>
      <c r="F1221" s="3" t="s">
        <v>253</v>
      </c>
      <c r="G1221" s="11" t="s">
        <v>253</v>
      </c>
      <c r="H1221" s="11" t="s">
        <v>253</v>
      </c>
      <c r="I1221" s="3" t="s">
        <v>253</v>
      </c>
      <c r="J1221" s="3" t="s">
        <v>253</v>
      </c>
      <c r="K1221" s="3" t="s">
        <v>253</v>
      </c>
      <c r="L1221" s="3" t="s">
        <v>253</v>
      </c>
      <c r="M1221" t="str">
        <f>IF(LEN(H1221),MATCH(H1221,'MPIO_SFIO Table'!$A$11:$A$65525,0)-1,"")</f>
        <v/>
      </c>
      <c r="N1221" t="str">
        <f>IF(LEN(I1221),MATCH(I1221,'MPIO_SFIO Table'!$A$11:$A$65525,0)-1,"")</f>
        <v/>
      </c>
      <c r="O1221" t="str">
        <f>IF(LEN(J1221),MATCH(J1221,'MPIO_SFIO Table'!$A$11:$A$65525,0)-1,"")</f>
        <v/>
      </c>
      <c r="P1221" t="str">
        <f>IF(LEN(K1221),MATCH(K1221,'MPIO_SFIO Table'!$A$11:$A$65525,0)-1,"")</f>
        <v/>
      </c>
      <c r="Q1221" t="str">
        <f>IF(LEN(L1221),MATCH(L1221,'MPIO_SFIO Table'!$A$11:$A$65525,0)-1,"")</f>
        <v/>
      </c>
      <c r="R1221" t="str">
        <f ca="1">IF(ISNUMBER(M1221),OFFSET('MPIO_SFIO Table'!$AJ$11,M1221,0),"")</f>
        <v/>
      </c>
      <c r="S1221" t="str">
        <f ca="1">IF(ISNUMBER(N1221),OFFSET('MPIO_SFIO Table'!$AJ$11,N1221,0),"")</f>
        <v/>
      </c>
      <c r="T1221" t="str">
        <f ca="1">IF(ISNUMBER(O1221),OFFSET('MPIO_SFIO Table'!$AJ$11,O1221,0),"")</f>
        <v/>
      </c>
      <c r="U1221" t="str">
        <f ca="1">IF(ISNUMBER(P1221),OFFSET('MPIO_SFIO Table'!$AJ$11,P1221,0),"")</f>
        <v/>
      </c>
      <c r="V1221" t="str">
        <f ca="1">IF(ISNUMBER(Q1221),OFFSET('MPIO_SFIO Table'!$AJ$11,Q1221,0),"")</f>
        <v/>
      </c>
      <c r="W1221">
        <f t="shared" ca="1" si="155"/>
        <v>0</v>
      </c>
      <c r="X1221">
        <f t="shared" ca="1" si="156"/>
        <v>0</v>
      </c>
      <c r="Y1221">
        <f t="shared" ca="1" si="157"/>
        <v>0</v>
      </c>
      <c r="Z1221">
        <f t="shared" ca="1" si="158"/>
        <v>0</v>
      </c>
      <c r="AA1221">
        <f t="shared" ca="1" si="159"/>
        <v>0</v>
      </c>
    </row>
    <row r="1222" spans="1:27" x14ac:dyDescent="0.25">
      <c r="A1222">
        <f t="shared" ca="1" si="152"/>
        <v>0</v>
      </c>
      <c r="B1222" t="str">
        <f t="shared" ca="1" si="153"/>
        <v/>
      </c>
      <c r="C1222" t="str">
        <f t="shared" si="154"/>
        <v/>
      </c>
      <c r="D1222" t="s">
        <v>253</v>
      </c>
      <c r="E1222" t="s">
        <v>253</v>
      </c>
      <c r="F1222" s="3" t="s">
        <v>253</v>
      </c>
      <c r="G1222" s="11" t="s">
        <v>253</v>
      </c>
      <c r="H1222" s="11" t="s">
        <v>253</v>
      </c>
      <c r="I1222" s="3" t="s">
        <v>253</v>
      </c>
      <c r="J1222" s="3" t="s">
        <v>253</v>
      </c>
      <c r="K1222" s="3" t="s">
        <v>253</v>
      </c>
      <c r="L1222" s="3" t="s">
        <v>253</v>
      </c>
      <c r="M1222" t="str">
        <f>IF(LEN(H1222),MATCH(H1222,'MPIO_SFIO Table'!$A$11:$A$65525,0)-1,"")</f>
        <v/>
      </c>
      <c r="N1222" t="str">
        <f>IF(LEN(I1222),MATCH(I1222,'MPIO_SFIO Table'!$A$11:$A$65525,0)-1,"")</f>
        <v/>
      </c>
      <c r="O1222" t="str">
        <f>IF(LEN(J1222),MATCH(J1222,'MPIO_SFIO Table'!$A$11:$A$65525,0)-1,"")</f>
        <v/>
      </c>
      <c r="P1222" t="str">
        <f>IF(LEN(K1222),MATCH(K1222,'MPIO_SFIO Table'!$A$11:$A$65525,0)-1,"")</f>
        <v/>
      </c>
      <c r="Q1222" t="str">
        <f>IF(LEN(L1222),MATCH(L1222,'MPIO_SFIO Table'!$A$11:$A$65525,0)-1,"")</f>
        <v/>
      </c>
      <c r="R1222" t="str">
        <f ca="1">IF(ISNUMBER(M1222),OFFSET('MPIO_SFIO Table'!$AJ$11,M1222,0),"")</f>
        <v/>
      </c>
      <c r="S1222" t="str">
        <f ca="1">IF(ISNUMBER(N1222),OFFSET('MPIO_SFIO Table'!$AJ$11,N1222,0),"")</f>
        <v/>
      </c>
      <c r="T1222" t="str">
        <f ca="1">IF(ISNUMBER(O1222),OFFSET('MPIO_SFIO Table'!$AJ$11,O1222,0),"")</f>
        <v/>
      </c>
      <c r="U1222" t="str">
        <f ca="1">IF(ISNUMBER(P1222),OFFSET('MPIO_SFIO Table'!$AJ$11,P1222,0),"")</f>
        <v/>
      </c>
      <c r="V1222" t="str">
        <f ca="1">IF(ISNUMBER(Q1222),OFFSET('MPIO_SFIO Table'!$AJ$11,Q1222,0),"")</f>
        <v/>
      </c>
      <c r="W1222">
        <f t="shared" ca="1" si="155"/>
        <v>0</v>
      </c>
      <c r="X1222">
        <f t="shared" ca="1" si="156"/>
        <v>0</v>
      </c>
      <c r="Y1222">
        <f t="shared" ca="1" si="157"/>
        <v>0</v>
      </c>
      <c r="Z1222">
        <f t="shared" ca="1" si="158"/>
        <v>0</v>
      </c>
      <c r="AA1222">
        <f t="shared" ca="1" si="159"/>
        <v>0</v>
      </c>
    </row>
    <row r="1223" spans="1:27" x14ac:dyDescent="0.25">
      <c r="A1223">
        <f t="shared" ca="1" si="152"/>
        <v>0</v>
      </c>
      <c r="B1223" t="str">
        <f t="shared" ca="1" si="153"/>
        <v/>
      </c>
      <c r="C1223" t="str">
        <f t="shared" si="154"/>
        <v/>
      </c>
      <c r="D1223" t="s">
        <v>253</v>
      </c>
      <c r="E1223" t="s">
        <v>253</v>
      </c>
      <c r="F1223" s="3" t="s">
        <v>253</v>
      </c>
      <c r="G1223" s="11" t="s">
        <v>253</v>
      </c>
      <c r="H1223" s="11" t="s">
        <v>253</v>
      </c>
      <c r="I1223" s="3" t="s">
        <v>253</v>
      </c>
      <c r="J1223" s="3" t="s">
        <v>253</v>
      </c>
      <c r="K1223" s="3" t="s">
        <v>253</v>
      </c>
      <c r="L1223" s="3" t="s">
        <v>253</v>
      </c>
      <c r="M1223" t="str">
        <f>IF(LEN(H1223),MATCH(H1223,'MPIO_SFIO Table'!$A$11:$A$65525,0)-1,"")</f>
        <v/>
      </c>
      <c r="N1223" t="str">
        <f>IF(LEN(I1223),MATCH(I1223,'MPIO_SFIO Table'!$A$11:$A$65525,0)-1,"")</f>
        <v/>
      </c>
      <c r="O1223" t="str">
        <f>IF(LEN(J1223),MATCH(J1223,'MPIO_SFIO Table'!$A$11:$A$65525,0)-1,"")</f>
        <v/>
      </c>
      <c r="P1223" t="str">
        <f>IF(LEN(K1223),MATCH(K1223,'MPIO_SFIO Table'!$A$11:$A$65525,0)-1,"")</f>
        <v/>
      </c>
      <c r="Q1223" t="str">
        <f>IF(LEN(L1223),MATCH(L1223,'MPIO_SFIO Table'!$A$11:$A$65525,0)-1,"")</f>
        <v/>
      </c>
      <c r="R1223" t="str">
        <f ca="1">IF(ISNUMBER(M1223),OFFSET('MPIO_SFIO Table'!$AJ$11,M1223,0),"")</f>
        <v/>
      </c>
      <c r="S1223" t="str">
        <f ca="1">IF(ISNUMBER(N1223),OFFSET('MPIO_SFIO Table'!$AJ$11,N1223,0),"")</f>
        <v/>
      </c>
      <c r="T1223" t="str">
        <f ca="1">IF(ISNUMBER(O1223),OFFSET('MPIO_SFIO Table'!$AJ$11,O1223,0),"")</f>
        <v/>
      </c>
      <c r="U1223" t="str">
        <f ca="1">IF(ISNUMBER(P1223),OFFSET('MPIO_SFIO Table'!$AJ$11,P1223,0),"")</f>
        <v/>
      </c>
      <c r="V1223" t="str">
        <f ca="1">IF(ISNUMBER(Q1223),OFFSET('MPIO_SFIO Table'!$AJ$11,Q1223,0),"")</f>
        <v/>
      </c>
      <c r="W1223">
        <f t="shared" ca="1" si="155"/>
        <v>0</v>
      </c>
      <c r="X1223">
        <f t="shared" ca="1" si="156"/>
        <v>0</v>
      </c>
      <c r="Y1223">
        <f t="shared" ca="1" si="157"/>
        <v>0</v>
      </c>
      <c r="Z1223">
        <f t="shared" ca="1" si="158"/>
        <v>0</v>
      </c>
      <c r="AA1223">
        <f t="shared" ca="1" si="159"/>
        <v>0</v>
      </c>
    </row>
    <row r="1224" spans="1:27" x14ac:dyDescent="0.25">
      <c r="A1224">
        <f t="shared" ref="A1224:A1287" ca="1" si="160">SUM($W1224:$AA1224)</f>
        <v>0</v>
      </c>
      <c r="B1224" t="str">
        <f t="shared" ref="B1224:B1287" ca="1" si="161">IF(A1224&lt;&gt;0,REPLACE(G1224,FIND("-",G1224),LEN(G1224),""),"")</f>
        <v/>
      </c>
      <c r="C1224" t="str">
        <f t="shared" si="154"/>
        <v/>
      </c>
      <c r="D1224" t="s">
        <v>253</v>
      </c>
      <c r="E1224" t="s">
        <v>253</v>
      </c>
      <c r="F1224" s="3" t="s">
        <v>253</v>
      </c>
      <c r="G1224" s="11" t="s">
        <v>253</v>
      </c>
      <c r="H1224" s="11" t="s">
        <v>253</v>
      </c>
      <c r="I1224" s="3" t="s">
        <v>253</v>
      </c>
      <c r="J1224" s="3" t="s">
        <v>253</v>
      </c>
      <c r="K1224" s="3" t="s">
        <v>253</v>
      </c>
      <c r="L1224" s="3" t="s">
        <v>253</v>
      </c>
      <c r="M1224" t="str">
        <f>IF(LEN(H1224),MATCH(H1224,'MPIO_SFIO Table'!$A$11:$A$65525,0)-1,"")</f>
        <v/>
      </c>
      <c r="N1224" t="str">
        <f>IF(LEN(I1224),MATCH(I1224,'MPIO_SFIO Table'!$A$11:$A$65525,0)-1,"")</f>
        <v/>
      </c>
      <c r="O1224" t="str">
        <f>IF(LEN(J1224),MATCH(J1224,'MPIO_SFIO Table'!$A$11:$A$65525,0)-1,"")</f>
        <v/>
      </c>
      <c r="P1224" t="str">
        <f>IF(LEN(K1224),MATCH(K1224,'MPIO_SFIO Table'!$A$11:$A$65525,0)-1,"")</f>
        <v/>
      </c>
      <c r="Q1224" t="str">
        <f>IF(LEN(L1224),MATCH(L1224,'MPIO_SFIO Table'!$A$11:$A$65525,0)-1,"")</f>
        <v/>
      </c>
      <c r="R1224" t="str">
        <f ca="1">IF(ISNUMBER(M1224),OFFSET('MPIO_SFIO Table'!$AJ$11,M1224,0),"")</f>
        <v/>
      </c>
      <c r="S1224" t="str">
        <f ca="1">IF(ISNUMBER(N1224),OFFSET('MPIO_SFIO Table'!$AJ$11,N1224,0),"")</f>
        <v/>
      </c>
      <c r="T1224" t="str">
        <f ca="1">IF(ISNUMBER(O1224),OFFSET('MPIO_SFIO Table'!$AJ$11,O1224,0),"")</f>
        <v/>
      </c>
      <c r="U1224" t="str">
        <f ca="1">IF(ISNUMBER(P1224),OFFSET('MPIO_SFIO Table'!$AJ$11,P1224,0),"")</f>
        <v/>
      </c>
      <c r="V1224" t="str">
        <f ca="1">IF(ISNUMBER(Q1224),OFFSET('MPIO_SFIO Table'!$AJ$11,Q1224,0),"")</f>
        <v/>
      </c>
      <c r="W1224">
        <f t="shared" ca="1" si="155"/>
        <v>0</v>
      </c>
      <c r="X1224">
        <f t="shared" ca="1" si="156"/>
        <v>0</v>
      </c>
      <c r="Y1224">
        <f t="shared" ca="1" si="157"/>
        <v>0</v>
      </c>
      <c r="Z1224">
        <f t="shared" ca="1" si="158"/>
        <v>0</v>
      </c>
      <c r="AA1224">
        <f t="shared" ca="1" si="159"/>
        <v>0</v>
      </c>
    </row>
    <row r="1225" spans="1:27" x14ac:dyDescent="0.25">
      <c r="A1225">
        <f t="shared" ca="1" si="160"/>
        <v>0</v>
      </c>
      <c r="B1225" t="str">
        <f t="shared" ca="1" si="161"/>
        <v/>
      </c>
      <c r="C1225" t="str">
        <f t="shared" ref="C1225:C1288" si="162">REPLACE(G1225,FIND(".",CONCATENATE(REPLACE(G1225,FIND("-",CONCATENATE(G1225,"-")),LEN(G1225),""),".")),LEN(G1225),"")</f>
        <v/>
      </c>
      <c r="D1225" t="s">
        <v>253</v>
      </c>
      <c r="E1225" t="s">
        <v>253</v>
      </c>
      <c r="F1225" s="3" t="s">
        <v>253</v>
      </c>
      <c r="G1225" s="11" t="s">
        <v>253</v>
      </c>
      <c r="H1225" s="11" t="s">
        <v>253</v>
      </c>
      <c r="I1225" s="3" t="s">
        <v>253</v>
      </c>
      <c r="J1225" s="3" t="s">
        <v>253</v>
      </c>
      <c r="K1225" s="3" t="s">
        <v>253</v>
      </c>
      <c r="L1225" s="3" t="s">
        <v>253</v>
      </c>
      <c r="M1225" t="str">
        <f>IF(LEN(H1225),MATCH(H1225,'MPIO_SFIO Table'!$A$11:$A$65525,0)-1,"")</f>
        <v/>
      </c>
      <c r="N1225" t="str">
        <f>IF(LEN(I1225),MATCH(I1225,'MPIO_SFIO Table'!$A$11:$A$65525,0)-1,"")</f>
        <v/>
      </c>
      <c r="O1225" t="str">
        <f>IF(LEN(J1225),MATCH(J1225,'MPIO_SFIO Table'!$A$11:$A$65525,0)-1,"")</f>
        <v/>
      </c>
      <c r="P1225" t="str">
        <f>IF(LEN(K1225),MATCH(K1225,'MPIO_SFIO Table'!$A$11:$A$65525,0)-1,"")</f>
        <v/>
      </c>
      <c r="Q1225" t="str">
        <f>IF(LEN(L1225),MATCH(L1225,'MPIO_SFIO Table'!$A$11:$A$65525,0)-1,"")</f>
        <v/>
      </c>
      <c r="R1225" t="str">
        <f ca="1">IF(ISNUMBER(M1225),OFFSET('MPIO_SFIO Table'!$AJ$11,M1225,0),"")</f>
        <v/>
      </c>
      <c r="S1225" t="str">
        <f ca="1">IF(ISNUMBER(N1225),OFFSET('MPIO_SFIO Table'!$AJ$11,N1225,0),"")</f>
        <v/>
      </c>
      <c r="T1225" t="str">
        <f ca="1">IF(ISNUMBER(O1225),OFFSET('MPIO_SFIO Table'!$AJ$11,O1225,0),"")</f>
        <v/>
      </c>
      <c r="U1225" t="str">
        <f ca="1">IF(ISNUMBER(P1225),OFFSET('MPIO_SFIO Table'!$AJ$11,P1225,0),"")</f>
        <v/>
      </c>
      <c r="V1225" t="str">
        <f ca="1">IF(ISNUMBER(Q1225),OFFSET('MPIO_SFIO Table'!$AJ$11,Q1225,0),"")</f>
        <v/>
      </c>
      <c r="W1225">
        <f t="shared" ref="W1225:W1288" ca="1" si="163">1*AND(ISTEXT(R1225),LEN(R1225),R1225=$G1225)</f>
        <v>0</v>
      </c>
      <c r="X1225">
        <f t="shared" ref="X1225:X1288" ca="1" si="164">1*AND(ISTEXT(S1225),LEN(S1225),S1225=$G1225)</f>
        <v>0</v>
      </c>
      <c r="Y1225">
        <f t="shared" ref="Y1225:Y1288" ca="1" si="165">1*AND(ISTEXT(T1225),LEN(T1225),T1225=$G1225)</f>
        <v>0</v>
      </c>
      <c r="Z1225">
        <f t="shared" ref="Z1225:Z1288" ca="1" si="166">1*AND(ISTEXT(U1225),LEN(U1225),U1225=$G1225)</f>
        <v>0</v>
      </c>
      <c r="AA1225">
        <f t="shared" ref="AA1225:AA1288" ca="1" si="167">1*AND(ISTEXT(V1225),LEN(V1225),V1225=$G1225)</f>
        <v>0</v>
      </c>
    </row>
    <row r="1226" spans="1:27" x14ac:dyDescent="0.25">
      <c r="A1226">
        <f t="shared" ca="1" si="160"/>
        <v>0</v>
      </c>
      <c r="B1226" t="str">
        <f t="shared" ca="1" si="161"/>
        <v/>
      </c>
      <c r="C1226" t="str">
        <f t="shared" si="162"/>
        <v/>
      </c>
      <c r="D1226" t="s">
        <v>253</v>
      </c>
      <c r="E1226" t="s">
        <v>253</v>
      </c>
      <c r="F1226" s="3" t="s">
        <v>253</v>
      </c>
      <c r="G1226" s="11" t="s">
        <v>253</v>
      </c>
      <c r="H1226" s="11" t="s">
        <v>253</v>
      </c>
      <c r="I1226" s="3" t="s">
        <v>253</v>
      </c>
      <c r="J1226" s="3" t="s">
        <v>253</v>
      </c>
      <c r="K1226" s="3" t="s">
        <v>253</v>
      </c>
      <c r="L1226" s="3" t="s">
        <v>253</v>
      </c>
      <c r="M1226" t="str">
        <f>IF(LEN(H1226),MATCH(H1226,'MPIO_SFIO Table'!$A$11:$A$65525,0)-1,"")</f>
        <v/>
      </c>
      <c r="N1226" t="str">
        <f>IF(LEN(I1226),MATCH(I1226,'MPIO_SFIO Table'!$A$11:$A$65525,0)-1,"")</f>
        <v/>
      </c>
      <c r="O1226" t="str">
        <f>IF(LEN(J1226),MATCH(J1226,'MPIO_SFIO Table'!$A$11:$A$65525,0)-1,"")</f>
        <v/>
      </c>
      <c r="P1226" t="str">
        <f>IF(LEN(K1226),MATCH(K1226,'MPIO_SFIO Table'!$A$11:$A$65525,0)-1,"")</f>
        <v/>
      </c>
      <c r="Q1226" t="str">
        <f>IF(LEN(L1226),MATCH(L1226,'MPIO_SFIO Table'!$A$11:$A$65525,0)-1,"")</f>
        <v/>
      </c>
      <c r="R1226" t="str">
        <f ca="1">IF(ISNUMBER(M1226),OFFSET('MPIO_SFIO Table'!$AJ$11,M1226,0),"")</f>
        <v/>
      </c>
      <c r="S1226" t="str">
        <f ca="1">IF(ISNUMBER(N1226),OFFSET('MPIO_SFIO Table'!$AJ$11,N1226,0),"")</f>
        <v/>
      </c>
      <c r="T1226" t="str">
        <f ca="1">IF(ISNUMBER(O1226),OFFSET('MPIO_SFIO Table'!$AJ$11,O1226,0),"")</f>
        <v/>
      </c>
      <c r="U1226" t="str">
        <f ca="1">IF(ISNUMBER(P1226),OFFSET('MPIO_SFIO Table'!$AJ$11,P1226,0),"")</f>
        <v/>
      </c>
      <c r="V1226" t="str">
        <f ca="1">IF(ISNUMBER(Q1226),OFFSET('MPIO_SFIO Table'!$AJ$11,Q1226,0),"")</f>
        <v/>
      </c>
      <c r="W1226">
        <f t="shared" ca="1" si="163"/>
        <v>0</v>
      </c>
      <c r="X1226">
        <f t="shared" ca="1" si="164"/>
        <v>0</v>
      </c>
      <c r="Y1226">
        <f t="shared" ca="1" si="165"/>
        <v>0</v>
      </c>
      <c r="Z1226">
        <f t="shared" ca="1" si="166"/>
        <v>0</v>
      </c>
      <c r="AA1226">
        <f t="shared" ca="1" si="167"/>
        <v>0</v>
      </c>
    </row>
    <row r="1227" spans="1:27" x14ac:dyDescent="0.25">
      <c r="A1227">
        <f t="shared" ca="1" si="160"/>
        <v>0</v>
      </c>
      <c r="B1227" t="str">
        <f t="shared" ca="1" si="161"/>
        <v/>
      </c>
      <c r="C1227" t="str">
        <f t="shared" si="162"/>
        <v/>
      </c>
      <c r="D1227" t="s">
        <v>253</v>
      </c>
      <c r="E1227" t="s">
        <v>253</v>
      </c>
      <c r="F1227" s="3" t="s">
        <v>253</v>
      </c>
      <c r="G1227" s="11" t="s">
        <v>253</v>
      </c>
      <c r="H1227" s="11" t="s">
        <v>253</v>
      </c>
      <c r="I1227" s="3" t="s">
        <v>253</v>
      </c>
      <c r="J1227" s="3" t="s">
        <v>253</v>
      </c>
      <c r="K1227" s="3" t="s">
        <v>253</v>
      </c>
      <c r="L1227" s="3" t="s">
        <v>253</v>
      </c>
      <c r="M1227" t="str">
        <f>IF(LEN(H1227),MATCH(H1227,'MPIO_SFIO Table'!$A$11:$A$65525,0)-1,"")</f>
        <v/>
      </c>
      <c r="N1227" t="str">
        <f>IF(LEN(I1227),MATCH(I1227,'MPIO_SFIO Table'!$A$11:$A$65525,0)-1,"")</f>
        <v/>
      </c>
      <c r="O1227" t="str">
        <f>IF(LEN(J1227),MATCH(J1227,'MPIO_SFIO Table'!$A$11:$A$65525,0)-1,"")</f>
        <v/>
      </c>
      <c r="P1227" t="str">
        <f>IF(LEN(K1227),MATCH(K1227,'MPIO_SFIO Table'!$A$11:$A$65525,0)-1,"")</f>
        <v/>
      </c>
      <c r="Q1227" t="str">
        <f>IF(LEN(L1227),MATCH(L1227,'MPIO_SFIO Table'!$A$11:$A$65525,0)-1,"")</f>
        <v/>
      </c>
      <c r="R1227" t="str">
        <f ca="1">IF(ISNUMBER(M1227),OFFSET('MPIO_SFIO Table'!$AJ$11,M1227,0),"")</f>
        <v/>
      </c>
      <c r="S1227" t="str">
        <f ca="1">IF(ISNUMBER(N1227),OFFSET('MPIO_SFIO Table'!$AJ$11,N1227,0),"")</f>
        <v/>
      </c>
      <c r="T1227" t="str">
        <f ca="1">IF(ISNUMBER(O1227),OFFSET('MPIO_SFIO Table'!$AJ$11,O1227,0),"")</f>
        <v/>
      </c>
      <c r="U1227" t="str">
        <f ca="1">IF(ISNUMBER(P1227),OFFSET('MPIO_SFIO Table'!$AJ$11,P1227,0),"")</f>
        <v/>
      </c>
      <c r="V1227" t="str">
        <f ca="1">IF(ISNUMBER(Q1227),OFFSET('MPIO_SFIO Table'!$AJ$11,Q1227,0),"")</f>
        <v/>
      </c>
      <c r="W1227">
        <f t="shared" ca="1" si="163"/>
        <v>0</v>
      </c>
      <c r="X1227">
        <f t="shared" ca="1" si="164"/>
        <v>0</v>
      </c>
      <c r="Y1227">
        <f t="shared" ca="1" si="165"/>
        <v>0</v>
      </c>
      <c r="Z1227">
        <f t="shared" ca="1" si="166"/>
        <v>0</v>
      </c>
      <c r="AA1227">
        <f t="shared" ca="1" si="167"/>
        <v>0</v>
      </c>
    </row>
    <row r="1228" spans="1:27" x14ac:dyDescent="0.25">
      <c r="A1228">
        <f t="shared" ca="1" si="160"/>
        <v>0</v>
      </c>
      <c r="B1228" t="str">
        <f t="shared" ca="1" si="161"/>
        <v/>
      </c>
      <c r="C1228" t="str">
        <f t="shared" si="162"/>
        <v/>
      </c>
      <c r="D1228" t="s">
        <v>253</v>
      </c>
      <c r="E1228" t="s">
        <v>253</v>
      </c>
      <c r="F1228" s="3" t="s">
        <v>253</v>
      </c>
      <c r="G1228" s="11" t="s">
        <v>253</v>
      </c>
      <c r="H1228" s="11" t="s">
        <v>253</v>
      </c>
      <c r="I1228" s="3" t="s">
        <v>253</v>
      </c>
      <c r="J1228" s="3" t="s">
        <v>253</v>
      </c>
      <c r="K1228" s="3" t="s">
        <v>253</v>
      </c>
      <c r="L1228" s="3" t="s">
        <v>253</v>
      </c>
      <c r="M1228" t="str">
        <f>IF(LEN(H1228),MATCH(H1228,'MPIO_SFIO Table'!$A$11:$A$65525,0)-1,"")</f>
        <v/>
      </c>
      <c r="N1228" t="str">
        <f>IF(LEN(I1228),MATCH(I1228,'MPIO_SFIO Table'!$A$11:$A$65525,0)-1,"")</f>
        <v/>
      </c>
      <c r="O1228" t="str">
        <f>IF(LEN(J1228),MATCH(J1228,'MPIO_SFIO Table'!$A$11:$A$65525,0)-1,"")</f>
        <v/>
      </c>
      <c r="P1228" t="str">
        <f>IF(LEN(K1228),MATCH(K1228,'MPIO_SFIO Table'!$A$11:$A$65525,0)-1,"")</f>
        <v/>
      </c>
      <c r="Q1228" t="str">
        <f>IF(LEN(L1228),MATCH(L1228,'MPIO_SFIO Table'!$A$11:$A$65525,0)-1,"")</f>
        <v/>
      </c>
      <c r="R1228" t="str">
        <f ca="1">IF(ISNUMBER(M1228),OFFSET('MPIO_SFIO Table'!$AJ$11,M1228,0),"")</f>
        <v/>
      </c>
      <c r="S1228" t="str">
        <f ca="1">IF(ISNUMBER(N1228),OFFSET('MPIO_SFIO Table'!$AJ$11,N1228,0),"")</f>
        <v/>
      </c>
      <c r="T1228" t="str">
        <f ca="1">IF(ISNUMBER(O1228),OFFSET('MPIO_SFIO Table'!$AJ$11,O1228,0),"")</f>
        <v/>
      </c>
      <c r="U1228" t="str">
        <f ca="1">IF(ISNUMBER(P1228),OFFSET('MPIO_SFIO Table'!$AJ$11,P1228,0),"")</f>
        <v/>
      </c>
      <c r="V1228" t="str">
        <f ca="1">IF(ISNUMBER(Q1228),OFFSET('MPIO_SFIO Table'!$AJ$11,Q1228,0),"")</f>
        <v/>
      </c>
      <c r="W1228">
        <f t="shared" ca="1" si="163"/>
        <v>0</v>
      </c>
      <c r="X1228">
        <f t="shared" ca="1" si="164"/>
        <v>0</v>
      </c>
      <c r="Y1228">
        <f t="shared" ca="1" si="165"/>
        <v>0</v>
      </c>
      <c r="Z1228">
        <f t="shared" ca="1" si="166"/>
        <v>0</v>
      </c>
      <c r="AA1228">
        <f t="shared" ca="1" si="167"/>
        <v>0</v>
      </c>
    </row>
    <row r="1229" spans="1:27" x14ac:dyDescent="0.25">
      <c r="A1229">
        <f t="shared" ca="1" si="160"/>
        <v>0</v>
      </c>
      <c r="B1229" t="str">
        <f t="shared" ca="1" si="161"/>
        <v/>
      </c>
      <c r="C1229" t="str">
        <f t="shared" si="162"/>
        <v/>
      </c>
      <c r="D1229" t="s">
        <v>253</v>
      </c>
      <c r="E1229" t="s">
        <v>253</v>
      </c>
      <c r="F1229" s="3" t="s">
        <v>253</v>
      </c>
      <c r="G1229" s="11" t="s">
        <v>253</v>
      </c>
      <c r="H1229" s="11" t="s">
        <v>253</v>
      </c>
      <c r="I1229" s="3" t="s">
        <v>253</v>
      </c>
      <c r="J1229" s="3" t="s">
        <v>253</v>
      </c>
      <c r="K1229" s="3" t="s">
        <v>253</v>
      </c>
      <c r="L1229" s="3" t="s">
        <v>253</v>
      </c>
      <c r="M1229" t="str">
        <f>IF(LEN(H1229),MATCH(H1229,'MPIO_SFIO Table'!$A$11:$A$65525,0)-1,"")</f>
        <v/>
      </c>
      <c r="N1229" t="str">
        <f>IF(LEN(I1229),MATCH(I1229,'MPIO_SFIO Table'!$A$11:$A$65525,0)-1,"")</f>
        <v/>
      </c>
      <c r="O1229" t="str">
        <f>IF(LEN(J1229),MATCH(J1229,'MPIO_SFIO Table'!$A$11:$A$65525,0)-1,"")</f>
        <v/>
      </c>
      <c r="P1229" t="str">
        <f>IF(LEN(K1229),MATCH(K1229,'MPIO_SFIO Table'!$A$11:$A$65525,0)-1,"")</f>
        <v/>
      </c>
      <c r="Q1229" t="str">
        <f>IF(LEN(L1229),MATCH(L1229,'MPIO_SFIO Table'!$A$11:$A$65525,0)-1,"")</f>
        <v/>
      </c>
      <c r="R1229" t="str">
        <f ca="1">IF(ISNUMBER(M1229),OFFSET('MPIO_SFIO Table'!$AJ$11,M1229,0),"")</f>
        <v/>
      </c>
      <c r="S1229" t="str">
        <f ca="1">IF(ISNUMBER(N1229),OFFSET('MPIO_SFIO Table'!$AJ$11,N1229,0),"")</f>
        <v/>
      </c>
      <c r="T1229" t="str">
        <f ca="1">IF(ISNUMBER(O1229),OFFSET('MPIO_SFIO Table'!$AJ$11,O1229,0),"")</f>
        <v/>
      </c>
      <c r="U1229" t="str">
        <f ca="1">IF(ISNUMBER(P1229),OFFSET('MPIO_SFIO Table'!$AJ$11,P1229,0),"")</f>
        <v/>
      </c>
      <c r="V1229" t="str">
        <f ca="1">IF(ISNUMBER(Q1229),OFFSET('MPIO_SFIO Table'!$AJ$11,Q1229,0),"")</f>
        <v/>
      </c>
      <c r="W1229">
        <f t="shared" ca="1" si="163"/>
        <v>0</v>
      </c>
      <c r="X1229">
        <f t="shared" ca="1" si="164"/>
        <v>0</v>
      </c>
      <c r="Y1229">
        <f t="shared" ca="1" si="165"/>
        <v>0</v>
      </c>
      <c r="Z1229">
        <f t="shared" ca="1" si="166"/>
        <v>0</v>
      </c>
      <c r="AA1229">
        <f t="shared" ca="1" si="167"/>
        <v>0</v>
      </c>
    </row>
    <row r="1230" spans="1:27" x14ac:dyDescent="0.25">
      <c r="A1230">
        <f t="shared" ca="1" si="160"/>
        <v>0</v>
      </c>
      <c r="B1230" t="str">
        <f t="shared" ca="1" si="161"/>
        <v/>
      </c>
      <c r="C1230" t="str">
        <f t="shared" si="162"/>
        <v/>
      </c>
      <c r="D1230" t="s">
        <v>253</v>
      </c>
      <c r="E1230" t="s">
        <v>253</v>
      </c>
      <c r="F1230" s="3" t="s">
        <v>253</v>
      </c>
      <c r="G1230" s="11" t="s">
        <v>253</v>
      </c>
      <c r="H1230" s="11" t="s">
        <v>253</v>
      </c>
      <c r="I1230" s="3" t="s">
        <v>253</v>
      </c>
      <c r="J1230" s="3" t="s">
        <v>253</v>
      </c>
      <c r="K1230" s="3" t="s">
        <v>253</v>
      </c>
      <c r="L1230" s="3" t="s">
        <v>253</v>
      </c>
      <c r="M1230" t="str">
        <f>IF(LEN(H1230),MATCH(H1230,'MPIO_SFIO Table'!$A$11:$A$65525,0)-1,"")</f>
        <v/>
      </c>
      <c r="N1230" t="str">
        <f>IF(LEN(I1230),MATCH(I1230,'MPIO_SFIO Table'!$A$11:$A$65525,0)-1,"")</f>
        <v/>
      </c>
      <c r="O1230" t="str">
        <f>IF(LEN(J1230),MATCH(J1230,'MPIO_SFIO Table'!$A$11:$A$65525,0)-1,"")</f>
        <v/>
      </c>
      <c r="P1230" t="str">
        <f>IF(LEN(K1230),MATCH(K1230,'MPIO_SFIO Table'!$A$11:$A$65525,0)-1,"")</f>
        <v/>
      </c>
      <c r="Q1230" t="str">
        <f>IF(LEN(L1230),MATCH(L1230,'MPIO_SFIO Table'!$A$11:$A$65525,0)-1,"")</f>
        <v/>
      </c>
      <c r="R1230" t="str">
        <f ca="1">IF(ISNUMBER(M1230),OFFSET('MPIO_SFIO Table'!$AJ$11,M1230,0),"")</f>
        <v/>
      </c>
      <c r="S1230" t="str">
        <f ca="1">IF(ISNUMBER(N1230),OFFSET('MPIO_SFIO Table'!$AJ$11,N1230,0),"")</f>
        <v/>
      </c>
      <c r="T1230" t="str">
        <f ca="1">IF(ISNUMBER(O1230),OFFSET('MPIO_SFIO Table'!$AJ$11,O1230,0),"")</f>
        <v/>
      </c>
      <c r="U1230" t="str">
        <f ca="1">IF(ISNUMBER(P1230),OFFSET('MPIO_SFIO Table'!$AJ$11,P1230,0),"")</f>
        <v/>
      </c>
      <c r="V1230" t="str">
        <f ca="1">IF(ISNUMBER(Q1230),OFFSET('MPIO_SFIO Table'!$AJ$11,Q1230,0),"")</f>
        <v/>
      </c>
      <c r="W1230">
        <f t="shared" ca="1" si="163"/>
        <v>0</v>
      </c>
      <c r="X1230">
        <f t="shared" ca="1" si="164"/>
        <v>0</v>
      </c>
      <c r="Y1230">
        <f t="shared" ca="1" si="165"/>
        <v>0</v>
      </c>
      <c r="Z1230">
        <f t="shared" ca="1" si="166"/>
        <v>0</v>
      </c>
      <c r="AA1230">
        <f t="shared" ca="1" si="167"/>
        <v>0</v>
      </c>
    </row>
    <row r="1231" spans="1:27" x14ac:dyDescent="0.25">
      <c r="A1231">
        <f t="shared" ca="1" si="160"/>
        <v>0</v>
      </c>
      <c r="B1231" t="str">
        <f t="shared" ca="1" si="161"/>
        <v/>
      </c>
      <c r="C1231" t="str">
        <f t="shared" si="162"/>
        <v/>
      </c>
      <c r="D1231" t="s">
        <v>253</v>
      </c>
      <c r="E1231" t="s">
        <v>253</v>
      </c>
      <c r="F1231" s="3" t="s">
        <v>253</v>
      </c>
      <c r="G1231" s="11" t="s">
        <v>253</v>
      </c>
      <c r="H1231" s="11" t="s">
        <v>253</v>
      </c>
      <c r="I1231" s="3" t="s">
        <v>253</v>
      </c>
      <c r="J1231" s="3" t="s">
        <v>253</v>
      </c>
      <c r="K1231" s="3" t="s">
        <v>253</v>
      </c>
      <c r="L1231" s="3" t="s">
        <v>253</v>
      </c>
      <c r="M1231" t="str">
        <f>IF(LEN(H1231),MATCH(H1231,'MPIO_SFIO Table'!$A$11:$A$65525,0)-1,"")</f>
        <v/>
      </c>
      <c r="N1231" t="str">
        <f>IF(LEN(I1231),MATCH(I1231,'MPIO_SFIO Table'!$A$11:$A$65525,0)-1,"")</f>
        <v/>
      </c>
      <c r="O1231" t="str">
        <f>IF(LEN(J1231),MATCH(J1231,'MPIO_SFIO Table'!$A$11:$A$65525,0)-1,"")</f>
        <v/>
      </c>
      <c r="P1231" t="str">
        <f>IF(LEN(K1231),MATCH(K1231,'MPIO_SFIO Table'!$A$11:$A$65525,0)-1,"")</f>
        <v/>
      </c>
      <c r="Q1231" t="str">
        <f>IF(LEN(L1231),MATCH(L1231,'MPIO_SFIO Table'!$A$11:$A$65525,0)-1,"")</f>
        <v/>
      </c>
      <c r="R1231" t="str">
        <f ca="1">IF(ISNUMBER(M1231),OFFSET('MPIO_SFIO Table'!$AJ$11,M1231,0),"")</f>
        <v/>
      </c>
      <c r="S1231" t="str">
        <f ca="1">IF(ISNUMBER(N1231),OFFSET('MPIO_SFIO Table'!$AJ$11,N1231,0),"")</f>
        <v/>
      </c>
      <c r="T1231" t="str">
        <f ca="1">IF(ISNUMBER(O1231),OFFSET('MPIO_SFIO Table'!$AJ$11,O1231,0),"")</f>
        <v/>
      </c>
      <c r="U1231" t="str">
        <f ca="1">IF(ISNUMBER(P1231),OFFSET('MPIO_SFIO Table'!$AJ$11,P1231,0),"")</f>
        <v/>
      </c>
      <c r="V1231" t="str">
        <f ca="1">IF(ISNUMBER(Q1231),OFFSET('MPIO_SFIO Table'!$AJ$11,Q1231,0),"")</f>
        <v/>
      </c>
      <c r="W1231">
        <f t="shared" ca="1" si="163"/>
        <v>0</v>
      </c>
      <c r="X1231">
        <f t="shared" ca="1" si="164"/>
        <v>0</v>
      </c>
      <c r="Y1231">
        <f t="shared" ca="1" si="165"/>
        <v>0</v>
      </c>
      <c r="Z1231">
        <f t="shared" ca="1" si="166"/>
        <v>0</v>
      </c>
      <c r="AA1231">
        <f t="shared" ca="1" si="167"/>
        <v>0</v>
      </c>
    </row>
    <row r="1232" spans="1:27" x14ac:dyDescent="0.25">
      <c r="A1232">
        <f t="shared" ca="1" si="160"/>
        <v>0</v>
      </c>
      <c r="B1232" t="str">
        <f t="shared" ca="1" si="161"/>
        <v/>
      </c>
      <c r="C1232" t="str">
        <f t="shared" si="162"/>
        <v/>
      </c>
      <c r="D1232" t="s">
        <v>253</v>
      </c>
      <c r="E1232" t="s">
        <v>253</v>
      </c>
      <c r="F1232" s="3" t="s">
        <v>253</v>
      </c>
      <c r="G1232" s="11" t="s">
        <v>253</v>
      </c>
      <c r="H1232" s="11" t="s">
        <v>253</v>
      </c>
      <c r="I1232" s="3" t="s">
        <v>253</v>
      </c>
      <c r="J1232" s="3" t="s">
        <v>253</v>
      </c>
      <c r="K1232" s="3" t="s">
        <v>253</v>
      </c>
      <c r="L1232" s="3" t="s">
        <v>253</v>
      </c>
      <c r="M1232" t="str">
        <f>IF(LEN(H1232),MATCH(H1232,'MPIO_SFIO Table'!$A$11:$A$65525,0)-1,"")</f>
        <v/>
      </c>
      <c r="N1232" t="str">
        <f>IF(LEN(I1232),MATCH(I1232,'MPIO_SFIO Table'!$A$11:$A$65525,0)-1,"")</f>
        <v/>
      </c>
      <c r="O1232" t="str">
        <f>IF(LEN(J1232),MATCH(J1232,'MPIO_SFIO Table'!$A$11:$A$65525,0)-1,"")</f>
        <v/>
      </c>
      <c r="P1232" t="str">
        <f>IF(LEN(K1232),MATCH(K1232,'MPIO_SFIO Table'!$A$11:$A$65525,0)-1,"")</f>
        <v/>
      </c>
      <c r="Q1232" t="str">
        <f>IF(LEN(L1232),MATCH(L1232,'MPIO_SFIO Table'!$A$11:$A$65525,0)-1,"")</f>
        <v/>
      </c>
      <c r="R1232" t="str">
        <f ca="1">IF(ISNUMBER(M1232),OFFSET('MPIO_SFIO Table'!$AJ$11,M1232,0),"")</f>
        <v/>
      </c>
      <c r="S1232" t="str">
        <f ca="1">IF(ISNUMBER(N1232),OFFSET('MPIO_SFIO Table'!$AJ$11,N1232,0),"")</f>
        <v/>
      </c>
      <c r="T1232" t="str">
        <f ca="1">IF(ISNUMBER(O1232),OFFSET('MPIO_SFIO Table'!$AJ$11,O1232,0),"")</f>
        <v/>
      </c>
      <c r="U1232" t="str">
        <f ca="1">IF(ISNUMBER(P1232),OFFSET('MPIO_SFIO Table'!$AJ$11,P1232,0),"")</f>
        <v/>
      </c>
      <c r="V1232" t="str">
        <f ca="1">IF(ISNUMBER(Q1232),OFFSET('MPIO_SFIO Table'!$AJ$11,Q1232,0),"")</f>
        <v/>
      </c>
      <c r="W1232">
        <f t="shared" ca="1" si="163"/>
        <v>0</v>
      </c>
      <c r="X1232">
        <f t="shared" ca="1" si="164"/>
        <v>0</v>
      </c>
      <c r="Y1232">
        <f t="shared" ca="1" si="165"/>
        <v>0</v>
      </c>
      <c r="Z1232">
        <f t="shared" ca="1" si="166"/>
        <v>0</v>
      </c>
      <c r="AA1232">
        <f t="shared" ca="1" si="167"/>
        <v>0</v>
      </c>
    </row>
    <row r="1233" spans="1:27" x14ac:dyDescent="0.25">
      <c r="A1233">
        <f t="shared" ca="1" si="160"/>
        <v>0</v>
      </c>
      <c r="B1233" t="str">
        <f t="shared" ca="1" si="161"/>
        <v/>
      </c>
      <c r="C1233" t="str">
        <f t="shared" si="162"/>
        <v/>
      </c>
      <c r="D1233" t="s">
        <v>253</v>
      </c>
      <c r="E1233" t="s">
        <v>253</v>
      </c>
      <c r="F1233" s="3" t="s">
        <v>253</v>
      </c>
      <c r="G1233" s="11" t="s">
        <v>253</v>
      </c>
      <c r="H1233" s="11" t="s">
        <v>253</v>
      </c>
      <c r="I1233" s="3" t="s">
        <v>253</v>
      </c>
      <c r="J1233" s="3" t="s">
        <v>253</v>
      </c>
      <c r="K1233" s="3" t="s">
        <v>253</v>
      </c>
      <c r="L1233" s="3" t="s">
        <v>253</v>
      </c>
      <c r="M1233" t="str">
        <f>IF(LEN(H1233),MATCH(H1233,'MPIO_SFIO Table'!$A$11:$A$65525,0)-1,"")</f>
        <v/>
      </c>
      <c r="N1233" t="str">
        <f>IF(LEN(I1233),MATCH(I1233,'MPIO_SFIO Table'!$A$11:$A$65525,0)-1,"")</f>
        <v/>
      </c>
      <c r="O1233" t="str">
        <f>IF(LEN(J1233),MATCH(J1233,'MPIO_SFIO Table'!$A$11:$A$65525,0)-1,"")</f>
        <v/>
      </c>
      <c r="P1233" t="str">
        <f>IF(LEN(K1233),MATCH(K1233,'MPIO_SFIO Table'!$A$11:$A$65525,0)-1,"")</f>
        <v/>
      </c>
      <c r="Q1233" t="str">
        <f>IF(LEN(L1233),MATCH(L1233,'MPIO_SFIO Table'!$A$11:$A$65525,0)-1,"")</f>
        <v/>
      </c>
      <c r="R1233" t="str">
        <f ca="1">IF(ISNUMBER(M1233),OFFSET('MPIO_SFIO Table'!$AJ$11,M1233,0),"")</f>
        <v/>
      </c>
      <c r="S1233" t="str">
        <f ca="1">IF(ISNUMBER(N1233),OFFSET('MPIO_SFIO Table'!$AJ$11,N1233,0),"")</f>
        <v/>
      </c>
      <c r="T1233" t="str">
        <f ca="1">IF(ISNUMBER(O1233),OFFSET('MPIO_SFIO Table'!$AJ$11,O1233,0),"")</f>
        <v/>
      </c>
      <c r="U1233" t="str">
        <f ca="1">IF(ISNUMBER(P1233),OFFSET('MPIO_SFIO Table'!$AJ$11,P1233,0),"")</f>
        <v/>
      </c>
      <c r="V1233" t="str">
        <f ca="1">IF(ISNUMBER(Q1233),OFFSET('MPIO_SFIO Table'!$AJ$11,Q1233,0),"")</f>
        <v/>
      </c>
      <c r="W1233">
        <f t="shared" ca="1" si="163"/>
        <v>0</v>
      </c>
      <c r="X1233">
        <f t="shared" ca="1" si="164"/>
        <v>0</v>
      </c>
      <c r="Y1233">
        <f t="shared" ca="1" si="165"/>
        <v>0</v>
      </c>
      <c r="Z1233">
        <f t="shared" ca="1" si="166"/>
        <v>0</v>
      </c>
      <c r="AA1233">
        <f t="shared" ca="1" si="167"/>
        <v>0</v>
      </c>
    </row>
    <row r="1234" spans="1:27" x14ac:dyDescent="0.25">
      <c r="A1234">
        <f t="shared" ca="1" si="160"/>
        <v>0</v>
      </c>
      <c r="B1234" t="str">
        <f t="shared" ca="1" si="161"/>
        <v/>
      </c>
      <c r="C1234" t="str">
        <f t="shared" si="162"/>
        <v/>
      </c>
      <c r="D1234" t="s">
        <v>253</v>
      </c>
      <c r="E1234" t="s">
        <v>253</v>
      </c>
      <c r="F1234" s="3" t="s">
        <v>253</v>
      </c>
      <c r="G1234" s="11" t="s">
        <v>253</v>
      </c>
      <c r="H1234" s="11" t="s">
        <v>253</v>
      </c>
      <c r="I1234" s="3" t="s">
        <v>253</v>
      </c>
      <c r="J1234" s="3" t="s">
        <v>253</v>
      </c>
      <c r="K1234" s="3" t="s">
        <v>253</v>
      </c>
      <c r="L1234" s="3" t="s">
        <v>253</v>
      </c>
      <c r="M1234" t="str">
        <f>IF(LEN(H1234),MATCH(H1234,'MPIO_SFIO Table'!$A$11:$A$65525,0)-1,"")</f>
        <v/>
      </c>
      <c r="N1234" t="str">
        <f>IF(LEN(I1234),MATCH(I1234,'MPIO_SFIO Table'!$A$11:$A$65525,0)-1,"")</f>
        <v/>
      </c>
      <c r="O1234" t="str">
        <f>IF(LEN(J1234),MATCH(J1234,'MPIO_SFIO Table'!$A$11:$A$65525,0)-1,"")</f>
        <v/>
      </c>
      <c r="P1234" t="str">
        <f>IF(LEN(K1234),MATCH(K1234,'MPIO_SFIO Table'!$A$11:$A$65525,0)-1,"")</f>
        <v/>
      </c>
      <c r="Q1234" t="str">
        <f>IF(LEN(L1234),MATCH(L1234,'MPIO_SFIO Table'!$A$11:$A$65525,0)-1,"")</f>
        <v/>
      </c>
      <c r="R1234" t="str">
        <f ca="1">IF(ISNUMBER(M1234),OFFSET('MPIO_SFIO Table'!$AJ$11,M1234,0),"")</f>
        <v/>
      </c>
      <c r="S1234" t="str">
        <f ca="1">IF(ISNUMBER(N1234),OFFSET('MPIO_SFIO Table'!$AJ$11,N1234,0),"")</f>
        <v/>
      </c>
      <c r="T1234" t="str">
        <f ca="1">IF(ISNUMBER(O1234),OFFSET('MPIO_SFIO Table'!$AJ$11,O1234,0),"")</f>
        <v/>
      </c>
      <c r="U1234" t="str">
        <f ca="1">IF(ISNUMBER(P1234),OFFSET('MPIO_SFIO Table'!$AJ$11,P1234,0),"")</f>
        <v/>
      </c>
      <c r="V1234" t="str">
        <f ca="1">IF(ISNUMBER(Q1234),OFFSET('MPIO_SFIO Table'!$AJ$11,Q1234,0),"")</f>
        <v/>
      </c>
      <c r="W1234">
        <f t="shared" ca="1" si="163"/>
        <v>0</v>
      </c>
      <c r="X1234">
        <f t="shared" ca="1" si="164"/>
        <v>0</v>
      </c>
      <c r="Y1234">
        <f t="shared" ca="1" si="165"/>
        <v>0</v>
      </c>
      <c r="Z1234">
        <f t="shared" ca="1" si="166"/>
        <v>0</v>
      </c>
      <c r="AA1234">
        <f t="shared" ca="1" si="167"/>
        <v>0</v>
      </c>
    </row>
    <row r="1235" spans="1:27" x14ac:dyDescent="0.25">
      <c r="A1235">
        <f t="shared" ca="1" si="160"/>
        <v>0</v>
      </c>
      <c r="B1235" t="str">
        <f t="shared" ca="1" si="161"/>
        <v/>
      </c>
      <c r="C1235" t="str">
        <f t="shared" si="162"/>
        <v/>
      </c>
      <c r="D1235" t="s">
        <v>253</v>
      </c>
      <c r="E1235" t="s">
        <v>253</v>
      </c>
      <c r="F1235" s="3" t="s">
        <v>253</v>
      </c>
      <c r="G1235" s="11" t="s">
        <v>253</v>
      </c>
      <c r="H1235" s="11" t="s">
        <v>253</v>
      </c>
      <c r="I1235" s="3" t="s">
        <v>253</v>
      </c>
      <c r="J1235" s="3" t="s">
        <v>253</v>
      </c>
      <c r="K1235" s="3" t="s">
        <v>253</v>
      </c>
      <c r="L1235" s="3" t="s">
        <v>253</v>
      </c>
      <c r="M1235" t="str">
        <f>IF(LEN(H1235),MATCH(H1235,'MPIO_SFIO Table'!$A$11:$A$65525,0)-1,"")</f>
        <v/>
      </c>
      <c r="N1235" t="str">
        <f>IF(LEN(I1235),MATCH(I1235,'MPIO_SFIO Table'!$A$11:$A$65525,0)-1,"")</f>
        <v/>
      </c>
      <c r="O1235" t="str">
        <f>IF(LEN(J1235),MATCH(J1235,'MPIO_SFIO Table'!$A$11:$A$65525,0)-1,"")</f>
        <v/>
      </c>
      <c r="P1235" t="str">
        <f>IF(LEN(K1235),MATCH(K1235,'MPIO_SFIO Table'!$A$11:$A$65525,0)-1,"")</f>
        <v/>
      </c>
      <c r="Q1235" t="str">
        <f>IF(LEN(L1235),MATCH(L1235,'MPIO_SFIO Table'!$A$11:$A$65525,0)-1,"")</f>
        <v/>
      </c>
      <c r="R1235" t="str">
        <f ca="1">IF(ISNUMBER(M1235),OFFSET('MPIO_SFIO Table'!$AJ$11,M1235,0),"")</f>
        <v/>
      </c>
      <c r="S1235" t="str">
        <f ca="1">IF(ISNUMBER(N1235),OFFSET('MPIO_SFIO Table'!$AJ$11,N1235,0),"")</f>
        <v/>
      </c>
      <c r="T1235" t="str">
        <f ca="1">IF(ISNUMBER(O1235),OFFSET('MPIO_SFIO Table'!$AJ$11,O1235,0),"")</f>
        <v/>
      </c>
      <c r="U1235" t="str">
        <f ca="1">IF(ISNUMBER(P1235),OFFSET('MPIO_SFIO Table'!$AJ$11,P1235,0),"")</f>
        <v/>
      </c>
      <c r="V1235" t="str">
        <f ca="1">IF(ISNUMBER(Q1235),OFFSET('MPIO_SFIO Table'!$AJ$11,Q1235,0),"")</f>
        <v/>
      </c>
      <c r="W1235">
        <f t="shared" ca="1" si="163"/>
        <v>0</v>
      </c>
      <c r="X1235">
        <f t="shared" ca="1" si="164"/>
        <v>0</v>
      </c>
      <c r="Y1235">
        <f t="shared" ca="1" si="165"/>
        <v>0</v>
      </c>
      <c r="Z1235">
        <f t="shared" ca="1" si="166"/>
        <v>0</v>
      </c>
      <c r="AA1235">
        <f t="shared" ca="1" si="167"/>
        <v>0</v>
      </c>
    </row>
    <row r="1236" spans="1:27" x14ac:dyDescent="0.25">
      <c r="A1236">
        <f t="shared" ca="1" si="160"/>
        <v>0</v>
      </c>
      <c r="B1236" t="str">
        <f t="shared" ca="1" si="161"/>
        <v/>
      </c>
      <c r="C1236" t="str">
        <f t="shared" si="162"/>
        <v/>
      </c>
      <c r="D1236" t="s">
        <v>253</v>
      </c>
      <c r="E1236" t="s">
        <v>253</v>
      </c>
      <c r="F1236" s="3" t="s">
        <v>253</v>
      </c>
      <c r="G1236" s="11" t="s">
        <v>253</v>
      </c>
      <c r="H1236" s="11" t="s">
        <v>253</v>
      </c>
      <c r="I1236" s="3" t="s">
        <v>253</v>
      </c>
      <c r="J1236" s="3" t="s">
        <v>253</v>
      </c>
      <c r="K1236" s="3" t="s">
        <v>253</v>
      </c>
      <c r="L1236" s="3" t="s">
        <v>253</v>
      </c>
      <c r="M1236" t="str">
        <f>IF(LEN(H1236),MATCH(H1236,'MPIO_SFIO Table'!$A$11:$A$65525,0)-1,"")</f>
        <v/>
      </c>
      <c r="N1236" t="str">
        <f>IF(LEN(I1236),MATCH(I1236,'MPIO_SFIO Table'!$A$11:$A$65525,0)-1,"")</f>
        <v/>
      </c>
      <c r="O1236" t="str">
        <f>IF(LEN(J1236),MATCH(J1236,'MPIO_SFIO Table'!$A$11:$A$65525,0)-1,"")</f>
        <v/>
      </c>
      <c r="P1236" t="str">
        <f>IF(LEN(K1236),MATCH(K1236,'MPIO_SFIO Table'!$A$11:$A$65525,0)-1,"")</f>
        <v/>
      </c>
      <c r="Q1236" t="str">
        <f>IF(LEN(L1236),MATCH(L1236,'MPIO_SFIO Table'!$A$11:$A$65525,0)-1,"")</f>
        <v/>
      </c>
      <c r="R1236" t="str">
        <f ca="1">IF(ISNUMBER(M1236),OFFSET('MPIO_SFIO Table'!$AJ$11,M1236,0),"")</f>
        <v/>
      </c>
      <c r="S1236" t="str">
        <f ca="1">IF(ISNUMBER(N1236),OFFSET('MPIO_SFIO Table'!$AJ$11,N1236,0),"")</f>
        <v/>
      </c>
      <c r="T1236" t="str">
        <f ca="1">IF(ISNUMBER(O1236),OFFSET('MPIO_SFIO Table'!$AJ$11,O1236,0),"")</f>
        <v/>
      </c>
      <c r="U1236" t="str">
        <f ca="1">IF(ISNUMBER(P1236),OFFSET('MPIO_SFIO Table'!$AJ$11,P1236,0),"")</f>
        <v/>
      </c>
      <c r="V1236" t="str">
        <f ca="1">IF(ISNUMBER(Q1236),OFFSET('MPIO_SFIO Table'!$AJ$11,Q1236,0),"")</f>
        <v/>
      </c>
      <c r="W1236">
        <f t="shared" ca="1" si="163"/>
        <v>0</v>
      </c>
      <c r="X1236">
        <f t="shared" ca="1" si="164"/>
        <v>0</v>
      </c>
      <c r="Y1236">
        <f t="shared" ca="1" si="165"/>
        <v>0</v>
      </c>
      <c r="Z1236">
        <f t="shared" ca="1" si="166"/>
        <v>0</v>
      </c>
      <c r="AA1236">
        <f t="shared" ca="1" si="167"/>
        <v>0</v>
      </c>
    </row>
    <row r="1237" spans="1:27" x14ac:dyDescent="0.25">
      <c r="A1237">
        <f t="shared" ca="1" si="160"/>
        <v>0</v>
      </c>
      <c r="B1237" t="str">
        <f t="shared" ca="1" si="161"/>
        <v/>
      </c>
      <c r="C1237" t="str">
        <f t="shared" si="162"/>
        <v/>
      </c>
      <c r="D1237" t="s">
        <v>253</v>
      </c>
      <c r="E1237" t="s">
        <v>253</v>
      </c>
      <c r="F1237" s="3" t="s">
        <v>253</v>
      </c>
      <c r="G1237" s="11" t="s">
        <v>253</v>
      </c>
      <c r="H1237" s="11" t="s">
        <v>253</v>
      </c>
      <c r="I1237" s="3" t="s">
        <v>253</v>
      </c>
      <c r="J1237" s="3" t="s">
        <v>253</v>
      </c>
      <c r="K1237" s="3" t="s">
        <v>253</v>
      </c>
      <c r="L1237" s="3" t="s">
        <v>253</v>
      </c>
      <c r="M1237" t="str">
        <f>IF(LEN(H1237),MATCH(H1237,'MPIO_SFIO Table'!$A$11:$A$65525,0)-1,"")</f>
        <v/>
      </c>
      <c r="N1237" t="str">
        <f>IF(LEN(I1237),MATCH(I1237,'MPIO_SFIO Table'!$A$11:$A$65525,0)-1,"")</f>
        <v/>
      </c>
      <c r="O1237" t="str">
        <f>IF(LEN(J1237),MATCH(J1237,'MPIO_SFIO Table'!$A$11:$A$65525,0)-1,"")</f>
        <v/>
      </c>
      <c r="P1237" t="str">
        <f>IF(LEN(K1237),MATCH(K1237,'MPIO_SFIO Table'!$A$11:$A$65525,0)-1,"")</f>
        <v/>
      </c>
      <c r="Q1237" t="str">
        <f>IF(LEN(L1237),MATCH(L1237,'MPIO_SFIO Table'!$A$11:$A$65525,0)-1,"")</f>
        <v/>
      </c>
      <c r="R1237" t="str">
        <f ca="1">IF(ISNUMBER(M1237),OFFSET('MPIO_SFIO Table'!$AJ$11,M1237,0),"")</f>
        <v/>
      </c>
      <c r="S1237" t="str">
        <f ca="1">IF(ISNUMBER(N1237),OFFSET('MPIO_SFIO Table'!$AJ$11,N1237,0),"")</f>
        <v/>
      </c>
      <c r="T1237" t="str">
        <f ca="1">IF(ISNUMBER(O1237),OFFSET('MPIO_SFIO Table'!$AJ$11,O1237,0),"")</f>
        <v/>
      </c>
      <c r="U1237" t="str">
        <f ca="1">IF(ISNUMBER(P1237),OFFSET('MPIO_SFIO Table'!$AJ$11,P1237,0),"")</f>
        <v/>
      </c>
      <c r="V1237" t="str">
        <f ca="1">IF(ISNUMBER(Q1237),OFFSET('MPIO_SFIO Table'!$AJ$11,Q1237,0),"")</f>
        <v/>
      </c>
      <c r="W1237">
        <f t="shared" ca="1" si="163"/>
        <v>0</v>
      </c>
      <c r="X1237">
        <f t="shared" ca="1" si="164"/>
        <v>0</v>
      </c>
      <c r="Y1237">
        <f t="shared" ca="1" si="165"/>
        <v>0</v>
      </c>
      <c r="Z1237">
        <f t="shared" ca="1" si="166"/>
        <v>0</v>
      </c>
      <c r="AA1237">
        <f t="shared" ca="1" si="167"/>
        <v>0</v>
      </c>
    </row>
    <row r="1238" spans="1:27" x14ac:dyDescent="0.25">
      <c r="A1238">
        <f t="shared" ca="1" si="160"/>
        <v>0</v>
      </c>
      <c r="B1238" t="str">
        <f t="shared" ca="1" si="161"/>
        <v/>
      </c>
      <c r="C1238" t="str">
        <f t="shared" si="162"/>
        <v/>
      </c>
      <c r="D1238" t="s">
        <v>253</v>
      </c>
      <c r="E1238" t="s">
        <v>253</v>
      </c>
      <c r="F1238" s="3" t="s">
        <v>253</v>
      </c>
      <c r="G1238" s="11" t="s">
        <v>253</v>
      </c>
      <c r="H1238" s="11" t="s">
        <v>253</v>
      </c>
      <c r="I1238" s="3" t="s">
        <v>253</v>
      </c>
      <c r="J1238" s="3" t="s">
        <v>253</v>
      </c>
      <c r="K1238" s="3" t="s">
        <v>253</v>
      </c>
      <c r="L1238" s="3" t="s">
        <v>253</v>
      </c>
      <c r="M1238" t="str">
        <f>IF(LEN(H1238),MATCH(H1238,'MPIO_SFIO Table'!$A$11:$A$65525,0)-1,"")</f>
        <v/>
      </c>
      <c r="N1238" t="str">
        <f>IF(LEN(I1238),MATCH(I1238,'MPIO_SFIO Table'!$A$11:$A$65525,0)-1,"")</f>
        <v/>
      </c>
      <c r="O1238" t="str">
        <f>IF(LEN(J1238),MATCH(J1238,'MPIO_SFIO Table'!$A$11:$A$65525,0)-1,"")</f>
        <v/>
      </c>
      <c r="P1238" t="str">
        <f>IF(LEN(K1238),MATCH(K1238,'MPIO_SFIO Table'!$A$11:$A$65525,0)-1,"")</f>
        <v/>
      </c>
      <c r="Q1238" t="str">
        <f>IF(LEN(L1238),MATCH(L1238,'MPIO_SFIO Table'!$A$11:$A$65525,0)-1,"")</f>
        <v/>
      </c>
      <c r="R1238" t="str">
        <f ca="1">IF(ISNUMBER(M1238),OFFSET('MPIO_SFIO Table'!$AJ$11,M1238,0),"")</f>
        <v/>
      </c>
      <c r="S1238" t="str">
        <f ca="1">IF(ISNUMBER(N1238),OFFSET('MPIO_SFIO Table'!$AJ$11,N1238,0),"")</f>
        <v/>
      </c>
      <c r="T1238" t="str">
        <f ca="1">IF(ISNUMBER(O1238),OFFSET('MPIO_SFIO Table'!$AJ$11,O1238,0),"")</f>
        <v/>
      </c>
      <c r="U1238" t="str">
        <f ca="1">IF(ISNUMBER(P1238),OFFSET('MPIO_SFIO Table'!$AJ$11,P1238,0),"")</f>
        <v/>
      </c>
      <c r="V1238" t="str">
        <f ca="1">IF(ISNUMBER(Q1238),OFFSET('MPIO_SFIO Table'!$AJ$11,Q1238,0),"")</f>
        <v/>
      </c>
      <c r="W1238">
        <f t="shared" ca="1" si="163"/>
        <v>0</v>
      </c>
      <c r="X1238">
        <f t="shared" ca="1" si="164"/>
        <v>0</v>
      </c>
      <c r="Y1238">
        <f t="shared" ca="1" si="165"/>
        <v>0</v>
      </c>
      <c r="Z1238">
        <f t="shared" ca="1" si="166"/>
        <v>0</v>
      </c>
      <c r="AA1238">
        <f t="shared" ca="1" si="167"/>
        <v>0</v>
      </c>
    </row>
    <row r="1239" spans="1:27" x14ac:dyDescent="0.25">
      <c r="A1239">
        <f t="shared" ca="1" si="160"/>
        <v>0</v>
      </c>
      <c r="B1239" t="str">
        <f t="shared" ca="1" si="161"/>
        <v/>
      </c>
      <c r="C1239" t="str">
        <f t="shared" si="162"/>
        <v/>
      </c>
      <c r="D1239" t="s">
        <v>253</v>
      </c>
      <c r="E1239" t="s">
        <v>253</v>
      </c>
      <c r="F1239" s="3" t="s">
        <v>253</v>
      </c>
      <c r="G1239" s="11" t="s">
        <v>253</v>
      </c>
      <c r="H1239" s="11" t="s">
        <v>253</v>
      </c>
      <c r="I1239" s="3" t="s">
        <v>253</v>
      </c>
      <c r="J1239" s="3" t="s">
        <v>253</v>
      </c>
      <c r="K1239" s="3" t="s">
        <v>253</v>
      </c>
      <c r="L1239" s="3" t="s">
        <v>253</v>
      </c>
      <c r="M1239" t="str">
        <f>IF(LEN(H1239),MATCH(H1239,'MPIO_SFIO Table'!$A$11:$A$65525,0)-1,"")</f>
        <v/>
      </c>
      <c r="N1239" t="str">
        <f>IF(LEN(I1239),MATCH(I1239,'MPIO_SFIO Table'!$A$11:$A$65525,0)-1,"")</f>
        <v/>
      </c>
      <c r="O1239" t="str">
        <f>IF(LEN(J1239),MATCH(J1239,'MPIO_SFIO Table'!$A$11:$A$65525,0)-1,"")</f>
        <v/>
      </c>
      <c r="P1239" t="str">
        <f>IF(LEN(K1239),MATCH(K1239,'MPIO_SFIO Table'!$A$11:$A$65525,0)-1,"")</f>
        <v/>
      </c>
      <c r="Q1239" t="str">
        <f>IF(LEN(L1239),MATCH(L1239,'MPIO_SFIO Table'!$A$11:$A$65525,0)-1,"")</f>
        <v/>
      </c>
      <c r="R1239" t="str">
        <f ca="1">IF(ISNUMBER(M1239),OFFSET('MPIO_SFIO Table'!$AJ$11,M1239,0),"")</f>
        <v/>
      </c>
      <c r="S1239" t="str">
        <f ca="1">IF(ISNUMBER(N1239),OFFSET('MPIO_SFIO Table'!$AJ$11,N1239,0),"")</f>
        <v/>
      </c>
      <c r="T1239" t="str">
        <f ca="1">IF(ISNUMBER(O1239),OFFSET('MPIO_SFIO Table'!$AJ$11,O1239,0),"")</f>
        <v/>
      </c>
      <c r="U1239" t="str">
        <f ca="1">IF(ISNUMBER(P1239),OFFSET('MPIO_SFIO Table'!$AJ$11,P1239,0),"")</f>
        <v/>
      </c>
      <c r="V1239" t="str">
        <f ca="1">IF(ISNUMBER(Q1239),OFFSET('MPIO_SFIO Table'!$AJ$11,Q1239,0),"")</f>
        <v/>
      </c>
      <c r="W1239">
        <f t="shared" ca="1" si="163"/>
        <v>0</v>
      </c>
      <c r="X1239">
        <f t="shared" ca="1" si="164"/>
        <v>0</v>
      </c>
      <c r="Y1239">
        <f t="shared" ca="1" si="165"/>
        <v>0</v>
      </c>
      <c r="Z1239">
        <f t="shared" ca="1" si="166"/>
        <v>0</v>
      </c>
      <c r="AA1239">
        <f t="shared" ca="1" si="167"/>
        <v>0</v>
      </c>
    </row>
    <row r="1240" spans="1:27" x14ac:dyDescent="0.25">
      <c r="A1240">
        <f t="shared" ca="1" si="160"/>
        <v>0</v>
      </c>
      <c r="B1240" t="str">
        <f t="shared" ca="1" si="161"/>
        <v/>
      </c>
      <c r="C1240" t="str">
        <f t="shared" si="162"/>
        <v/>
      </c>
      <c r="D1240" t="s">
        <v>253</v>
      </c>
      <c r="E1240" t="s">
        <v>253</v>
      </c>
      <c r="F1240" s="3" t="s">
        <v>253</v>
      </c>
      <c r="G1240" s="11" t="s">
        <v>253</v>
      </c>
      <c r="H1240" s="11" t="s">
        <v>253</v>
      </c>
      <c r="I1240" s="3" t="s">
        <v>253</v>
      </c>
      <c r="J1240" s="3" t="s">
        <v>253</v>
      </c>
      <c r="K1240" s="3" t="s">
        <v>253</v>
      </c>
      <c r="L1240" s="3" t="s">
        <v>253</v>
      </c>
      <c r="M1240" t="str">
        <f>IF(LEN(H1240),MATCH(H1240,'MPIO_SFIO Table'!$A$11:$A$65525,0)-1,"")</f>
        <v/>
      </c>
      <c r="N1240" t="str">
        <f>IF(LEN(I1240),MATCH(I1240,'MPIO_SFIO Table'!$A$11:$A$65525,0)-1,"")</f>
        <v/>
      </c>
      <c r="O1240" t="str">
        <f>IF(LEN(J1240),MATCH(J1240,'MPIO_SFIO Table'!$A$11:$A$65525,0)-1,"")</f>
        <v/>
      </c>
      <c r="P1240" t="str">
        <f>IF(LEN(K1240),MATCH(K1240,'MPIO_SFIO Table'!$A$11:$A$65525,0)-1,"")</f>
        <v/>
      </c>
      <c r="Q1240" t="str">
        <f>IF(LEN(L1240),MATCH(L1240,'MPIO_SFIO Table'!$A$11:$A$65525,0)-1,"")</f>
        <v/>
      </c>
      <c r="R1240" t="str">
        <f ca="1">IF(ISNUMBER(M1240),OFFSET('MPIO_SFIO Table'!$AJ$11,M1240,0),"")</f>
        <v/>
      </c>
      <c r="S1240" t="str">
        <f ca="1">IF(ISNUMBER(N1240),OFFSET('MPIO_SFIO Table'!$AJ$11,N1240,0),"")</f>
        <v/>
      </c>
      <c r="T1240" t="str">
        <f ca="1">IF(ISNUMBER(O1240),OFFSET('MPIO_SFIO Table'!$AJ$11,O1240,0),"")</f>
        <v/>
      </c>
      <c r="U1240" t="str">
        <f ca="1">IF(ISNUMBER(P1240),OFFSET('MPIO_SFIO Table'!$AJ$11,P1240,0),"")</f>
        <v/>
      </c>
      <c r="V1240" t="str">
        <f ca="1">IF(ISNUMBER(Q1240),OFFSET('MPIO_SFIO Table'!$AJ$11,Q1240,0),"")</f>
        <v/>
      </c>
      <c r="W1240">
        <f t="shared" ca="1" si="163"/>
        <v>0</v>
      </c>
      <c r="X1240">
        <f t="shared" ca="1" si="164"/>
        <v>0</v>
      </c>
      <c r="Y1240">
        <f t="shared" ca="1" si="165"/>
        <v>0</v>
      </c>
      <c r="Z1240">
        <f t="shared" ca="1" si="166"/>
        <v>0</v>
      </c>
      <c r="AA1240">
        <f t="shared" ca="1" si="167"/>
        <v>0</v>
      </c>
    </row>
    <row r="1241" spans="1:27" x14ac:dyDescent="0.25">
      <c r="A1241">
        <f t="shared" ca="1" si="160"/>
        <v>0</v>
      </c>
      <c r="B1241" t="str">
        <f t="shared" ca="1" si="161"/>
        <v/>
      </c>
      <c r="C1241" t="str">
        <f t="shared" si="162"/>
        <v/>
      </c>
      <c r="D1241" t="s">
        <v>253</v>
      </c>
      <c r="E1241" t="s">
        <v>253</v>
      </c>
      <c r="F1241" s="3" t="s">
        <v>253</v>
      </c>
      <c r="G1241" s="11" t="s">
        <v>253</v>
      </c>
      <c r="H1241" s="11" t="s">
        <v>253</v>
      </c>
      <c r="I1241" s="3" t="s">
        <v>253</v>
      </c>
      <c r="J1241" s="3" t="s">
        <v>253</v>
      </c>
      <c r="K1241" s="3" t="s">
        <v>253</v>
      </c>
      <c r="L1241" s="3" t="s">
        <v>253</v>
      </c>
      <c r="M1241" t="str">
        <f>IF(LEN(H1241),MATCH(H1241,'MPIO_SFIO Table'!$A$11:$A$65525,0)-1,"")</f>
        <v/>
      </c>
      <c r="N1241" t="str">
        <f>IF(LEN(I1241),MATCH(I1241,'MPIO_SFIO Table'!$A$11:$A$65525,0)-1,"")</f>
        <v/>
      </c>
      <c r="O1241" t="str">
        <f>IF(LEN(J1241),MATCH(J1241,'MPIO_SFIO Table'!$A$11:$A$65525,0)-1,"")</f>
        <v/>
      </c>
      <c r="P1241" t="str">
        <f>IF(LEN(K1241),MATCH(K1241,'MPIO_SFIO Table'!$A$11:$A$65525,0)-1,"")</f>
        <v/>
      </c>
      <c r="Q1241" t="str">
        <f>IF(LEN(L1241),MATCH(L1241,'MPIO_SFIO Table'!$A$11:$A$65525,0)-1,"")</f>
        <v/>
      </c>
      <c r="R1241" t="str">
        <f ca="1">IF(ISNUMBER(M1241),OFFSET('MPIO_SFIO Table'!$AJ$11,M1241,0),"")</f>
        <v/>
      </c>
      <c r="S1241" t="str">
        <f ca="1">IF(ISNUMBER(N1241),OFFSET('MPIO_SFIO Table'!$AJ$11,N1241,0),"")</f>
        <v/>
      </c>
      <c r="T1241" t="str">
        <f ca="1">IF(ISNUMBER(O1241),OFFSET('MPIO_SFIO Table'!$AJ$11,O1241,0),"")</f>
        <v/>
      </c>
      <c r="U1241" t="str">
        <f ca="1">IF(ISNUMBER(P1241),OFFSET('MPIO_SFIO Table'!$AJ$11,P1241,0),"")</f>
        <v/>
      </c>
      <c r="V1241" t="str">
        <f ca="1">IF(ISNUMBER(Q1241),OFFSET('MPIO_SFIO Table'!$AJ$11,Q1241,0),"")</f>
        <v/>
      </c>
      <c r="W1241">
        <f t="shared" ca="1" si="163"/>
        <v>0</v>
      </c>
      <c r="X1241">
        <f t="shared" ca="1" si="164"/>
        <v>0</v>
      </c>
      <c r="Y1241">
        <f t="shared" ca="1" si="165"/>
        <v>0</v>
      </c>
      <c r="Z1241">
        <f t="shared" ca="1" si="166"/>
        <v>0</v>
      </c>
      <c r="AA1241">
        <f t="shared" ca="1" si="167"/>
        <v>0</v>
      </c>
    </row>
    <row r="1242" spans="1:27" x14ac:dyDescent="0.25">
      <c r="A1242">
        <f t="shared" ca="1" si="160"/>
        <v>0</v>
      </c>
      <c r="B1242" t="str">
        <f t="shared" ca="1" si="161"/>
        <v/>
      </c>
      <c r="C1242" t="str">
        <f t="shared" si="162"/>
        <v/>
      </c>
      <c r="D1242" t="s">
        <v>253</v>
      </c>
      <c r="E1242" t="s">
        <v>253</v>
      </c>
      <c r="F1242" s="3" t="s">
        <v>253</v>
      </c>
      <c r="G1242" s="11" t="s">
        <v>253</v>
      </c>
      <c r="H1242" s="11" t="s">
        <v>253</v>
      </c>
      <c r="I1242" s="3" t="s">
        <v>253</v>
      </c>
      <c r="J1242" s="3" t="s">
        <v>253</v>
      </c>
      <c r="K1242" s="3" t="s">
        <v>253</v>
      </c>
      <c r="L1242" s="3" t="s">
        <v>253</v>
      </c>
      <c r="M1242" t="str">
        <f>IF(LEN(H1242),MATCH(H1242,'MPIO_SFIO Table'!$A$11:$A$65525,0)-1,"")</f>
        <v/>
      </c>
      <c r="N1242" t="str">
        <f>IF(LEN(I1242),MATCH(I1242,'MPIO_SFIO Table'!$A$11:$A$65525,0)-1,"")</f>
        <v/>
      </c>
      <c r="O1242" t="str">
        <f>IF(LEN(J1242),MATCH(J1242,'MPIO_SFIO Table'!$A$11:$A$65525,0)-1,"")</f>
        <v/>
      </c>
      <c r="P1242" t="str">
        <f>IF(LEN(K1242),MATCH(K1242,'MPIO_SFIO Table'!$A$11:$A$65525,0)-1,"")</f>
        <v/>
      </c>
      <c r="Q1242" t="str">
        <f>IF(LEN(L1242),MATCH(L1242,'MPIO_SFIO Table'!$A$11:$A$65525,0)-1,"")</f>
        <v/>
      </c>
      <c r="R1242" t="str">
        <f ca="1">IF(ISNUMBER(M1242),OFFSET('MPIO_SFIO Table'!$AJ$11,M1242,0),"")</f>
        <v/>
      </c>
      <c r="S1242" t="str">
        <f ca="1">IF(ISNUMBER(N1242),OFFSET('MPIO_SFIO Table'!$AJ$11,N1242,0),"")</f>
        <v/>
      </c>
      <c r="T1242" t="str">
        <f ca="1">IF(ISNUMBER(O1242),OFFSET('MPIO_SFIO Table'!$AJ$11,O1242,0),"")</f>
        <v/>
      </c>
      <c r="U1242" t="str">
        <f ca="1">IF(ISNUMBER(P1242),OFFSET('MPIO_SFIO Table'!$AJ$11,P1242,0),"")</f>
        <v/>
      </c>
      <c r="V1242" t="str">
        <f ca="1">IF(ISNUMBER(Q1242),OFFSET('MPIO_SFIO Table'!$AJ$11,Q1242,0),"")</f>
        <v/>
      </c>
      <c r="W1242">
        <f t="shared" ca="1" si="163"/>
        <v>0</v>
      </c>
      <c r="X1242">
        <f t="shared" ca="1" si="164"/>
        <v>0</v>
      </c>
      <c r="Y1242">
        <f t="shared" ca="1" si="165"/>
        <v>0</v>
      </c>
      <c r="Z1242">
        <f t="shared" ca="1" si="166"/>
        <v>0</v>
      </c>
      <c r="AA1242">
        <f t="shared" ca="1" si="167"/>
        <v>0</v>
      </c>
    </row>
    <row r="1243" spans="1:27" x14ac:dyDescent="0.25">
      <c r="A1243">
        <f t="shared" ca="1" si="160"/>
        <v>0</v>
      </c>
      <c r="B1243" t="str">
        <f t="shared" ca="1" si="161"/>
        <v/>
      </c>
      <c r="C1243" t="str">
        <f t="shared" si="162"/>
        <v/>
      </c>
      <c r="D1243" t="s">
        <v>253</v>
      </c>
      <c r="E1243" t="s">
        <v>253</v>
      </c>
      <c r="F1243" s="3" t="s">
        <v>253</v>
      </c>
      <c r="G1243" s="11" t="s">
        <v>253</v>
      </c>
      <c r="H1243" s="11" t="s">
        <v>253</v>
      </c>
      <c r="I1243" s="3" t="s">
        <v>253</v>
      </c>
      <c r="J1243" s="3" t="s">
        <v>253</v>
      </c>
      <c r="K1243" s="3" t="s">
        <v>253</v>
      </c>
      <c r="L1243" s="3" t="s">
        <v>253</v>
      </c>
      <c r="M1243" t="str">
        <f>IF(LEN(H1243),MATCH(H1243,'MPIO_SFIO Table'!$A$11:$A$65525,0)-1,"")</f>
        <v/>
      </c>
      <c r="N1243" t="str">
        <f>IF(LEN(I1243),MATCH(I1243,'MPIO_SFIO Table'!$A$11:$A$65525,0)-1,"")</f>
        <v/>
      </c>
      <c r="O1243" t="str">
        <f>IF(LEN(J1243),MATCH(J1243,'MPIO_SFIO Table'!$A$11:$A$65525,0)-1,"")</f>
        <v/>
      </c>
      <c r="P1243" t="str">
        <f>IF(LEN(K1243),MATCH(K1243,'MPIO_SFIO Table'!$A$11:$A$65525,0)-1,"")</f>
        <v/>
      </c>
      <c r="Q1243" t="str">
        <f>IF(LEN(L1243),MATCH(L1243,'MPIO_SFIO Table'!$A$11:$A$65525,0)-1,"")</f>
        <v/>
      </c>
      <c r="R1243" t="str">
        <f ca="1">IF(ISNUMBER(M1243),OFFSET('MPIO_SFIO Table'!$AJ$11,M1243,0),"")</f>
        <v/>
      </c>
      <c r="S1243" t="str">
        <f ca="1">IF(ISNUMBER(N1243),OFFSET('MPIO_SFIO Table'!$AJ$11,N1243,0),"")</f>
        <v/>
      </c>
      <c r="T1243" t="str">
        <f ca="1">IF(ISNUMBER(O1243),OFFSET('MPIO_SFIO Table'!$AJ$11,O1243,0),"")</f>
        <v/>
      </c>
      <c r="U1243" t="str">
        <f ca="1">IF(ISNUMBER(P1243),OFFSET('MPIO_SFIO Table'!$AJ$11,P1243,0),"")</f>
        <v/>
      </c>
      <c r="V1243" t="str">
        <f ca="1">IF(ISNUMBER(Q1243),OFFSET('MPIO_SFIO Table'!$AJ$11,Q1243,0),"")</f>
        <v/>
      </c>
      <c r="W1243">
        <f t="shared" ca="1" si="163"/>
        <v>0</v>
      </c>
      <c r="X1243">
        <f t="shared" ca="1" si="164"/>
        <v>0</v>
      </c>
      <c r="Y1243">
        <f t="shared" ca="1" si="165"/>
        <v>0</v>
      </c>
      <c r="Z1243">
        <f t="shared" ca="1" si="166"/>
        <v>0</v>
      </c>
      <c r="AA1243">
        <f t="shared" ca="1" si="167"/>
        <v>0</v>
      </c>
    </row>
    <row r="1244" spans="1:27" x14ac:dyDescent="0.25">
      <c r="A1244">
        <f t="shared" ca="1" si="160"/>
        <v>0</v>
      </c>
      <c r="B1244" t="str">
        <f t="shared" ca="1" si="161"/>
        <v/>
      </c>
      <c r="C1244" t="str">
        <f t="shared" si="162"/>
        <v/>
      </c>
      <c r="D1244" t="s">
        <v>253</v>
      </c>
      <c r="E1244" t="s">
        <v>253</v>
      </c>
      <c r="F1244" s="3" t="s">
        <v>253</v>
      </c>
      <c r="G1244" s="11" t="s">
        <v>253</v>
      </c>
      <c r="H1244" s="11" t="s">
        <v>253</v>
      </c>
      <c r="I1244" s="3" t="s">
        <v>253</v>
      </c>
      <c r="J1244" s="3" t="s">
        <v>253</v>
      </c>
      <c r="K1244" s="3" t="s">
        <v>253</v>
      </c>
      <c r="L1244" s="3" t="s">
        <v>253</v>
      </c>
      <c r="M1244" t="str">
        <f>IF(LEN(H1244),MATCH(H1244,'MPIO_SFIO Table'!$A$11:$A$65525,0)-1,"")</f>
        <v/>
      </c>
      <c r="N1244" t="str">
        <f>IF(LEN(I1244),MATCH(I1244,'MPIO_SFIO Table'!$A$11:$A$65525,0)-1,"")</f>
        <v/>
      </c>
      <c r="O1244" t="str">
        <f>IF(LEN(J1244),MATCH(J1244,'MPIO_SFIO Table'!$A$11:$A$65525,0)-1,"")</f>
        <v/>
      </c>
      <c r="P1244" t="str">
        <f>IF(LEN(K1244),MATCH(K1244,'MPIO_SFIO Table'!$A$11:$A$65525,0)-1,"")</f>
        <v/>
      </c>
      <c r="Q1244" t="str">
        <f>IF(LEN(L1244),MATCH(L1244,'MPIO_SFIO Table'!$A$11:$A$65525,0)-1,"")</f>
        <v/>
      </c>
      <c r="R1244" t="str">
        <f ca="1">IF(ISNUMBER(M1244),OFFSET('MPIO_SFIO Table'!$AJ$11,M1244,0),"")</f>
        <v/>
      </c>
      <c r="S1244" t="str">
        <f ca="1">IF(ISNUMBER(N1244),OFFSET('MPIO_SFIO Table'!$AJ$11,N1244,0),"")</f>
        <v/>
      </c>
      <c r="T1244" t="str">
        <f ca="1">IF(ISNUMBER(O1244),OFFSET('MPIO_SFIO Table'!$AJ$11,O1244,0),"")</f>
        <v/>
      </c>
      <c r="U1244" t="str">
        <f ca="1">IF(ISNUMBER(P1244),OFFSET('MPIO_SFIO Table'!$AJ$11,P1244,0),"")</f>
        <v/>
      </c>
      <c r="V1244" t="str">
        <f ca="1">IF(ISNUMBER(Q1244),OFFSET('MPIO_SFIO Table'!$AJ$11,Q1244,0),"")</f>
        <v/>
      </c>
      <c r="W1244">
        <f t="shared" ca="1" si="163"/>
        <v>0</v>
      </c>
      <c r="X1244">
        <f t="shared" ca="1" si="164"/>
        <v>0</v>
      </c>
      <c r="Y1244">
        <f t="shared" ca="1" si="165"/>
        <v>0</v>
      </c>
      <c r="Z1244">
        <f t="shared" ca="1" si="166"/>
        <v>0</v>
      </c>
      <c r="AA1244">
        <f t="shared" ca="1" si="167"/>
        <v>0</v>
      </c>
    </row>
    <row r="1245" spans="1:27" x14ac:dyDescent="0.25">
      <c r="A1245">
        <f t="shared" ca="1" si="160"/>
        <v>0</v>
      </c>
      <c r="B1245" t="str">
        <f t="shared" ca="1" si="161"/>
        <v/>
      </c>
      <c r="C1245" t="str">
        <f t="shared" si="162"/>
        <v/>
      </c>
      <c r="D1245" t="s">
        <v>253</v>
      </c>
      <c r="E1245" t="s">
        <v>253</v>
      </c>
      <c r="F1245" s="3" t="s">
        <v>253</v>
      </c>
      <c r="G1245" s="11" t="s">
        <v>253</v>
      </c>
      <c r="H1245" s="11" t="s">
        <v>253</v>
      </c>
      <c r="I1245" s="3" t="s">
        <v>253</v>
      </c>
      <c r="J1245" s="3" t="s">
        <v>253</v>
      </c>
      <c r="K1245" s="3" t="s">
        <v>253</v>
      </c>
      <c r="L1245" s="3" t="s">
        <v>253</v>
      </c>
      <c r="M1245" t="str">
        <f>IF(LEN(H1245),MATCH(H1245,'MPIO_SFIO Table'!$A$11:$A$65525,0)-1,"")</f>
        <v/>
      </c>
      <c r="N1245" t="str">
        <f>IF(LEN(I1245),MATCH(I1245,'MPIO_SFIO Table'!$A$11:$A$65525,0)-1,"")</f>
        <v/>
      </c>
      <c r="O1245" t="str">
        <f>IF(LEN(J1245),MATCH(J1245,'MPIO_SFIO Table'!$A$11:$A$65525,0)-1,"")</f>
        <v/>
      </c>
      <c r="P1245" t="str">
        <f>IF(LEN(K1245),MATCH(K1245,'MPIO_SFIO Table'!$A$11:$A$65525,0)-1,"")</f>
        <v/>
      </c>
      <c r="Q1245" t="str">
        <f>IF(LEN(L1245),MATCH(L1245,'MPIO_SFIO Table'!$A$11:$A$65525,0)-1,"")</f>
        <v/>
      </c>
      <c r="R1245" t="str">
        <f ca="1">IF(ISNUMBER(M1245),OFFSET('MPIO_SFIO Table'!$AJ$11,M1245,0),"")</f>
        <v/>
      </c>
      <c r="S1245" t="str">
        <f ca="1">IF(ISNUMBER(N1245),OFFSET('MPIO_SFIO Table'!$AJ$11,N1245,0),"")</f>
        <v/>
      </c>
      <c r="T1245" t="str">
        <f ca="1">IF(ISNUMBER(O1245),OFFSET('MPIO_SFIO Table'!$AJ$11,O1245,0),"")</f>
        <v/>
      </c>
      <c r="U1245" t="str">
        <f ca="1">IF(ISNUMBER(P1245),OFFSET('MPIO_SFIO Table'!$AJ$11,P1245,0),"")</f>
        <v/>
      </c>
      <c r="V1245" t="str">
        <f ca="1">IF(ISNUMBER(Q1245),OFFSET('MPIO_SFIO Table'!$AJ$11,Q1245,0),"")</f>
        <v/>
      </c>
      <c r="W1245">
        <f t="shared" ca="1" si="163"/>
        <v>0</v>
      </c>
      <c r="X1245">
        <f t="shared" ca="1" si="164"/>
        <v>0</v>
      </c>
      <c r="Y1245">
        <f t="shared" ca="1" si="165"/>
        <v>0</v>
      </c>
      <c r="Z1245">
        <f t="shared" ca="1" si="166"/>
        <v>0</v>
      </c>
      <c r="AA1245">
        <f t="shared" ca="1" si="167"/>
        <v>0</v>
      </c>
    </row>
    <row r="1246" spans="1:27" x14ac:dyDescent="0.25">
      <c r="A1246">
        <f t="shared" ca="1" si="160"/>
        <v>0</v>
      </c>
      <c r="B1246" t="str">
        <f t="shared" ca="1" si="161"/>
        <v/>
      </c>
      <c r="C1246" t="str">
        <f t="shared" si="162"/>
        <v/>
      </c>
      <c r="D1246" t="s">
        <v>253</v>
      </c>
      <c r="E1246" t="s">
        <v>253</v>
      </c>
      <c r="F1246" s="3" t="s">
        <v>253</v>
      </c>
      <c r="G1246" s="11" t="s">
        <v>253</v>
      </c>
      <c r="H1246" s="11" t="s">
        <v>253</v>
      </c>
      <c r="I1246" s="3" t="s">
        <v>253</v>
      </c>
      <c r="J1246" s="3" t="s">
        <v>253</v>
      </c>
      <c r="K1246" s="3" t="s">
        <v>253</v>
      </c>
      <c r="L1246" s="3" t="s">
        <v>253</v>
      </c>
      <c r="M1246" t="str">
        <f>IF(LEN(H1246),MATCH(H1246,'MPIO_SFIO Table'!$A$11:$A$65525,0)-1,"")</f>
        <v/>
      </c>
      <c r="N1246" t="str">
        <f>IF(LEN(I1246),MATCH(I1246,'MPIO_SFIO Table'!$A$11:$A$65525,0)-1,"")</f>
        <v/>
      </c>
      <c r="O1246" t="str">
        <f>IF(LEN(J1246),MATCH(J1246,'MPIO_SFIO Table'!$A$11:$A$65525,0)-1,"")</f>
        <v/>
      </c>
      <c r="P1246" t="str">
        <f>IF(LEN(K1246),MATCH(K1246,'MPIO_SFIO Table'!$A$11:$A$65525,0)-1,"")</f>
        <v/>
      </c>
      <c r="Q1246" t="str">
        <f>IF(LEN(L1246),MATCH(L1246,'MPIO_SFIO Table'!$A$11:$A$65525,0)-1,"")</f>
        <v/>
      </c>
      <c r="R1246" t="str">
        <f ca="1">IF(ISNUMBER(M1246),OFFSET('MPIO_SFIO Table'!$AJ$11,M1246,0),"")</f>
        <v/>
      </c>
      <c r="S1246" t="str">
        <f ca="1">IF(ISNUMBER(N1246),OFFSET('MPIO_SFIO Table'!$AJ$11,N1246,0),"")</f>
        <v/>
      </c>
      <c r="T1246" t="str">
        <f ca="1">IF(ISNUMBER(O1246),OFFSET('MPIO_SFIO Table'!$AJ$11,O1246,0),"")</f>
        <v/>
      </c>
      <c r="U1246" t="str">
        <f ca="1">IF(ISNUMBER(P1246),OFFSET('MPIO_SFIO Table'!$AJ$11,P1246,0),"")</f>
        <v/>
      </c>
      <c r="V1246" t="str">
        <f ca="1">IF(ISNUMBER(Q1246),OFFSET('MPIO_SFIO Table'!$AJ$11,Q1246,0),"")</f>
        <v/>
      </c>
      <c r="W1246">
        <f t="shared" ca="1" si="163"/>
        <v>0</v>
      </c>
      <c r="X1246">
        <f t="shared" ca="1" si="164"/>
        <v>0</v>
      </c>
      <c r="Y1246">
        <f t="shared" ca="1" si="165"/>
        <v>0</v>
      </c>
      <c r="Z1246">
        <f t="shared" ca="1" si="166"/>
        <v>0</v>
      </c>
      <c r="AA1246">
        <f t="shared" ca="1" si="167"/>
        <v>0</v>
      </c>
    </row>
    <row r="1247" spans="1:27" x14ac:dyDescent="0.25">
      <c r="A1247">
        <f t="shared" ca="1" si="160"/>
        <v>0</v>
      </c>
      <c r="B1247" t="str">
        <f t="shared" ca="1" si="161"/>
        <v/>
      </c>
      <c r="C1247" t="str">
        <f t="shared" si="162"/>
        <v/>
      </c>
      <c r="D1247" t="s">
        <v>253</v>
      </c>
      <c r="E1247" t="s">
        <v>253</v>
      </c>
      <c r="F1247" s="3" t="s">
        <v>253</v>
      </c>
      <c r="G1247" s="11" t="s">
        <v>253</v>
      </c>
      <c r="H1247" s="11" t="s">
        <v>253</v>
      </c>
      <c r="I1247" s="3" t="s">
        <v>253</v>
      </c>
      <c r="J1247" s="3" t="s">
        <v>253</v>
      </c>
      <c r="K1247" s="3" t="s">
        <v>253</v>
      </c>
      <c r="L1247" s="3" t="s">
        <v>253</v>
      </c>
      <c r="M1247" t="str">
        <f>IF(LEN(H1247),MATCH(H1247,'MPIO_SFIO Table'!$A$11:$A$65525,0)-1,"")</f>
        <v/>
      </c>
      <c r="N1247" t="str">
        <f>IF(LEN(I1247),MATCH(I1247,'MPIO_SFIO Table'!$A$11:$A$65525,0)-1,"")</f>
        <v/>
      </c>
      <c r="O1247" t="str">
        <f>IF(LEN(J1247),MATCH(J1247,'MPIO_SFIO Table'!$A$11:$A$65525,0)-1,"")</f>
        <v/>
      </c>
      <c r="P1247" t="str">
        <f>IF(LEN(K1247),MATCH(K1247,'MPIO_SFIO Table'!$A$11:$A$65525,0)-1,"")</f>
        <v/>
      </c>
      <c r="Q1247" t="str">
        <f>IF(LEN(L1247),MATCH(L1247,'MPIO_SFIO Table'!$A$11:$A$65525,0)-1,"")</f>
        <v/>
      </c>
      <c r="R1247" t="str">
        <f ca="1">IF(ISNUMBER(M1247),OFFSET('MPIO_SFIO Table'!$AJ$11,M1247,0),"")</f>
        <v/>
      </c>
      <c r="S1247" t="str">
        <f ca="1">IF(ISNUMBER(N1247),OFFSET('MPIO_SFIO Table'!$AJ$11,N1247,0),"")</f>
        <v/>
      </c>
      <c r="T1247" t="str">
        <f ca="1">IF(ISNUMBER(O1247),OFFSET('MPIO_SFIO Table'!$AJ$11,O1247,0),"")</f>
        <v/>
      </c>
      <c r="U1247" t="str">
        <f ca="1">IF(ISNUMBER(P1247),OFFSET('MPIO_SFIO Table'!$AJ$11,P1247,0),"")</f>
        <v/>
      </c>
      <c r="V1247" t="str">
        <f ca="1">IF(ISNUMBER(Q1247),OFFSET('MPIO_SFIO Table'!$AJ$11,Q1247,0),"")</f>
        <v/>
      </c>
      <c r="W1247">
        <f t="shared" ca="1" si="163"/>
        <v>0</v>
      </c>
      <c r="X1247">
        <f t="shared" ca="1" si="164"/>
        <v>0</v>
      </c>
      <c r="Y1247">
        <f t="shared" ca="1" si="165"/>
        <v>0</v>
      </c>
      <c r="Z1247">
        <f t="shared" ca="1" si="166"/>
        <v>0</v>
      </c>
      <c r="AA1247">
        <f t="shared" ca="1" si="167"/>
        <v>0</v>
      </c>
    </row>
    <row r="1248" spans="1:27" x14ac:dyDescent="0.25">
      <c r="A1248">
        <f t="shared" ca="1" si="160"/>
        <v>0</v>
      </c>
      <c r="B1248" t="str">
        <f t="shared" ca="1" si="161"/>
        <v/>
      </c>
      <c r="C1248" t="str">
        <f t="shared" si="162"/>
        <v/>
      </c>
      <c r="D1248" t="s">
        <v>253</v>
      </c>
      <c r="E1248" t="s">
        <v>253</v>
      </c>
      <c r="F1248" s="3" t="s">
        <v>253</v>
      </c>
      <c r="G1248" s="11" t="s">
        <v>253</v>
      </c>
      <c r="H1248" s="11" t="s">
        <v>253</v>
      </c>
      <c r="I1248" s="3" t="s">
        <v>253</v>
      </c>
      <c r="J1248" s="3" t="s">
        <v>253</v>
      </c>
      <c r="K1248" s="3" t="s">
        <v>253</v>
      </c>
      <c r="L1248" s="3" t="s">
        <v>253</v>
      </c>
      <c r="M1248" t="str">
        <f>IF(LEN(H1248),MATCH(H1248,'MPIO_SFIO Table'!$A$11:$A$65525,0)-1,"")</f>
        <v/>
      </c>
      <c r="N1248" t="str">
        <f>IF(LEN(I1248),MATCH(I1248,'MPIO_SFIO Table'!$A$11:$A$65525,0)-1,"")</f>
        <v/>
      </c>
      <c r="O1248" t="str">
        <f>IF(LEN(J1248),MATCH(J1248,'MPIO_SFIO Table'!$A$11:$A$65525,0)-1,"")</f>
        <v/>
      </c>
      <c r="P1248" t="str">
        <f>IF(LEN(K1248),MATCH(K1248,'MPIO_SFIO Table'!$A$11:$A$65525,0)-1,"")</f>
        <v/>
      </c>
      <c r="Q1248" t="str">
        <f>IF(LEN(L1248),MATCH(L1248,'MPIO_SFIO Table'!$A$11:$A$65525,0)-1,"")</f>
        <v/>
      </c>
      <c r="R1248" t="str">
        <f ca="1">IF(ISNUMBER(M1248),OFFSET('MPIO_SFIO Table'!$AJ$11,M1248,0),"")</f>
        <v/>
      </c>
      <c r="S1248" t="str">
        <f ca="1">IF(ISNUMBER(N1248),OFFSET('MPIO_SFIO Table'!$AJ$11,N1248,0),"")</f>
        <v/>
      </c>
      <c r="T1248" t="str">
        <f ca="1">IF(ISNUMBER(O1248),OFFSET('MPIO_SFIO Table'!$AJ$11,O1248,0),"")</f>
        <v/>
      </c>
      <c r="U1248" t="str">
        <f ca="1">IF(ISNUMBER(P1248),OFFSET('MPIO_SFIO Table'!$AJ$11,P1248,0),"")</f>
        <v/>
      </c>
      <c r="V1248" t="str">
        <f ca="1">IF(ISNUMBER(Q1248),OFFSET('MPIO_SFIO Table'!$AJ$11,Q1248,0),"")</f>
        <v/>
      </c>
      <c r="W1248">
        <f t="shared" ca="1" si="163"/>
        <v>0</v>
      </c>
      <c r="X1248">
        <f t="shared" ca="1" si="164"/>
        <v>0</v>
      </c>
      <c r="Y1248">
        <f t="shared" ca="1" si="165"/>
        <v>0</v>
      </c>
      <c r="Z1248">
        <f t="shared" ca="1" si="166"/>
        <v>0</v>
      </c>
      <c r="AA1248">
        <f t="shared" ca="1" si="167"/>
        <v>0</v>
      </c>
    </row>
    <row r="1249" spans="1:27" x14ac:dyDescent="0.25">
      <c r="A1249">
        <f t="shared" ca="1" si="160"/>
        <v>0</v>
      </c>
      <c r="B1249" t="str">
        <f t="shared" ca="1" si="161"/>
        <v/>
      </c>
      <c r="C1249" t="str">
        <f t="shared" si="162"/>
        <v/>
      </c>
      <c r="D1249" t="s">
        <v>253</v>
      </c>
      <c r="E1249" t="s">
        <v>253</v>
      </c>
      <c r="F1249" s="3" t="s">
        <v>253</v>
      </c>
      <c r="G1249" s="11" t="s">
        <v>253</v>
      </c>
      <c r="H1249" s="11" t="s">
        <v>253</v>
      </c>
      <c r="I1249" s="3" t="s">
        <v>253</v>
      </c>
      <c r="J1249" s="3" t="s">
        <v>253</v>
      </c>
      <c r="K1249" s="3" t="s">
        <v>253</v>
      </c>
      <c r="L1249" s="3" t="s">
        <v>253</v>
      </c>
      <c r="M1249" t="str">
        <f>IF(LEN(H1249),MATCH(H1249,'MPIO_SFIO Table'!$A$11:$A$65525,0)-1,"")</f>
        <v/>
      </c>
      <c r="N1249" t="str">
        <f>IF(LEN(I1249),MATCH(I1249,'MPIO_SFIO Table'!$A$11:$A$65525,0)-1,"")</f>
        <v/>
      </c>
      <c r="O1249" t="str">
        <f>IF(LEN(J1249),MATCH(J1249,'MPIO_SFIO Table'!$A$11:$A$65525,0)-1,"")</f>
        <v/>
      </c>
      <c r="P1249" t="str">
        <f>IF(LEN(K1249),MATCH(K1249,'MPIO_SFIO Table'!$A$11:$A$65525,0)-1,"")</f>
        <v/>
      </c>
      <c r="Q1249" t="str">
        <f>IF(LEN(L1249),MATCH(L1249,'MPIO_SFIO Table'!$A$11:$A$65525,0)-1,"")</f>
        <v/>
      </c>
      <c r="R1249" t="str">
        <f ca="1">IF(ISNUMBER(M1249),OFFSET('MPIO_SFIO Table'!$AJ$11,M1249,0),"")</f>
        <v/>
      </c>
      <c r="S1249" t="str">
        <f ca="1">IF(ISNUMBER(N1249),OFFSET('MPIO_SFIO Table'!$AJ$11,N1249,0),"")</f>
        <v/>
      </c>
      <c r="T1249" t="str">
        <f ca="1">IF(ISNUMBER(O1249),OFFSET('MPIO_SFIO Table'!$AJ$11,O1249,0),"")</f>
        <v/>
      </c>
      <c r="U1249" t="str">
        <f ca="1">IF(ISNUMBER(P1249),OFFSET('MPIO_SFIO Table'!$AJ$11,P1249,0),"")</f>
        <v/>
      </c>
      <c r="V1249" t="str">
        <f ca="1">IF(ISNUMBER(Q1249),OFFSET('MPIO_SFIO Table'!$AJ$11,Q1249,0),"")</f>
        <v/>
      </c>
      <c r="W1249">
        <f t="shared" ca="1" si="163"/>
        <v>0</v>
      </c>
      <c r="X1249">
        <f t="shared" ca="1" si="164"/>
        <v>0</v>
      </c>
      <c r="Y1249">
        <f t="shared" ca="1" si="165"/>
        <v>0</v>
      </c>
      <c r="Z1249">
        <f t="shared" ca="1" si="166"/>
        <v>0</v>
      </c>
      <c r="AA1249">
        <f t="shared" ca="1" si="167"/>
        <v>0</v>
      </c>
    </row>
    <row r="1250" spans="1:27" x14ac:dyDescent="0.25">
      <c r="A1250">
        <f t="shared" ca="1" si="160"/>
        <v>0</v>
      </c>
      <c r="B1250" t="str">
        <f t="shared" ca="1" si="161"/>
        <v/>
      </c>
      <c r="C1250" t="str">
        <f t="shared" si="162"/>
        <v/>
      </c>
      <c r="D1250" t="s">
        <v>253</v>
      </c>
      <c r="E1250" t="s">
        <v>253</v>
      </c>
      <c r="F1250" s="3" t="s">
        <v>253</v>
      </c>
      <c r="G1250" s="11" t="s">
        <v>253</v>
      </c>
      <c r="H1250" s="11" t="s">
        <v>253</v>
      </c>
      <c r="I1250" s="3" t="s">
        <v>253</v>
      </c>
      <c r="J1250" s="3" t="s">
        <v>253</v>
      </c>
      <c r="K1250" s="3" t="s">
        <v>253</v>
      </c>
      <c r="L1250" s="3" t="s">
        <v>253</v>
      </c>
      <c r="M1250" t="str">
        <f>IF(LEN(H1250),MATCH(H1250,'MPIO_SFIO Table'!$A$11:$A$65525,0)-1,"")</f>
        <v/>
      </c>
      <c r="N1250" t="str">
        <f>IF(LEN(I1250),MATCH(I1250,'MPIO_SFIO Table'!$A$11:$A$65525,0)-1,"")</f>
        <v/>
      </c>
      <c r="O1250" t="str">
        <f>IF(LEN(J1250),MATCH(J1250,'MPIO_SFIO Table'!$A$11:$A$65525,0)-1,"")</f>
        <v/>
      </c>
      <c r="P1250" t="str">
        <f>IF(LEN(K1250),MATCH(K1250,'MPIO_SFIO Table'!$A$11:$A$65525,0)-1,"")</f>
        <v/>
      </c>
      <c r="Q1250" t="str">
        <f>IF(LEN(L1250),MATCH(L1250,'MPIO_SFIO Table'!$A$11:$A$65525,0)-1,"")</f>
        <v/>
      </c>
      <c r="R1250" t="str">
        <f ca="1">IF(ISNUMBER(M1250),OFFSET('MPIO_SFIO Table'!$AJ$11,M1250,0),"")</f>
        <v/>
      </c>
      <c r="S1250" t="str">
        <f ca="1">IF(ISNUMBER(N1250),OFFSET('MPIO_SFIO Table'!$AJ$11,N1250,0),"")</f>
        <v/>
      </c>
      <c r="T1250" t="str">
        <f ca="1">IF(ISNUMBER(O1250),OFFSET('MPIO_SFIO Table'!$AJ$11,O1250,0),"")</f>
        <v/>
      </c>
      <c r="U1250" t="str">
        <f ca="1">IF(ISNUMBER(P1250),OFFSET('MPIO_SFIO Table'!$AJ$11,P1250,0),"")</f>
        <v/>
      </c>
      <c r="V1250" t="str">
        <f ca="1">IF(ISNUMBER(Q1250),OFFSET('MPIO_SFIO Table'!$AJ$11,Q1250,0),"")</f>
        <v/>
      </c>
      <c r="W1250">
        <f t="shared" ca="1" si="163"/>
        <v>0</v>
      </c>
      <c r="X1250">
        <f t="shared" ca="1" si="164"/>
        <v>0</v>
      </c>
      <c r="Y1250">
        <f t="shared" ca="1" si="165"/>
        <v>0</v>
      </c>
      <c r="Z1250">
        <f t="shared" ca="1" si="166"/>
        <v>0</v>
      </c>
      <c r="AA1250">
        <f t="shared" ca="1" si="167"/>
        <v>0</v>
      </c>
    </row>
    <row r="1251" spans="1:27" x14ac:dyDescent="0.25">
      <c r="A1251">
        <f t="shared" ca="1" si="160"/>
        <v>0</v>
      </c>
      <c r="B1251" t="str">
        <f t="shared" ca="1" si="161"/>
        <v/>
      </c>
      <c r="C1251" t="str">
        <f t="shared" si="162"/>
        <v/>
      </c>
      <c r="D1251" t="s">
        <v>253</v>
      </c>
      <c r="E1251" t="s">
        <v>253</v>
      </c>
      <c r="F1251" s="3" t="s">
        <v>253</v>
      </c>
      <c r="G1251" s="11" t="s">
        <v>253</v>
      </c>
      <c r="H1251" s="11" t="s">
        <v>253</v>
      </c>
      <c r="I1251" s="3" t="s">
        <v>253</v>
      </c>
      <c r="J1251" s="3" t="s">
        <v>253</v>
      </c>
      <c r="K1251" s="3" t="s">
        <v>253</v>
      </c>
      <c r="L1251" s="3" t="s">
        <v>253</v>
      </c>
      <c r="M1251" t="str">
        <f>IF(LEN(H1251),MATCH(H1251,'MPIO_SFIO Table'!$A$11:$A$65525,0)-1,"")</f>
        <v/>
      </c>
      <c r="N1251" t="str">
        <f>IF(LEN(I1251),MATCH(I1251,'MPIO_SFIO Table'!$A$11:$A$65525,0)-1,"")</f>
        <v/>
      </c>
      <c r="O1251" t="str">
        <f>IF(LEN(J1251),MATCH(J1251,'MPIO_SFIO Table'!$A$11:$A$65525,0)-1,"")</f>
        <v/>
      </c>
      <c r="P1251" t="str">
        <f>IF(LEN(K1251),MATCH(K1251,'MPIO_SFIO Table'!$A$11:$A$65525,0)-1,"")</f>
        <v/>
      </c>
      <c r="Q1251" t="str">
        <f>IF(LEN(L1251),MATCH(L1251,'MPIO_SFIO Table'!$A$11:$A$65525,0)-1,"")</f>
        <v/>
      </c>
      <c r="R1251" t="str">
        <f ca="1">IF(ISNUMBER(M1251),OFFSET('MPIO_SFIO Table'!$AJ$11,M1251,0),"")</f>
        <v/>
      </c>
      <c r="S1251" t="str">
        <f ca="1">IF(ISNUMBER(N1251),OFFSET('MPIO_SFIO Table'!$AJ$11,N1251,0),"")</f>
        <v/>
      </c>
      <c r="T1251" t="str">
        <f ca="1">IF(ISNUMBER(O1251),OFFSET('MPIO_SFIO Table'!$AJ$11,O1251,0),"")</f>
        <v/>
      </c>
      <c r="U1251" t="str">
        <f ca="1">IF(ISNUMBER(P1251),OFFSET('MPIO_SFIO Table'!$AJ$11,P1251,0),"")</f>
        <v/>
      </c>
      <c r="V1251" t="str">
        <f ca="1">IF(ISNUMBER(Q1251),OFFSET('MPIO_SFIO Table'!$AJ$11,Q1251,0),"")</f>
        <v/>
      </c>
      <c r="W1251">
        <f t="shared" ca="1" si="163"/>
        <v>0</v>
      </c>
      <c r="X1251">
        <f t="shared" ca="1" si="164"/>
        <v>0</v>
      </c>
      <c r="Y1251">
        <f t="shared" ca="1" si="165"/>
        <v>0</v>
      </c>
      <c r="Z1251">
        <f t="shared" ca="1" si="166"/>
        <v>0</v>
      </c>
      <c r="AA1251">
        <f t="shared" ca="1" si="167"/>
        <v>0</v>
      </c>
    </row>
    <row r="1252" spans="1:27" x14ac:dyDescent="0.25">
      <c r="A1252">
        <f t="shared" ca="1" si="160"/>
        <v>0</v>
      </c>
      <c r="B1252" t="str">
        <f t="shared" ca="1" si="161"/>
        <v/>
      </c>
      <c r="C1252" t="str">
        <f t="shared" si="162"/>
        <v/>
      </c>
      <c r="D1252" t="s">
        <v>253</v>
      </c>
      <c r="E1252" t="s">
        <v>253</v>
      </c>
      <c r="F1252" s="3" t="s">
        <v>253</v>
      </c>
      <c r="G1252" s="11" t="s">
        <v>253</v>
      </c>
      <c r="H1252" s="11" t="s">
        <v>253</v>
      </c>
      <c r="I1252" s="3" t="s">
        <v>253</v>
      </c>
      <c r="J1252" s="3" t="s">
        <v>253</v>
      </c>
      <c r="K1252" s="3" t="s">
        <v>253</v>
      </c>
      <c r="L1252" s="3" t="s">
        <v>253</v>
      </c>
      <c r="M1252" t="str">
        <f>IF(LEN(H1252),MATCH(H1252,'MPIO_SFIO Table'!$A$11:$A$65525,0)-1,"")</f>
        <v/>
      </c>
      <c r="N1252" t="str">
        <f>IF(LEN(I1252),MATCH(I1252,'MPIO_SFIO Table'!$A$11:$A$65525,0)-1,"")</f>
        <v/>
      </c>
      <c r="O1252" t="str">
        <f>IF(LEN(J1252),MATCH(J1252,'MPIO_SFIO Table'!$A$11:$A$65525,0)-1,"")</f>
        <v/>
      </c>
      <c r="P1252" t="str">
        <f>IF(LEN(K1252),MATCH(K1252,'MPIO_SFIO Table'!$A$11:$A$65525,0)-1,"")</f>
        <v/>
      </c>
      <c r="Q1252" t="str">
        <f>IF(LEN(L1252),MATCH(L1252,'MPIO_SFIO Table'!$A$11:$A$65525,0)-1,"")</f>
        <v/>
      </c>
      <c r="R1252" t="str">
        <f ca="1">IF(ISNUMBER(M1252),OFFSET('MPIO_SFIO Table'!$AJ$11,M1252,0),"")</f>
        <v/>
      </c>
      <c r="S1252" t="str">
        <f ca="1">IF(ISNUMBER(N1252),OFFSET('MPIO_SFIO Table'!$AJ$11,N1252,0),"")</f>
        <v/>
      </c>
      <c r="T1252" t="str">
        <f ca="1">IF(ISNUMBER(O1252),OFFSET('MPIO_SFIO Table'!$AJ$11,O1252,0),"")</f>
        <v/>
      </c>
      <c r="U1252" t="str">
        <f ca="1">IF(ISNUMBER(P1252),OFFSET('MPIO_SFIO Table'!$AJ$11,P1252,0),"")</f>
        <v/>
      </c>
      <c r="V1252" t="str">
        <f ca="1">IF(ISNUMBER(Q1252),OFFSET('MPIO_SFIO Table'!$AJ$11,Q1252,0),"")</f>
        <v/>
      </c>
      <c r="W1252">
        <f t="shared" ca="1" si="163"/>
        <v>0</v>
      </c>
      <c r="X1252">
        <f t="shared" ca="1" si="164"/>
        <v>0</v>
      </c>
      <c r="Y1252">
        <f t="shared" ca="1" si="165"/>
        <v>0</v>
      </c>
      <c r="Z1252">
        <f t="shared" ca="1" si="166"/>
        <v>0</v>
      </c>
      <c r="AA1252">
        <f t="shared" ca="1" si="167"/>
        <v>0</v>
      </c>
    </row>
    <row r="1253" spans="1:27" x14ac:dyDescent="0.25">
      <c r="A1253">
        <f t="shared" ca="1" si="160"/>
        <v>0</v>
      </c>
      <c r="B1253" t="str">
        <f t="shared" ca="1" si="161"/>
        <v/>
      </c>
      <c r="C1253" t="str">
        <f t="shared" si="162"/>
        <v/>
      </c>
      <c r="D1253" t="s">
        <v>253</v>
      </c>
      <c r="E1253" t="s">
        <v>253</v>
      </c>
      <c r="F1253" s="3" t="s">
        <v>253</v>
      </c>
      <c r="G1253" s="11" t="s">
        <v>253</v>
      </c>
      <c r="H1253" s="11" t="s">
        <v>253</v>
      </c>
      <c r="I1253" s="3" t="s">
        <v>253</v>
      </c>
      <c r="J1253" s="3" t="s">
        <v>253</v>
      </c>
      <c r="K1253" s="3" t="s">
        <v>253</v>
      </c>
      <c r="L1253" s="3" t="s">
        <v>253</v>
      </c>
      <c r="M1253" t="str">
        <f>IF(LEN(H1253),MATCH(H1253,'MPIO_SFIO Table'!$A$11:$A$65525,0)-1,"")</f>
        <v/>
      </c>
      <c r="N1253" t="str">
        <f>IF(LEN(I1253),MATCH(I1253,'MPIO_SFIO Table'!$A$11:$A$65525,0)-1,"")</f>
        <v/>
      </c>
      <c r="O1253" t="str">
        <f>IF(LEN(J1253),MATCH(J1253,'MPIO_SFIO Table'!$A$11:$A$65525,0)-1,"")</f>
        <v/>
      </c>
      <c r="P1253" t="str">
        <f>IF(LEN(K1253),MATCH(K1253,'MPIO_SFIO Table'!$A$11:$A$65525,0)-1,"")</f>
        <v/>
      </c>
      <c r="Q1253" t="str">
        <f>IF(LEN(L1253),MATCH(L1253,'MPIO_SFIO Table'!$A$11:$A$65525,0)-1,"")</f>
        <v/>
      </c>
      <c r="R1253" t="str">
        <f ca="1">IF(ISNUMBER(M1253),OFFSET('MPIO_SFIO Table'!$AJ$11,M1253,0),"")</f>
        <v/>
      </c>
      <c r="S1253" t="str">
        <f ca="1">IF(ISNUMBER(N1253),OFFSET('MPIO_SFIO Table'!$AJ$11,N1253,0),"")</f>
        <v/>
      </c>
      <c r="T1253" t="str">
        <f ca="1">IF(ISNUMBER(O1253),OFFSET('MPIO_SFIO Table'!$AJ$11,O1253,0),"")</f>
        <v/>
      </c>
      <c r="U1253" t="str">
        <f ca="1">IF(ISNUMBER(P1253),OFFSET('MPIO_SFIO Table'!$AJ$11,P1253,0),"")</f>
        <v/>
      </c>
      <c r="V1253" t="str">
        <f ca="1">IF(ISNUMBER(Q1253),OFFSET('MPIO_SFIO Table'!$AJ$11,Q1253,0),"")</f>
        <v/>
      </c>
      <c r="W1253">
        <f t="shared" ca="1" si="163"/>
        <v>0</v>
      </c>
      <c r="X1253">
        <f t="shared" ca="1" si="164"/>
        <v>0</v>
      </c>
      <c r="Y1253">
        <f t="shared" ca="1" si="165"/>
        <v>0</v>
      </c>
      <c r="Z1253">
        <f t="shared" ca="1" si="166"/>
        <v>0</v>
      </c>
      <c r="AA1253">
        <f t="shared" ca="1" si="167"/>
        <v>0</v>
      </c>
    </row>
    <row r="1254" spans="1:27" x14ac:dyDescent="0.25">
      <c r="A1254">
        <f t="shared" ca="1" si="160"/>
        <v>0</v>
      </c>
      <c r="B1254" t="str">
        <f t="shared" ca="1" si="161"/>
        <v/>
      </c>
      <c r="C1254" t="str">
        <f t="shared" si="162"/>
        <v/>
      </c>
      <c r="D1254" t="s">
        <v>253</v>
      </c>
      <c r="E1254" t="s">
        <v>253</v>
      </c>
      <c r="F1254" s="3" t="s">
        <v>253</v>
      </c>
      <c r="G1254" s="11" t="s">
        <v>253</v>
      </c>
      <c r="H1254" s="11" t="s">
        <v>253</v>
      </c>
      <c r="I1254" s="3" t="s">
        <v>253</v>
      </c>
      <c r="J1254" s="3" t="s">
        <v>253</v>
      </c>
      <c r="K1254" s="3" t="s">
        <v>253</v>
      </c>
      <c r="L1254" s="3" t="s">
        <v>253</v>
      </c>
      <c r="M1254" t="str">
        <f>IF(LEN(H1254),MATCH(H1254,'MPIO_SFIO Table'!$A$11:$A$65525,0)-1,"")</f>
        <v/>
      </c>
      <c r="N1254" t="str">
        <f>IF(LEN(I1254),MATCH(I1254,'MPIO_SFIO Table'!$A$11:$A$65525,0)-1,"")</f>
        <v/>
      </c>
      <c r="O1254" t="str">
        <f>IF(LEN(J1254),MATCH(J1254,'MPIO_SFIO Table'!$A$11:$A$65525,0)-1,"")</f>
        <v/>
      </c>
      <c r="P1254" t="str">
        <f>IF(LEN(K1254),MATCH(K1254,'MPIO_SFIO Table'!$A$11:$A$65525,0)-1,"")</f>
        <v/>
      </c>
      <c r="Q1254" t="str">
        <f>IF(LEN(L1254),MATCH(L1254,'MPIO_SFIO Table'!$A$11:$A$65525,0)-1,"")</f>
        <v/>
      </c>
      <c r="R1254" t="str">
        <f ca="1">IF(ISNUMBER(M1254),OFFSET('MPIO_SFIO Table'!$AJ$11,M1254,0),"")</f>
        <v/>
      </c>
      <c r="S1254" t="str">
        <f ca="1">IF(ISNUMBER(N1254),OFFSET('MPIO_SFIO Table'!$AJ$11,N1254,0),"")</f>
        <v/>
      </c>
      <c r="T1254" t="str">
        <f ca="1">IF(ISNUMBER(O1254),OFFSET('MPIO_SFIO Table'!$AJ$11,O1254,0),"")</f>
        <v/>
      </c>
      <c r="U1254" t="str">
        <f ca="1">IF(ISNUMBER(P1254),OFFSET('MPIO_SFIO Table'!$AJ$11,P1254,0),"")</f>
        <v/>
      </c>
      <c r="V1254" t="str">
        <f ca="1">IF(ISNUMBER(Q1254),OFFSET('MPIO_SFIO Table'!$AJ$11,Q1254,0),"")</f>
        <v/>
      </c>
      <c r="W1254">
        <f t="shared" ca="1" si="163"/>
        <v>0</v>
      </c>
      <c r="X1254">
        <f t="shared" ca="1" si="164"/>
        <v>0</v>
      </c>
      <c r="Y1254">
        <f t="shared" ca="1" si="165"/>
        <v>0</v>
      </c>
      <c r="Z1254">
        <f t="shared" ca="1" si="166"/>
        <v>0</v>
      </c>
      <c r="AA1254">
        <f t="shared" ca="1" si="167"/>
        <v>0</v>
      </c>
    </row>
    <row r="1255" spans="1:27" x14ac:dyDescent="0.25">
      <c r="A1255">
        <f t="shared" ca="1" si="160"/>
        <v>0</v>
      </c>
      <c r="B1255" t="str">
        <f t="shared" ca="1" si="161"/>
        <v/>
      </c>
      <c r="C1255" t="str">
        <f t="shared" si="162"/>
        <v/>
      </c>
      <c r="D1255" t="s">
        <v>253</v>
      </c>
      <c r="E1255" t="s">
        <v>253</v>
      </c>
      <c r="F1255" s="3" t="s">
        <v>253</v>
      </c>
      <c r="G1255" s="11" t="s">
        <v>253</v>
      </c>
      <c r="H1255" s="11" t="s">
        <v>253</v>
      </c>
      <c r="I1255" s="3" t="s">
        <v>253</v>
      </c>
      <c r="J1255" s="3" t="s">
        <v>253</v>
      </c>
      <c r="K1255" s="3" t="s">
        <v>253</v>
      </c>
      <c r="L1255" s="3" t="s">
        <v>253</v>
      </c>
      <c r="M1255" t="str">
        <f>IF(LEN(H1255),MATCH(H1255,'MPIO_SFIO Table'!$A$11:$A$65525,0)-1,"")</f>
        <v/>
      </c>
      <c r="N1255" t="str">
        <f>IF(LEN(I1255),MATCH(I1255,'MPIO_SFIO Table'!$A$11:$A$65525,0)-1,"")</f>
        <v/>
      </c>
      <c r="O1255" t="str">
        <f>IF(LEN(J1255),MATCH(J1255,'MPIO_SFIO Table'!$A$11:$A$65525,0)-1,"")</f>
        <v/>
      </c>
      <c r="P1255" t="str">
        <f>IF(LEN(K1255),MATCH(K1255,'MPIO_SFIO Table'!$A$11:$A$65525,0)-1,"")</f>
        <v/>
      </c>
      <c r="Q1255" t="str">
        <f>IF(LEN(L1255),MATCH(L1255,'MPIO_SFIO Table'!$A$11:$A$65525,0)-1,"")</f>
        <v/>
      </c>
      <c r="R1255" t="str">
        <f ca="1">IF(ISNUMBER(M1255),OFFSET('MPIO_SFIO Table'!$AJ$11,M1255,0),"")</f>
        <v/>
      </c>
      <c r="S1255" t="str">
        <f ca="1">IF(ISNUMBER(N1255),OFFSET('MPIO_SFIO Table'!$AJ$11,N1255,0),"")</f>
        <v/>
      </c>
      <c r="T1255" t="str">
        <f ca="1">IF(ISNUMBER(O1255),OFFSET('MPIO_SFIO Table'!$AJ$11,O1255,0),"")</f>
        <v/>
      </c>
      <c r="U1255" t="str">
        <f ca="1">IF(ISNUMBER(P1255),OFFSET('MPIO_SFIO Table'!$AJ$11,P1255,0),"")</f>
        <v/>
      </c>
      <c r="V1255" t="str">
        <f ca="1">IF(ISNUMBER(Q1255),OFFSET('MPIO_SFIO Table'!$AJ$11,Q1255,0),"")</f>
        <v/>
      </c>
      <c r="W1255">
        <f t="shared" ca="1" si="163"/>
        <v>0</v>
      </c>
      <c r="X1255">
        <f t="shared" ca="1" si="164"/>
        <v>0</v>
      </c>
      <c r="Y1255">
        <f t="shared" ca="1" si="165"/>
        <v>0</v>
      </c>
      <c r="Z1255">
        <f t="shared" ca="1" si="166"/>
        <v>0</v>
      </c>
      <c r="AA1255">
        <f t="shared" ca="1" si="167"/>
        <v>0</v>
      </c>
    </row>
    <row r="1256" spans="1:27" x14ac:dyDescent="0.25">
      <c r="A1256">
        <f t="shared" ca="1" si="160"/>
        <v>0</v>
      </c>
      <c r="B1256" t="str">
        <f t="shared" ca="1" si="161"/>
        <v/>
      </c>
      <c r="C1256" t="str">
        <f t="shared" si="162"/>
        <v/>
      </c>
      <c r="D1256" t="s">
        <v>253</v>
      </c>
      <c r="E1256" t="s">
        <v>253</v>
      </c>
      <c r="F1256" s="3" t="s">
        <v>253</v>
      </c>
      <c r="G1256" s="11" t="s">
        <v>253</v>
      </c>
      <c r="H1256" s="11" t="s">
        <v>253</v>
      </c>
      <c r="I1256" s="3" t="s">
        <v>253</v>
      </c>
      <c r="J1256" s="3" t="s">
        <v>253</v>
      </c>
      <c r="K1256" s="3" t="s">
        <v>253</v>
      </c>
      <c r="L1256" s="3" t="s">
        <v>253</v>
      </c>
      <c r="M1256" t="str">
        <f>IF(LEN(H1256),MATCH(H1256,'MPIO_SFIO Table'!$A$11:$A$65525,0)-1,"")</f>
        <v/>
      </c>
      <c r="N1256" t="str">
        <f>IF(LEN(I1256),MATCH(I1256,'MPIO_SFIO Table'!$A$11:$A$65525,0)-1,"")</f>
        <v/>
      </c>
      <c r="O1256" t="str">
        <f>IF(LEN(J1256),MATCH(J1256,'MPIO_SFIO Table'!$A$11:$A$65525,0)-1,"")</f>
        <v/>
      </c>
      <c r="P1256" t="str">
        <f>IF(LEN(K1256),MATCH(K1256,'MPIO_SFIO Table'!$A$11:$A$65525,0)-1,"")</f>
        <v/>
      </c>
      <c r="Q1256" t="str">
        <f>IF(LEN(L1256),MATCH(L1256,'MPIO_SFIO Table'!$A$11:$A$65525,0)-1,"")</f>
        <v/>
      </c>
      <c r="R1256" t="str">
        <f ca="1">IF(ISNUMBER(M1256),OFFSET('MPIO_SFIO Table'!$AJ$11,M1256,0),"")</f>
        <v/>
      </c>
      <c r="S1256" t="str">
        <f ca="1">IF(ISNUMBER(N1256),OFFSET('MPIO_SFIO Table'!$AJ$11,N1256,0),"")</f>
        <v/>
      </c>
      <c r="T1256" t="str">
        <f ca="1">IF(ISNUMBER(O1256),OFFSET('MPIO_SFIO Table'!$AJ$11,O1256,0),"")</f>
        <v/>
      </c>
      <c r="U1256" t="str">
        <f ca="1">IF(ISNUMBER(P1256),OFFSET('MPIO_SFIO Table'!$AJ$11,P1256,0),"")</f>
        <v/>
      </c>
      <c r="V1256" t="str">
        <f ca="1">IF(ISNUMBER(Q1256),OFFSET('MPIO_SFIO Table'!$AJ$11,Q1256,0),"")</f>
        <v/>
      </c>
      <c r="W1256">
        <f t="shared" ca="1" si="163"/>
        <v>0</v>
      </c>
      <c r="X1256">
        <f t="shared" ca="1" si="164"/>
        <v>0</v>
      </c>
      <c r="Y1256">
        <f t="shared" ca="1" si="165"/>
        <v>0</v>
      </c>
      <c r="Z1256">
        <f t="shared" ca="1" si="166"/>
        <v>0</v>
      </c>
      <c r="AA1256">
        <f t="shared" ca="1" si="167"/>
        <v>0</v>
      </c>
    </row>
    <row r="1257" spans="1:27" x14ac:dyDescent="0.25">
      <c r="A1257">
        <f t="shared" ca="1" si="160"/>
        <v>0</v>
      </c>
      <c r="B1257" t="str">
        <f t="shared" ca="1" si="161"/>
        <v/>
      </c>
      <c r="C1257" t="str">
        <f t="shared" si="162"/>
        <v/>
      </c>
      <c r="D1257" t="s">
        <v>253</v>
      </c>
      <c r="E1257" t="s">
        <v>253</v>
      </c>
      <c r="F1257" s="3" t="s">
        <v>253</v>
      </c>
      <c r="G1257" s="11" t="s">
        <v>253</v>
      </c>
      <c r="H1257" s="11" t="s">
        <v>253</v>
      </c>
      <c r="I1257" s="3" t="s">
        <v>253</v>
      </c>
      <c r="J1257" s="3" t="s">
        <v>253</v>
      </c>
      <c r="K1257" s="3" t="s">
        <v>253</v>
      </c>
      <c r="L1257" s="3" t="s">
        <v>253</v>
      </c>
      <c r="M1257" t="str">
        <f>IF(LEN(H1257),MATCH(H1257,'MPIO_SFIO Table'!$A$11:$A$65525,0)-1,"")</f>
        <v/>
      </c>
      <c r="N1257" t="str">
        <f>IF(LEN(I1257),MATCH(I1257,'MPIO_SFIO Table'!$A$11:$A$65525,0)-1,"")</f>
        <v/>
      </c>
      <c r="O1257" t="str">
        <f>IF(LEN(J1257),MATCH(J1257,'MPIO_SFIO Table'!$A$11:$A$65525,0)-1,"")</f>
        <v/>
      </c>
      <c r="P1257" t="str">
        <f>IF(LEN(K1257),MATCH(K1257,'MPIO_SFIO Table'!$A$11:$A$65525,0)-1,"")</f>
        <v/>
      </c>
      <c r="Q1257" t="str">
        <f>IF(LEN(L1257),MATCH(L1257,'MPIO_SFIO Table'!$A$11:$A$65525,0)-1,"")</f>
        <v/>
      </c>
      <c r="R1257" t="str">
        <f ca="1">IF(ISNUMBER(M1257),OFFSET('MPIO_SFIO Table'!$AJ$11,M1257,0),"")</f>
        <v/>
      </c>
      <c r="S1257" t="str">
        <f ca="1">IF(ISNUMBER(N1257),OFFSET('MPIO_SFIO Table'!$AJ$11,N1257,0),"")</f>
        <v/>
      </c>
      <c r="T1257" t="str">
        <f ca="1">IF(ISNUMBER(O1257),OFFSET('MPIO_SFIO Table'!$AJ$11,O1257,0),"")</f>
        <v/>
      </c>
      <c r="U1257" t="str">
        <f ca="1">IF(ISNUMBER(P1257),OFFSET('MPIO_SFIO Table'!$AJ$11,P1257,0),"")</f>
        <v/>
      </c>
      <c r="V1257" t="str">
        <f ca="1">IF(ISNUMBER(Q1257),OFFSET('MPIO_SFIO Table'!$AJ$11,Q1257,0),"")</f>
        <v/>
      </c>
      <c r="W1257">
        <f t="shared" ca="1" si="163"/>
        <v>0</v>
      </c>
      <c r="X1257">
        <f t="shared" ca="1" si="164"/>
        <v>0</v>
      </c>
      <c r="Y1257">
        <f t="shared" ca="1" si="165"/>
        <v>0</v>
      </c>
      <c r="Z1257">
        <f t="shared" ca="1" si="166"/>
        <v>0</v>
      </c>
      <c r="AA1257">
        <f t="shared" ca="1" si="167"/>
        <v>0</v>
      </c>
    </row>
    <row r="1258" spans="1:27" x14ac:dyDescent="0.25">
      <c r="A1258">
        <f t="shared" ca="1" si="160"/>
        <v>0</v>
      </c>
      <c r="B1258" t="str">
        <f t="shared" ca="1" si="161"/>
        <v/>
      </c>
      <c r="C1258" t="str">
        <f t="shared" si="162"/>
        <v/>
      </c>
      <c r="D1258" t="s">
        <v>253</v>
      </c>
      <c r="E1258" t="s">
        <v>253</v>
      </c>
      <c r="F1258" s="3" t="s">
        <v>253</v>
      </c>
      <c r="G1258" s="11" t="s">
        <v>253</v>
      </c>
      <c r="H1258" s="11" t="s">
        <v>253</v>
      </c>
      <c r="I1258" s="3" t="s">
        <v>253</v>
      </c>
      <c r="J1258" s="3" t="s">
        <v>253</v>
      </c>
      <c r="K1258" s="3" t="s">
        <v>253</v>
      </c>
      <c r="L1258" s="3" t="s">
        <v>253</v>
      </c>
      <c r="M1258" t="str">
        <f>IF(LEN(H1258),MATCH(H1258,'MPIO_SFIO Table'!$A$11:$A$65525,0)-1,"")</f>
        <v/>
      </c>
      <c r="N1258" t="str">
        <f>IF(LEN(I1258),MATCH(I1258,'MPIO_SFIO Table'!$A$11:$A$65525,0)-1,"")</f>
        <v/>
      </c>
      <c r="O1258" t="str">
        <f>IF(LEN(J1258),MATCH(J1258,'MPIO_SFIO Table'!$A$11:$A$65525,0)-1,"")</f>
        <v/>
      </c>
      <c r="P1258" t="str">
        <f>IF(LEN(K1258),MATCH(K1258,'MPIO_SFIO Table'!$A$11:$A$65525,0)-1,"")</f>
        <v/>
      </c>
      <c r="Q1258" t="str">
        <f>IF(LEN(L1258),MATCH(L1258,'MPIO_SFIO Table'!$A$11:$A$65525,0)-1,"")</f>
        <v/>
      </c>
      <c r="R1258" t="str">
        <f ca="1">IF(ISNUMBER(M1258),OFFSET('MPIO_SFIO Table'!$AJ$11,M1258,0),"")</f>
        <v/>
      </c>
      <c r="S1258" t="str">
        <f ca="1">IF(ISNUMBER(N1258),OFFSET('MPIO_SFIO Table'!$AJ$11,N1258,0),"")</f>
        <v/>
      </c>
      <c r="T1258" t="str">
        <f ca="1">IF(ISNUMBER(O1258),OFFSET('MPIO_SFIO Table'!$AJ$11,O1258,0),"")</f>
        <v/>
      </c>
      <c r="U1258" t="str">
        <f ca="1">IF(ISNUMBER(P1258),OFFSET('MPIO_SFIO Table'!$AJ$11,P1258,0),"")</f>
        <v/>
      </c>
      <c r="V1258" t="str">
        <f ca="1">IF(ISNUMBER(Q1258),OFFSET('MPIO_SFIO Table'!$AJ$11,Q1258,0),"")</f>
        <v/>
      </c>
      <c r="W1258">
        <f t="shared" ca="1" si="163"/>
        <v>0</v>
      </c>
      <c r="X1258">
        <f t="shared" ca="1" si="164"/>
        <v>0</v>
      </c>
      <c r="Y1258">
        <f t="shared" ca="1" si="165"/>
        <v>0</v>
      </c>
      <c r="Z1258">
        <f t="shared" ca="1" si="166"/>
        <v>0</v>
      </c>
      <c r="AA1258">
        <f t="shared" ca="1" si="167"/>
        <v>0</v>
      </c>
    </row>
    <row r="1259" spans="1:27" x14ac:dyDescent="0.25">
      <c r="A1259">
        <f t="shared" ca="1" si="160"/>
        <v>0</v>
      </c>
      <c r="B1259" t="str">
        <f t="shared" ca="1" si="161"/>
        <v/>
      </c>
      <c r="C1259" t="str">
        <f t="shared" si="162"/>
        <v/>
      </c>
      <c r="D1259" t="s">
        <v>253</v>
      </c>
      <c r="E1259" t="s">
        <v>253</v>
      </c>
      <c r="F1259" s="3" t="s">
        <v>253</v>
      </c>
      <c r="G1259" s="11" t="s">
        <v>253</v>
      </c>
      <c r="H1259" s="11" t="s">
        <v>253</v>
      </c>
      <c r="I1259" s="3" t="s">
        <v>253</v>
      </c>
      <c r="J1259" s="3" t="s">
        <v>253</v>
      </c>
      <c r="K1259" s="3" t="s">
        <v>253</v>
      </c>
      <c r="L1259" s="3" t="s">
        <v>253</v>
      </c>
      <c r="M1259" t="str">
        <f>IF(LEN(H1259),MATCH(H1259,'MPIO_SFIO Table'!$A$11:$A$65525,0)-1,"")</f>
        <v/>
      </c>
      <c r="N1259" t="str">
        <f>IF(LEN(I1259),MATCH(I1259,'MPIO_SFIO Table'!$A$11:$A$65525,0)-1,"")</f>
        <v/>
      </c>
      <c r="O1259" t="str">
        <f>IF(LEN(J1259),MATCH(J1259,'MPIO_SFIO Table'!$A$11:$A$65525,0)-1,"")</f>
        <v/>
      </c>
      <c r="P1259" t="str">
        <f>IF(LEN(K1259),MATCH(K1259,'MPIO_SFIO Table'!$A$11:$A$65525,0)-1,"")</f>
        <v/>
      </c>
      <c r="Q1259" t="str">
        <f>IF(LEN(L1259),MATCH(L1259,'MPIO_SFIO Table'!$A$11:$A$65525,0)-1,"")</f>
        <v/>
      </c>
      <c r="R1259" t="str">
        <f ca="1">IF(ISNUMBER(M1259),OFFSET('MPIO_SFIO Table'!$AJ$11,M1259,0),"")</f>
        <v/>
      </c>
      <c r="S1259" t="str">
        <f ca="1">IF(ISNUMBER(N1259),OFFSET('MPIO_SFIO Table'!$AJ$11,N1259,0),"")</f>
        <v/>
      </c>
      <c r="T1259" t="str">
        <f ca="1">IF(ISNUMBER(O1259),OFFSET('MPIO_SFIO Table'!$AJ$11,O1259,0),"")</f>
        <v/>
      </c>
      <c r="U1259" t="str">
        <f ca="1">IF(ISNUMBER(P1259),OFFSET('MPIO_SFIO Table'!$AJ$11,P1259,0),"")</f>
        <v/>
      </c>
      <c r="V1259" t="str">
        <f ca="1">IF(ISNUMBER(Q1259),OFFSET('MPIO_SFIO Table'!$AJ$11,Q1259,0),"")</f>
        <v/>
      </c>
      <c r="W1259">
        <f t="shared" ca="1" si="163"/>
        <v>0</v>
      </c>
      <c r="X1259">
        <f t="shared" ca="1" si="164"/>
        <v>0</v>
      </c>
      <c r="Y1259">
        <f t="shared" ca="1" si="165"/>
        <v>0</v>
      </c>
      <c r="Z1259">
        <f t="shared" ca="1" si="166"/>
        <v>0</v>
      </c>
      <c r="AA1259">
        <f t="shared" ca="1" si="167"/>
        <v>0</v>
      </c>
    </row>
    <row r="1260" spans="1:27" x14ac:dyDescent="0.25">
      <c r="A1260">
        <f t="shared" ca="1" si="160"/>
        <v>0</v>
      </c>
      <c r="B1260" t="str">
        <f t="shared" ca="1" si="161"/>
        <v/>
      </c>
      <c r="C1260" t="str">
        <f t="shared" si="162"/>
        <v/>
      </c>
      <c r="D1260" t="s">
        <v>253</v>
      </c>
      <c r="E1260" t="s">
        <v>253</v>
      </c>
      <c r="F1260" s="3" t="s">
        <v>253</v>
      </c>
      <c r="G1260" s="11" t="s">
        <v>253</v>
      </c>
      <c r="H1260" s="11" t="s">
        <v>253</v>
      </c>
      <c r="I1260" s="3" t="s">
        <v>253</v>
      </c>
      <c r="J1260" s="3" t="s">
        <v>253</v>
      </c>
      <c r="K1260" s="3" t="s">
        <v>253</v>
      </c>
      <c r="L1260" s="3" t="s">
        <v>253</v>
      </c>
      <c r="M1260" t="str">
        <f>IF(LEN(H1260),MATCH(H1260,'MPIO_SFIO Table'!$A$11:$A$65525,0)-1,"")</f>
        <v/>
      </c>
      <c r="N1260" t="str">
        <f>IF(LEN(I1260),MATCH(I1260,'MPIO_SFIO Table'!$A$11:$A$65525,0)-1,"")</f>
        <v/>
      </c>
      <c r="O1260" t="str">
        <f>IF(LEN(J1260),MATCH(J1260,'MPIO_SFIO Table'!$A$11:$A$65525,0)-1,"")</f>
        <v/>
      </c>
      <c r="P1260" t="str">
        <f>IF(LEN(K1260),MATCH(K1260,'MPIO_SFIO Table'!$A$11:$A$65525,0)-1,"")</f>
        <v/>
      </c>
      <c r="Q1260" t="str">
        <f>IF(LEN(L1260),MATCH(L1260,'MPIO_SFIO Table'!$A$11:$A$65525,0)-1,"")</f>
        <v/>
      </c>
      <c r="R1260" t="str">
        <f ca="1">IF(ISNUMBER(M1260),OFFSET('MPIO_SFIO Table'!$AJ$11,M1260,0),"")</f>
        <v/>
      </c>
      <c r="S1260" t="str">
        <f ca="1">IF(ISNUMBER(N1260),OFFSET('MPIO_SFIO Table'!$AJ$11,N1260,0),"")</f>
        <v/>
      </c>
      <c r="T1260" t="str">
        <f ca="1">IF(ISNUMBER(O1260),OFFSET('MPIO_SFIO Table'!$AJ$11,O1260,0),"")</f>
        <v/>
      </c>
      <c r="U1260" t="str">
        <f ca="1">IF(ISNUMBER(P1260),OFFSET('MPIO_SFIO Table'!$AJ$11,P1260,0),"")</f>
        <v/>
      </c>
      <c r="V1260" t="str">
        <f ca="1">IF(ISNUMBER(Q1260),OFFSET('MPIO_SFIO Table'!$AJ$11,Q1260,0),"")</f>
        <v/>
      </c>
      <c r="W1260">
        <f t="shared" ca="1" si="163"/>
        <v>0</v>
      </c>
      <c r="X1260">
        <f t="shared" ca="1" si="164"/>
        <v>0</v>
      </c>
      <c r="Y1260">
        <f t="shared" ca="1" si="165"/>
        <v>0</v>
      </c>
      <c r="Z1260">
        <f t="shared" ca="1" si="166"/>
        <v>0</v>
      </c>
      <c r="AA1260">
        <f t="shared" ca="1" si="167"/>
        <v>0</v>
      </c>
    </row>
    <row r="1261" spans="1:27" x14ac:dyDescent="0.25">
      <c r="A1261">
        <f t="shared" ca="1" si="160"/>
        <v>0</v>
      </c>
      <c r="B1261" t="str">
        <f t="shared" ca="1" si="161"/>
        <v/>
      </c>
      <c r="C1261" t="str">
        <f t="shared" si="162"/>
        <v/>
      </c>
      <c r="D1261" t="s">
        <v>253</v>
      </c>
      <c r="E1261" t="s">
        <v>253</v>
      </c>
      <c r="F1261" s="3" t="s">
        <v>253</v>
      </c>
      <c r="G1261" s="11" t="s">
        <v>253</v>
      </c>
      <c r="H1261" s="11" t="s">
        <v>253</v>
      </c>
      <c r="I1261" s="3" t="s">
        <v>253</v>
      </c>
      <c r="J1261" s="3" t="s">
        <v>253</v>
      </c>
      <c r="K1261" s="3" t="s">
        <v>253</v>
      </c>
      <c r="L1261" s="3" t="s">
        <v>253</v>
      </c>
      <c r="M1261" t="str">
        <f>IF(LEN(H1261),MATCH(H1261,'MPIO_SFIO Table'!$A$11:$A$65525,0)-1,"")</f>
        <v/>
      </c>
      <c r="N1261" t="str">
        <f>IF(LEN(I1261),MATCH(I1261,'MPIO_SFIO Table'!$A$11:$A$65525,0)-1,"")</f>
        <v/>
      </c>
      <c r="O1261" t="str">
        <f>IF(LEN(J1261),MATCH(J1261,'MPIO_SFIO Table'!$A$11:$A$65525,0)-1,"")</f>
        <v/>
      </c>
      <c r="P1261" t="str">
        <f>IF(LEN(K1261),MATCH(K1261,'MPIO_SFIO Table'!$A$11:$A$65525,0)-1,"")</f>
        <v/>
      </c>
      <c r="Q1261" t="str">
        <f>IF(LEN(L1261),MATCH(L1261,'MPIO_SFIO Table'!$A$11:$A$65525,0)-1,"")</f>
        <v/>
      </c>
      <c r="R1261" t="str">
        <f ca="1">IF(ISNUMBER(M1261),OFFSET('MPIO_SFIO Table'!$AJ$11,M1261,0),"")</f>
        <v/>
      </c>
      <c r="S1261" t="str">
        <f ca="1">IF(ISNUMBER(N1261),OFFSET('MPIO_SFIO Table'!$AJ$11,N1261,0),"")</f>
        <v/>
      </c>
      <c r="T1261" t="str">
        <f ca="1">IF(ISNUMBER(O1261),OFFSET('MPIO_SFIO Table'!$AJ$11,O1261,0),"")</f>
        <v/>
      </c>
      <c r="U1261" t="str">
        <f ca="1">IF(ISNUMBER(P1261),OFFSET('MPIO_SFIO Table'!$AJ$11,P1261,0),"")</f>
        <v/>
      </c>
      <c r="V1261" t="str">
        <f ca="1">IF(ISNUMBER(Q1261),OFFSET('MPIO_SFIO Table'!$AJ$11,Q1261,0),"")</f>
        <v/>
      </c>
      <c r="W1261">
        <f t="shared" ca="1" si="163"/>
        <v>0</v>
      </c>
      <c r="X1261">
        <f t="shared" ca="1" si="164"/>
        <v>0</v>
      </c>
      <c r="Y1261">
        <f t="shared" ca="1" si="165"/>
        <v>0</v>
      </c>
      <c r="Z1261">
        <f t="shared" ca="1" si="166"/>
        <v>0</v>
      </c>
      <c r="AA1261">
        <f t="shared" ca="1" si="167"/>
        <v>0</v>
      </c>
    </row>
    <row r="1262" spans="1:27" x14ac:dyDescent="0.25">
      <c r="A1262">
        <f t="shared" ca="1" si="160"/>
        <v>0</v>
      </c>
      <c r="B1262" t="str">
        <f t="shared" ca="1" si="161"/>
        <v/>
      </c>
      <c r="C1262" t="str">
        <f t="shared" si="162"/>
        <v/>
      </c>
      <c r="D1262" t="s">
        <v>253</v>
      </c>
      <c r="E1262" t="s">
        <v>253</v>
      </c>
      <c r="F1262" s="3" t="s">
        <v>253</v>
      </c>
      <c r="G1262" s="11" t="s">
        <v>253</v>
      </c>
      <c r="H1262" s="11" t="s">
        <v>253</v>
      </c>
      <c r="I1262" s="3" t="s">
        <v>253</v>
      </c>
      <c r="J1262" s="3" t="s">
        <v>253</v>
      </c>
      <c r="K1262" s="3" t="s">
        <v>253</v>
      </c>
      <c r="L1262" s="3" t="s">
        <v>253</v>
      </c>
      <c r="M1262" t="str">
        <f>IF(LEN(H1262),MATCH(H1262,'MPIO_SFIO Table'!$A$11:$A$65525,0)-1,"")</f>
        <v/>
      </c>
      <c r="N1262" t="str">
        <f>IF(LEN(I1262),MATCH(I1262,'MPIO_SFIO Table'!$A$11:$A$65525,0)-1,"")</f>
        <v/>
      </c>
      <c r="O1262" t="str">
        <f>IF(LEN(J1262),MATCH(J1262,'MPIO_SFIO Table'!$A$11:$A$65525,0)-1,"")</f>
        <v/>
      </c>
      <c r="P1262" t="str">
        <f>IF(LEN(K1262),MATCH(K1262,'MPIO_SFIO Table'!$A$11:$A$65525,0)-1,"")</f>
        <v/>
      </c>
      <c r="Q1262" t="str">
        <f>IF(LEN(L1262),MATCH(L1262,'MPIO_SFIO Table'!$A$11:$A$65525,0)-1,"")</f>
        <v/>
      </c>
      <c r="R1262" t="str">
        <f ca="1">IF(ISNUMBER(M1262),OFFSET('MPIO_SFIO Table'!$AJ$11,M1262,0),"")</f>
        <v/>
      </c>
      <c r="S1262" t="str">
        <f ca="1">IF(ISNUMBER(N1262),OFFSET('MPIO_SFIO Table'!$AJ$11,N1262,0),"")</f>
        <v/>
      </c>
      <c r="T1262" t="str">
        <f ca="1">IF(ISNUMBER(O1262),OFFSET('MPIO_SFIO Table'!$AJ$11,O1262,0),"")</f>
        <v/>
      </c>
      <c r="U1262" t="str">
        <f ca="1">IF(ISNUMBER(P1262),OFFSET('MPIO_SFIO Table'!$AJ$11,P1262,0),"")</f>
        <v/>
      </c>
      <c r="V1262" t="str">
        <f ca="1">IF(ISNUMBER(Q1262),OFFSET('MPIO_SFIO Table'!$AJ$11,Q1262,0),"")</f>
        <v/>
      </c>
      <c r="W1262">
        <f t="shared" ca="1" si="163"/>
        <v>0</v>
      </c>
      <c r="X1262">
        <f t="shared" ca="1" si="164"/>
        <v>0</v>
      </c>
      <c r="Y1262">
        <f t="shared" ca="1" si="165"/>
        <v>0</v>
      </c>
      <c r="Z1262">
        <f t="shared" ca="1" si="166"/>
        <v>0</v>
      </c>
      <c r="AA1262">
        <f t="shared" ca="1" si="167"/>
        <v>0</v>
      </c>
    </row>
    <row r="1263" spans="1:27" x14ac:dyDescent="0.25">
      <c r="A1263">
        <f t="shared" ca="1" si="160"/>
        <v>0</v>
      </c>
      <c r="B1263" t="str">
        <f t="shared" ca="1" si="161"/>
        <v/>
      </c>
      <c r="C1263" t="str">
        <f t="shared" si="162"/>
        <v/>
      </c>
      <c r="D1263" t="s">
        <v>253</v>
      </c>
      <c r="E1263" t="s">
        <v>253</v>
      </c>
      <c r="F1263" s="3" t="s">
        <v>253</v>
      </c>
      <c r="G1263" s="11" t="s">
        <v>253</v>
      </c>
      <c r="H1263" s="11" t="s">
        <v>253</v>
      </c>
      <c r="I1263" s="3" t="s">
        <v>253</v>
      </c>
      <c r="J1263" s="3" t="s">
        <v>253</v>
      </c>
      <c r="K1263" s="3" t="s">
        <v>253</v>
      </c>
      <c r="L1263" s="3" t="s">
        <v>253</v>
      </c>
      <c r="M1263" t="str">
        <f>IF(LEN(H1263),MATCH(H1263,'MPIO_SFIO Table'!$A$11:$A$65525,0)-1,"")</f>
        <v/>
      </c>
      <c r="N1263" t="str">
        <f>IF(LEN(I1263),MATCH(I1263,'MPIO_SFIO Table'!$A$11:$A$65525,0)-1,"")</f>
        <v/>
      </c>
      <c r="O1263" t="str">
        <f>IF(LEN(J1263),MATCH(J1263,'MPIO_SFIO Table'!$A$11:$A$65525,0)-1,"")</f>
        <v/>
      </c>
      <c r="P1263" t="str">
        <f>IF(LEN(K1263),MATCH(K1263,'MPIO_SFIO Table'!$A$11:$A$65525,0)-1,"")</f>
        <v/>
      </c>
      <c r="Q1263" t="str">
        <f>IF(LEN(L1263),MATCH(L1263,'MPIO_SFIO Table'!$A$11:$A$65525,0)-1,"")</f>
        <v/>
      </c>
      <c r="R1263" t="str">
        <f ca="1">IF(ISNUMBER(M1263),OFFSET('MPIO_SFIO Table'!$AJ$11,M1263,0),"")</f>
        <v/>
      </c>
      <c r="S1263" t="str">
        <f ca="1">IF(ISNUMBER(N1263),OFFSET('MPIO_SFIO Table'!$AJ$11,N1263,0),"")</f>
        <v/>
      </c>
      <c r="T1263" t="str">
        <f ca="1">IF(ISNUMBER(O1263),OFFSET('MPIO_SFIO Table'!$AJ$11,O1263,0),"")</f>
        <v/>
      </c>
      <c r="U1263" t="str">
        <f ca="1">IF(ISNUMBER(P1263),OFFSET('MPIO_SFIO Table'!$AJ$11,P1263,0),"")</f>
        <v/>
      </c>
      <c r="V1263" t="str">
        <f ca="1">IF(ISNUMBER(Q1263),OFFSET('MPIO_SFIO Table'!$AJ$11,Q1263,0),"")</f>
        <v/>
      </c>
      <c r="W1263">
        <f t="shared" ca="1" si="163"/>
        <v>0</v>
      </c>
      <c r="X1263">
        <f t="shared" ca="1" si="164"/>
        <v>0</v>
      </c>
      <c r="Y1263">
        <f t="shared" ca="1" si="165"/>
        <v>0</v>
      </c>
      <c r="Z1263">
        <f t="shared" ca="1" si="166"/>
        <v>0</v>
      </c>
      <c r="AA1263">
        <f t="shared" ca="1" si="167"/>
        <v>0</v>
      </c>
    </row>
    <row r="1264" spans="1:27" x14ac:dyDescent="0.25">
      <c r="A1264">
        <f t="shared" ca="1" si="160"/>
        <v>0</v>
      </c>
      <c r="B1264" t="str">
        <f t="shared" ca="1" si="161"/>
        <v/>
      </c>
      <c r="C1264" t="str">
        <f t="shared" si="162"/>
        <v/>
      </c>
      <c r="D1264" t="s">
        <v>253</v>
      </c>
      <c r="E1264" t="s">
        <v>253</v>
      </c>
      <c r="F1264" s="3" t="s">
        <v>253</v>
      </c>
      <c r="G1264" s="11" t="s">
        <v>253</v>
      </c>
      <c r="H1264" s="11" t="s">
        <v>253</v>
      </c>
      <c r="I1264" s="3" t="s">
        <v>253</v>
      </c>
      <c r="J1264" s="3" t="s">
        <v>253</v>
      </c>
      <c r="K1264" s="3" t="s">
        <v>253</v>
      </c>
      <c r="L1264" s="3" t="s">
        <v>253</v>
      </c>
      <c r="M1264" t="str">
        <f>IF(LEN(H1264),MATCH(H1264,'MPIO_SFIO Table'!$A$11:$A$65525,0)-1,"")</f>
        <v/>
      </c>
      <c r="N1264" t="str">
        <f>IF(LEN(I1264),MATCH(I1264,'MPIO_SFIO Table'!$A$11:$A$65525,0)-1,"")</f>
        <v/>
      </c>
      <c r="O1264" t="str">
        <f>IF(LEN(J1264),MATCH(J1264,'MPIO_SFIO Table'!$A$11:$A$65525,0)-1,"")</f>
        <v/>
      </c>
      <c r="P1264" t="str">
        <f>IF(LEN(K1264),MATCH(K1264,'MPIO_SFIO Table'!$A$11:$A$65525,0)-1,"")</f>
        <v/>
      </c>
      <c r="Q1264" t="str">
        <f>IF(LEN(L1264),MATCH(L1264,'MPIO_SFIO Table'!$A$11:$A$65525,0)-1,"")</f>
        <v/>
      </c>
      <c r="R1264" t="str">
        <f ca="1">IF(ISNUMBER(M1264),OFFSET('MPIO_SFIO Table'!$AJ$11,M1264,0),"")</f>
        <v/>
      </c>
      <c r="S1264" t="str">
        <f ca="1">IF(ISNUMBER(N1264),OFFSET('MPIO_SFIO Table'!$AJ$11,N1264,0),"")</f>
        <v/>
      </c>
      <c r="T1264" t="str">
        <f ca="1">IF(ISNUMBER(O1264),OFFSET('MPIO_SFIO Table'!$AJ$11,O1264,0),"")</f>
        <v/>
      </c>
      <c r="U1264" t="str">
        <f ca="1">IF(ISNUMBER(P1264),OFFSET('MPIO_SFIO Table'!$AJ$11,P1264,0),"")</f>
        <v/>
      </c>
      <c r="V1264" t="str">
        <f ca="1">IF(ISNUMBER(Q1264),OFFSET('MPIO_SFIO Table'!$AJ$11,Q1264,0),"")</f>
        <v/>
      </c>
      <c r="W1264">
        <f t="shared" ca="1" si="163"/>
        <v>0</v>
      </c>
      <c r="X1264">
        <f t="shared" ca="1" si="164"/>
        <v>0</v>
      </c>
      <c r="Y1264">
        <f t="shared" ca="1" si="165"/>
        <v>0</v>
      </c>
      <c r="Z1264">
        <f t="shared" ca="1" si="166"/>
        <v>0</v>
      </c>
      <c r="AA1264">
        <f t="shared" ca="1" si="167"/>
        <v>0</v>
      </c>
    </row>
    <row r="1265" spans="1:27" x14ac:dyDescent="0.25">
      <c r="A1265">
        <f t="shared" ca="1" si="160"/>
        <v>0</v>
      </c>
      <c r="B1265" t="str">
        <f t="shared" ca="1" si="161"/>
        <v/>
      </c>
      <c r="C1265" t="str">
        <f t="shared" si="162"/>
        <v/>
      </c>
      <c r="D1265" t="s">
        <v>253</v>
      </c>
      <c r="E1265" t="s">
        <v>253</v>
      </c>
      <c r="F1265" s="3" t="s">
        <v>253</v>
      </c>
      <c r="G1265" s="11" t="s">
        <v>253</v>
      </c>
      <c r="H1265" s="11" t="s">
        <v>253</v>
      </c>
      <c r="I1265" s="3" t="s">
        <v>253</v>
      </c>
      <c r="J1265" s="3" t="s">
        <v>253</v>
      </c>
      <c r="K1265" s="3" t="s">
        <v>253</v>
      </c>
      <c r="L1265" s="3" t="s">
        <v>253</v>
      </c>
      <c r="M1265" t="str">
        <f>IF(LEN(H1265),MATCH(H1265,'MPIO_SFIO Table'!$A$11:$A$65525,0)-1,"")</f>
        <v/>
      </c>
      <c r="N1265" t="str">
        <f>IF(LEN(I1265),MATCH(I1265,'MPIO_SFIO Table'!$A$11:$A$65525,0)-1,"")</f>
        <v/>
      </c>
      <c r="O1265" t="str">
        <f>IF(LEN(J1265),MATCH(J1265,'MPIO_SFIO Table'!$A$11:$A$65525,0)-1,"")</f>
        <v/>
      </c>
      <c r="P1265" t="str">
        <f>IF(LEN(K1265),MATCH(K1265,'MPIO_SFIO Table'!$A$11:$A$65525,0)-1,"")</f>
        <v/>
      </c>
      <c r="Q1265" t="str">
        <f>IF(LEN(L1265),MATCH(L1265,'MPIO_SFIO Table'!$A$11:$A$65525,0)-1,"")</f>
        <v/>
      </c>
      <c r="R1265" t="str">
        <f ca="1">IF(ISNUMBER(M1265),OFFSET('MPIO_SFIO Table'!$AJ$11,M1265,0),"")</f>
        <v/>
      </c>
      <c r="S1265" t="str">
        <f ca="1">IF(ISNUMBER(N1265),OFFSET('MPIO_SFIO Table'!$AJ$11,N1265,0),"")</f>
        <v/>
      </c>
      <c r="T1265" t="str">
        <f ca="1">IF(ISNUMBER(O1265),OFFSET('MPIO_SFIO Table'!$AJ$11,O1265,0),"")</f>
        <v/>
      </c>
      <c r="U1265" t="str">
        <f ca="1">IF(ISNUMBER(P1265),OFFSET('MPIO_SFIO Table'!$AJ$11,P1265,0),"")</f>
        <v/>
      </c>
      <c r="V1265" t="str">
        <f ca="1">IF(ISNUMBER(Q1265),OFFSET('MPIO_SFIO Table'!$AJ$11,Q1265,0),"")</f>
        <v/>
      </c>
      <c r="W1265">
        <f t="shared" ca="1" si="163"/>
        <v>0</v>
      </c>
      <c r="X1265">
        <f t="shared" ca="1" si="164"/>
        <v>0</v>
      </c>
      <c r="Y1265">
        <f t="shared" ca="1" si="165"/>
        <v>0</v>
      </c>
      <c r="Z1265">
        <f t="shared" ca="1" si="166"/>
        <v>0</v>
      </c>
      <c r="AA1265">
        <f t="shared" ca="1" si="167"/>
        <v>0</v>
      </c>
    </row>
    <row r="1266" spans="1:27" x14ac:dyDescent="0.25">
      <c r="A1266">
        <f t="shared" ca="1" si="160"/>
        <v>0</v>
      </c>
      <c r="B1266" t="str">
        <f t="shared" ca="1" si="161"/>
        <v/>
      </c>
      <c r="C1266" t="str">
        <f t="shared" si="162"/>
        <v/>
      </c>
      <c r="D1266" t="s">
        <v>253</v>
      </c>
      <c r="E1266" t="s">
        <v>253</v>
      </c>
      <c r="F1266" s="3" t="s">
        <v>253</v>
      </c>
      <c r="G1266" s="11" t="s">
        <v>253</v>
      </c>
      <c r="H1266" s="11" t="s">
        <v>253</v>
      </c>
      <c r="I1266" s="3" t="s">
        <v>253</v>
      </c>
      <c r="J1266" s="3" t="s">
        <v>253</v>
      </c>
      <c r="K1266" s="3" t="s">
        <v>253</v>
      </c>
      <c r="L1266" s="3" t="s">
        <v>253</v>
      </c>
      <c r="M1266" t="str">
        <f>IF(LEN(H1266),MATCH(H1266,'MPIO_SFIO Table'!$A$11:$A$65525,0)-1,"")</f>
        <v/>
      </c>
      <c r="N1266" t="str">
        <f>IF(LEN(I1266),MATCH(I1266,'MPIO_SFIO Table'!$A$11:$A$65525,0)-1,"")</f>
        <v/>
      </c>
      <c r="O1266" t="str">
        <f>IF(LEN(J1266),MATCH(J1266,'MPIO_SFIO Table'!$A$11:$A$65525,0)-1,"")</f>
        <v/>
      </c>
      <c r="P1266" t="str">
        <f>IF(LEN(K1266),MATCH(K1266,'MPIO_SFIO Table'!$A$11:$A$65525,0)-1,"")</f>
        <v/>
      </c>
      <c r="Q1266" t="str">
        <f>IF(LEN(L1266),MATCH(L1266,'MPIO_SFIO Table'!$A$11:$A$65525,0)-1,"")</f>
        <v/>
      </c>
      <c r="R1266" t="str">
        <f ca="1">IF(ISNUMBER(M1266),OFFSET('MPIO_SFIO Table'!$AJ$11,M1266,0),"")</f>
        <v/>
      </c>
      <c r="S1266" t="str">
        <f ca="1">IF(ISNUMBER(N1266),OFFSET('MPIO_SFIO Table'!$AJ$11,N1266,0),"")</f>
        <v/>
      </c>
      <c r="T1266" t="str">
        <f ca="1">IF(ISNUMBER(O1266),OFFSET('MPIO_SFIO Table'!$AJ$11,O1266,0),"")</f>
        <v/>
      </c>
      <c r="U1266" t="str">
        <f ca="1">IF(ISNUMBER(P1266),OFFSET('MPIO_SFIO Table'!$AJ$11,P1266,0),"")</f>
        <v/>
      </c>
      <c r="V1266" t="str">
        <f ca="1">IF(ISNUMBER(Q1266),OFFSET('MPIO_SFIO Table'!$AJ$11,Q1266,0),"")</f>
        <v/>
      </c>
      <c r="W1266">
        <f t="shared" ca="1" si="163"/>
        <v>0</v>
      </c>
      <c r="X1266">
        <f t="shared" ca="1" si="164"/>
        <v>0</v>
      </c>
      <c r="Y1266">
        <f t="shared" ca="1" si="165"/>
        <v>0</v>
      </c>
      <c r="Z1266">
        <f t="shared" ca="1" si="166"/>
        <v>0</v>
      </c>
      <c r="AA1266">
        <f t="shared" ca="1" si="167"/>
        <v>0</v>
      </c>
    </row>
    <row r="1267" spans="1:27" x14ac:dyDescent="0.25">
      <c r="A1267">
        <f t="shared" ca="1" si="160"/>
        <v>0</v>
      </c>
      <c r="B1267" t="str">
        <f t="shared" ca="1" si="161"/>
        <v/>
      </c>
      <c r="C1267" t="str">
        <f t="shared" si="162"/>
        <v/>
      </c>
      <c r="D1267" t="s">
        <v>253</v>
      </c>
      <c r="E1267" t="s">
        <v>253</v>
      </c>
      <c r="F1267" s="3" t="s">
        <v>253</v>
      </c>
      <c r="G1267" s="11" t="s">
        <v>253</v>
      </c>
      <c r="H1267" s="11" t="s">
        <v>253</v>
      </c>
      <c r="I1267" s="3" t="s">
        <v>253</v>
      </c>
      <c r="J1267" s="3" t="s">
        <v>253</v>
      </c>
      <c r="K1267" s="3" t="s">
        <v>253</v>
      </c>
      <c r="L1267" s="3" t="s">
        <v>253</v>
      </c>
      <c r="M1267" t="str">
        <f>IF(LEN(H1267),MATCH(H1267,'MPIO_SFIO Table'!$A$11:$A$65525,0)-1,"")</f>
        <v/>
      </c>
      <c r="N1267" t="str">
        <f>IF(LEN(I1267),MATCH(I1267,'MPIO_SFIO Table'!$A$11:$A$65525,0)-1,"")</f>
        <v/>
      </c>
      <c r="O1267" t="str">
        <f>IF(LEN(J1267),MATCH(J1267,'MPIO_SFIO Table'!$A$11:$A$65525,0)-1,"")</f>
        <v/>
      </c>
      <c r="P1267" t="str">
        <f>IF(LEN(K1267),MATCH(K1267,'MPIO_SFIO Table'!$A$11:$A$65525,0)-1,"")</f>
        <v/>
      </c>
      <c r="Q1267" t="str">
        <f>IF(LEN(L1267),MATCH(L1267,'MPIO_SFIO Table'!$A$11:$A$65525,0)-1,"")</f>
        <v/>
      </c>
      <c r="R1267" t="str">
        <f ca="1">IF(ISNUMBER(M1267),OFFSET('MPIO_SFIO Table'!$AJ$11,M1267,0),"")</f>
        <v/>
      </c>
      <c r="S1267" t="str">
        <f ca="1">IF(ISNUMBER(N1267),OFFSET('MPIO_SFIO Table'!$AJ$11,N1267,0),"")</f>
        <v/>
      </c>
      <c r="T1267" t="str">
        <f ca="1">IF(ISNUMBER(O1267),OFFSET('MPIO_SFIO Table'!$AJ$11,O1267,0),"")</f>
        <v/>
      </c>
      <c r="U1267" t="str">
        <f ca="1">IF(ISNUMBER(P1267),OFFSET('MPIO_SFIO Table'!$AJ$11,P1267,0),"")</f>
        <v/>
      </c>
      <c r="V1267" t="str">
        <f ca="1">IF(ISNUMBER(Q1267),OFFSET('MPIO_SFIO Table'!$AJ$11,Q1267,0),"")</f>
        <v/>
      </c>
      <c r="W1267">
        <f t="shared" ca="1" si="163"/>
        <v>0</v>
      </c>
      <c r="X1267">
        <f t="shared" ca="1" si="164"/>
        <v>0</v>
      </c>
      <c r="Y1267">
        <f t="shared" ca="1" si="165"/>
        <v>0</v>
      </c>
      <c r="Z1267">
        <f t="shared" ca="1" si="166"/>
        <v>0</v>
      </c>
      <c r="AA1267">
        <f t="shared" ca="1" si="167"/>
        <v>0</v>
      </c>
    </row>
    <row r="1268" spans="1:27" x14ac:dyDescent="0.25">
      <c r="A1268">
        <f t="shared" ca="1" si="160"/>
        <v>0</v>
      </c>
      <c r="B1268" t="str">
        <f t="shared" ca="1" si="161"/>
        <v/>
      </c>
      <c r="C1268" t="str">
        <f t="shared" si="162"/>
        <v/>
      </c>
      <c r="D1268" t="s">
        <v>253</v>
      </c>
      <c r="E1268" t="s">
        <v>253</v>
      </c>
      <c r="F1268" s="3" t="s">
        <v>253</v>
      </c>
      <c r="G1268" s="11" t="s">
        <v>253</v>
      </c>
      <c r="H1268" s="11" t="s">
        <v>253</v>
      </c>
      <c r="I1268" s="3" t="s">
        <v>253</v>
      </c>
      <c r="J1268" s="3" t="s">
        <v>253</v>
      </c>
      <c r="K1268" s="3" t="s">
        <v>253</v>
      </c>
      <c r="L1268" s="3" t="s">
        <v>253</v>
      </c>
      <c r="M1268" t="str">
        <f>IF(LEN(H1268),MATCH(H1268,'MPIO_SFIO Table'!$A$11:$A$65525,0)-1,"")</f>
        <v/>
      </c>
      <c r="N1268" t="str">
        <f>IF(LEN(I1268),MATCH(I1268,'MPIO_SFIO Table'!$A$11:$A$65525,0)-1,"")</f>
        <v/>
      </c>
      <c r="O1268" t="str">
        <f>IF(LEN(J1268),MATCH(J1268,'MPIO_SFIO Table'!$A$11:$A$65525,0)-1,"")</f>
        <v/>
      </c>
      <c r="P1268" t="str">
        <f>IF(LEN(K1268),MATCH(K1268,'MPIO_SFIO Table'!$A$11:$A$65525,0)-1,"")</f>
        <v/>
      </c>
      <c r="Q1268" t="str">
        <f>IF(LEN(L1268),MATCH(L1268,'MPIO_SFIO Table'!$A$11:$A$65525,0)-1,"")</f>
        <v/>
      </c>
      <c r="R1268" t="str">
        <f ca="1">IF(ISNUMBER(M1268),OFFSET('MPIO_SFIO Table'!$AJ$11,M1268,0),"")</f>
        <v/>
      </c>
      <c r="S1268" t="str">
        <f ca="1">IF(ISNUMBER(N1268),OFFSET('MPIO_SFIO Table'!$AJ$11,N1268,0),"")</f>
        <v/>
      </c>
      <c r="T1268" t="str">
        <f ca="1">IF(ISNUMBER(O1268),OFFSET('MPIO_SFIO Table'!$AJ$11,O1268,0),"")</f>
        <v/>
      </c>
      <c r="U1268" t="str">
        <f ca="1">IF(ISNUMBER(P1268),OFFSET('MPIO_SFIO Table'!$AJ$11,P1268,0),"")</f>
        <v/>
      </c>
      <c r="V1268" t="str">
        <f ca="1">IF(ISNUMBER(Q1268),OFFSET('MPIO_SFIO Table'!$AJ$11,Q1268,0),"")</f>
        <v/>
      </c>
      <c r="W1268">
        <f t="shared" ca="1" si="163"/>
        <v>0</v>
      </c>
      <c r="X1268">
        <f t="shared" ca="1" si="164"/>
        <v>0</v>
      </c>
      <c r="Y1268">
        <f t="shared" ca="1" si="165"/>
        <v>0</v>
      </c>
      <c r="Z1268">
        <f t="shared" ca="1" si="166"/>
        <v>0</v>
      </c>
      <c r="AA1268">
        <f t="shared" ca="1" si="167"/>
        <v>0</v>
      </c>
    </row>
    <row r="1269" spans="1:27" x14ac:dyDescent="0.25">
      <c r="A1269">
        <f t="shared" ca="1" si="160"/>
        <v>0</v>
      </c>
      <c r="B1269" t="str">
        <f t="shared" ca="1" si="161"/>
        <v/>
      </c>
      <c r="C1269" t="str">
        <f t="shared" si="162"/>
        <v/>
      </c>
      <c r="D1269" t="s">
        <v>253</v>
      </c>
      <c r="E1269" t="s">
        <v>253</v>
      </c>
      <c r="F1269" s="3" t="s">
        <v>253</v>
      </c>
      <c r="G1269" s="11" t="s">
        <v>253</v>
      </c>
      <c r="H1269" s="11" t="s">
        <v>253</v>
      </c>
      <c r="I1269" s="3" t="s">
        <v>253</v>
      </c>
      <c r="J1269" s="3" t="s">
        <v>253</v>
      </c>
      <c r="K1269" s="3" t="s">
        <v>253</v>
      </c>
      <c r="L1269" s="3" t="s">
        <v>253</v>
      </c>
      <c r="M1269" t="str">
        <f>IF(LEN(H1269),MATCH(H1269,'MPIO_SFIO Table'!$A$11:$A$65525,0)-1,"")</f>
        <v/>
      </c>
      <c r="N1269" t="str">
        <f>IF(LEN(I1269),MATCH(I1269,'MPIO_SFIO Table'!$A$11:$A$65525,0)-1,"")</f>
        <v/>
      </c>
      <c r="O1269" t="str">
        <f>IF(LEN(J1269),MATCH(J1269,'MPIO_SFIO Table'!$A$11:$A$65525,0)-1,"")</f>
        <v/>
      </c>
      <c r="P1269" t="str">
        <f>IF(LEN(K1269),MATCH(K1269,'MPIO_SFIO Table'!$A$11:$A$65525,0)-1,"")</f>
        <v/>
      </c>
      <c r="Q1269" t="str">
        <f>IF(LEN(L1269),MATCH(L1269,'MPIO_SFIO Table'!$A$11:$A$65525,0)-1,"")</f>
        <v/>
      </c>
      <c r="R1269" t="str">
        <f ca="1">IF(ISNUMBER(M1269),OFFSET('MPIO_SFIO Table'!$AJ$11,M1269,0),"")</f>
        <v/>
      </c>
      <c r="S1269" t="str">
        <f ca="1">IF(ISNUMBER(N1269),OFFSET('MPIO_SFIO Table'!$AJ$11,N1269,0),"")</f>
        <v/>
      </c>
      <c r="T1269" t="str">
        <f ca="1">IF(ISNUMBER(O1269),OFFSET('MPIO_SFIO Table'!$AJ$11,O1269,0),"")</f>
        <v/>
      </c>
      <c r="U1269" t="str">
        <f ca="1">IF(ISNUMBER(P1269),OFFSET('MPIO_SFIO Table'!$AJ$11,P1269,0),"")</f>
        <v/>
      </c>
      <c r="V1269" t="str">
        <f ca="1">IF(ISNUMBER(Q1269),OFFSET('MPIO_SFIO Table'!$AJ$11,Q1269,0),"")</f>
        <v/>
      </c>
      <c r="W1269">
        <f t="shared" ca="1" si="163"/>
        <v>0</v>
      </c>
      <c r="X1269">
        <f t="shared" ca="1" si="164"/>
        <v>0</v>
      </c>
      <c r="Y1269">
        <f t="shared" ca="1" si="165"/>
        <v>0</v>
      </c>
      <c r="Z1269">
        <f t="shared" ca="1" si="166"/>
        <v>0</v>
      </c>
      <c r="AA1269">
        <f t="shared" ca="1" si="167"/>
        <v>0</v>
      </c>
    </row>
    <row r="1270" spans="1:27" x14ac:dyDescent="0.25">
      <c r="A1270">
        <f t="shared" ca="1" si="160"/>
        <v>0</v>
      </c>
      <c r="B1270" t="str">
        <f t="shared" ca="1" si="161"/>
        <v/>
      </c>
      <c r="C1270" t="str">
        <f t="shared" si="162"/>
        <v/>
      </c>
      <c r="D1270" t="s">
        <v>253</v>
      </c>
      <c r="E1270" t="s">
        <v>253</v>
      </c>
      <c r="F1270" s="3" t="s">
        <v>253</v>
      </c>
      <c r="G1270" s="11" t="s">
        <v>253</v>
      </c>
      <c r="H1270" s="11" t="s">
        <v>253</v>
      </c>
      <c r="I1270" s="3" t="s">
        <v>253</v>
      </c>
      <c r="J1270" s="3" t="s">
        <v>253</v>
      </c>
      <c r="K1270" s="3" t="s">
        <v>253</v>
      </c>
      <c r="L1270" s="3" t="s">
        <v>253</v>
      </c>
      <c r="M1270" t="str">
        <f>IF(LEN(H1270),MATCH(H1270,'MPIO_SFIO Table'!$A$11:$A$65525,0)-1,"")</f>
        <v/>
      </c>
      <c r="N1270" t="str">
        <f>IF(LEN(I1270),MATCH(I1270,'MPIO_SFIO Table'!$A$11:$A$65525,0)-1,"")</f>
        <v/>
      </c>
      <c r="O1270" t="str">
        <f>IF(LEN(J1270),MATCH(J1270,'MPIO_SFIO Table'!$A$11:$A$65525,0)-1,"")</f>
        <v/>
      </c>
      <c r="P1270" t="str">
        <f>IF(LEN(K1270),MATCH(K1270,'MPIO_SFIO Table'!$A$11:$A$65525,0)-1,"")</f>
        <v/>
      </c>
      <c r="Q1270" t="str">
        <f>IF(LEN(L1270),MATCH(L1270,'MPIO_SFIO Table'!$A$11:$A$65525,0)-1,"")</f>
        <v/>
      </c>
      <c r="R1270" t="str">
        <f ca="1">IF(ISNUMBER(M1270),OFFSET('MPIO_SFIO Table'!$AJ$11,M1270,0),"")</f>
        <v/>
      </c>
      <c r="S1270" t="str">
        <f ca="1">IF(ISNUMBER(N1270),OFFSET('MPIO_SFIO Table'!$AJ$11,N1270,0),"")</f>
        <v/>
      </c>
      <c r="T1270" t="str">
        <f ca="1">IF(ISNUMBER(O1270),OFFSET('MPIO_SFIO Table'!$AJ$11,O1270,0),"")</f>
        <v/>
      </c>
      <c r="U1270" t="str">
        <f ca="1">IF(ISNUMBER(P1270),OFFSET('MPIO_SFIO Table'!$AJ$11,P1270,0),"")</f>
        <v/>
      </c>
      <c r="V1270" t="str">
        <f ca="1">IF(ISNUMBER(Q1270),OFFSET('MPIO_SFIO Table'!$AJ$11,Q1270,0),"")</f>
        <v/>
      </c>
      <c r="W1270">
        <f t="shared" ca="1" si="163"/>
        <v>0</v>
      </c>
      <c r="X1270">
        <f t="shared" ca="1" si="164"/>
        <v>0</v>
      </c>
      <c r="Y1270">
        <f t="shared" ca="1" si="165"/>
        <v>0</v>
      </c>
      <c r="Z1270">
        <f t="shared" ca="1" si="166"/>
        <v>0</v>
      </c>
      <c r="AA1270">
        <f t="shared" ca="1" si="167"/>
        <v>0</v>
      </c>
    </row>
    <row r="1271" spans="1:27" x14ac:dyDescent="0.25">
      <c r="A1271">
        <f t="shared" ca="1" si="160"/>
        <v>0</v>
      </c>
      <c r="B1271" t="str">
        <f t="shared" ca="1" si="161"/>
        <v/>
      </c>
      <c r="C1271" t="str">
        <f t="shared" si="162"/>
        <v/>
      </c>
      <c r="D1271" t="s">
        <v>253</v>
      </c>
      <c r="E1271" t="s">
        <v>253</v>
      </c>
      <c r="F1271" s="3" t="s">
        <v>253</v>
      </c>
      <c r="G1271" s="11" t="s">
        <v>253</v>
      </c>
      <c r="H1271" s="11" t="s">
        <v>253</v>
      </c>
      <c r="I1271" s="3" t="s">
        <v>253</v>
      </c>
      <c r="J1271" s="3" t="s">
        <v>253</v>
      </c>
      <c r="K1271" s="3" t="s">
        <v>253</v>
      </c>
      <c r="L1271" s="3" t="s">
        <v>253</v>
      </c>
      <c r="M1271" t="str">
        <f>IF(LEN(H1271),MATCH(H1271,'MPIO_SFIO Table'!$A$11:$A$65525,0)-1,"")</f>
        <v/>
      </c>
      <c r="N1271" t="str">
        <f>IF(LEN(I1271),MATCH(I1271,'MPIO_SFIO Table'!$A$11:$A$65525,0)-1,"")</f>
        <v/>
      </c>
      <c r="O1271" t="str">
        <f>IF(LEN(J1271),MATCH(J1271,'MPIO_SFIO Table'!$A$11:$A$65525,0)-1,"")</f>
        <v/>
      </c>
      <c r="P1271" t="str">
        <f>IF(LEN(K1271),MATCH(K1271,'MPIO_SFIO Table'!$A$11:$A$65525,0)-1,"")</f>
        <v/>
      </c>
      <c r="Q1271" t="str">
        <f>IF(LEN(L1271),MATCH(L1271,'MPIO_SFIO Table'!$A$11:$A$65525,0)-1,"")</f>
        <v/>
      </c>
      <c r="R1271" t="str">
        <f ca="1">IF(ISNUMBER(M1271),OFFSET('MPIO_SFIO Table'!$AJ$11,M1271,0),"")</f>
        <v/>
      </c>
      <c r="S1271" t="str">
        <f ca="1">IF(ISNUMBER(N1271),OFFSET('MPIO_SFIO Table'!$AJ$11,N1271,0),"")</f>
        <v/>
      </c>
      <c r="T1271" t="str">
        <f ca="1">IF(ISNUMBER(O1271),OFFSET('MPIO_SFIO Table'!$AJ$11,O1271,0),"")</f>
        <v/>
      </c>
      <c r="U1271" t="str">
        <f ca="1">IF(ISNUMBER(P1271),OFFSET('MPIO_SFIO Table'!$AJ$11,P1271,0),"")</f>
        <v/>
      </c>
      <c r="V1271" t="str">
        <f ca="1">IF(ISNUMBER(Q1271),OFFSET('MPIO_SFIO Table'!$AJ$11,Q1271,0),"")</f>
        <v/>
      </c>
      <c r="W1271">
        <f t="shared" ca="1" si="163"/>
        <v>0</v>
      </c>
      <c r="X1271">
        <f t="shared" ca="1" si="164"/>
        <v>0</v>
      </c>
      <c r="Y1271">
        <f t="shared" ca="1" si="165"/>
        <v>0</v>
      </c>
      <c r="Z1271">
        <f t="shared" ca="1" si="166"/>
        <v>0</v>
      </c>
      <c r="AA1271">
        <f t="shared" ca="1" si="167"/>
        <v>0</v>
      </c>
    </row>
    <row r="1272" spans="1:27" x14ac:dyDescent="0.25">
      <c r="A1272">
        <f t="shared" ca="1" si="160"/>
        <v>0</v>
      </c>
      <c r="B1272" t="str">
        <f t="shared" ca="1" si="161"/>
        <v/>
      </c>
      <c r="C1272" t="str">
        <f t="shared" si="162"/>
        <v/>
      </c>
      <c r="D1272" t="s">
        <v>253</v>
      </c>
      <c r="E1272" t="s">
        <v>253</v>
      </c>
      <c r="F1272" s="3" t="s">
        <v>253</v>
      </c>
      <c r="G1272" s="11" t="s">
        <v>253</v>
      </c>
      <c r="H1272" s="11" t="s">
        <v>253</v>
      </c>
      <c r="I1272" s="3" t="s">
        <v>253</v>
      </c>
      <c r="J1272" s="3" t="s">
        <v>253</v>
      </c>
      <c r="K1272" s="3" t="s">
        <v>253</v>
      </c>
      <c r="L1272" s="3" t="s">
        <v>253</v>
      </c>
      <c r="M1272" t="str">
        <f>IF(LEN(H1272),MATCH(H1272,'MPIO_SFIO Table'!$A$11:$A$65525,0)-1,"")</f>
        <v/>
      </c>
      <c r="N1272" t="str">
        <f>IF(LEN(I1272),MATCH(I1272,'MPIO_SFIO Table'!$A$11:$A$65525,0)-1,"")</f>
        <v/>
      </c>
      <c r="O1272" t="str">
        <f>IF(LEN(J1272),MATCH(J1272,'MPIO_SFIO Table'!$A$11:$A$65525,0)-1,"")</f>
        <v/>
      </c>
      <c r="P1272" t="str">
        <f>IF(LEN(K1272),MATCH(K1272,'MPIO_SFIO Table'!$A$11:$A$65525,0)-1,"")</f>
        <v/>
      </c>
      <c r="Q1272" t="str">
        <f>IF(LEN(L1272),MATCH(L1272,'MPIO_SFIO Table'!$A$11:$A$65525,0)-1,"")</f>
        <v/>
      </c>
      <c r="R1272" t="str">
        <f ca="1">IF(ISNUMBER(M1272),OFFSET('MPIO_SFIO Table'!$AJ$11,M1272,0),"")</f>
        <v/>
      </c>
      <c r="S1272" t="str">
        <f ca="1">IF(ISNUMBER(N1272),OFFSET('MPIO_SFIO Table'!$AJ$11,N1272,0),"")</f>
        <v/>
      </c>
      <c r="T1272" t="str">
        <f ca="1">IF(ISNUMBER(O1272),OFFSET('MPIO_SFIO Table'!$AJ$11,O1272,0),"")</f>
        <v/>
      </c>
      <c r="U1272" t="str">
        <f ca="1">IF(ISNUMBER(P1272),OFFSET('MPIO_SFIO Table'!$AJ$11,P1272,0),"")</f>
        <v/>
      </c>
      <c r="V1272" t="str">
        <f ca="1">IF(ISNUMBER(Q1272),OFFSET('MPIO_SFIO Table'!$AJ$11,Q1272,0),"")</f>
        <v/>
      </c>
      <c r="W1272">
        <f t="shared" ca="1" si="163"/>
        <v>0</v>
      </c>
      <c r="X1272">
        <f t="shared" ca="1" si="164"/>
        <v>0</v>
      </c>
      <c r="Y1272">
        <f t="shared" ca="1" si="165"/>
        <v>0</v>
      </c>
      <c r="Z1272">
        <f t="shared" ca="1" si="166"/>
        <v>0</v>
      </c>
      <c r="AA1272">
        <f t="shared" ca="1" si="167"/>
        <v>0</v>
      </c>
    </row>
    <row r="1273" spans="1:27" x14ac:dyDescent="0.25">
      <c r="A1273">
        <f t="shared" ca="1" si="160"/>
        <v>0</v>
      </c>
      <c r="B1273" t="str">
        <f t="shared" ca="1" si="161"/>
        <v/>
      </c>
      <c r="C1273" t="str">
        <f t="shared" si="162"/>
        <v/>
      </c>
      <c r="D1273" t="s">
        <v>253</v>
      </c>
      <c r="E1273" t="s">
        <v>253</v>
      </c>
      <c r="F1273" s="3" t="s">
        <v>253</v>
      </c>
      <c r="G1273" s="11" t="s">
        <v>253</v>
      </c>
      <c r="H1273" s="11" t="s">
        <v>253</v>
      </c>
      <c r="I1273" s="3" t="s">
        <v>253</v>
      </c>
      <c r="J1273" s="3" t="s">
        <v>253</v>
      </c>
      <c r="K1273" s="3" t="s">
        <v>253</v>
      </c>
      <c r="L1273" s="3" t="s">
        <v>253</v>
      </c>
      <c r="M1273" t="str">
        <f>IF(LEN(H1273),MATCH(H1273,'MPIO_SFIO Table'!$A$11:$A$65525,0)-1,"")</f>
        <v/>
      </c>
      <c r="N1273" t="str">
        <f>IF(LEN(I1273),MATCH(I1273,'MPIO_SFIO Table'!$A$11:$A$65525,0)-1,"")</f>
        <v/>
      </c>
      <c r="O1273" t="str">
        <f>IF(LEN(J1273),MATCH(J1273,'MPIO_SFIO Table'!$A$11:$A$65525,0)-1,"")</f>
        <v/>
      </c>
      <c r="P1273" t="str">
        <f>IF(LEN(K1273),MATCH(K1273,'MPIO_SFIO Table'!$A$11:$A$65525,0)-1,"")</f>
        <v/>
      </c>
      <c r="Q1273" t="str">
        <f>IF(LEN(L1273),MATCH(L1273,'MPIO_SFIO Table'!$A$11:$A$65525,0)-1,"")</f>
        <v/>
      </c>
      <c r="R1273" t="str">
        <f ca="1">IF(ISNUMBER(M1273),OFFSET('MPIO_SFIO Table'!$AJ$11,M1273,0),"")</f>
        <v/>
      </c>
      <c r="S1273" t="str">
        <f ca="1">IF(ISNUMBER(N1273),OFFSET('MPIO_SFIO Table'!$AJ$11,N1273,0),"")</f>
        <v/>
      </c>
      <c r="T1273" t="str">
        <f ca="1">IF(ISNUMBER(O1273),OFFSET('MPIO_SFIO Table'!$AJ$11,O1273,0),"")</f>
        <v/>
      </c>
      <c r="U1273" t="str">
        <f ca="1">IF(ISNUMBER(P1273),OFFSET('MPIO_SFIO Table'!$AJ$11,P1273,0),"")</f>
        <v/>
      </c>
      <c r="V1273" t="str">
        <f ca="1">IF(ISNUMBER(Q1273),OFFSET('MPIO_SFIO Table'!$AJ$11,Q1273,0),"")</f>
        <v/>
      </c>
      <c r="W1273">
        <f t="shared" ca="1" si="163"/>
        <v>0</v>
      </c>
      <c r="X1273">
        <f t="shared" ca="1" si="164"/>
        <v>0</v>
      </c>
      <c r="Y1273">
        <f t="shared" ca="1" si="165"/>
        <v>0</v>
      </c>
      <c r="Z1273">
        <f t="shared" ca="1" si="166"/>
        <v>0</v>
      </c>
      <c r="AA1273">
        <f t="shared" ca="1" si="167"/>
        <v>0</v>
      </c>
    </row>
    <row r="1274" spans="1:27" x14ac:dyDescent="0.25">
      <c r="A1274">
        <f t="shared" ca="1" si="160"/>
        <v>0</v>
      </c>
      <c r="B1274" t="str">
        <f t="shared" ca="1" si="161"/>
        <v/>
      </c>
      <c r="C1274" t="str">
        <f t="shared" si="162"/>
        <v/>
      </c>
      <c r="D1274" t="s">
        <v>253</v>
      </c>
      <c r="E1274" t="s">
        <v>253</v>
      </c>
      <c r="F1274" s="3" t="s">
        <v>253</v>
      </c>
      <c r="G1274" s="11" t="s">
        <v>253</v>
      </c>
      <c r="H1274" s="11" t="s">
        <v>253</v>
      </c>
      <c r="I1274" s="3" t="s">
        <v>253</v>
      </c>
      <c r="J1274" s="3" t="s">
        <v>253</v>
      </c>
      <c r="K1274" s="3" t="s">
        <v>253</v>
      </c>
      <c r="L1274" s="3" t="s">
        <v>253</v>
      </c>
      <c r="M1274" t="str">
        <f>IF(LEN(H1274),MATCH(H1274,'MPIO_SFIO Table'!$A$11:$A$65525,0)-1,"")</f>
        <v/>
      </c>
      <c r="N1274" t="str">
        <f>IF(LEN(I1274),MATCH(I1274,'MPIO_SFIO Table'!$A$11:$A$65525,0)-1,"")</f>
        <v/>
      </c>
      <c r="O1274" t="str">
        <f>IF(LEN(J1274),MATCH(J1274,'MPIO_SFIO Table'!$A$11:$A$65525,0)-1,"")</f>
        <v/>
      </c>
      <c r="P1274" t="str">
        <f>IF(LEN(K1274),MATCH(K1274,'MPIO_SFIO Table'!$A$11:$A$65525,0)-1,"")</f>
        <v/>
      </c>
      <c r="Q1274" t="str">
        <f>IF(LEN(L1274),MATCH(L1274,'MPIO_SFIO Table'!$A$11:$A$65525,0)-1,"")</f>
        <v/>
      </c>
      <c r="R1274" t="str">
        <f ca="1">IF(ISNUMBER(M1274),OFFSET('MPIO_SFIO Table'!$AJ$11,M1274,0),"")</f>
        <v/>
      </c>
      <c r="S1274" t="str">
        <f ca="1">IF(ISNUMBER(N1274),OFFSET('MPIO_SFIO Table'!$AJ$11,N1274,0),"")</f>
        <v/>
      </c>
      <c r="T1274" t="str">
        <f ca="1">IF(ISNUMBER(O1274),OFFSET('MPIO_SFIO Table'!$AJ$11,O1274,0),"")</f>
        <v/>
      </c>
      <c r="U1274" t="str">
        <f ca="1">IF(ISNUMBER(P1274),OFFSET('MPIO_SFIO Table'!$AJ$11,P1274,0),"")</f>
        <v/>
      </c>
      <c r="V1274" t="str">
        <f ca="1">IF(ISNUMBER(Q1274),OFFSET('MPIO_SFIO Table'!$AJ$11,Q1274,0),"")</f>
        <v/>
      </c>
      <c r="W1274">
        <f t="shared" ca="1" si="163"/>
        <v>0</v>
      </c>
      <c r="X1274">
        <f t="shared" ca="1" si="164"/>
        <v>0</v>
      </c>
      <c r="Y1274">
        <f t="shared" ca="1" si="165"/>
        <v>0</v>
      </c>
      <c r="Z1274">
        <f t="shared" ca="1" si="166"/>
        <v>0</v>
      </c>
      <c r="AA1274">
        <f t="shared" ca="1" si="167"/>
        <v>0</v>
      </c>
    </row>
    <row r="1275" spans="1:27" x14ac:dyDescent="0.25">
      <c r="A1275">
        <f t="shared" ca="1" si="160"/>
        <v>0</v>
      </c>
      <c r="B1275" t="str">
        <f t="shared" ca="1" si="161"/>
        <v/>
      </c>
      <c r="C1275" t="str">
        <f t="shared" si="162"/>
        <v/>
      </c>
      <c r="D1275" t="s">
        <v>253</v>
      </c>
      <c r="E1275" t="s">
        <v>253</v>
      </c>
      <c r="F1275" s="3" t="s">
        <v>253</v>
      </c>
      <c r="G1275" s="11" t="s">
        <v>253</v>
      </c>
      <c r="H1275" s="11" t="s">
        <v>253</v>
      </c>
      <c r="I1275" s="3" t="s">
        <v>253</v>
      </c>
      <c r="J1275" s="3" t="s">
        <v>253</v>
      </c>
      <c r="K1275" s="3" t="s">
        <v>253</v>
      </c>
      <c r="L1275" s="3" t="s">
        <v>253</v>
      </c>
      <c r="M1275" t="str">
        <f>IF(LEN(H1275),MATCH(H1275,'MPIO_SFIO Table'!$A$11:$A$65525,0)-1,"")</f>
        <v/>
      </c>
      <c r="N1275" t="str">
        <f>IF(LEN(I1275),MATCH(I1275,'MPIO_SFIO Table'!$A$11:$A$65525,0)-1,"")</f>
        <v/>
      </c>
      <c r="O1275" t="str">
        <f>IF(LEN(J1275),MATCH(J1275,'MPIO_SFIO Table'!$A$11:$A$65525,0)-1,"")</f>
        <v/>
      </c>
      <c r="P1275" t="str">
        <f>IF(LEN(K1275),MATCH(K1275,'MPIO_SFIO Table'!$A$11:$A$65525,0)-1,"")</f>
        <v/>
      </c>
      <c r="Q1275" t="str">
        <f>IF(LEN(L1275),MATCH(L1275,'MPIO_SFIO Table'!$A$11:$A$65525,0)-1,"")</f>
        <v/>
      </c>
      <c r="R1275" t="str">
        <f ca="1">IF(ISNUMBER(M1275),OFFSET('MPIO_SFIO Table'!$AJ$11,M1275,0),"")</f>
        <v/>
      </c>
      <c r="S1275" t="str">
        <f ca="1">IF(ISNUMBER(N1275),OFFSET('MPIO_SFIO Table'!$AJ$11,N1275,0),"")</f>
        <v/>
      </c>
      <c r="T1275" t="str">
        <f ca="1">IF(ISNUMBER(O1275),OFFSET('MPIO_SFIO Table'!$AJ$11,O1275,0),"")</f>
        <v/>
      </c>
      <c r="U1275" t="str">
        <f ca="1">IF(ISNUMBER(P1275),OFFSET('MPIO_SFIO Table'!$AJ$11,P1275,0),"")</f>
        <v/>
      </c>
      <c r="V1275" t="str">
        <f ca="1">IF(ISNUMBER(Q1275),OFFSET('MPIO_SFIO Table'!$AJ$11,Q1275,0),"")</f>
        <v/>
      </c>
      <c r="W1275">
        <f t="shared" ca="1" si="163"/>
        <v>0</v>
      </c>
      <c r="X1275">
        <f t="shared" ca="1" si="164"/>
        <v>0</v>
      </c>
      <c r="Y1275">
        <f t="shared" ca="1" si="165"/>
        <v>0</v>
      </c>
      <c r="Z1275">
        <f t="shared" ca="1" si="166"/>
        <v>0</v>
      </c>
      <c r="AA1275">
        <f t="shared" ca="1" si="167"/>
        <v>0</v>
      </c>
    </row>
    <row r="1276" spans="1:27" x14ac:dyDescent="0.25">
      <c r="A1276">
        <f t="shared" ca="1" si="160"/>
        <v>0</v>
      </c>
      <c r="B1276" t="str">
        <f t="shared" ca="1" si="161"/>
        <v/>
      </c>
      <c r="C1276" t="str">
        <f t="shared" si="162"/>
        <v/>
      </c>
      <c r="D1276" t="s">
        <v>253</v>
      </c>
      <c r="E1276" t="s">
        <v>253</v>
      </c>
      <c r="F1276" s="3" t="s">
        <v>253</v>
      </c>
      <c r="G1276" s="11" t="s">
        <v>253</v>
      </c>
      <c r="H1276" s="11" t="s">
        <v>253</v>
      </c>
      <c r="I1276" s="3" t="s">
        <v>253</v>
      </c>
      <c r="J1276" s="3" t="s">
        <v>253</v>
      </c>
      <c r="K1276" s="3" t="s">
        <v>253</v>
      </c>
      <c r="L1276" s="3" t="s">
        <v>253</v>
      </c>
      <c r="M1276" t="str">
        <f>IF(LEN(H1276),MATCH(H1276,'MPIO_SFIO Table'!$A$11:$A$65525,0)-1,"")</f>
        <v/>
      </c>
      <c r="N1276" t="str">
        <f>IF(LEN(I1276),MATCH(I1276,'MPIO_SFIO Table'!$A$11:$A$65525,0)-1,"")</f>
        <v/>
      </c>
      <c r="O1276" t="str">
        <f>IF(LEN(J1276),MATCH(J1276,'MPIO_SFIO Table'!$A$11:$A$65525,0)-1,"")</f>
        <v/>
      </c>
      <c r="P1276" t="str">
        <f>IF(LEN(K1276),MATCH(K1276,'MPIO_SFIO Table'!$A$11:$A$65525,0)-1,"")</f>
        <v/>
      </c>
      <c r="Q1276" t="str">
        <f>IF(LEN(L1276),MATCH(L1276,'MPIO_SFIO Table'!$A$11:$A$65525,0)-1,"")</f>
        <v/>
      </c>
      <c r="R1276" t="str">
        <f ca="1">IF(ISNUMBER(M1276),OFFSET('MPIO_SFIO Table'!$AJ$11,M1276,0),"")</f>
        <v/>
      </c>
      <c r="S1276" t="str">
        <f ca="1">IF(ISNUMBER(N1276),OFFSET('MPIO_SFIO Table'!$AJ$11,N1276,0),"")</f>
        <v/>
      </c>
      <c r="T1276" t="str">
        <f ca="1">IF(ISNUMBER(O1276),OFFSET('MPIO_SFIO Table'!$AJ$11,O1276,0),"")</f>
        <v/>
      </c>
      <c r="U1276" t="str">
        <f ca="1">IF(ISNUMBER(P1276),OFFSET('MPIO_SFIO Table'!$AJ$11,P1276,0),"")</f>
        <v/>
      </c>
      <c r="V1276" t="str">
        <f ca="1">IF(ISNUMBER(Q1276),OFFSET('MPIO_SFIO Table'!$AJ$11,Q1276,0),"")</f>
        <v/>
      </c>
      <c r="W1276">
        <f t="shared" ca="1" si="163"/>
        <v>0</v>
      </c>
      <c r="X1276">
        <f t="shared" ca="1" si="164"/>
        <v>0</v>
      </c>
      <c r="Y1276">
        <f t="shared" ca="1" si="165"/>
        <v>0</v>
      </c>
      <c r="Z1276">
        <f t="shared" ca="1" si="166"/>
        <v>0</v>
      </c>
      <c r="AA1276">
        <f t="shared" ca="1" si="167"/>
        <v>0</v>
      </c>
    </row>
    <row r="1277" spans="1:27" x14ac:dyDescent="0.25">
      <c r="A1277">
        <f t="shared" ca="1" si="160"/>
        <v>0</v>
      </c>
      <c r="B1277" t="str">
        <f t="shared" ca="1" si="161"/>
        <v/>
      </c>
      <c r="C1277" t="str">
        <f t="shared" si="162"/>
        <v/>
      </c>
      <c r="D1277" t="s">
        <v>253</v>
      </c>
      <c r="E1277" t="s">
        <v>253</v>
      </c>
      <c r="F1277" s="3" t="s">
        <v>253</v>
      </c>
      <c r="G1277" s="11" t="s">
        <v>253</v>
      </c>
      <c r="H1277" s="11" t="s">
        <v>253</v>
      </c>
      <c r="I1277" s="3" t="s">
        <v>253</v>
      </c>
      <c r="J1277" s="3" t="s">
        <v>253</v>
      </c>
      <c r="K1277" s="3" t="s">
        <v>253</v>
      </c>
      <c r="L1277" s="3" t="s">
        <v>253</v>
      </c>
      <c r="M1277" t="str">
        <f>IF(LEN(H1277),MATCH(H1277,'MPIO_SFIO Table'!$A$11:$A$65525,0)-1,"")</f>
        <v/>
      </c>
      <c r="N1277" t="str">
        <f>IF(LEN(I1277),MATCH(I1277,'MPIO_SFIO Table'!$A$11:$A$65525,0)-1,"")</f>
        <v/>
      </c>
      <c r="O1277" t="str">
        <f>IF(LEN(J1277),MATCH(J1277,'MPIO_SFIO Table'!$A$11:$A$65525,0)-1,"")</f>
        <v/>
      </c>
      <c r="P1277" t="str">
        <f>IF(LEN(K1277),MATCH(K1277,'MPIO_SFIO Table'!$A$11:$A$65525,0)-1,"")</f>
        <v/>
      </c>
      <c r="Q1277" t="str">
        <f>IF(LEN(L1277),MATCH(L1277,'MPIO_SFIO Table'!$A$11:$A$65525,0)-1,"")</f>
        <v/>
      </c>
      <c r="R1277" t="str">
        <f ca="1">IF(ISNUMBER(M1277),OFFSET('MPIO_SFIO Table'!$AJ$11,M1277,0),"")</f>
        <v/>
      </c>
      <c r="S1277" t="str">
        <f ca="1">IF(ISNUMBER(N1277),OFFSET('MPIO_SFIO Table'!$AJ$11,N1277,0),"")</f>
        <v/>
      </c>
      <c r="T1277" t="str">
        <f ca="1">IF(ISNUMBER(O1277),OFFSET('MPIO_SFIO Table'!$AJ$11,O1277,0),"")</f>
        <v/>
      </c>
      <c r="U1277" t="str">
        <f ca="1">IF(ISNUMBER(P1277),OFFSET('MPIO_SFIO Table'!$AJ$11,P1277,0),"")</f>
        <v/>
      </c>
      <c r="V1277" t="str">
        <f ca="1">IF(ISNUMBER(Q1277),OFFSET('MPIO_SFIO Table'!$AJ$11,Q1277,0),"")</f>
        <v/>
      </c>
      <c r="W1277">
        <f t="shared" ca="1" si="163"/>
        <v>0</v>
      </c>
      <c r="X1277">
        <f t="shared" ca="1" si="164"/>
        <v>0</v>
      </c>
      <c r="Y1277">
        <f t="shared" ca="1" si="165"/>
        <v>0</v>
      </c>
      <c r="Z1277">
        <f t="shared" ca="1" si="166"/>
        <v>0</v>
      </c>
      <c r="AA1277">
        <f t="shared" ca="1" si="167"/>
        <v>0</v>
      </c>
    </row>
    <row r="1278" spans="1:27" x14ac:dyDescent="0.25">
      <c r="A1278">
        <f t="shared" ca="1" si="160"/>
        <v>0</v>
      </c>
      <c r="B1278" t="str">
        <f t="shared" ca="1" si="161"/>
        <v/>
      </c>
      <c r="C1278" t="str">
        <f t="shared" si="162"/>
        <v/>
      </c>
      <c r="D1278" t="s">
        <v>253</v>
      </c>
      <c r="E1278" t="s">
        <v>253</v>
      </c>
      <c r="F1278" s="3" t="s">
        <v>253</v>
      </c>
      <c r="G1278" s="11" t="s">
        <v>253</v>
      </c>
      <c r="H1278" s="11" t="s">
        <v>253</v>
      </c>
      <c r="I1278" s="3" t="s">
        <v>253</v>
      </c>
      <c r="J1278" s="3" t="s">
        <v>253</v>
      </c>
      <c r="K1278" s="3" t="s">
        <v>253</v>
      </c>
      <c r="L1278" s="3" t="s">
        <v>253</v>
      </c>
      <c r="M1278" t="str">
        <f>IF(LEN(H1278),MATCH(H1278,'MPIO_SFIO Table'!$A$11:$A$65525,0)-1,"")</f>
        <v/>
      </c>
      <c r="N1278" t="str">
        <f>IF(LEN(I1278),MATCH(I1278,'MPIO_SFIO Table'!$A$11:$A$65525,0)-1,"")</f>
        <v/>
      </c>
      <c r="O1278" t="str">
        <f>IF(LEN(J1278),MATCH(J1278,'MPIO_SFIO Table'!$A$11:$A$65525,0)-1,"")</f>
        <v/>
      </c>
      <c r="P1278" t="str">
        <f>IF(LEN(K1278),MATCH(K1278,'MPIO_SFIO Table'!$A$11:$A$65525,0)-1,"")</f>
        <v/>
      </c>
      <c r="Q1278" t="str">
        <f>IF(LEN(L1278),MATCH(L1278,'MPIO_SFIO Table'!$A$11:$A$65525,0)-1,"")</f>
        <v/>
      </c>
      <c r="R1278" t="str">
        <f ca="1">IF(ISNUMBER(M1278),OFFSET('MPIO_SFIO Table'!$AJ$11,M1278,0),"")</f>
        <v/>
      </c>
      <c r="S1278" t="str">
        <f ca="1">IF(ISNUMBER(N1278),OFFSET('MPIO_SFIO Table'!$AJ$11,N1278,0),"")</f>
        <v/>
      </c>
      <c r="T1278" t="str">
        <f ca="1">IF(ISNUMBER(O1278),OFFSET('MPIO_SFIO Table'!$AJ$11,O1278,0),"")</f>
        <v/>
      </c>
      <c r="U1278" t="str">
        <f ca="1">IF(ISNUMBER(P1278),OFFSET('MPIO_SFIO Table'!$AJ$11,P1278,0),"")</f>
        <v/>
      </c>
      <c r="V1278" t="str">
        <f ca="1">IF(ISNUMBER(Q1278),OFFSET('MPIO_SFIO Table'!$AJ$11,Q1278,0),"")</f>
        <v/>
      </c>
      <c r="W1278">
        <f t="shared" ca="1" si="163"/>
        <v>0</v>
      </c>
      <c r="X1278">
        <f t="shared" ca="1" si="164"/>
        <v>0</v>
      </c>
      <c r="Y1278">
        <f t="shared" ca="1" si="165"/>
        <v>0</v>
      </c>
      <c r="Z1278">
        <f t="shared" ca="1" si="166"/>
        <v>0</v>
      </c>
      <c r="AA1278">
        <f t="shared" ca="1" si="167"/>
        <v>0</v>
      </c>
    </row>
    <row r="1279" spans="1:27" x14ac:dyDescent="0.25">
      <c r="A1279">
        <f t="shared" ca="1" si="160"/>
        <v>0</v>
      </c>
      <c r="B1279" t="str">
        <f t="shared" ca="1" si="161"/>
        <v/>
      </c>
      <c r="C1279" t="str">
        <f t="shared" si="162"/>
        <v/>
      </c>
      <c r="D1279" t="s">
        <v>253</v>
      </c>
      <c r="E1279" t="s">
        <v>253</v>
      </c>
      <c r="F1279" s="3" t="s">
        <v>253</v>
      </c>
      <c r="G1279" s="11" t="s">
        <v>253</v>
      </c>
      <c r="H1279" s="11" t="s">
        <v>253</v>
      </c>
      <c r="I1279" s="3" t="s">
        <v>253</v>
      </c>
      <c r="J1279" s="3" t="s">
        <v>253</v>
      </c>
      <c r="K1279" s="3" t="s">
        <v>253</v>
      </c>
      <c r="L1279" s="3" t="s">
        <v>253</v>
      </c>
      <c r="M1279" t="str">
        <f>IF(LEN(H1279),MATCH(H1279,'MPIO_SFIO Table'!$A$11:$A$65525,0)-1,"")</f>
        <v/>
      </c>
      <c r="N1279" t="str">
        <f>IF(LEN(I1279),MATCH(I1279,'MPIO_SFIO Table'!$A$11:$A$65525,0)-1,"")</f>
        <v/>
      </c>
      <c r="O1279" t="str">
        <f>IF(LEN(J1279),MATCH(J1279,'MPIO_SFIO Table'!$A$11:$A$65525,0)-1,"")</f>
        <v/>
      </c>
      <c r="P1279" t="str">
        <f>IF(LEN(K1279),MATCH(K1279,'MPIO_SFIO Table'!$A$11:$A$65525,0)-1,"")</f>
        <v/>
      </c>
      <c r="Q1279" t="str">
        <f>IF(LEN(L1279),MATCH(L1279,'MPIO_SFIO Table'!$A$11:$A$65525,0)-1,"")</f>
        <v/>
      </c>
      <c r="R1279" t="str">
        <f ca="1">IF(ISNUMBER(M1279),OFFSET('MPIO_SFIO Table'!$AJ$11,M1279,0),"")</f>
        <v/>
      </c>
      <c r="S1279" t="str">
        <f ca="1">IF(ISNUMBER(N1279),OFFSET('MPIO_SFIO Table'!$AJ$11,N1279,0),"")</f>
        <v/>
      </c>
      <c r="T1279" t="str">
        <f ca="1">IF(ISNUMBER(O1279),OFFSET('MPIO_SFIO Table'!$AJ$11,O1279,0),"")</f>
        <v/>
      </c>
      <c r="U1279" t="str">
        <f ca="1">IF(ISNUMBER(P1279),OFFSET('MPIO_SFIO Table'!$AJ$11,P1279,0),"")</f>
        <v/>
      </c>
      <c r="V1279" t="str">
        <f ca="1">IF(ISNUMBER(Q1279),OFFSET('MPIO_SFIO Table'!$AJ$11,Q1279,0),"")</f>
        <v/>
      </c>
      <c r="W1279">
        <f t="shared" ca="1" si="163"/>
        <v>0</v>
      </c>
      <c r="X1279">
        <f t="shared" ca="1" si="164"/>
        <v>0</v>
      </c>
      <c r="Y1279">
        <f t="shared" ca="1" si="165"/>
        <v>0</v>
      </c>
      <c r="Z1279">
        <f t="shared" ca="1" si="166"/>
        <v>0</v>
      </c>
      <c r="AA1279">
        <f t="shared" ca="1" si="167"/>
        <v>0</v>
      </c>
    </row>
    <row r="1280" spans="1:27" x14ac:dyDescent="0.25">
      <c r="A1280">
        <f t="shared" ca="1" si="160"/>
        <v>0</v>
      </c>
      <c r="B1280" t="str">
        <f t="shared" ca="1" si="161"/>
        <v/>
      </c>
      <c r="C1280" t="str">
        <f t="shared" si="162"/>
        <v/>
      </c>
      <c r="D1280" t="s">
        <v>253</v>
      </c>
      <c r="E1280" t="s">
        <v>253</v>
      </c>
      <c r="F1280" s="3" t="s">
        <v>253</v>
      </c>
      <c r="G1280" s="11" t="s">
        <v>253</v>
      </c>
      <c r="H1280" s="11" t="s">
        <v>253</v>
      </c>
      <c r="I1280" s="3" t="s">
        <v>253</v>
      </c>
      <c r="J1280" s="3" t="s">
        <v>253</v>
      </c>
      <c r="K1280" s="3" t="s">
        <v>253</v>
      </c>
      <c r="L1280" s="3" t="s">
        <v>253</v>
      </c>
      <c r="M1280" t="str">
        <f>IF(LEN(H1280),MATCH(H1280,'MPIO_SFIO Table'!$A$11:$A$65525,0)-1,"")</f>
        <v/>
      </c>
      <c r="N1280" t="str">
        <f>IF(LEN(I1280),MATCH(I1280,'MPIO_SFIO Table'!$A$11:$A$65525,0)-1,"")</f>
        <v/>
      </c>
      <c r="O1280" t="str">
        <f>IF(LEN(J1280),MATCH(J1280,'MPIO_SFIO Table'!$A$11:$A$65525,0)-1,"")</f>
        <v/>
      </c>
      <c r="P1280" t="str">
        <f>IF(LEN(K1280),MATCH(K1280,'MPIO_SFIO Table'!$A$11:$A$65525,0)-1,"")</f>
        <v/>
      </c>
      <c r="Q1280" t="str">
        <f>IF(LEN(L1280),MATCH(L1280,'MPIO_SFIO Table'!$A$11:$A$65525,0)-1,"")</f>
        <v/>
      </c>
      <c r="R1280" t="str">
        <f ca="1">IF(ISNUMBER(M1280),OFFSET('MPIO_SFIO Table'!$AJ$11,M1280,0),"")</f>
        <v/>
      </c>
      <c r="S1280" t="str">
        <f ca="1">IF(ISNUMBER(N1280),OFFSET('MPIO_SFIO Table'!$AJ$11,N1280,0),"")</f>
        <v/>
      </c>
      <c r="T1280" t="str">
        <f ca="1">IF(ISNUMBER(O1280),OFFSET('MPIO_SFIO Table'!$AJ$11,O1280,0),"")</f>
        <v/>
      </c>
      <c r="U1280" t="str">
        <f ca="1">IF(ISNUMBER(P1280),OFFSET('MPIO_SFIO Table'!$AJ$11,P1280,0),"")</f>
        <v/>
      </c>
      <c r="V1280" t="str">
        <f ca="1">IF(ISNUMBER(Q1280),OFFSET('MPIO_SFIO Table'!$AJ$11,Q1280,0),"")</f>
        <v/>
      </c>
      <c r="W1280">
        <f t="shared" ca="1" si="163"/>
        <v>0</v>
      </c>
      <c r="X1280">
        <f t="shared" ca="1" si="164"/>
        <v>0</v>
      </c>
      <c r="Y1280">
        <f t="shared" ca="1" si="165"/>
        <v>0</v>
      </c>
      <c r="Z1280">
        <f t="shared" ca="1" si="166"/>
        <v>0</v>
      </c>
      <c r="AA1280">
        <f t="shared" ca="1" si="167"/>
        <v>0</v>
      </c>
    </row>
    <row r="1281" spans="1:27" x14ac:dyDescent="0.25">
      <c r="A1281">
        <f t="shared" ca="1" si="160"/>
        <v>0</v>
      </c>
      <c r="B1281" t="str">
        <f t="shared" ca="1" si="161"/>
        <v/>
      </c>
      <c r="C1281" t="str">
        <f t="shared" si="162"/>
        <v/>
      </c>
      <c r="D1281" t="s">
        <v>253</v>
      </c>
      <c r="E1281" t="s">
        <v>253</v>
      </c>
      <c r="F1281" s="3" t="s">
        <v>253</v>
      </c>
      <c r="G1281" s="11" t="s">
        <v>253</v>
      </c>
      <c r="H1281" s="11" t="s">
        <v>253</v>
      </c>
      <c r="I1281" s="3" t="s">
        <v>253</v>
      </c>
      <c r="J1281" s="3" t="s">
        <v>253</v>
      </c>
      <c r="K1281" s="3" t="s">
        <v>253</v>
      </c>
      <c r="L1281" s="3" t="s">
        <v>253</v>
      </c>
      <c r="M1281" t="str">
        <f>IF(LEN(H1281),MATCH(H1281,'MPIO_SFIO Table'!$A$11:$A$65525,0)-1,"")</f>
        <v/>
      </c>
      <c r="N1281" t="str">
        <f>IF(LEN(I1281),MATCH(I1281,'MPIO_SFIO Table'!$A$11:$A$65525,0)-1,"")</f>
        <v/>
      </c>
      <c r="O1281" t="str">
        <f>IF(LEN(J1281),MATCH(J1281,'MPIO_SFIO Table'!$A$11:$A$65525,0)-1,"")</f>
        <v/>
      </c>
      <c r="P1281" t="str">
        <f>IF(LEN(K1281),MATCH(K1281,'MPIO_SFIO Table'!$A$11:$A$65525,0)-1,"")</f>
        <v/>
      </c>
      <c r="Q1281" t="str">
        <f>IF(LEN(L1281),MATCH(L1281,'MPIO_SFIO Table'!$A$11:$A$65525,0)-1,"")</f>
        <v/>
      </c>
      <c r="R1281" t="str">
        <f ca="1">IF(ISNUMBER(M1281),OFFSET('MPIO_SFIO Table'!$AJ$11,M1281,0),"")</f>
        <v/>
      </c>
      <c r="S1281" t="str">
        <f ca="1">IF(ISNUMBER(N1281),OFFSET('MPIO_SFIO Table'!$AJ$11,N1281,0),"")</f>
        <v/>
      </c>
      <c r="T1281" t="str">
        <f ca="1">IF(ISNUMBER(O1281),OFFSET('MPIO_SFIO Table'!$AJ$11,O1281,0),"")</f>
        <v/>
      </c>
      <c r="U1281" t="str">
        <f ca="1">IF(ISNUMBER(P1281),OFFSET('MPIO_SFIO Table'!$AJ$11,P1281,0),"")</f>
        <v/>
      </c>
      <c r="V1281" t="str">
        <f ca="1">IF(ISNUMBER(Q1281),OFFSET('MPIO_SFIO Table'!$AJ$11,Q1281,0),"")</f>
        <v/>
      </c>
      <c r="W1281">
        <f t="shared" ca="1" si="163"/>
        <v>0</v>
      </c>
      <c r="X1281">
        <f t="shared" ca="1" si="164"/>
        <v>0</v>
      </c>
      <c r="Y1281">
        <f t="shared" ca="1" si="165"/>
        <v>0</v>
      </c>
      <c r="Z1281">
        <f t="shared" ca="1" si="166"/>
        <v>0</v>
      </c>
      <c r="AA1281">
        <f t="shared" ca="1" si="167"/>
        <v>0</v>
      </c>
    </row>
    <row r="1282" spans="1:27" x14ac:dyDescent="0.25">
      <c r="A1282">
        <f t="shared" ca="1" si="160"/>
        <v>0</v>
      </c>
      <c r="B1282" t="str">
        <f t="shared" ca="1" si="161"/>
        <v/>
      </c>
      <c r="C1282" t="str">
        <f t="shared" si="162"/>
        <v/>
      </c>
      <c r="D1282" t="s">
        <v>253</v>
      </c>
      <c r="E1282" t="s">
        <v>253</v>
      </c>
      <c r="F1282" s="3" t="s">
        <v>253</v>
      </c>
      <c r="G1282" s="11" t="s">
        <v>253</v>
      </c>
      <c r="H1282" s="11" t="s">
        <v>253</v>
      </c>
      <c r="I1282" s="3" t="s">
        <v>253</v>
      </c>
      <c r="J1282" s="3" t="s">
        <v>253</v>
      </c>
      <c r="K1282" s="3" t="s">
        <v>253</v>
      </c>
      <c r="L1282" s="3" t="s">
        <v>253</v>
      </c>
      <c r="M1282" t="str">
        <f>IF(LEN(H1282),MATCH(H1282,'MPIO_SFIO Table'!$A$11:$A$65525,0)-1,"")</f>
        <v/>
      </c>
      <c r="N1282" t="str">
        <f>IF(LEN(I1282),MATCH(I1282,'MPIO_SFIO Table'!$A$11:$A$65525,0)-1,"")</f>
        <v/>
      </c>
      <c r="O1282" t="str">
        <f>IF(LEN(J1282),MATCH(J1282,'MPIO_SFIO Table'!$A$11:$A$65525,0)-1,"")</f>
        <v/>
      </c>
      <c r="P1282" t="str">
        <f>IF(LEN(K1282),MATCH(K1282,'MPIO_SFIO Table'!$A$11:$A$65525,0)-1,"")</f>
        <v/>
      </c>
      <c r="Q1282" t="str">
        <f>IF(LEN(L1282),MATCH(L1282,'MPIO_SFIO Table'!$A$11:$A$65525,0)-1,"")</f>
        <v/>
      </c>
      <c r="R1282" t="str">
        <f ca="1">IF(ISNUMBER(M1282),OFFSET('MPIO_SFIO Table'!$AJ$11,M1282,0),"")</f>
        <v/>
      </c>
      <c r="S1282" t="str">
        <f ca="1">IF(ISNUMBER(N1282),OFFSET('MPIO_SFIO Table'!$AJ$11,N1282,0),"")</f>
        <v/>
      </c>
      <c r="T1282" t="str">
        <f ca="1">IF(ISNUMBER(O1282),OFFSET('MPIO_SFIO Table'!$AJ$11,O1282,0),"")</f>
        <v/>
      </c>
      <c r="U1282" t="str">
        <f ca="1">IF(ISNUMBER(P1282),OFFSET('MPIO_SFIO Table'!$AJ$11,P1282,0),"")</f>
        <v/>
      </c>
      <c r="V1282" t="str">
        <f ca="1">IF(ISNUMBER(Q1282),OFFSET('MPIO_SFIO Table'!$AJ$11,Q1282,0),"")</f>
        <v/>
      </c>
      <c r="W1282">
        <f t="shared" ca="1" si="163"/>
        <v>0</v>
      </c>
      <c r="X1282">
        <f t="shared" ca="1" si="164"/>
        <v>0</v>
      </c>
      <c r="Y1282">
        <f t="shared" ca="1" si="165"/>
        <v>0</v>
      </c>
      <c r="Z1282">
        <f t="shared" ca="1" si="166"/>
        <v>0</v>
      </c>
      <c r="AA1282">
        <f t="shared" ca="1" si="167"/>
        <v>0</v>
      </c>
    </row>
    <row r="1283" spans="1:27" x14ac:dyDescent="0.25">
      <c r="A1283">
        <f t="shared" ca="1" si="160"/>
        <v>0</v>
      </c>
      <c r="B1283" t="str">
        <f t="shared" ca="1" si="161"/>
        <v/>
      </c>
      <c r="C1283" t="str">
        <f t="shared" si="162"/>
        <v/>
      </c>
      <c r="D1283" t="s">
        <v>253</v>
      </c>
      <c r="E1283" t="s">
        <v>253</v>
      </c>
      <c r="F1283" s="3" t="s">
        <v>253</v>
      </c>
      <c r="G1283" s="11" t="s">
        <v>253</v>
      </c>
      <c r="H1283" s="11" t="s">
        <v>253</v>
      </c>
      <c r="I1283" s="3" t="s">
        <v>253</v>
      </c>
      <c r="J1283" s="3" t="s">
        <v>253</v>
      </c>
      <c r="K1283" s="3" t="s">
        <v>253</v>
      </c>
      <c r="L1283" s="3" t="s">
        <v>253</v>
      </c>
      <c r="M1283" t="str">
        <f>IF(LEN(H1283),MATCH(H1283,'MPIO_SFIO Table'!$A$11:$A$65525,0)-1,"")</f>
        <v/>
      </c>
      <c r="N1283" t="str">
        <f>IF(LEN(I1283),MATCH(I1283,'MPIO_SFIO Table'!$A$11:$A$65525,0)-1,"")</f>
        <v/>
      </c>
      <c r="O1283" t="str">
        <f>IF(LEN(J1283),MATCH(J1283,'MPIO_SFIO Table'!$A$11:$A$65525,0)-1,"")</f>
        <v/>
      </c>
      <c r="P1283" t="str">
        <f>IF(LEN(K1283),MATCH(K1283,'MPIO_SFIO Table'!$A$11:$A$65525,0)-1,"")</f>
        <v/>
      </c>
      <c r="Q1283" t="str">
        <f>IF(LEN(L1283),MATCH(L1283,'MPIO_SFIO Table'!$A$11:$A$65525,0)-1,"")</f>
        <v/>
      </c>
      <c r="R1283" t="str">
        <f ca="1">IF(ISNUMBER(M1283),OFFSET('MPIO_SFIO Table'!$AJ$11,M1283,0),"")</f>
        <v/>
      </c>
      <c r="S1283" t="str">
        <f ca="1">IF(ISNUMBER(N1283),OFFSET('MPIO_SFIO Table'!$AJ$11,N1283,0),"")</f>
        <v/>
      </c>
      <c r="T1283" t="str">
        <f ca="1">IF(ISNUMBER(O1283),OFFSET('MPIO_SFIO Table'!$AJ$11,O1283,0),"")</f>
        <v/>
      </c>
      <c r="U1283" t="str">
        <f ca="1">IF(ISNUMBER(P1283),OFFSET('MPIO_SFIO Table'!$AJ$11,P1283,0),"")</f>
        <v/>
      </c>
      <c r="V1283" t="str">
        <f ca="1">IF(ISNUMBER(Q1283),OFFSET('MPIO_SFIO Table'!$AJ$11,Q1283,0),"")</f>
        <v/>
      </c>
      <c r="W1283">
        <f t="shared" ca="1" si="163"/>
        <v>0</v>
      </c>
      <c r="X1283">
        <f t="shared" ca="1" si="164"/>
        <v>0</v>
      </c>
      <c r="Y1283">
        <f t="shared" ca="1" si="165"/>
        <v>0</v>
      </c>
      <c r="Z1283">
        <f t="shared" ca="1" si="166"/>
        <v>0</v>
      </c>
      <c r="AA1283">
        <f t="shared" ca="1" si="167"/>
        <v>0</v>
      </c>
    </row>
    <row r="1284" spans="1:27" x14ac:dyDescent="0.25">
      <c r="A1284">
        <f t="shared" ca="1" si="160"/>
        <v>0</v>
      </c>
      <c r="B1284" t="str">
        <f t="shared" ca="1" si="161"/>
        <v/>
      </c>
      <c r="C1284" t="str">
        <f t="shared" si="162"/>
        <v/>
      </c>
      <c r="D1284" t="s">
        <v>253</v>
      </c>
      <c r="E1284" t="s">
        <v>253</v>
      </c>
      <c r="F1284" s="3" t="s">
        <v>253</v>
      </c>
      <c r="G1284" s="11" t="s">
        <v>253</v>
      </c>
      <c r="H1284" s="11" t="s">
        <v>253</v>
      </c>
      <c r="I1284" s="3" t="s">
        <v>253</v>
      </c>
      <c r="J1284" s="3" t="s">
        <v>253</v>
      </c>
      <c r="K1284" s="3" t="s">
        <v>253</v>
      </c>
      <c r="L1284" s="3" t="s">
        <v>253</v>
      </c>
      <c r="M1284" t="str">
        <f>IF(LEN(H1284),MATCH(H1284,'MPIO_SFIO Table'!$A$11:$A$65525,0)-1,"")</f>
        <v/>
      </c>
      <c r="N1284" t="str">
        <f>IF(LEN(I1284),MATCH(I1284,'MPIO_SFIO Table'!$A$11:$A$65525,0)-1,"")</f>
        <v/>
      </c>
      <c r="O1284" t="str">
        <f>IF(LEN(J1284),MATCH(J1284,'MPIO_SFIO Table'!$A$11:$A$65525,0)-1,"")</f>
        <v/>
      </c>
      <c r="P1284" t="str">
        <f>IF(LEN(K1284),MATCH(K1284,'MPIO_SFIO Table'!$A$11:$A$65525,0)-1,"")</f>
        <v/>
      </c>
      <c r="Q1284" t="str">
        <f>IF(LEN(L1284),MATCH(L1284,'MPIO_SFIO Table'!$A$11:$A$65525,0)-1,"")</f>
        <v/>
      </c>
      <c r="R1284" t="str">
        <f ca="1">IF(ISNUMBER(M1284),OFFSET('MPIO_SFIO Table'!$AJ$11,M1284,0),"")</f>
        <v/>
      </c>
      <c r="S1284" t="str">
        <f ca="1">IF(ISNUMBER(N1284),OFFSET('MPIO_SFIO Table'!$AJ$11,N1284,0),"")</f>
        <v/>
      </c>
      <c r="T1284" t="str">
        <f ca="1">IF(ISNUMBER(O1284),OFFSET('MPIO_SFIO Table'!$AJ$11,O1284,0),"")</f>
        <v/>
      </c>
      <c r="U1284" t="str">
        <f ca="1">IF(ISNUMBER(P1284),OFFSET('MPIO_SFIO Table'!$AJ$11,P1284,0),"")</f>
        <v/>
      </c>
      <c r="V1284" t="str">
        <f ca="1">IF(ISNUMBER(Q1284),OFFSET('MPIO_SFIO Table'!$AJ$11,Q1284,0),"")</f>
        <v/>
      </c>
      <c r="W1284">
        <f t="shared" ca="1" si="163"/>
        <v>0</v>
      </c>
      <c r="X1284">
        <f t="shared" ca="1" si="164"/>
        <v>0</v>
      </c>
      <c r="Y1284">
        <f t="shared" ca="1" si="165"/>
        <v>0</v>
      </c>
      <c r="Z1284">
        <f t="shared" ca="1" si="166"/>
        <v>0</v>
      </c>
      <c r="AA1284">
        <f t="shared" ca="1" si="167"/>
        <v>0</v>
      </c>
    </row>
    <row r="1285" spans="1:27" x14ac:dyDescent="0.25">
      <c r="A1285">
        <f t="shared" ca="1" si="160"/>
        <v>0</v>
      </c>
      <c r="B1285" t="str">
        <f t="shared" ca="1" si="161"/>
        <v/>
      </c>
      <c r="C1285" t="str">
        <f t="shared" si="162"/>
        <v/>
      </c>
      <c r="D1285" t="s">
        <v>253</v>
      </c>
      <c r="E1285" t="s">
        <v>253</v>
      </c>
      <c r="F1285" s="3" t="s">
        <v>253</v>
      </c>
      <c r="G1285" s="11" t="s">
        <v>253</v>
      </c>
      <c r="H1285" s="11" t="s">
        <v>253</v>
      </c>
      <c r="I1285" s="3" t="s">
        <v>253</v>
      </c>
      <c r="J1285" s="3" t="s">
        <v>253</v>
      </c>
      <c r="K1285" s="3" t="s">
        <v>253</v>
      </c>
      <c r="L1285" s="3" t="s">
        <v>253</v>
      </c>
      <c r="M1285" t="str">
        <f>IF(LEN(H1285),MATCH(H1285,'MPIO_SFIO Table'!$A$11:$A$65525,0)-1,"")</f>
        <v/>
      </c>
      <c r="N1285" t="str">
        <f>IF(LEN(I1285),MATCH(I1285,'MPIO_SFIO Table'!$A$11:$A$65525,0)-1,"")</f>
        <v/>
      </c>
      <c r="O1285" t="str">
        <f>IF(LEN(J1285),MATCH(J1285,'MPIO_SFIO Table'!$A$11:$A$65525,0)-1,"")</f>
        <v/>
      </c>
      <c r="P1285" t="str">
        <f>IF(LEN(K1285),MATCH(K1285,'MPIO_SFIO Table'!$A$11:$A$65525,0)-1,"")</f>
        <v/>
      </c>
      <c r="Q1285" t="str">
        <f>IF(LEN(L1285),MATCH(L1285,'MPIO_SFIO Table'!$A$11:$A$65525,0)-1,"")</f>
        <v/>
      </c>
      <c r="R1285" t="str">
        <f ca="1">IF(ISNUMBER(M1285),OFFSET('MPIO_SFIO Table'!$AJ$11,M1285,0),"")</f>
        <v/>
      </c>
      <c r="S1285" t="str">
        <f ca="1">IF(ISNUMBER(N1285),OFFSET('MPIO_SFIO Table'!$AJ$11,N1285,0),"")</f>
        <v/>
      </c>
      <c r="T1285" t="str">
        <f ca="1">IF(ISNUMBER(O1285),OFFSET('MPIO_SFIO Table'!$AJ$11,O1285,0),"")</f>
        <v/>
      </c>
      <c r="U1285" t="str">
        <f ca="1">IF(ISNUMBER(P1285),OFFSET('MPIO_SFIO Table'!$AJ$11,P1285,0),"")</f>
        <v/>
      </c>
      <c r="V1285" t="str">
        <f ca="1">IF(ISNUMBER(Q1285),OFFSET('MPIO_SFIO Table'!$AJ$11,Q1285,0),"")</f>
        <v/>
      </c>
      <c r="W1285">
        <f t="shared" ca="1" si="163"/>
        <v>0</v>
      </c>
      <c r="X1285">
        <f t="shared" ca="1" si="164"/>
        <v>0</v>
      </c>
      <c r="Y1285">
        <f t="shared" ca="1" si="165"/>
        <v>0</v>
      </c>
      <c r="Z1285">
        <f t="shared" ca="1" si="166"/>
        <v>0</v>
      </c>
      <c r="AA1285">
        <f t="shared" ca="1" si="167"/>
        <v>0</v>
      </c>
    </row>
    <row r="1286" spans="1:27" x14ac:dyDescent="0.25">
      <c r="A1286">
        <f t="shared" ca="1" si="160"/>
        <v>0</v>
      </c>
      <c r="B1286" t="str">
        <f t="shared" ca="1" si="161"/>
        <v/>
      </c>
      <c r="C1286" t="str">
        <f t="shared" si="162"/>
        <v/>
      </c>
      <c r="D1286" t="s">
        <v>253</v>
      </c>
      <c r="E1286" t="s">
        <v>253</v>
      </c>
      <c r="F1286" s="3" t="s">
        <v>253</v>
      </c>
      <c r="G1286" s="11" t="s">
        <v>253</v>
      </c>
      <c r="H1286" s="11" t="s">
        <v>253</v>
      </c>
      <c r="I1286" s="3" t="s">
        <v>253</v>
      </c>
      <c r="J1286" s="3" t="s">
        <v>253</v>
      </c>
      <c r="K1286" s="3" t="s">
        <v>253</v>
      </c>
      <c r="L1286" s="3" t="s">
        <v>253</v>
      </c>
      <c r="M1286" t="str">
        <f>IF(LEN(H1286),MATCH(H1286,'MPIO_SFIO Table'!$A$11:$A$65525,0)-1,"")</f>
        <v/>
      </c>
      <c r="N1286" t="str">
        <f>IF(LEN(I1286),MATCH(I1286,'MPIO_SFIO Table'!$A$11:$A$65525,0)-1,"")</f>
        <v/>
      </c>
      <c r="O1286" t="str">
        <f>IF(LEN(J1286),MATCH(J1286,'MPIO_SFIO Table'!$A$11:$A$65525,0)-1,"")</f>
        <v/>
      </c>
      <c r="P1286" t="str">
        <f>IF(LEN(K1286),MATCH(K1286,'MPIO_SFIO Table'!$A$11:$A$65525,0)-1,"")</f>
        <v/>
      </c>
      <c r="Q1286" t="str">
        <f>IF(LEN(L1286),MATCH(L1286,'MPIO_SFIO Table'!$A$11:$A$65525,0)-1,"")</f>
        <v/>
      </c>
      <c r="R1286" t="str">
        <f ca="1">IF(ISNUMBER(M1286),OFFSET('MPIO_SFIO Table'!$AJ$11,M1286,0),"")</f>
        <v/>
      </c>
      <c r="S1286" t="str">
        <f ca="1">IF(ISNUMBER(N1286),OFFSET('MPIO_SFIO Table'!$AJ$11,N1286,0),"")</f>
        <v/>
      </c>
      <c r="T1286" t="str">
        <f ca="1">IF(ISNUMBER(O1286),OFFSET('MPIO_SFIO Table'!$AJ$11,O1286,0),"")</f>
        <v/>
      </c>
      <c r="U1286" t="str">
        <f ca="1">IF(ISNUMBER(P1286),OFFSET('MPIO_SFIO Table'!$AJ$11,P1286,0),"")</f>
        <v/>
      </c>
      <c r="V1286" t="str">
        <f ca="1">IF(ISNUMBER(Q1286),OFFSET('MPIO_SFIO Table'!$AJ$11,Q1286,0),"")</f>
        <v/>
      </c>
      <c r="W1286">
        <f t="shared" ca="1" si="163"/>
        <v>0</v>
      </c>
      <c r="X1286">
        <f t="shared" ca="1" si="164"/>
        <v>0</v>
      </c>
      <c r="Y1286">
        <f t="shared" ca="1" si="165"/>
        <v>0</v>
      </c>
      <c r="Z1286">
        <f t="shared" ca="1" si="166"/>
        <v>0</v>
      </c>
      <c r="AA1286">
        <f t="shared" ca="1" si="167"/>
        <v>0</v>
      </c>
    </row>
    <row r="1287" spans="1:27" x14ac:dyDescent="0.25">
      <c r="A1287">
        <f t="shared" ca="1" si="160"/>
        <v>0</v>
      </c>
      <c r="B1287" t="str">
        <f t="shared" ca="1" si="161"/>
        <v/>
      </c>
      <c r="C1287" t="str">
        <f t="shared" si="162"/>
        <v/>
      </c>
      <c r="D1287" t="s">
        <v>253</v>
      </c>
      <c r="E1287" t="s">
        <v>253</v>
      </c>
      <c r="F1287" s="3" t="s">
        <v>253</v>
      </c>
      <c r="G1287" s="11" t="s">
        <v>253</v>
      </c>
      <c r="H1287" s="11" t="s">
        <v>253</v>
      </c>
      <c r="I1287" s="3" t="s">
        <v>253</v>
      </c>
      <c r="J1287" s="3" t="s">
        <v>253</v>
      </c>
      <c r="K1287" s="3" t="s">
        <v>253</v>
      </c>
      <c r="L1287" s="3" t="s">
        <v>253</v>
      </c>
      <c r="M1287" t="str">
        <f>IF(LEN(H1287),MATCH(H1287,'MPIO_SFIO Table'!$A$11:$A$65525,0)-1,"")</f>
        <v/>
      </c>
      <c r="N1287" t="str">
        <f>IF(LEN(I1287),MATCH(I1287,'MPIO_SFIO Table'!$A$11:$A$65525,0)-1,"")</f>
        <v/>
      </c>
      <c r="O1287" t="str">
        <f>IF(LEN(J1287),MATCH(J1287,'MPIO_SFIO Table'!$A$11:$A$65525,0)-1,"")</f>
        <v/>
      </c>
      <c r="P1287" t="str">
        <f>IF(LEN(K1287),MATCH(K1287,'MPIO_SFIO Table'!$A$11:$A$65525,0)-1,"")</f>
        <v/>
      </c>
      <c r="Q1287" t="str">
        <f>IF(LEN(L1287),MATCH(L1287,'MPIO_SFIO Table'!$A$11:$A$65525,0)-1,"")</f>
        <v/>
      </c>
      <c r="R1287" t="str">
        <f ca="1">IF(ISNUMBER(M1287),OFFSET('MPIO_SFIO Table'!$AJ$11,M1287,0),"")</f>
        <v/>
      </c>
      <c r="S1287" t="str">
        <f ca="1">IF(ISNUMBER(N1287),OFFSET('MPIO_SFIO Table'!$AJ$11,N1287,0),"")</f>
        <v/>
      </c>
      <c r="T1287" t="str">
        <f ca="1">IF(ISNUMBER(O1287),OFFSET('MPIO_SFIO Table'!$AJ$11,O1287,0),"")</f>
        <v/>
      </c>
      <c r="U1287" t="str">
        <f ca="1">IF(ISNUMBER(P1287),OFFSET('MPIO_SFIO Table'!$AJ$11,P1287,0),"")</f>
        <v/>
      </c>
      <c r="V1287" t="str">
        <f ca="1">IF(ISNUMBER(Q1287),OFFSET('MPIO_SFIO Table'!$AJ$11,Q1287,0),"")</f>
        <v/>
      </c>
      <c r="W1287">
        <f t="shared" ca="1" si="163"/>
        <v>0</v>
      </c>
      <c r="X1287">
        <f t="shared" ca="1" si="164"/>
        <v>0</v>
      </c>
      <c r="Y1287">
        <f t="shared" ca="1" si="165"/>
        <v>0</v>
      </c>
      <c r="Z1287">
        <f t="shared" ca="1" si="166"/>
        <v>0</v>
      </c>
      <c r="AA1287">
        <f t="shared" ca="1" si="167"/>
        <v>0</v>
      </c>
    </row>
    <row r="1288" spans="1:27" x14ac:dyDescent="0.25">
      <c r="A1288">
        <f t="shared" ref="A1288:A1351" ca="1" si="168">SUM($W1288:$AA1288)</f>
        <v>0</v>
      </c>
      <c r="B1288" t="str">
        <f t="shared" ref="B1288:B1351" ca="1" si="169">IF(A1288&lt;&gt;0,REPLACE(G1288,FIND("-",G1288),LEN(G1288),""),"")</f>
        <v/>
      </c>
      <c r="C1288" t="str">
        <f t="shared" si="162"/>
        <v/>
      </c>
      <c r="D1288" t="s">
        <v>253</v>
      </c>
      <c r="E1288" t="s">
        <v>253</v>
      </c>
      <c r="F1288" s="3" t="s">
        <v>253</v>
      </c>
      <c r="G1288" s="11" t="s">
        <v>253</v>
      </c>
      <c r="H1288" s="11" t="s">
        <v>253</v>
      </c>
      <c r="I1288" s="3" t="s">
        <v>253</v>
      </c>
      <c r="J1288" s="3" t="s">
        <v>253</v>
      </c>
      <c r="K1288" s="3" t="s">
        <v>253</v>
      </c>
      <c r="L1288" s="3" t="s">
        <v>253</v>
      </c>
      <c r="M1288" t="str">
        <f>IF(LEN(H1288),MATCH(H1288,'MPIO_SFIO Table'!$A$11:$A$65525,0)-1,"")</f>
        <v/>
      </c>
      <c r="N1288" t="str">
        <f>IF(LEN(I1288),MATCH(I1288,'MPIO_SFIO Table'!$A$11:$A$65525,0)-1,"")</f>
        <v/>
      </c>
      <c r="O1288" t="str">
        <f>IF(LEN(J1288),MATCH(J1288,'MPIO_SFIO Table'!$A$11:$A$65525,0)-1,"")</f>
        <v/>
      </c>
      <c r="P1288" t="str">
        <f>IF(LEN(K1288),MATCH(K1288,'MPIO_SFIO Table'!$A$11:$A$65525,0)-1,"")</f>
        <v/>
      </c>
      <c r="Q1288" t="str">
        <f>IF(LEN(L1288),MATCH(L1288,'MPIO_SFIO Table'!$A$11:$A$65525,0)-1,"")</f>
        <v/>
      </c>
      <c r="R1288" t="str">
        <f ca="1">IF(ISNUMBER(M1288),OFFSET('MPIO_SFIO Table'!$AJ$11,M1288,0),"")</f>
        <v/>
      </c>
      <c r="S1288" t="str">
        <f ca="1">IF(ISNUMBER(N1288),OFFSET('MPIO_SFIO Table'!$AJ$11,N1288,0),"")</f>
        <v/>
      </c>
      <c r="T1288" t="str">
        <f ca="1">IF(ISNUMBER(O1288),OFFSET('MPIO_SFIO Table'!$AJ$11,O1288,0),"")</f>
        <v/>
      </c>
      <c r="U1288" t="str">
        <f ca="1">IF(ISNUMBER(P1288),OFFSET('MPIO_SFIO Table'!$AJ$11,P1288,0),"")</f>
        <v/>
      </c>
      <c r="V1288" t="str">
        <f ca="1">IF(ISNUMBER(Q1288),OFFSET('MPIO_SFIO Table'!$AJ$11,Q1288,0),"")</f>
        <v/>
      </c>
      <c r="W1288">
        <f t="shared" ca="1" si="163"/>
        <v>0</v>
      </c>
      <c r="X1288">
        <f t="shared" ca="1" si="164"/>
        <v>0</v>
      </c>
      <c r="Y1288">
        <f t="shared" ca="1" si="165"/>
        <v>0</v>
      </c>
      <c r="Z1288">
        <f t="shared" ca="1" si="166"/>
        <v>0</v>
      </c>
      <c r="AA1288">
        <f t="shared" ca="1" si="167"/>
        <v>0</v>
      </c>
    </row>
    <row r="1289" spans="1:27" x14ac:dyDescent="0.25">
      <c r="A1289">
        <f t="shared" ca="1" si="168"/>
        <v>0</v>
      </c>
      <c r="B1289" t="str">
        <f t="shared" ca="1" si="169"/>
        <v/>
      </c>
      <c r="C1289" t="str">
        <f t="shared" ref="C1289:C1352" si="170">REPLACE(G1289,FIND(".",CONCATENATE(REPLACE(G1289,FIND("-",CONCATENATE(G1289,"-")),LEN(G1289),""),".")),LEN(G1289),"")</f>
        <v/>
      </c>
      <c r="D1289" t="s">
        <v>253</v>
      </c>
      <c r="E1289" t="s">
        <v>253</v>
      </c>
      <c r="F1289" s="3" t="s">
        <v>253</v>
      </c>
      <c r="G1289" s="11" t="s">
        <v>253</v>
      </c>
      <c r="H1289" s="11" t="s">
        <v>253</v>
      </c>
      <c r="I1289" s="3" t="s">
        <v>253</v>
      </c>
      <c r="J1289" s="3" t="s">
        <v>253</v>
      </c>
      <c r="K1289" s="3" t="s">
        <v>253</v>
      </c>
      <c r="L1289" s="3" t="s">
        <v>253</v>
      </c>
      <c r="M1289" t="str">
        <f>IF(LEN(H1289),MATCH(H1289,'MPIO_SFIO Table'!$A$11:$A$65525,0)-1,"")</f>
        <v/>
      </c>
      <c r="N1289" t="str">
        <f>IF(LEN(I1289),MATCH(I1289,'MPIO_SFIO Table'!$A$11:$A$65525,0)-1,"")</f>
        <v/>
      </c>
      <c r="O1289" t="str">
        <f>IF(LEN(J1289),MATCH(J1289,'MPIO_SFIO Table'!$A$11:$A$65525,0)-1,"")</f>
        <v/>
      </c>
      <c r="P1289" t="str">
        <f>IF(LEN(K1289),MATCH(K1289,'MPIO_SFIO Table'!$A$11:$A$65525,0)-1,"")</f>
        <v/>
      </c>
      <c r="Q1289" t="str">
        <f>IF(LEN(L1289),MATCH(L1289,'MPIO_SFIO Table'!$A$11:$A$65525,0)-1,"")</f>
        <v/>
      </c>
      <c r="R1289" t="str">
        <f ca="1">IF(ISNUMBER(M1289),OFFSET('MPIO_SFIO Table'!$AJ$11,M1289,0),"")</f>
        <v/>
      </c>
      <c r="S1289" t="str">
        <f ca="1">IF(ISNUMBER(N1289),OFFSET('MPIO_SFIO Table'!$AJ$11,N1289,0),"")</f>
        <v/>
      </c>
      <c r="T1289" t="str">
        <f ca="1">IF(ISNUMBER(O1289),OFFSET('MPIO_SFIO Table'!$AJ$11,O1289,0),"")</f>
        <v/>
      </c>
      <c r="U1289" t="str">
        <f ca="1">IF(ISNUMBER(P1289),OFFSET('MPIO_SFIO Table'!$AJ$11,P1289,0),"")</f>
        <v/>
      </c>
      <c r="V1289" t="str">
        <f ca="1">IF(ISNUMBER(Q1289),OFFSET('MPIO_SFIO Table'!$AJ$11,Q1289,0),"")</f>
        <v/>
      </c>
      <c r="W1289">
        <f t="shared" ref="W1289:W1352" ca="1" si="171">1*AND(ISTEXT(R1289),LEN(R1289),R1289=$G1289)</f>
        <v>0</v>
      </c>
      <c r="X1289">
        <f t="shared" ref="X1289:X1352" ca="1" si="172">1*AND(ISTEXT(S1289),LEN(S1289),S1289=$G1289)</f>
        <v>0</v>
      </c>
      <c r="Y1289">
        <f t="shared" ref="Y1289:Y1352" ca="1" si="173">1*AND(ISTEXT(T1289),LEN(T1289),T1289=$G1289)</f>
        <v>0</v>
      </c>
      <c r="Z1289">
        <f t="shared" ref="Z1289:Z1352" ca="1" si="174">1*AND(ISTEXT(U1289),LEN(U1289),U1289=$G1289)</f>
        <v>0</v>
      </c>
      <c r="AA1289">
        <f t="shared" ref="AA1289:AA1352" ca="1" si="175">1*AND(ISTEXT(V1289),LEN(V1289),V1289=$G1289)</f>
        <v>0</v>
      </c>
    </row>
    <row r="1290" spans="1:27" x14ac:dyDescent="0.25">
      <c r="A1290">
        <f t="shared" ca="1" si="168"/>
        <v>0</v>
      </c>
      <c r="B1290" t="str">
        <f t="shared" ca="1" si="169"/>
        <v/>
      </c>
      <c r="C1290" t="str">
        <f t="shared" si="170"/>
        <v/>
      </c>
      <c r="D1290" t="s">
        <v>253</v>
      </c>
      <c r="E1290" t="s">
        <v>253</v>
      </c>
      <c r="F1290" s="3" t="s">
        <v>253</v>
      </c>
      <c r="G1290" s="11" t="s">
        <v>253</v>
      </c>
      <c r="H1290" s="11" t="s">
        <v>253</v>
      </c>
      <c r="I1290" s="3" t="s">
        <v>253</v>
      </c>
      <c r="J1290" s="3" t="s">
        <v>253</v>
      </c>
      <c r="K1290" s="3" t="s">
        <v>253</v>
      </c>
      <c r="L1290" s="3" t="s">
        <v>253</v>
      </c>
      <c r="M1290" t="str">
        <f>IF(LEN(H1290),MATCH(H1290,'MPIO_SFIO Table'!$A$11:$A$65525,0)-1,"")</f>
        <v/>
      </c>
      <c r="N1290" t="str">
        <f>IF(LEN(I1290),MATCH(I1290,'MPIO_SFIO Table'!$A$11:$A$65525,0)-1,"")</f>
        <v/>
      </c>
      <c r="O1290" t="str">
        <f>IF(LEN(J1290),MATCH(J1290,'MPIO_SFIO Table'!$A$11:$A$65525,0)-1,"")</f>
        <v/>
      </c>
      <c r="P1290" t="str">
        <f>IF(LEN(K1290),MATCH(K1290,'MPIO_SFIO Table'!$A$11:$A$65525,0)-1,"")</f>
        <v/>
      </c>
      <c r="Q1290" t="str">
        <f>IF(LEN(L1290),MATCH(L1290,'MPIO_SFIO Table'!$A$11:$A$65525,0)-1,"")</f>
        <v/>
      </c>
      <c r="R1290" t="str">
        <f ca="1">IF(ISNUMBER(M1290),OFFSET('MPIO_SFIO Table'!$AJ$11,M1290,0),"")</f>
        <v/>
      </c>
      <c r="S1290" t="str">
        <f ca="1">IF(ISNUMBER(N1290),OFFSET('MPIO_SFIO Table'!$AJ$11,N1290,0),"")</f>
        <v/>
      </c>
      <c r="T1290" t="str">
        <f ca="1">IF(ISNUMBER(O1290),OFFSET('MPIO_SFIO Table'!$AJ$11,O1290,0),"")</f>
        <v/>
      </c>
      <c r="U1290" t="str">
        <f ca="1">IF(ISNUMBER(P1290),OFFSET('MPIO_SFIO Table'!$AJ$11,P1290,0),"")</f>
        <v/>
      </c>
      <c r="V1290" t="str">
        <f ca="1">IF(ISNUMBER(Q1290),OFFSET('MPIO_SFIO Table'!$AJ$11,Q1290,0),"")</f>
        <v/>
      </c>
      <c r="W1290">
        <f t="shared" ca="1" si="171"/>
        <v>0</v>
      </c>
      <c r="X1290">
        <f t="shared" ca="1" si="172"/>
        <v>0</v>
      </c>
      <c r="Y1290">
        <f t="shared" ca="1" si="173"/>
        <v>0</v>
      </c>
      <c r="Z1290">
        <f t="shared" ca="1" si="174"/>
        <v>0</v>
      </c>
      <c r="AA1290">
        <f t="shared" ca="1" si="175"/>
        <v>0</v>
      </c>
    </row>
    <row r="1291" spans="1:27" x14ac:dyDescent="0.25">
      <c r="A1291">
        <f t="shared" ca="1" si="168"/>
        <v>0</v>
      </c>
      <c r="B1291" t="str">
        <f t="shared" ca="1" si="169"/>
        <v/>
      </c>
      <c r="C1291" t="str">
        <f t="shared" si="170"/>
        <v/>
      </c>
      <c r="D1291" t="s">
        <v>253</v>
      </c>
      <c r="E1291" t="s">
        <v>253</v>
      </c>
      <c r="F1291" s="3" t="s">
        <v>253</v>
      </c>
      <c r="G1291" s="11" t="s">
        <v>253</v>
      </c>
      <c r="H1291" s="11" t="s">
        <v>253</v>
      </c>
      <c r="I1291" s="3" t="s">
        <v>253</v>
      </c>
      <c r="J1291" s="3" t="s">
        <v>253</v>
      </c>
      <c r="K1291" s="3" t="s">
        <v>253</v>
      </c>
      <c r="L1291" s="3" t="s">
        <v>253</v>
      </c>
      <c r="M1291" t="str">
        <f>IF(LEN(H1291),MATCH(H1291,'MPIO_SFIO Table'!$A$11:$A$65525,0)-1,"")</f>
        <v/>
      </c>
      <c r="N1291" t="str">
        <f>IF(LEN(I1291),MATCH(I1291,'MPIO_SFIO Table'!$A$11:$A$65525,0)-1,"")</f>
        <v/>
      </c>
      <c r="O1291" t="str">
        <f>IF(LEN(J1291),MATCH(J1291,'MPIO_SFIO Table'!$A$11:$A$65525,0)-1,"")</f>
        <v/>
      </c>
      <c r="P1291" t="str">
        <f>IF(LEN(K1291),MATCH(K1291,'MPIO_SFIO Table'!$A$11:$A$65525,0)-1,"")</f>
        <v/>
      </c>
      <c r="Q1291" t="str">
        <f>IF(LEN(L1291),MATCH(L1291,'MPIO_SFIO Table'!$A$11:$A$65525,0)-1,"")</f>
        <v/>
      </c>
      <c r="R1291" t="str">
        <f ca="1">IF(ISNUMBER(M1291),OFFSET('MPIO_SFIO Table'!$AJ$11,M1291,0),"")</f>
        <v/>
      </c>
      <c r="S1291" t="str">
        <f ca="1">IF(ISNUMBER(N1291),OFFSET('MPIO_SFIO Table'!$AJ$11,N1291,0),"")</f>
        <v/>
      </c>
      <c r="T1291" t="str">
        <f ca="1">IF(ISNUMBER(O1291),OFFSET('MPIO_SFIO Table'!$AJ$11,O1291,0),"")</f>
        <v/>
      </c>
      <c r="U1291" t="str">
        <f ca="1">IF(ISNUMBER(P1291),OFFSET('MPIO_SFIO Table'!$AJ$11,P1291,0),"")</f>
        <v/>
      </c>
      <c r="V1291" t="str">
        <f ca="1">IF(ISNUMBER(Q1291),OFFSET('MPIO_SFIO Table'!$AJ$11,Q1291,0),"")</f>
        <v/>
      </c>
      <c r="W1291">
        <f t="shared" ca="1" si="171"/>
        <v>0</v>
      </c>
      <c r="X1291">
        <f t="shared" ca="1" si="172"/>
        <v>0</v>
      </c>
      <c r="Y1291">
        <f t="shared" ca="1" si="173"/>
        <v>0</v>
      </c>
      <c r="Z1291">
        <f t="shared" ca="1" si="174"/>
        <v>0</v>
      </c>
      <c r="AA1291">
        <f t="shared" ca="1" si="175"/>
        <v>0</v>
      </c>
    </row>
    <row r="1292" spans="1:27" x14ac:dyDescent="0.25">
      <c r="A1292">
        <f t="shared" ca="1" si="168"/>
        <v>0</v>
      </c>
      <c r="B1292" t="str">
        <f t="shared" ca="1" si="169"/>
        <v/>
      </c>
      <c r="C1292" t="str">
        <f t="shared" si="170"/>
        <v/>
      </c>
      <c r="D1292" t="s">
        <v>253</v>
      </c>
      <c r="E1292" t="s">
        <v>253</v>
      </c>
      <c r="F1292" s="3" t="s">
        <v>253</v>
      </c>
      <c r="G1292" s="11" t="s">
        <v>253</v>
      </c>
      <c r="H1292" s="11" t="s">
        <v>253</v>
      </c>
      <c r="I1292" s="3" t="s">
        <v>253</v>
      </c>
      <c r="J1292" s="3" t="s">
        <v>253</v>
      </c>
      <c r="K1292" s="3" t="s">
        <v>253</v>
      </c>
      <c r="L1292" s="3" t="s">
        <v>253</v>
      </c>
      <c r="M1292" t="str">
        <f>IF(LEN(H1292),MATCH(H1292,'MPIO_SFIO Table'!$A$11:$A$65525,0)-1,"")</f>
        <v/>
      </c>
      <c r="N1292" t="str">
        <f>IF(LEN(I1292),MATCH(I1292,'MPIO_SFIO Table'!$A$11:$A$65525,0)-1,"")</f>
        <v/>
      </c>
      <c r="O1292" t="str">
        <f>IF(LEN(J1292),MATCH(J1292,'MPIO_SFIO Table'!$A$11:$A$65525,0)-1,"")</f>
        <v/>
      </c>
      <c r="P1292" t="str">
        <f>IF(LEN(K1292),MATCH(K1292,'MPIO_SFIO Table'!$A$11:$A$65525,0)-1,"")</f>
        <v/>
      </c>
      <c r="Q1292" t="str">
        <f>IF(LEN(L1292),MATCH(L1292,'MPIO_SFIO Table'!$A$11:$A$65525,0)-1,"")</f>
        <v/>
      </c>
      <c r="R1292" t="str">
        <f ca="1">IF(ISNUMBER(M1292),OFFSET('MPIO_SFIO Table'!$AJ$11,M1292,0),"")</f>
        <v/>
      </c>
      <c r="S1292" t="str">
        <f ca="1">IF(ISNUMBER(N1292),OFFSET('MPIO_SFIO Table'!$AJ$11,N1292,0),"")</f>
        <v/>
      </c>
      <c r="T1292" t="str">
        <f ca="1">IF(ISNUMBER(O1292),OFFSET('MPIO_SFIO Table'!$AJ$11,O1292,0),"")</f>
        <v/>
      </c>
      <c r="U1292" t="str">
        <f ca="1">IF(ISNUMBER(P1292),OFFSET('MPIO_SFIO Table'!$AJ$11,P1292,0),"")</f>
        <v/>
      </c>
      <c r="V1292" t="str">
        <f ca="1">IF(ISNUMBER(Q1292),OFFSET('MPIO_SFIO Table'!$AJ$11,Q1292,0),"")</f>
        <v/>
      </c>
      <c r="W1292">
        <f t="shared" ca="1" si="171"/>
        <v>0</v>
      </c>
      <c r="X1292">
        <f t="shared" ca="1" si="172"/>
        <v>0</v>
      </c>
      <c r="Y1292">
        <f t="shared" ca="1" si="173"/>
        <v>0</v>
      </c>
      <c r="Z1292">
        <f t="shared" ca="1" si="174"/>
        <v>0</v>
      </c>
      <c r="AA1292">
        <f t="shared" ca="1" si="175"/>
        <v>0</v>
      </c>
    </row>
    <row r="1293" spans="1:27" x14ac:dyDescent="0.25">
      <c r="A1293">
        <f t="shared" ca="1" si="168"/>
        <v>0</v>
      </c>
      <c r="B1293" t="str">
        <f t="shared" ca="1" si="169"/>
        <v/>
      </c>
      <c r="C1293" t="str">
        <f t="shared" si="170"/>
        <v/>
      </c>
      <c r="D1293" t="s">
        <v>253</v>
      </c>
      <c r="E1293" t="s">
        <v>253</v>
      </c>
      <c r="F1293" s="3" t="s">
        <v>253</v>
      </c>
      <c r="G1293" s="11" t="s">
        <v>253</v>
      </c>
      <c r="H1293" s="11" t="s">
        <v>253</v>
      </c>
      <c r="I1293" s="3" t="s">
        <v>253</v>
      </c>
      <c r="J1293" s="3" t="s">
        <v>253</v>
      </c>
      <c r="K1293" s="3" t="s">
        <v>253</v>
      </c>
      <c r="L1293" s="3" t="s">
        <v>253</v>
      </c>
      <c r="M1293" t="str">
        <f>IF(LEN(H1293),MATCH(H1293,'MPIO_SFIO Table'!$A$11:$A$65525,0)-1,"")</f>
        <v/>
      </c>
      <c r="N1293" t="str">
        <f>IF(LEN(I1293),MATCH(I1293,'MPIO_SFIO Table'!$A$11:$A$65525,0)-1,"")</f>
        <v/>
      </c>
      <c r="O1293" t="str">
        <f>IF(LEN(J1293),MATCH(J1293,'MPIO_SFIO Table'!$A$11:$A$65525,0)-1,"")</f>
        <v/>
      </c>
      <c r="P1293" t="str">
        <f>IF(LEN(K1293),MATCH(K1293,'MPIO_SFIO Table'!$A$11:$A$65525,0)-1,"")</f>
        <v/>
      </c>
      <c r="Q1293" t="str">
        <f>IF(LEN(L1293),MATCH(L1293,'MPIO_SFIO Table'!$A$11:$A$65525,0)-1,"")</f>
        <v/>
      </c>
      <c r="R1293" t="str">
        <f ca="1">IF(ISNUMBER(M1293),OFFSET('MPIO_SFIO Table'!$AJ$11,M1293,0),"")</f>
        <v/>
      </c>
      <c r="S1293" t="str">
        <f ca="1">IF(ISNUMBER(N1293),OFFSET('MPIO_SFIO Table'!$AJ$11,N1293,0),"")</f>
        <v/>
      </c>
      <c r="T1293" t="str">
        <f ca="1">IF(ISNUMBER(O1293),OFFSET('MPIO_SFIO Table'!$AJ$11,O1293,0),"")</f>
        <v/>
      </c>
      <c r="U1293" t="str">
        <f ca="1">IF(ISNUMBER(P1293),OFFSET('MPIO_SFIO Table'!$AJ$11,P1293,0),"")</f>
        <v/>
      </c>
      <c r="V1293" t="str">
        <f ca="1">IF(ISNUMBER(Q1293),OFFSET('MPIO_SFIO Table'!$AJ$11,Q1293,0),"")</f>
        <v/>
      </c>
      <c r="W1293">
        <f t="shared" ca="1" si="171"/>
        <v>0</v>
      </c>
      <c r="X1293">
        <f t="shared" ca="1" si="172"/>
        <v>0</v>
      </c>
      <c r="Y1293">
        <f t="shared" ca="1" si="173"/>
        <v>0</v>
      </c>
      <c r="Z1293">
        <f t="shared" ca="1" si="174"/>
        <v>0</v>
      </c>
      <c r="AA1293">
        <f t="shared" ca="1" si="175"/>
        <v>0</v>
      </c>
    </row>
    <row r="1294" spans="1:27" x14ac:dyDescent="0.25">
      <c r="A1294">
        <f t="shared" ca="1" si="168"/>
        <v>0</v>
      </c>
      <c r="B1294" t="str">
        <f t="shared" ca="1" si="169"/>
        <v/>
      </c>
      <c r="C1294" t="str">
        <f t="shared" si="170"/>
        <v/>
      </c>
      <c r="D1294" t="s">
        <v>253</v>
      </c>
      <c r="E1294" t="s">
        <v>253</v>
      </c>
      <c r="F1294" s="3" t="s">
        <v>253</v>
      </c>
      <c r="G1294" s="11" t="s">
        <v>253</v>
      </c>
      <c r="H1294" s="11" t="s">
        <v>253</v>
      </c>
      <c r="I1294" s="3" t="s">
        <v>253</v>
      </c>
      <c r="J1294" s="3" t="s">
        <v>253</v>
      </c>
      <c r="K1294" s="3" t="s">
        <v>253</v>
      </c>
      <c r="L1294" s="3" t="s">
        <v>253</v>
      </c>
      <c r="M1294" t="str">
        <f>IF(LEN(H1294),MATCH(H1294,'MPIO_SFIO Table'!$A$11:$A$65525,0)-1,"")</f>
        <v/>
      </c>
      <c r="N1294" t="str">
        <f>IF(LEN(I1294),MATCH(I1294,'MPIO_SFIO Table'!$A$11:$A$65525,0)-1,"")</f>
        <v/>
      </c>
      <c r="O1294" t="str">
        <f>IF(LEN(J1294),MATCH(J1294,'MPIO_SFIO Table'!$A$11:$A$65525,0)-1,"")</f>
        <v/>
      </c>
      <c r="P1294" t="str">
        <f>IF(LEN(K1294),MATCH(K1294,'MPIO_SFIO Table'!$A$11:$A$65525,0)-1,"")</f>
        <v/>
      </c>
      <c r="Q1294" t="str">
        <f>IF(LEN(L1294),MATCH(L1294,'MPIO_SFIO Table'!$A$11:$A$65525,0)-1,"")</f>
        <v/>
      </c>
      <c r="R1294" t="str">
        <f ca="1">IF(ISNUMBER(M1294),OFFSET('MPIO_SFIO Table'!$AJ$11,M1294,0),"")</f>
        <v/>
      </c>
      <c r="S1294" t="str">
        <f ca="1">IF(ISNUMBER(N1294),OFFSET('MPIO_SFIO Table'!$AJ$11,N1294,0),"")</f>
        <v/>
      </c>
      <c r="T1294" t="str">
        <f ca="1">IF(ISNUMBER(O1294),OFFSET('MPIO_SFIO Table'!$AJ$11,O1294,0),"")</f>
        <v/>
      </c>
      <c r="U1294" t="str">
        <f ca="1">IF(ISNUMBER(P1294),OFFSET('MPIO_SFIO Table'!$AJ$11,P1294,0),"")</f>
        <v/>
      </c>
      <c r="V1294" t="str">
        <f ca="1">IF(ISNUMBER(Q1294),OFFSET('MPIO_SFIO Table'!$AJ$11,Q1294,0),"")</f>
        <v/>
      </c>
      <c r="W1294">
        <f t="shared" ca="1" si="171"/>
        <v>0</v>
      </c>
      <c r="X1294">
        <f t="shared" ca="1" si="172"/>
        <v>0</v>
      </c>
      <c r="Y1294">
        <f t="shared" ca="1" si="173"/>
        <v>0</v>
      </c>
      <c r="Z1294">
        <f t="shared" ca="1" si="174"/>
        <v>0</v>
      </c>
      <c r="AA1294">
        <f t="shared" ca="1" si="175"/>
        <v>0</v>
      </c>
    </row>
    <row r="1295" spans="1:27" x14ac:dyDescent="0.25">
      <c r="A1295">
        <f t="shared" ca="1" si="168"/>
        <v>0</v>
      </c>
      <c r="B1295" t="str">
        <f t="shared" ca="1" si="169"/>
        <v/>
      </c>
      <c r="C1295" t="str">
        <f t="shared" si="170"/>
        <v/>
      </c>
      <c r="D1295" t="s">
        <v>253</v>
      </c>
      <c r="E1295" t="s">
        <v>253</v>
      </c>
      <c r="F1295" s="3" t="s">
        <v>253</v>
      </c>
      <c r="G1295" s="11" t="s">
        <v>253</v>
      </c>
      <c r="H1295" s="11" t="s">
        <v>253</v>
      </c>
      <c r="I1295" s="3" t="s">
        <v>253</v>
      </c>
      <c r="J1295" s="3" t="s">
        <v>253</v>
      </c>
      <c r="K1295" s="3" t="s">
        <v>253</v>
      </c>
      <c r="L1295" s="3" t="s">
        <v>253</v>
      </c>
      <c r="M1295" t="str">
        <f>IF(LEN(H1295),MATCH(H1295,'MPIO_SFIO Table'!$A$11:$A$65525,0)-1,"")</f>
        <v/>
      </c>
      <c r="N1295" t="str">
        <f>IF(LEN(I1295),MATCH(I1295,'MPIO_SFIO Table'!$A$11:$A$65525,0)-1,"")</f>
        <v/>
      </c>
      <c r="O1295" t="str">
        <f>IF(LEN(J1295),MATCH(J1295,'MPIO_SFIO Table'!$A$11:$A$65525,0)-1,"")</f>
        <v/>
      </c>
      <c r="P1295" t="str">
        <f>IF(LEN(K1295),MATCH(K1295,'MPIO_SFIO Table'!$A$11:$A$65525,0)-1,"")</f>
        <v/>
      </c>
      <c r="Q1295" t="str">
        <f>IF(LEN(L1295),MATCH(L1295,'MPIO_SFIO Table'!$A$11:$A$65525,0)-1,"")</f>
        <v/>
      </c>
      <c r="R1295" t="str">
        <f ca="1">IF(ISNUMBER(M1295),OFFSET('MPIO_SFIO Table'!$AJ$11,M1295,0),"")</f>
        <v/>
      </c>
      <c r="S1295" t="str">
        <f ca="1">IF(ISNUMBER(N1295),OFFSET('MPIO_SFIO Table'!$AJ$11,N1295,0),"")</f>
        <v/>
      </c>
      <c r="T1295" t="str">
        <f ca="1">IF(ISNUMBER(O1295),OFFSET('MPIO_SFIO Table'!$AJ$11,O1295,0),"")</f>
        <v/>
      </c>
      <c r="U1295" t="str">
        <f ca="1">IF(ISNUMBER(P1295),OFFSET('MPIO_SFIO Table'!$AJ$11,P1295,0),"")</f>
        <v/>
      </c>
      <c r="V1295" t="str">
        <f ca="1">IF(ISNUMBER(Q1295),OFFSET('MPIO_SFIO Table'!$AJ$11,Q1295,0),"")</f>
        <v/>
      </c>
      <c r="W1295">
        <f t="shared" ca="1" si="171"/>
        <v>0</v>
      </c>
      <c r="X1295">
        <f t="shared" ca="1" si="172"/>
        <v>0</v>
      </c>
      <c r="Y1295">
        <f t="shared" ca="1" si="173"/>
        <v>0</v>
      </c>
      <c r="Z1295">
        <f t="shared" ca="1" si="174"/>
        <v>0</v>
      </c>
      <c r="AA1295">
        <f t="shared" ca="1" si="175"/>
        <v>0</v>
      </c>
    </row>
    <row r="1296" spans="1:27" x14ac:dyDescent="0.25">
      <c r="A1296">
        <f t="shared" ca="1" si="168"/>
        <v>0</v>
      </c>
      <c r="B1296" t="str">
        <f t="shared" ca="1" si="169"/>
        <v/>
      </c>
      <c r="C1296" t="str">
        <f t="shared" si="170"/>
        <v/>
      </c>
      <c r="D1296" t="s">
        <v>253</v>
      </c>
      <c r="E1296" t="s">
        <v>253</v>
      </c>
      <c r="F1296" s="3" t="s">
        <v>253</v>
      </c>
      <c r="G1296" s="11" t="s">
        <v>253</v>
      </c>
      <c r="H1296" s="11" t="s">
        <v>253</v>
      </c>
      <c r="I1296" s="3" t="s">
        <v>253</v>
      </c>
      <c r="J1296" s="3" t="s">
        <v>253</v>
      </c>
      <c r="K1296" s="3" t="s">
        <v>253</v>
      </c>
      <c r="L1296" s="3" t="s">
        <v>253</v>
      </c>
      <c r="M1296" t="str">
        <f>IF(LEN(H1296),MATCH(H1296,'MPIO_SFIO Table'!$A$11:$A$65525,0)-1,"")</f>
        <v/>
      </c>
      <c r="N1296" t="str">
        <f>IF(LEN(I1296),MATCH(I1296,'MPIO_SFIO Table'!$A$11:$A$65525,0)-1,"")</f>
        <v/>
      </c>
      <c r="O1296" t="str">
        <f>IF(LEN(J1296),MATCH(J1296,'MPIO_SFIO Table'!$A$11:$A$65525,0)-1,"")</f>
        <v/>
      </c>
      <c r="P1296" t="str">
        <f>IF(LEN(K1296),MATCH(K1296,'MPIO_SFIO Table'!$A$11:$A$65525,0)-1,"")</f>
        <v/>
      </c>
      <c r="Q1296" t="str">
        <f>IF(LEN(L1296),MATCH(L1296,'MPIO_SFIO Table'!$A$11:$A$65525,0)-1,"")</f>
        <v/>
      </c>
      <c r="R1296" t="str">
        <f ca="1">IF(ISNUMBER(M1296),OFFSET('MPIO_SFIO Table'!$AJ$11,M1296,0),"")</f>
        <v/>
      </c>
      <c r="S1296" t="str">
        <f ca="1">IF(ISNUMBER(N1296),OFFSET('MPIO_SFIO Table'!$AJ$11,N1296,0),"")</f>
        <v/>
      </c>
      <c r="T1296" t="str">
        <f ca="1">IF(ISNUMBER(O1296),OFFSET('MPIO_SFIO Table'!$AJ$11,O1296,0),"")</f>
        <v/>
      </c>
      <c r="U1296" t="str">
        <f ca="1">IF(ISNUMBER(P1296),OFFSET('MPIO_SFIO Table'!$AJ$11,P1296,0),"")</f>
        <v/>
      </c>
      <c r="V1296" t="str">
        <f ca="1">IF(ISNUMBER(Q1296),OFFSET('MPIO_SFIO Table'!$AJ$11,Q1296,0),"")</f>
        <v/>
      </c>
      <c r="W1296">
        <f t="shared" ca="1" si="171"/>
        <v>0</v>
      </c>
      <c r="X1296">
        <f t="shared" ca="1" si="172"/>
        <v>0</v>
      </c>
      <c r="Y1296">
        <f t="shared" ca="1" si="173"/>
        <v>0</v>
      </c>
      <c r="Z1296">
        <f t="shared" ca="1" si="174"/>
        <v>0</v>
      </c>
      <c r="AA1296">
        <f t="shared" ca="1" si="175"/>
        <v>0</v>
      </c>
    </row>
    <row r="1297" spans="1:27" x14ac:dyDescent="0.25">
      <c r="A1297">
        <f t="shared" ca="1" si="168"/>
        <v>0</v>
      </c>
      <c r="B1297" t="str">
        <f t="shared" ca="1" si="169"/>
        <v/>
      </c>
      <c r="C1297" t="str">
        <f t="shared" si="170"/>
        <v/>
      </c>
      <c r="D1297" t="s">
        <v>253</v>
      </c>
      <c r="E1297" t="s">
        <v>253</v>
      </c>
      <c r="F1297" s="3" t="s">
        <v>253</v>
      </c>
      <c r="G1297" s="11" t="s">
        <v>253</v>
      </c>
      <c r="H1297" s="11" t="s">
        <v>253</v>
      </c>
      <c r="I1297" s="3" t="s">
        <v>253</v>
      </c>
      <c r="J1297" s="3" t="s">
        <v>253</v>
      </c>
      <c r="K1297" s="3" t="s">
        <v>253</v>
      </c>
      <c r="L1297" s="3" t="s">
        <v>253</v>
      </c>
      <c r="M1297" t="str">
        <f>IF(LEN(H1297),MATCH(H1297,'MPIO_SFIO Table'!$A$11:$A$65525,0)-1,"")</f>
        <v/>
      </c>
      <c r="N1297" t="str">
        <f>IF(LEN(I1297),MATCH(I1297,'MPIO_SFIO Table'!$A$11:$A$65525,0)-1,"")</f>
        <v/>
      </c>
      <c r="O1297" t="str">
        <f>IF(LEN(J1297),MATCH(J1297,'MPIO_SFIO Table'!$A$11:$A$65525,0)-1,"")</f>
        <v/>
      </c>
      <c r="P1297" t="str">
        <f>IF(LEN(K1297),MATCH(K1297,'MPIO_SFIO Table'!$A$11:$A$65525,0)-1,"")</f>
        <v/>
      </c>
      <c r="Q1297" t="str">
        <f>IF(LEN(L1297),MATCH(L1297,'MPIO_SFIO Table'!$A$11:$A$65525,0)-1,"")</f>
        <v/>
      </c>
      <c r="R1297" t="str">
        <f ca="1">IF(ISNUMBER(M1297),OFFSET('MPIO_SFIO Table'!$AJ$11,M1297,0),"")</f>
        <v/>
      </c>
      <c r="S1297" t="str">
        <f ca="1">IF(ISNUMBER(N1297),OFFSET('MPIO_SFIO Table'!$AJ$11,N1297,0),"")</f>
        <v/>
      </c>
      <c r="T1297" t="str">
        <f ca="1">IF(ISNUMBER(O1297),OFFSET('MPIO_SFIO Table'!$AJ$11,O1297,0),"")</f>
        <v/>
      </c>
      <c r="U1297" t="str">
        <f ca="1">IF(ISNUMBER(P1297),OFFSET('MPIO_SFIO Table'!$AJ$11,P1297,0),"")</f>
        <v/>
      </c>
      <c r="V1297" t="str">
        <f ca="1">IF(ISNUMBER(Q1297),OFFSET('MPIO_SFIO Table'!$AJ$11,Q1297,0),"")</f>
        <v/>
      </c>
      <c r="W1297">
        <f t="shared" ca="1" si="171"/>
        <v>0</v>
      </c>
      <c r="X1297">
        <f t="shared" ca="1" si="172"/>
        <v>0</v>
      </c>
      <c r="Y1297">
        <f t="shared" ca="1" si="173"/>
        <v>0</v>
      </c>
      <c r="Z1297">
        <f t="shared" ca="1" si="174"/>
        <v>0</v>
      </c>
      <c r="AA1297">
        <f t="shared" ca="1" si="175"/>
        <v>0</v>
      </c>
    </row>
    <row r="1298" spans="1:27" x14ac:dyDescent="0.25">
      <c r="A1298">
        <f t="shared" ca="1" si="168"/>
        <v>0</v>
      </c>
      <c r="B1298" t="str">
        <f t="shared" ca="1" si="169"/>
        <v/>
      </c>
      <c r="C1298" t="str">
        <f t="shared" si="170"/>
        <v/>
      </c>
      <c r="D1298" t="s">
        <v>253</v>
      </c>
      <c r="E1298" t="s">
        <v>253</v>
      </c>
      <c r="F1298" s="3" t="s">
        <v>253</v>
      </c>
      <c r="G1298" s="11" t="s">
        <v>253</v>
      </c>
      <c r="H1298" s="11" t="s">
        <v>253</v>
      </c>
      <c r="I1298" s="3" t="s">
        <v>253</v>
      </c>
      <c r="J1298" s="3" t="s">
        <v>253</v>
      </c>
      <c r="K1298" s="3" t="s">
        <v>253</v>
      </c>
      <c r="L1298" s="3" t="s">
        <v>253</v>
      </c>
      <c r="M1298" t="str">
        <f>IF(LEN(H1298),MATCH(H1298,'MPIO_SFIO Table'!$A$11:$A$65525,0)-1,"")</f>
        <v/>
      </c>
      <c r="N1298" t="str">
        <f>IF(LEN(I1298),MATCH(I1298,'MPIO_SFIO Table'!$A$11:$A$65525,0)-1,"")</f>
        <v/>
      </c>
      <c r="O1298" t="str">
        <f>IF(LEN(J1298),MATCH(J1298,'MPIO_SFIO Table'!$A$11:$A$65525,0)-1,"")</f>
        <v/>
      </c>
      <c r="P1298" t="str">
        <f>IF(LEN(K1298),MATCH(K1298,'MPIO_SFIO Table'!$A$11:$A$65525,0)-1,"")</f>
        <v/>
      </c>
      <c r="Q1298" t="str">
        <f>IF(LEN(L1298),MATCH(L1298,'MPIO_SFIO Table'!$A$11:$A$65525,0)-1,"")</f>
        <v/>
      </c>
      <c r="R1298" t="str">
        <f ca="1">IF(ISNUMBER(M1298),OFFSET('MPIO_SFIO Table'!$AJ$11,M1298,0),"")</f>
        <v/>
      </c>
      <c r="S1298" t="str">
        <f ca="1">IF(ISNUMBER(N1298),OFFSET('MPIO_SFIO Table'!$AJ$11,N1298,0),"")</f>
        <v/>
      </c>
      <c r="T1298" t="str">
        <f ca="1">IF(ISNUMBER(O1298),OFFSET('MPIO_SFIO Table'!$AJ$11,O1298,0),"")</f>
        <v/>
      </c>
      <c r="U1298" t="str">
        <f ca="1">IF(ISNUMBER(P1298),OFFSET('MPIO_SFIO Table'!$AJ$11,P1298,0),"")</f>
        <v/>
      </c>
      <c r="V1298" t="str">
        <f ca="1">IF(ISNUMBER(Q1298),OFFSET('MPIO_SFIO Table'!$AJ$11,Q1298,0),"")</f>
        <v/>
      </c>
      <c r="W1298">
        <f t="shared" ca="1" si="171"/>
        <v>0</v>
      </c>
      <c r="X1298">
        <f t="shared" ca="1" si="172"/>
        <v>0</v>
      </c>
      <c r="Y1298">
        <f t="shared" ca="1" si="173"/>
        <v>0</v>
      </c>
      <c r="Z1298">
        <f t="shared" ca="1" si="174"/>
        <v>0</v>
      </c>
      <c r="AA1298">
        <f t="shared" ca="1" si="175"/>
        <v>0</v>
      </c>
    </row>
    <row r="1299" spans="1:27" x14ac:dyDescent="0.25">
      <c r="A1299">
        <f t="shared" ca="1" si="168"/>
        <v>0</v>
      </c>
      <c r="B1299" t="str">
        <f t="shared" ca="1" si="169"/>
        <v/>
      </c>
      <c r="C1299" t="str">
        <f t="shared" si="170"/>
        <v/>
      </c>
      <c r="D1299" t="s">
        <v>253</v>
      </c>
      <c r="E1299" t="s">
        <v>253</v>
      </c>
      <c r="F1299" s="3" t="s">
        <v>253</v>
      </c>
      <c r="G1299" s="11" t="s">
        <v>253</v>
      </c>
      <c r="H1299" s="11" t="s">
        <v>253</v>
      </c>
      <c r="I1299" s="3" t="s">
        <v>253</v>
      </c>
      <c r="J1299" s="3" t="s">
        <v>253</v>
      </c>
      <c r="K1299" s="3" t="s">
        <v>253</v>
      </c>
      <c r="L1299" s="3" t="s">
        <v>253</v>
      </c>
      <c r="M1299" t="str">
        <f>IF(LEN(H1299),MATCH(H1299,'MPIO_SFIO Table'!$A$11:$A$65525,0)-1,"")</f>
        <v/>
      </c>
      <c r="N1299" t="str">
        <f>IF(LEN(I1299),MATCH(I1299,'MPIO_SFIO Table'!$A$11:$A$65525,0)-1,"")</f>
        <v/>
      </c>
      <c r="O1299" t="str">
        <f>IF(LEN(J1299),MATCH(J1299,'MPIO_SFIO Table'!$A$11:$A$65525,0)-1,"")</f>
        <v/>
      </c>
      <c r="P1299" t="str">
        <f>IF(LEN(K1299),MATCH(K1299,'MPIO_SFIO Table'!$A$11:$A$65525,0)-1,"")</f>
        <v/>
      </c>
      <c r="Q1299" t="str">
        <f>IF(LEN(L1299),MATCH(L1299,'MPIO_SFIO Table'!$A$11:$A$65525,0)-1,"")</f>
        <v/>
      </c>
      <c r="R1299" t="str">
        <f ca="1">IF(ISNUMBER(M1299),OFFSET('MPIO_SFIO Table'!$AJ$11,M1299,0),"")</f>
        <v/>
      </c>
      <c r="S1299" t="str">
        <f ca="1">IF(ISNUMBER(N1299),OFFSET('MPIO_SFIO Table'!$AJ$11,N1299,0),"")</f>
        <v/>
      </c>
      <c r="T1299" t="str">
        <f ca="1">IF(ISNUMBER(O1299),OFFSET('MPIO_SFIO Table'!$AJ$11,O1299,0),"")</f>
        <v/>
      </c>
      <c r="U1299" t="str">
        <f ca="1">IF(ISNUMBER(P1299),OFFSET('MPIO_SFIO Table'!$AJ$11,P1299,0),"")</f>
        <v/>
      </c>
      <c r="V1299" t="str">
        <f ca="1">IF(ISNUMBER(Q1299),OFFSET('MPIO_SFIO Table'!$AJ$11,Q1299,0),"")</f>
        <v/>
      </c>
      <c r="W1299">
        <f t="shared" ca="1" si="171"/>
        <v>0</v>
      </c>
      <c r="X1299">
        <f t="shared" ca="1" si="172"/>
        <v>0</v>
      </c>
      <c r="Y1299">
        <f t="shared" ca="1" si="173"/>
        <v>0</v>
      </c>
      <c r="Z1299">
        <f t="shared" ca="1" si="174"/>
        <v>0</v>
      </c>
      <c r="AA1299">
        <f t="shared" ca="1" si="175"/>
        <v>0</v>
      </c>
    </row>
    <row r="1300" spans="1:27" x14ac:dyDescent="0.25">
      <c r="A1300">
        <f t="shared" ca="1" si="168"/>
        <v>0</v>
      </c>
      <c r="B1300" t="str">
        <f t="shared" ca="1" si="169"/>
        <v/>
      </c>
      <c r="C1300" t="str">
        <f t="shared" si="170"/>
        <v/>
      </c>
      <c r="D1300" t="s">
        <v>253</v>
      </c>
      <c r="E1300" t="s">
        <v>253</v>
      </c>
      <c r="F1300" s="3" t="s">
        <v>253</v>
      </c>
      <c r="G1300" s="11" t="s">
        <v>253</v>
      </c>
      <c r="H1300" s="11" t="s">
        <v>253</v>
      </c>
      <c r="I1300" s="3" t="s">
        <v>253</v>
      </c>
      <c r="J1300" s="3" t="s">
        <v>253</v>
      </c>
      <c r="K1300" s="3" t="s">
        <v>253</v>
      </c>
      <c r="L1300" s="3" t="s">
        <v>253</v>
      </c>
      <c r="M1300" t="str">
        <f>IF(LEN(H1300),MATCH(H1300,'MPIO_SFIO Table'!$A$11:$A$65525,0)-1,"")</f>
        <v/>
      </c>
      <c r="N1300" t="str">
        <f>IF(LEN(I1300),MATCH(I1300,'MPIO_SFIO Table'!$A$11:$A$65525,0)-1,"")</f>
        <v/>
      </c>
      <c r="O1300" t="str">
        <f>IF(LEN(J1300),MATCH(J1300,'MPIO_SFIO Table'!$A$11:$A$65525,0)-1,"")</f>
        <v/>
      </c>
      <c r="P1300" t="str">
        <f>IF(LEN(K1300),MATCH(K1300,'MPIO_SFIO Table'!$A$11:$A$65525,0)-1,"")</f>
        <v/>
      </c>
      <c r="Q1300" t="str">
        <f>IF(LEN(L1300),MATCH(L1300,'MPIO_SFIO Table'!$A$11:$A$65525,0)-1,"")</f>
        <v/>
      </c>
      <c r="R1300" t="str">
        <f ca="1">IF(ISNUMBER(M1300),OFFSET('MPIO_SFIO Table'!$AJ$11,M1300,0),"")</f>
        <v/>
      </c>
      <c r="S1300" t="str">
        <f ca="1">IF(ISNUMBER(N1300),OFFSET('MPIO_SFIO Table'!$AJ$11,N1300,0),"")</f>
        <v/>
      </c>
      <c r="T1300" t="str">
        <f ca="1">IF(ISNUMBER(O1300),OFFSET('MPIO_SFIO Table'!$AJ$11,O1300,0),"")</f>
        <v/>
      </c>
      <c r="U1300" t="str">
        <f ca="1">IF(ISNUMBER(P1300),OFFSET('MPIO_SFIO Table'!$AJ$11,P1300,0),"")</f>
        <v/>
      </c>
      <c r="V1300" t="str">
        <f ca="1">IF(ISNUMBER(Q1300),OFFSET('MPIO_SFIO Table'!$AJ$11,Q1300,0),"")</f>
        <v/>
      </c>
      <c r="W1300">
        <f t="shared" ca="1" si="171"/>
        <v>0</v>
      </c>
      <c r="X1300">
        <f t="shared" ca="1" si="172"/>
        <v>0</v>
      </c>
      <c r="Y1300">
        <f t="shared" ca="1" si="173"/>
        <v>0</v>
      </c>
      <c r="Z1300">
        <f t="shared" ca="1" si="174"/>
        <v>0</v>
      </c>
      <c r="AA1300">
        <f t="shared" ca="1" si="175"/>
        <v>0</v>
      </c>
    </row>
    <row r="1301" spans="1:27" x14ac:dyDescent="0.25">
      <c r="A1301">
        <f t="shared" ca="1" si="168"/>
        <v>0</v>
      </c>
      <c r="B1301" t="str">
        <f t="shared" ca="1" si="169"/>
        <v/>
      </c>
      <c r="C1301" t="str">
        <f t="shared" si="170"/>
        <v/>
      </c>
      <c r="D1301" t="s">
        <v>253</v>
      </c>
      <c r="E1301" t="s">
        <v>253</v>
      </c>
      <c r="F1301" s="3" t="s">
        <v>253</v>
      </c>
      <c r="G1301" s="11" t="s">
        <v>253</v>
      </c>
      <c r="H1301" s="11" t="s">
        <v>253</v>
      </c>
      <c r="I1301" s="3" t="s">
        <v>253</v>
      </c>
      <c r="J1301" s="3" t="s">
        <v>253</v>
      </c>
      <c r="K1301" s="3" t="s">
        <v>253</v>
      </c>
      <c r="L1301" s="3" t="s">
        <v>253</v>
      </c>
      <c r="M1301" t="str">
        <f>IF(LEN(H1301),MATCH(H1301,'MPIO_SFIO Table'!$A$11:$A$65525,0)-1,"")</f>
        <v/>
      </c>
      <c r="N1301" t="str">
        <f>IF(LEN(I1301),MATCH(I1301,'MPIO_SFIO Table'!$A$11:$A$65525,0)-1,"")</f>
        <v/>
      </c>
      <c r="O1301" t="str">
        <f>IF(LEN(J1301),MATCH(J1301,'MPIO_SFIO Table'!$A$11:$A$65525,0)-1,"")</f>
        <v/>
      </c>
      <c r="P1301" t="str">
        <f>IF(LEN(K1301),MATCH(K1301,'MPIO_SFIO Table'!$A$11:$A$65525,0)-1,"")</f>
        <v/>
      </c>
      <c r="Q1301" t="str">
        <f>IF(LEN(L1301),MATCH(L1301,'MPIO_SFIO Table'!$A$11:$A$65525,0)-1,"")</f>
        <v/>
      </c>
      <c r="R1301" t="str">
        <f ca="1">IF(ISNUMBER(M1301),OFFSET('MPIO_SFIO Table'!$AJ$11,M1301,0),"")</f>
        <v/>
      </c>
      <c r="S1301" t="str">
        <f ca="1">IF(ISNUMBER(N1301),OFFSET('MPIO_SFIO Table'!$AJ$11,N1301,0),"")</f>
        <v/>
      </c>
      <c r="T1301" t="str">
        <f ca="1">IF(ISNUMBER(O1301),OFFSET('MPIO_SFIO Table'!$AJ$11,O1301,0),"")</f>
        <v/>
      </c>
      <c r="U1301" t="str">
        <f ca="1">IF(ISNUMBER(P1301),OFFSET('MPIO_SFIO Table'!$AJ$11,P1301,0),"")</f>
        <v/>
      </c>
      <c r="V1301" t="str">
        <f ca="1">IF(ISNUMBER(Q1301),OFFSET('MPIO_SFIO Table'!$AJ$11,Q1301,0),"")</f>
        <v/>
      </c>
      <c r="W1301">
        <f t="shared" ca="1" si="171"/>
        <v>0</v>
      </c>
      <c r="X1301">
        <f t="shared" ca="1" si="172"/>
        <v>0</v>
      </c>
      <c r="Y1301">
        <f t="shared" ca="1" si="173"/>
        <v>0</v>
      </c>
      <c r="Z1301">
        <f t="shared" ca="1" si="174"/>
        <v>0</v>
      </c>
      <c r="AA1301">
        <f t="shared" ca="1" si="175"/>
        <v>0</v>
      </c>
    </row>
    <row r="1302" spans="1:27" x14ac:dyDescent="0.25">
      <c r="A1302">
        <f t="shared" ca="1" si="168"/>
        <v>0</v>
      </c>
      <c r="B1302" t="str">
        <f t="shared" ca="1" si="169"/>
        <v/>
      </c>
      <c r="C1302" t="str">
        <f t="shared" si="170"/>
        <v/>
      </c>
      <c r="D1302" t="s">
        <v>253</v>
      </c>
      <c r="E1302" t="s">
        <v>253</v>
      </c>
      <c r="F1302" s="3" t="s">
        <v>253</v>
      </c>
      <c r="G1302" s="11" t="s">
        <v>253</v>
      </c>
      <c r="H1302" s="11" t="s">
        <v>253</v>
      </c>
      <c r="I1302" s="3" t="s">
        <v>253</v>
      </c>
      <c r="J1302" s="3" t="s">
        <v>253</v>
      </c>
      <c r="K1302" s="3" t="s">
        <v>253</v>
      </c>
      <c r="L1302" s="3" t="s">
        <v>253</v>
      </c>
      <c r="M1302" t="str">
        <f>IF(LEN(H1302),MATCH(H1302,'MPIO_SFIO Table'!$A$11:$A$65525,0)-1,"")</f>
        <v/>
      </c>
      <c r="N1302" t="str">
        <f>IF(LEN(I1302),MATCH(I1302,'MPIO_SFIO Table'!$A$11:$A$65525,0)-1,"")</f>
        <v/>
      </c>
      <c r="O1302" t="str">
        <f>IF(LEN(J1302),MATCH(J1302,'MPIO_SFIO Table'!$A$11:$A$65525,0)-1,"")</f>
        <v/>
      </c>
      <c r="P1302" t="str">
        <f>IF(LEN(K1302),MATCH(K1302,'MPIO_SFIO Table'!$A$11:$A$65525,0)-1,"")</f>
        <v/>
      </c>
      <c r="Q1302" t="str">
        <f>IF(LEN(L1302),MATCH(L1302,'MPIO_SFIO Table'!$A$11:$A$65525,0)-1,"")</f>
        <v/>
      </c>
      <c r="R1302" t="str">
        <f ca="1">IF(ISNUMBER(M1302),OFFSET('MPIO_SFIO Table'!$AJ$11,M1302,0),"")</f>
        <v/>
      </c>
      <c r="S1302" t="str">
        <f ca="1">IF(ISNUMBER(N1302),OFFSET('MPIO_SFIO Table'!$AJ$11,N1302,0),"")</f>
        <v/>
      </c>
      <c r="T1302" t="str">
        <f ca="1">IF(ISNUMBER(O1302),OFFSET('MPIO_SFIO Table'!$AJ$11,O1302,0),"")</f>
        <v/>
      </c>
      <c r="U1302" t="str">
        <f ca="1">IF(ISNUMBER(P1302),OFFSET('MPIO_SFIO Table'!$AJ$11,P1302,0),"")</f>
        <v/>
      </c>
      <c r="V1302" t="str">
        <f ca="1">IF(ISNUMBER(Q1302),OFFSET('MPIO_SFIO Table'!$AJ$11,Q1302,0),"")</f>
        <v/>
      </c>
      <c r="W1302">
        <f t="shared" ca="1" si="171"/>
        <v>0</v>
      </c>
      <c r="X1302">
        <f t="shared" ca="1" si="172"/>
        <v>0</v>
      </c>
      <c r="Y1302">
        <f t="shared" ca="1" si="173"/>
        <v>0</v>
      </c>
      <c r="Z1302">
        <f t="shared" ca="1" si="174"/>
        <v>0</v>
      </c>
      <c r="AA1302">
        <f t="shared" ca="1" si="175"/>
        <v>0</v>
      </c>
    </row>
    <row r="1303" spans="1:27" x14ac:dyDescent="0.25">
      <c r="A1303">
        <f t="shared" ca="1" si="168"/>
        <v>0</v>
      </c>
      <c r="B1303" t="str">
        <f t="shared" ca="1" si="169"/>
        <v/>
      </c>
      <c r="C1303" t="str">
        <f t="shared" si="170"/>
        <v/>
      </c>
      <c r="D1303" t="s">
        <v>253</v>
      </c>
      <c r="E1303" t="s">
        <v>253</v>
      </c>
      <c r="F1303" s="3" t="s">
        <v>253</v>
      </c>
      <c r="G1303" s="11" t="s">
        <v>253</v>
      </c>
      <c r="H1303" s="11" t="s">
        <v>253</v>
      </c>
      <c r="I1303" s="3" t="s">
        <v>253</v>
      </c>
      <c r="J1303" s="3" t="s">
        <v>253</v>
      </c>
      <c r="K1303" s="3" t="s">
        <v>253</v>
      </c>
      <c r="L1303" s="3" t="s">
        <v>253</v>
      </c>
      <c r="M1303" t="str">
        <f>IF(LEN(H1303),MATCH(H1303,'MPIO_SFIO Table'!$A$11:$A$65525,0)-1,"")</f>
        <v/>
      </c>
      <c r="N1303" t="str">
        <f>IF(LEN(I1303),MATCH(I1303,'MPIO_SFIO Table'!$A$11:$A$65525,0)-1,"")</f>
        <v/>
      </c>
      <c r="O1303" t="str">
        <f>IF(LEN(J1303),MATCH(J1303,'MPIO_SFIO Table'!$A$11:$A$65525,0)-1,"")</f>
        <v/>
      </c>
      <c r="P1303" t="str">
        <f>IF(LEN(K1303),MATCH(K1303,'MPIO_SFIO Table'!$A$11:$A$65525,0)-1,"")</f>
        <v/>
      </c>
      <c r="Q1303" t="str">
        <f>IF(LEN(L1303),MATCH(L1303,'MPIO_SFIO Table'!$A$11:$A$65525,0)-1,"")</f>
        <v/>
      </c>
      <c r="R1303" t="str">
        <f ca="1">IF(ISNUMBER(M1303),OFFSET('MPIO_SFIO Table'!$AJ$11,M1303,0),"")</f>
        <v/>
      </c>
      <c r="S1303" t="str">
        <f ca="1">IF(ISNUMBER(N1303),OFFSET('MPIO_SFIO Table'!$AJ$11,N1303,0),"")</f>
        <v/>
      </c>
      <c r="T1303" t="str">
        <f ca="1">IF(ISNUMBER(O1303),OFFSET('MPIO_SFIO Table'!$AJ$11,O1303,0),"")</f>
        <v/>
      </c>
      <c r="U1303" t="str">
        <f ca="1">IF(ISNUMBER(P1303),OFFSET('MPIO_SFIO Table'!$AJ$11,P1303,0),"")</f>
        <v/>
      </c>
      <c r="V1303" t="str">
        <f ca="1">IF(ISNUMBER(Q1303),OFFSET('MPIO_SFIO Table'!$AJ$11,Q1303,0),"")</f>
        <v/>
      </c>
      <c r="W1303">
        <f t="shared" ca="1" si="171"/>
        <v>0</v>
      </c>
      <c r="X1303">
        <f t="shared" ca="1" si="172"/>
        <v>0</v>
      </c>
      <c r="Y1303">
        <f t="shared" ca="1" si="173"/>
        <v>0</v>
      </c>
      <c r="Z1303">
        <f t="shared" ca="1" si="174"/>
        <v>0</v>
      </c>
      <c r="AA1303">
        <f t="shared" ca="1" si="175"/>
        <v>0</v>
      </c>
    </row>
    <row r="1304" spans="1:27" x14ac:dyDescent="0.25">
      <c r="A1304">
        <f t="shared" ca="1" si="168"/>
        <v>0</v>
      </c>
      <c r="B1304" t="str">
        <f t="shared" ca="1" si="169"/>
        <v/>
      </c>
      <c r="C1304" t="str">
        <f t="shared" si="170"/>
        <v/>
      </c>
      <c r="D1304" t="s">
        <v>253</v>
      </c>
      <c r="E1304" t="s">
        <v>253</v>
      </c>
      <c r="F1304" s="3" t="s">
        <v>253</v>
      </c>
      <c r="G1304" s="11" t="s">
        <v>253</v>
      </c>
      <c r="H1304" s="11" t="s">
        <v>253</v>
      </c>
      <c r="I1304" s="3" t="s">
        <v>253</v>
      </c>
      <c r="J1304" s="3" t="s">
        <v>253</v>
      </c>
      <c r="K1304" s="3" t="s">
        <v>253</v>
      </c>
      <c r="L1304" s="3" t="s">
        <v>253</v>
      </c>
      <c r="M1304" t="str">
        <f>IF(LEN(H1304),MATCH(H1304,'MPIO_SFIO Table'!$A$11:$A$65525,0)-1,"")</f>
        <v/>
      </c>
      <c r="N1304" t="str">
        <f>IF(LEN(I1304),MATCH(I1304,'MPIO_SFIO Table'!$A$11:$A$65525,0)-1,"")</f>
        <v/>
      </c>
      <c r="O1304" t="str">
        <f>IF(LEN(J1304),MATCH(J1304,'MPIO_SFIO Table'!$A$11:$A$65525,0)-1,"")</f>
        <v/>
      </c>
      <c r="P1304" t="str">
        <f>IF(LEN(K1304),MATCH(K1304,'MPIO_SFIO Table'!$A$11:$A$65525,0)-1,"")</f>
        <v/>
      </c>
      <c r="Q1304" t="str">
        <f>IF(LEN(L1304),MATCH(L1304,'MPIO_SFIO Table'!$A$11:$A$65525,0)-1,"")</f>
        <v/>
      </c>
      <c r="R1304" t="str">
        <f ca="1">IF(ISNUMBER(M1304),OFFSET('MPIO_SFIO Table'!$AJ$11,M1304,0),"")</f>
        <v/>
      </c>
      <c r="S1304" t="str">
        <f ca="1">IF(ISNUMBER(N1304),OFFSET('MPIO_SFIO Table'!$AJ$11,N1304,0),"")</f>
        <v/>
      </c>
      <c r="T1304" t="str">
        <f ca="1">IF(ISNUMBER(O1304),OFFSET('MPIO_SFIO Table'!$AJ$11,O1304,0),"")</f>
        <v/>
      </c>
      <c r="U1304" t="str">
        <f ca="1">IF(ISNUMBER(P1304),OFFSET('MPIO_SFIO Table'!$AJ$11,P1304,0),"")</f>
        <v/>
      </c>
      <c r="V1304" t="str">
        <f ca="1">IF(ISNUMBER(Q1304),OFFSET('MPIO_SFIO Table'!$AJ$11,Q1304,0),"")</f>
        <v/>
      </c>
      <c r="W1304">
        <f t="shared" ca="1" si="171"/>
        <v>0</v>
      </c>
      <c r="X1304">
        <f t="shared" ca="1" si="172"/>
        <v>0</v>
      </c>
      <c r="Y1304">
        <f t="shared" ca="1" si="173"/>
        <v>0</v>
      </c>
      <c r="Z1304">
        <f t="shared" ca="1" si="174"/>
        <v>0</v>
      </c>
      <c r="AA1304">
        <f t="shared" ca="1" si="175"/>
        <v>0</v>
      </c>
    </row>
    <row r="1305" spans="1:27" x14ac:dyDescent="0.25">
      <c r="A1305">
        <f t="shared" ca="1" si="168"/>
        <v>0</v>
      </c>
      <c r="B1305" t="str">
        <f t="shared" ca="1" si="169"/>
        <v/>
      </c>
      <c r="C1305" t="str">
        <f t="shared" si="170"/>
        <v/>
      </c>
      <c r="D1305" t="s">
        <v>253</v>
      </c>
      <c r="E1305" t="s">
        <v>253</v>
      </c>
      <c r="F1305" s="3" t="s">
        <v>253</v>
      </c>
      <c r="G1305" s="11" t="s">
        <v>253</v>
      </c>
      <c r="H1305" s="11" t="s">
        <v>253</v>
      </c>
      <c r="I1305" s="3" t="s">
        <v>253</v>
      </c>
      <c r="J1305" s="3" t="s">
        <v>253</v>
      </c>
      <c r="K1305" s="3" t="s">
        <v>253</v>
      </c>
      <c r="L1305" s="3" t="s">
        <v>253</v>
      </c>
      <c r="M1305" t="str">
        <f>IF(LEN(H1305),MATCH(H1305,'MPIO_SFIO Table'!$A$11:$A$65525,0)-1,"")</f>
        <v/>
      </c>
      <c r="N1305" t="str">
        <f>IF(LEN(I1305),MATCH(I1305,'MPIO_SFIO Table'!$A$11:$A$65525,0)-1,"")</f>
        <v/>
      </c>
      <c r="O1305" t="str">
        <f>IF(LEN(J1305),MATCH(J1305,'MPIO_SFIO Table'!$A$11:$A$65525,0)-1,"")</f>
        <v/>
      </c>
      <c r="P1305" t="str">
        <f>IF(LEN(K1305),MATCH(K1305,'MPIO_SFIO Table'!$A$11:$A$65525,0)-1,"")</f>
        <v/>
      </c>
      <c r="Q1305" t="str">
        <f>IF(LEN(L1305),MATCH(L1305,'MPIO_SFIO Table'!$A$11:$A$65525,0)-1,"")</f>
        <v/>
      </c>
      <c r="R1305" t="str">
        <f ca="1">IF(ISNUMBER(M1305),OFFSET('MPIO_SFIO Table'!$AJ$11,M1305,0),"")</f>
        <v/>
      </c>
      <c r="S1305" t="str">
        <f ca="1">IF(ISNUMBER(N1305),OFFSET('MPIO_SFIO Table'!$AJ$11,N1305,0),"")</f>
        <v/>
      </c>
      <c r="T1305" t="str">
        <f ca="1">IF(ISNUMBER(O1305),OFFSET('MPIO_SFIO Table'!$AJ$11,O1305,0),"")</f>
        <v/>
      </c>
      <c r="U1305" t="str">
        <f ca="1">IF(ISNUMBER(P1305),OFFSET('MPIO_SFIO Table'!$AJ$11,P1305,0),"")</f>
        <v/>
      </c>
      <c r="V1305" t="str">
        <f ca="1">IF(ISNUMBER(Q1305),OFFSET('MPIO_SFIO Table'!$AJ$11,Q1305,0),"")</f>
        <v/>
      </c>
      <c r="W1305">
        <f t="shared" ca="1" si="171"/>
        <v>0</v>
      </c>
      <c r="X1305">
        <f t="shared" ca="1" si="172"/>
        <v>0</v>
      </c>
      <c r="Y1305">
        <f t="shared" ca="1" si="173"/>
        <v>0</v>
      </c>
      <c r="Z1305">
        <f t="shared" ca="1" si="174"/>
        <v>0</v>
      </c>
      <c r="AA1305">
        <f t="shared" ca="1" si="175"/>
        <v>0</v>
      </c>
    </row>
    <row r="1306" spans="1:27" x14ac:dyDescent="0.25">
      <c r="A1306">
        <f t="shared" ca="1" si="168"/>
        <v>0</v>
      </c>
      <c r="B1306" t="str">
        <f t="shared" ca="1" si="169"/>
        <v/>
      </c>
      <c r="C1306" t="str">
        <f t="shared" si="170"/>
        <v/>
      </c>
      <c r="D1306" t="s">
        <v>253</v>
      </c>
      <c r="E1306" t="s">
        <v>253</v>
      </c>
      <c r="F1306" s="3" t="s">
        <v>253</v>
      </c>
      <c r="G1306" s="11" t="s">
        <v>253</v>
      </c>
      <c r="H1306" s="11" t="s">
        <v>253</v>
      </c>
      <c r="I1306" s="3" t="s">
        <v>253</v>
      </c>
      <c r="J1306" s="3" t="s">
        <v>253</v>
      </c>
      <c r="K1306" s="3" t="s">
        <v>253</v>
      </c>
      <c r="L1306" s="3" t="s">
        <v>253</v>
      </c>
      <c r="M1306" t="str">
        <f>IF(LEN(H1306),MATCH(H1306,'MPIO_SFIO Table'!$A$11:$A$65525,0)-1,"")</f>
        <v/>
      </c>
      <c r="N1306" t="str">
        <f>IF(LEN(I1306),MATCH(I1306,'MPIO_SFIO Table'!$A$11:$A$65525,0)-1,"")</f>
        <v/>
      </c>
      <c r="O1306" t="str">
        <f>IF(LEN(J1306),MATCH(J1306,'MPIO_SFIO Table'!$A$11:$A$65525,0)-1,"")</f>
        <v/>
      </c>
      <c r="P1306" t="str">
        <f>IF(LEN(K1306),MATCH(K1306,'MPIO_SFIO Table'!$A$11:$A$65525,0)-1,"")</f>
        <v/>
      </c>
      <c r="Q1306" t="str">
        <f>IF(LEN(L1306),MATCH(L1306,'MPIO_SFIO Table'!$A$11:$A$65525,0)-1,"")</f>
        <v/>
      </c>
      <c r="R1306" t="str">
        <f ca="1">IF(ISNUMBER(M1306),OFFSET('MPIO_SFIO Table'!$AJ$11,M1306,0),"")</f>
        <v/>
      </c>
      <c r="S1306" t="str">
        <f ca="1">IF(ISNUMBER(N1306),OFFSET('MPIO_SFIO Table'!$AJ$11,N1306,0),"")</f>
        <v/>
      </c>
      <c r="T1306" t="str">
        <f ca="1">IF(ISNUMBER(O1306),OFFSET('MPIO_SFIO Table'!$AJ$11,O1306,0),"")</f>
        <v/>
      </c>
      <c r="U1306" t="str">
        <f ca="1">IF(ISNUMBER(P1306),OFFSET('MPIO_SFIO Table'!$AJ$11,P1306,0),"")</f>
        <v/>
      </c>
      <c r="V1306" t="str">
        <f ca="1">IF(ISNUMBER(Q1306),OFFSET('MPIO_SFIO Table'!$AJ$11,Q1306,0),"")</f>
        <v/>
      </c>
      <c r="W1306">
        <f t="shared" ca="1" si="171"/>
        <v>0</v>
      </c>
      <c r="X1306">
        <f t="shared" ca="1" si="172"/>
        <v>0</v>
      </c>
      <c r="Y1306">
        <f t="shared" ca="1" si="173"/>
        <v>0</v>
      </c>
      <c r="Z1306">
        <f t="shared" ca="1" si="174"/>
        <v>0</v>
      </c>
      <c r="AA1306">
        <f t="shared" ca="1" si="175"/>
        <v>0</v>
      </c>
    </row>
    <row r="1307" spans="1:27" x14ac:dyDescent="0.25">
      <c r="A1307">
        <f t="shared" ca="1" si="168"/>
        <v>0</v>
      </c>
      <c r="B1307" t="str">
        <f t="shared" ca="1" si="169"/>
        <v/>
      </c>
      <c r="C1307" t="str">
        <f t="shared" si="170"/>
        <v/>
      </c>
      <c r="D1307" t="s">
        <v>253</v>
      </c>
      <c r="E1307" t="s">
        <v>253</v>
      </c>
      <c r="F1307" s="3" t="s">
        <v>253</v>
      </c>
      <c r="G1307" s="11" t="s">
        <v>253</v>
      </c>
      <c r="H1307" s="11" t="s">
        <v>253</v>
      </c>
      <c r="I1307" s="3" t="s">
        <v>253</v>
      </c>
      <c r="J1307" s="3" t="s">
        <v>253</v>
      </c>
      <c r="K1307" s="3" t="s">
        <v>253</v>
      </c>
      <c r="L1307" s="3" t="s">
        <v>253</v>
      </c>
      <c r="M1307" t="str">
        <f>IF(LEN(H1307),MATCH(H1307,'MPIO_SFIO Table'!$A$11:$A$65525,0)-1,"")</f>
        <v/>
      </c>
      <c r="N1307" t="str">
        <f>IF(LEN(I1307),MATCH(I1307,'MPIO_SFIO Table'!$A$11:$A$65525,0)-1,"")</f>
        <v/>
      </c>
      <c r="O1307" t="str">
        <f>IF(LEN(J1307),MATCH(J1307,'MPIO_SFIO Table'!$A$11:$A$65525,0)-1,"")</f>
        <v/>
      </c>
      <c r="P1307" t="str">
        <f>IF(LEN(K1307),MATCH(K1307,'MPIO_SFIO Table'!$A$11:$A$65525,0)-1,"")</f>
        <v/>
      </c>
      <c r="Q1307" t="str">
        <f>IF(LEN(L1307),MATCH(L1307,'MPIO_SFIO Table'!$A$11:$A$65525,0)-1,"")</f>
        <v/>
      </c>
      <c r="R1307" t="str">
        <f ca="1">IF(ISNUMBER(M1307),OFFSET('MPIO_SFIO Table'!$AJ$11,M1307,0),"")</f>
        <v/>
      </c>
      <c r="S1307" t="str">
        <f ca="1">IF(ISNUMBER(N1307),OFFSET('MPIO_SFIO Table'!$AJ$11,N1307,0),"")</f>
        <v/>
      </c>
      <c r="T1307" t="str">
        <f ca="1">IF(ISNUMBER(O1307),OFFSET('MPIO_SFIO Table'!$AJ$11,O1307,0),"")</f>
        <v/>
      </c>
      <c r="U1307" t="str">
        <f ca="1">IF(ISNUMBER(P1307),OFFSET('MPIO_SFIO Table'!$AJ$11,P1307,0),"")</f>
        <v/>
      </c>
      <c r="V1307" t="str">
        <f ca="1">IF(ISNUMBER(Q1307),OFFSET('MPIO_SFIO Table'!$AJ$11,Q1307,0),"")</f>
        <v/>
      </c>
      <c r="W1307">
        <f t="shared" ca="1" si="171"/>
        <v>0</v>
      </c>
      <c r="X1307">
        <f t="shared" ca="1" si="172"/>
        <v>0</v>
      </c>
      <c r="Y1307">
        <f t="shared" ca="1" si="173"/>
        <v>0</v>
      </c>
      <c r="Z1307">
        <f t="shared" ca="1" si="174"/>
        <v>0</v>
      </c>
      <c r="AA1307">
        <f t="shared" ca="1" si="175"/>
        <v>0</v>
      </c>
    </row>
    <row r="1308" spans="1:27" x14ac:dyDescent="0.25">
      <c r="A1308">
        <f t="shared" ca="1" si="168"/>
        <v>0</v>
      </c>
      <c r="B1308" t="str">
        <f t="shared" ca="1" si="169"/>
        <v/>
      </c>
      <c r="C1308" t="str">
        <f t="shared" si="170"/>
        <v/>
      </c>
      <c r="D1308" t="s">
        <v>253</v>
      </c>
      <c r="E1308" t="s">
        <v>253</v>
      </c>
      <c r="F1308" s="3" t="s">
        <v>253</v>
      </c>
      <c r="G1308" s="11" t="s">
        <v>253</v>
      </c>
      <c r="H1308" s="11" t="s">
        <v>253</v>
      </c>
      <c r="I1308" s="3" t="s">
        <v>253</v>
      </c>
      <c r="J1308" s="3" t="s">
        <v>253</v>
      </c>
      <c r="K1308" s="3" t="s">
        <v>253</v>
      </c>
      <c r="L1308" s="3" t="s">
        <v>253</v>
      </c>
      <c r="M1308" t="str">
        <f>IF(LEN(H1308),MATCH(H1308,'MPIO_SFIO Table'!$A$11:$A$65525,0)-1,"")</f>
        <v/>
      </c>
      <c r="N1308" t="str">
        <f>IF(LEN(I1308),MATCH(I1308,'MPIO_SFIO Table'!$A$11:$A$65525,0)-1,"")</f>
        <v/>
      </c>
      <c r="O1308" t="str">
        <f>IF(LEN(J1308),MATCH(J1308,'MPIO_SFIO Table'!$A$11:$A$65525,0)-1,"")</f>
        <v/>
      </c>
      <c r="P1308" t="str">
        <f>IF(LEN(K1308),MATCH(K1308,'MPIO_SFIO Table'!$A$11:$A$65525,0)-1,"")</f>
        <v/>
      </c>
      <c r="Q1308" t="str">
        <f>IF(LEN(L1308),MATCH(L1308,'MPIO_SFIO Table'!$A$11:$A$65525,0)-1,"")</f>
        <v/>
      </c>
      <c r="R1308" t="str">
        <f ca="1">IF(ISNUMBER(M1308),OFFSET('MPIO_SFIO Table'!$AJ$11,M1308,0),"")</f>
        <v/>
      </c>
      <c r="S1308" t="str">
        <f ca="1">IF(ISNUMBER(N1308),OFFSET('MPIO_SFIO Table'!$AJ$11,N1308,0),"")</f>
        <v/>
      </c>
      <c r="T1308" t="str">
        <f ca="1">IF(ISNUMBER(O1308),OFFSET('MPIO_SFIO Table'!$AJ$11,O1308,0),"")</f>
        <v/>
      </c>
      <c r="U1308" t="str">
        <f ca="1">IF(ISNUMBER(P1308),OFFSET('MPIO_SFIO Table'!$AJ$11,P1308,0),"")</f>
        <v/>
      </c>
      <c r="V1308" t="str">
        <f ca="1">IF(ISNUMBER(Q1308),OFFSET('MPIO_SFIO Table'!$AJ$11,Q1308,0),"")</f>
        <v/>
      </c>
      <c r="W1308">
        <f t="shared" ca="1" si="171"/>
        <v>0</v>
      </c>
      <c r="X1308">
        <f t="shared" ca="1" si="172"/>
        <v>0</v>
      </c>
      <c r="Y1308">
        <f t="shared" ca="1" si="173"/>
        <v>0</v>
      </c>
      <c r="Z1308">
        <f t="shared" ca="1" si="174"/>
        <v>0</v>
      </c>
      <c r="AA1308">
        <f t="shared" ca="1" si="175"/>
        <v>0</v>
      </c>
    </row>
    <row r="1309" spans="1:27" x14ac:dyDescent="0.25">
      <c r="A1309">
        <f t="shared" ca="1" si="168"/>
        <v>0</v>
      </c>
      <c r="B1309" t="str">
        <f t="shared" ca="1" si="169"/>
        <v/>
      </c>
      <c r="C1309" t="str">
        <f t="shared" si="170"/>
        <v/>
      </c>
      <c r="D1309" t="s">
        <v>253</v>
      </c>
      <c r="E1309" t="s">
        <v>253</v>
      </c>
      <c r="F1309" s="3" t="s">
        <v>253</v>
      </c>
      <c r="G1309" s="11" t="s">
        <v>253</v>
      </c>
      <c r="H1309" s="11" t="s">
        <v>253</v>
      </c>
      <c r="I1309" s="3" t="s">
        <v>253</v>
      </c>
      <c r="J1309" s="3" t="s">
        <v>253</v>
      </c>
      <c r="K1309" s="3" t="s">
        <v>253</v>
      </c>
      <c r="L1309" s="3" t="s">
        <v>253</v>
      </c>
      <c r="M1309" t="str">
        <f>IF(LEN(H1309),MATCH(H1309,'MPIO_SFIO Table'!$A$11:$A$65525,0)-1,"")</f>
        <v/>
      </c>
      <c r="N1309" t="str">
        <f>IF(LEN(I1309),MATCH(I1309,'MPIO_SFIO Table'!$A$11:$A$65525,0)-1,"")</f>
        <v/>
      </c>
      <c r="O1309" t="str">
        <f>IF(LEN(J1309),MATCH(J1309,'MPIO_SFIO Table'!$A$11:$A$65525,0)-1,"")</f>
        <v/>
      </c>
      <c r="P1309" t="str">
        <f>IF(LEN(K1309),MATCH(K1309,'MPIO_SFIO Table'!$A$11:$A$65525,0)-1,"")</f>
        <v/>
      </c>
      <c r="Q1309" t="str">
        <f>IF(LEN(L1309),MATCH(L1309,'MPIO_SFIO Table'!$A$11:$A$65525,0)-1,"")</f>
        <v/>
      </c>
      <c r="R1309" t="str">
        <f ca="1">IF(ISNUMBER(M1309),OFFSET('MPIO_SFIO Table'!$AJ$11,M1309,0),"")</f>
        <v/>
      </c>
      <c r="S1309" t="str">
        <f ca="1">IF(ISNUMBER(N1309),OFFSET('MPIO_SFIO Table'!$AJ$11,N1309,0),"")</f>
        <v/>
      </c>
      <c r="T1309" t="str">
        <f ca="1">IF(ISNUMBER(O1309),OFFSET('MPIO_SFIO Table'!$AJ$11,O1309,0),"")</f>
        <v/>
      </c>
      <c r="U1309" t="str">
        <f ca="1">IF(ISNUMBER(P1309),OFFSET('MPIO_SFIO Table'!$AJ$11,P1309,0),"")</f>
        <v/>
      </c>
      <c r="V1309" t="str">
        <f ca="1">IF(ISNUMBER(Q1309),OFFSET('MPIO_SFIO Table'!$AJ$11,Q1309,0),"")</f>
        <v/>
      </c>
      <c r="W1309">
        <f t="shared" ca="1" si="171"/>
        <v>0</v>
      </c>
      <c r="X1309">
        <f t="shared" ca="1" si="172"/>
        <v>0</v>
      </c>
      <c r="Y1309">
        <f t="shared" ca="1" si="173"/>
        <v>0</v>
      </c>
      <c r="Z1309">
        <f t="shared" ca="1" si="174"/>
        <v>0</v>
      </c>
      <c r="AA1309">
        <f t="shared" ca="1" si="175"/>
        <v>0</v>
      </c>
    </row>
    <row r="1310" spans="1:27" x14ac:dyDescent="0.25">
      <c r="A1310">
        <f t="shared" ca="1" si="168"/>
        <v>0</v>
      </c>
      <c r="B1310" t="str">
        <f t="shared" ca="1" si="169"/>
        <v/>
      </c>
      <c r="C1310" t="str">
        <f t="shared" si="170"/>
        <v/>
      </c>
      <c r="D1310" t="s">
        <v>253</v>
      </c>
      <c r="E1310" t="s">
        <v>253</v>
      </c>
      <c r="F1310" s="3" t="s">
        <v>253</v>
      </c>
      <c r="G1310" s="11" t="s">
        <v>253</v>
      </c>
      <c r="H1310" s="11" t="s">
        <v>253</v>
      </c>
      <c r="I1310" s="3" t="s">
        <v>253</v>
      </c>
      <c r="J1310" s="3" t="s">
        <v>253</v>
      </c>
      <c r="K1310" s="3" t="s">
        <v>253</v>
      </c>
      <c r="L1310" s="3" t="s">
        <v>253</v>
      </c>
      <c r="M1310" t="str">
        <f>IF(LEN(H1310),MATCH(H1310,'MPIO_SFIO Table'!$A$11:$A$65525,0)-1,"")</f>
        <v/>
      </c>
      <c r="N1310" t="str">
        <f>IF(LEN(I1310),MATCH(I1310,'MPIO_SFIO Table'!$A$11:$A$65525,0)-1,"")</f>
        <v/>
      </c>
      <c r="O1310" t="str">
        <f>IF(LEN(J1310),MATCH(J1310,'MPIO_SFIO Table'!$A$11:$A$65525,0)-1,"")</f>
        <v/>
      </c>
      <c r="P1310" t="str">
        <f>IF(LEN(K1310),MATCH(K1310,'MPIO_SFIO Table'!$A$11:$A$65525,0)-1,"")</f>
        <v/>
      </c>
      <c r="Q1310" t="str">
        <f>IF(LEN(L1310),MATCH(L1310,'MPIO_SFIO Table'!$A$11:$A$65525,0)-1,"")</f>
        <v/>
      </c>
      <c r="R1310" t="str">
        <f ca="1">IF(ISNUMBER(M1310),OFFSET('MPIO_SFIO Table'!$AJ$11,M1310,0),"")</f>
        <v/>
      </c>
      <c r="S1310" t="str">
        <f ca="1">IF(ISNUMBER(N1310),OFFSET('MPIO_SFIO Table'!$AJ$11,N1310,0),"")</f>
        <v/>
      </c>
      <c r="T1310" t="str">
        <f ca="1">IF(ISNUMBER(O1310),OFFSET('MPIO_SFIO Table'!$AJ$11,O1310,0),"")</f>
        <v/>
      </c>
      <c r="U1310" t="str">
        <f ca="1">IF(ISNUMBER(P1310),OFFSET('MPIO_SFIO Table'!$AJ$11,P1310,0),"")</f>
        <v/>
      </c>
      <c r="V1310" t="str">
        <f ca="1">IF(ISNUMBER(Q1310),OFFSET('MPIO_SFIO Table'!$AJ$11,Q1310,0),"")</f>
        <v/>
      </c>
      <c r="W1310">
        <f t="shared" ca="1" si="171"/>
        <v>0</v>
      </c>
      <c r="X1310">
        <f t="shared" ca="1" si="172"/>
        <v>0</v>
      </c>
      <c r="Y1310">
        <f t="shared" ca="1" si="173"/>
        <v>0</v>
      </c>
      <c r="Z1310">
        <f t="shared" ca="1" si="174"/>
        <v>0</v>
      </c>
      <c r="AA1310">
        <f t="shared" ca="1" si="175"/>
        <v>0</v>
      </c>
    </row>
    <row r="1311" spans="1:27" x14ac:dyDescent="0.25">
      <c r="A1311">
        <f t="shared" ca="1" si="168"/>
        <v>0</v>
      </c>
      <c r="B1311" t="str">
        <f t="shared" ca="1" si="169"/>
        <v/>
      </c>
      <c r="C1311" t="str">
        <f t="shared" si="170"/>
        <v/>
      </c>
      <c r="D1311" t="s">
        <v>253</v>
      </c>
      <c r="E1311" t="s">
        <v>253</v>
      </c>
      <c r="F1311" s="3" t="s">
        <v>253</v>
      </c>
      <c r="G1311" s="11" t="s">
        <v>253</v>
      </c>
      <c r="H1311" s="11" t="s">
        <v>253</v>
      </c>
      <c r="I1311" s="3" t="s">
        <v>253</v>
      </c>
      <c r="J1311" s="3" t="s">
        <v>253</v>
      </c>
      <c r="K1311" s="3" t="s">
        <v>253</v>
      </c>
      <c r="L1311" s="3" t="s">
        <v>253</v>
      </c>
      <c r="M1311" t="str">
        <f>IF(LEN(H1311),MATCH(H1311,'MPIO_SFIO Table'!$A$11:$A$65525,0)-1,"")</f>
        <v/>
      </c>
      <c r="N1311" t="str">
        <f>IF(LEN(I1311),MATCH(I1311,'MPIO_SFIO Table'!$A$11:$A$65525,0)-1,"")</f>
        <v/>
      </c>
      <c r="O1311" t="str">
        <f>IF(LEN(J1311),MATCH(J1311,'MPIO_SFIO Table'!$A$11:$A$65525,0)-1,"")</f>
        <v/>
      </c>
      <c r="P1311" t="str">
        <f>IF(LEN(K1311),MATCH(K1311,'MPIO_SFIO Table'!$A$11:$A$65525,0)-1,"")</f>
        <v/>
      </c>
      <c r="Q1311" t="str">
        <f>IF(LEN(L1311),MATCH(L1311,'MPIO_SFIO Table'!$A$11:$A$65525,0)-1,"")</f>
        <v/>
      </c>
      <c r="R1311" t="str">
        <f ca="1">IF(ISNUMBER(M1311),OFFSET('MPIO_SFIO Table'!$AJ$11,M1311,0),"")</f>
        <v/>
      </c>
      <c r="S1311" t="str">
        <f ca="1">IF(ISNUMBER(N1311),OFFSET('MPIO_SFIO Table'!$AJ$11,N1311,0),"")</f>
        <v/>
      </c>
      <c r="T1311" t="str">
        <f ca="1">IF(ISNUMBER(O1311),OFFSET('MPIO_SFIO Table'!$AJ$11,O1311,0),"")</f>
        <v/>
      </c>
      <c r="U1311" t="str">
        <f ca="1">IF(ISNUMBER(P1311),OFFSET('MPIO_SFIO Table'!$AJ$11,P1311,0),"")</f>
        <v/>
      </c>
      <c r="V1311" t="str">
        <f ca="1">IF(ISNUMBER(Q1311),OFFSET('MPIO_SFIO Table'!$AJ$11,Q1311,0),"")</f>
        <v/>
      </c>
      <c r="W1311">
        <f t="shared" ca="1" si="171"/>
        <v>0</v>
      </c>
      <c r="X1311">
        <f t="shared" ca="1" si="172"/>
        <v>0</v>
      </c>
      <c r="Y1311">
        <f t="shared" ca="1" si="173"/>
        <v>0</v>
      </c>
      <c r="Z1311">
        <f t="shared" ca="1" si="174"/>
        <v>0</v>
      </c>
      <c r="AA1311">
        <f t="shared" ca="1" si="175"/>
        <v>0</v>
      </c>
    </row>
    <row r="1312" spans="1:27" x14ac:dyDescent="0.25">
      <c r="A1312">
        <f t="shared" ca="1" si="168"/>
        <v>0</v>
      </c>
      <c r="B1312" t="str">
        <f t="shared" ca="1" si="169"/>
        <v/>
      </c>
      <c r="C1312" t="str">
        <f t="shared" si="170"/>
        <v/>
      </c>
      <c r="D1312" t="s">
        <v>253</v>
      </c>
      <c r="E1312" t="s">
        <v>253</v>
      </c>
      <c r="F1312" s="3" t="s">
        <v>253</v>
      </c>
      <c r="G1312" s="11" t="s">
        <v>253</v>
      </c>
      <c r="H1312" s="11" t="s">
        <v>253</v>
      </c>
      <c r="I1312" s="3" t="s">
        <v>253</v>
      </c>
      <c r="J1312" s="3" t="s">
        <v>253</v>
      </c>
      <c r="K1312" s="3" t="s">
        <v>253</v>
      </c>
      <c r="L1312" s="3" t="s">
        <v>253</v>
      </c>
      <c r="M1312" t="str">
        <f>IF(LEN(H1312),MATCH(H1312,'MPIO_SFIO Table'!$A$11:$A$65525,0)-1,"")</f>
        <v/>
      </c>
      <c r="N1312" t="str">
        <f>IF(LEN(I1312),MATCH(I1312,'MPIO_SFIO Table'!$A$11:$A$65525,0)-1,"")</f>
        <v/>
      </c>
      <c r="O1312" t="str">
        <f>IF(LEN(J1312),MATCH(J1312,'MPIO_SFIO Table'!$A$11:$A$65525,0)-1,"")</f>
        <v/>
      </c>
      <c r="P1312" t="str">
        <f>IF(LEN(K1312),MATCH(K1312,'MPIO_SFIO Table'!$A$11:$A$65525,0)-1,"")</f>
        <v/>
      </c>
      <c r="Q1312" t="str">
        <f>IF(LEN(L1312),MATCH(L1312,'MPIO_SFIO Table'!$A$11:$A$65525,0)-1,"")</f>
        <v/>
      </c>
      <c r="R1312" t="str">
        <f ca="1">IF(ISNUMBER(M1312),OFFSET('MPIO_SFIO Table'!$AJ$11,M1312,0),"")</f>
        <v/>
      </c>
      <c r="S1312" t="str">
        <f ca="1">IF(ISNUMBER(N1312),OFFSET('MPIO_SFIO Table'!$AJ$11,N1312,0),"")</f>
        <v/>
      </c>
      <c r="T1312" t="str">
        <f ca="1">IF(ISNUMBER(O1312),OFFSET('MPIO_SFIO Table'!$AJ$11,O1312,0),"")</f>
        <v/>
      </c>
      <c r="U1312" t="str">
        <f ca="1">IF(ISNUMBER(P1312),OFFSET('MPIO_SFIO Table'!$AJ$11,P1312,0),"")</f>
        <v/>
      </c>
      <c r="V1312" t="str">
        <f ca="1">IF(ISNUMBER(Q1312),OFFSET('MPIO_SFIO Table'!$AJ$11,Q1312,0),"")</f>
        <v/>
      </c>
      <c r="W1312">
        <f t="shared" ca="1" si="171"/>
        <v>0</v>
      </c>
      <c r="X1312">
        <f t="shared" ca="1" si="172"/>
        <v>0</v>
      </c>
      <c r="Y1312">
        <f t="shared" ca="1" si="173"/>
        <v>0</v>
      </c>
      <c r="Z1312">
        <f t="shared" ca="1" si="174"/>
        <v>0</v>
      </c>
      <c r="AA1312">
        <f t="shared" ca="1" si="175"/>
        <v>0</v>
      </c>
    </row>
    <row r="1313" spans="1:27" x14ac:dyDescent="0.25">
      <c r="A1313">
        <f t="shared" ca="1" si="168"/>
        <v>0</v>
      </c>
      <c r="B1313" t="str">
        <f t="shared" ca="1" si="169"/>
        <v/>
      </c>
      <c r="C1313" t="str">
        <f t="shared" si="170"/>
        <v/>
      </c>
      <c r="D1313" t="s">
        <v>253</v>
      </c>
      <c r="E1313" t="s">
        <v>253</v>
      </c>
      <c r="F1313" s="3" t="s">
        <v>253</v>
      </c>
      <c r="G1313" s="11" t="s">
        <v>253</v>
      </c>
      <c r="H1313" s="11" t="s">
        <v>253</v>
      </c>
      <c r="I1313" s="3" t="s">
        <v>253</v>
      </c>
      <c r="J1313" s="3" t="s">
        <v>253</v>
      </c>
      <c r="K1313" s="3" t="s">
        <v>253</v>
      </c>
      <c r="L1313" s="3" t="s">
        <v>253</v>
      </c>
      <c r="M1313" t="str">
        <f>IF(LEN(H1313),MATCH(H1313,'MPIO_SFIO Table'!$A$11:$A$65525,0)-1,"")</f>
        <v/>
      </c>
      <c r="N1313" t="str">
        <f>IF(LEN(I1313),MATCH(I1313,'MPIO_SFIO Table'!$A$11:$A$65525,0)-1,"")</f>
        <v/>
      </c>
      <c r="O1313" t="str">
        <f>IF(LEN(J1313),MATCH(J1313,'MPIO_SFIO Table'!$A$11:$A$65525,0)-1,"")</f>
        <v/>
      </c>
      <c r="P1313" t="str">
        <f>IF(LEN(K1313),MATCH(K1313,'MPIO_SFIO Table'!$A$11:$A$65525,0)-1,"")</f>
        <v/>
      </c>
      <c r="Q1313" t="str">
        <f>IF(LEN(L1313),MATCH(L1313,'MPIO_SFIO Table'!$A$11:$A$65525,0)-1,"")</f>
        <v/>
      </c>
      <c r="R1313" t="str">
        <f ca="1">IF(ISNUMBER(M1313),OFFSET('MPIO_SFIO Table'!$AJ$11,M1313,0),"")</f>
        <v/>
      </c>
      <c r="S1313" t="str">
        <f ca="1">IF(ISNUMBER(N1313),OFFSET('MPIO_SFIO Table'!$AJ$11,N1313,0),"")</f>
        <v/>
      </c>
      <c r="T1313" t="str">
        <f ca="1">IF(ISNUMBER(O1313),OFFSET('MPIO_SFIO Table'!$AJ$11,O1313,0),"")</f>
        <v/>
      </c>
      <c r="U1313" t="str">
        <f ca="1">IF(ISNUMBER(P1313),OFFSET('MPIO_SFIO Table'!$AJ$11,P1313,0),"")</f>
        <v/>
      </c>
      <c r="V1313" t="str">
        <f ca="1">IF(ISNUMBER(Q1313),OFFSET('MPIO_SFIO Table'!$AJ$11,Q1313,0),"")</f>
        <v/>
      </c>
      <c r="W1313">
        <f t="shared" ca="1" si="171"/>
        <v>0</v>
      </c>
      <c r="X1313">
        <f t="shared" ca="1" si="172"/>
        <v>0</v>
      </c>
      <c r="Y1313">
        <f t="shared" ca="1" si="173"/>
        <v>0</v>
      </c>
      <c r="Z1313">
        <f t="shared" ca="1" si="174"/>
        <v>0</v>
      </c>
      <c r="AA1313">
        <f t="shared" ca="1" si="175"/>
        <v>0</v>
      </c>
    </row>
    <row r="1314" spans="1:27" x14ac:dyDescent="0.25">
      <c r="A1314">
        <f t="shared" ca="1" si="168"/>
        <v>0</v>
      </c>
      <c r="B1314" t="str">
        <f t="shared" ca="1" si="169"/>
        <v/>
      </c>
      <c r="C1314" t="str">
        <f t="shared" si="170"/>
        <v/>
      </c>
      <c r="D1314" t="s">
        <v>253</v>
      </c>
      <c r="E1314" t="s">
        <v>253</v>
      </c>
      <c r="F1314" s="3" t="s">
        <v>253</v>
      </c>
      <c r="G1314" s="11" t="s">
        <v>253</v>
      </c>
      <c r="H1314" s="11" t="s">
        <v>253</v>
      </c>
      <c r="I1314" s="3" t="s">
        <v>253</v>
      </c>
      <c r="J1314" s="3" t="s">
        <v>253</v>
      </c>
      <c r="K1314" s="3" t="s">
        <v>253</v>
      </c>
      <c r="L1314" s="3" t="s">
        <v>253</v>
      </c>
      <c r="M1314" t="str">
        <f>IF(LEN(H1314),MATCH(H1314,'MPIO_SFIO Table'!$A$11:$A$65525,0)-1,"")</f>
        <v/>
      </c>
      <c r="N1314" t="str">
        <f>IF(LEN(I1314),MATCH(I1314,'MPIO_SFIO Table'!$A$11:$A$65525,0)-1,"")</f>
        <v/>
      </c>
      <c r="O1314" t="str">
        <f>IF(LEN(J1314),MATCH(J1314,'MPIO_SFIO Table'!$A$11:$A$65525,0)-1,"")</f>
        <v/>
      </c>
      <c r="P1314" t="str">
        <f>IF(LEN(K1314),MATCH(K1314,'MPIO_SFIO Table'!$A$11:$A$65525,0)-1,"")</f>
        <v/>
      </c>
      <c r="Q1314" t="str">
        <f>IF(LEN(L1314),MATCH(L1314,'MPIO_SFIO Table'!$A$11:$A$65525,0)-1,"")</f>
        <v/>
      </c>
      <c r="R1314" t="str">
        <f ca="1">IF(ISNUMBER(M1314),OFFSET('MPIO_SFIO Table'!$AJ$11,M1314,0),"")</f>
        <v/>
      </c>
      <c r="S1314" t="str">
        <f ca="1">IF(ISNUMBER(N1314),OFFSET('MPIO_SFIO Table'!$AJ$11,N1314,0),"")</f>
        <v/>
      </c>
      <c r="T1314" t="str">
        <f ca="1">IF(ISNUMBER(O1314),OFFSET('MPIO_SFIO Table'!$AJ$11,O1314,0),"")</f>
        <v/>
      </c>
      <c r="U1314" t="str">
        <f ca="1">IF(ISNUMBER(P1314),OFFSET('MPIO_SFIO Table'!$AJ$11,P1314,0),"")</f>
        <v/>
      </c>
      <c r="V1314" t="str">
        <f ca="1">IF(ISNUMBER(Q1314),OFFSET('MPIO_SFIO Table'!$AJ$11,Q1314,0),"")</f>
        <v/>
      </c>
      <c r="W1314">
        <f t="shared" ca="1" si="171"/>
        <v>0</v>
      </c>
      <c r="X1314">
        <f t="shared" ca="1" si="172"/>
        <v>0</v>
      </c>
      <c r="Y1314">
        <f t="shared" ca="1" si="173"/>
        <v>0</v>
      </c>
      <c r="Z1314">
        <f t="shared" ca="1" si="174"/>
        <v>0</v>
      </c>
      <c r="AA1314">
        <f t="shared" ca="1" si="175"/>
        <v>0</v>
      </c>
    </row>
    <row r="1315" spans="1:27" x14ac:dyDescent="0.25">
      <c r="A1315">
        <f t="shared" ca="1" si="168"/>
        <v>0</v>
      </c>
      <c r="B1315" t="str">
        <f t="shared" ca="1" si="169"/>
        <v/>
      </c>
      <c r="C1315" t="str">
        <f t="shared" si="170"/>
        <v/>
      </c>
      <c r="D1315" t="s">
        <v>253</v>
      </c>
      <c r="E1315" t="s">
        <v>253</v>
      </c>
      <c r="F1315" s="3" t="s">
        <v>253</v>
      </c>
      <c r="G1315" s="11" t="s">
        <v>253</v>
      </c>
      <c r="H1315" s="11" t="s">
        <v>253</v>
      </c>
      <c r="I1315" s="3" t="s">
        <v>253</v>
      </c>
      <c r="J1315" s="3" t="s">
        <v>253</v>
      </c>
      <c r="K1315" s="3" t="s">
        <v>253</v>
      </c>
      <c r="L1315" s="3" t="s">
        <v>253</v>
      </c>
      <c r="M1315" t="str">
        <f>IF(LEN(H1315),MATCH(H1315,'MPIO_SFIO Table'!$A$11:$A$65525,0)-1,"")</f>
        <v/>
      </c>
      <c r="N1315" t="str">
        <f>IF(LEN(I1315),MATCH(I1315,'MPIO_SFIO Table'!$A$11:$A$65525,0)-1,"")</f>
        <v/>
      </c>
      <c r="O1315" t="str">
        <f>IF(LEN(J1315),MATCH(J1315,'MPIO_SFIO Table'!$A$11:$A$65525,0)-1,"")</f>
        <v/>
      </c>
      <c r="P1315" t="str">
        <f>IF(LEN(K1315),MATCH(K1315,'MPIO_SFIO Table'!$A$11:$A$65525,0)-1,"")</f>
        <v/>
      </c>
      <c r="Q1315" t="str">
        <f>IF(LEN(L1315),MATCH(L1315,'MPIO_SFIO Table'!$A$11:$A$65525,0)-1,"")</f>
        <v/>
      </c>
      <c r="R1315" t="str">
        <f ca="1">IF(ISNUMBER(M1315),OFFSET('MPIO_SFIO Table'!$AJ$11,M1315,0),"")</f>
        <v/>
      </c>
      <c r="S1315" t="str">
        <f ca="1">IF(ISNUMBER(N1315),OFFSET('MPIO_SFIO Table'!$AJ$11,N1315,0),"")</f>
        <v/>
      </c>
      <c r="T1315" t="str">
        <f ca="1">IF(ISNUMBER(O1315),OFFSET('MPIO_SFIO Table'!$AJ$11,O1315,0),"")</f>
        <v/>
      </c>
      <c r="U1315" t="str">
        <f ca="1">IF(ISNUMBER(P1315),OFFSET('MPIO_SFIO Table'!$AJ$11,P1315,0),"")</f>
        <v/>
      </c>
      <c r="V1315" t="str">
        <f ca="1">IF(ISNUMBER(Q1315),OFFSET('MPIO_SFIO Table'!$AJ$11,Q1315,0),"")</f>
        <v/>
      </c>
      <c r="W1315">
        <f t="shared" ca="1" si="171"/>
        <v>0</v>
      </c>
      <c r="X1315">
        <f t="shared" ca="1" si="172"/>
        <v>0</v>
      </c>
      <c r="Y1315">
        <f t="shared" ca="1" si="173"/>
        <v>0</v>
      </c>
      <c r="Z1315">
        <f t="shared" ca="1" si="174"/>
        <v>0</v>
      </c>
      <c r="AA1315">
        <f t="shared" ca="1" si="175"/>
        <v>0</v>
      </c>
    </row>
    <row r="1316" spans="1:27" x14ac:dyDescent="0.25">
      <c r="A1316">
        <f t="shared" ca="1" si="168"/>
        <v>0</v>
      </c>
      <c r="B1316" t="str">
        <f t="shared" ca="1" si="169"/>
        <v/>
      </c>
      <c r="C1316" t="str">
        <f t="shared" si="170"/>
        <v/>
      </c>
      <c r="D1316" t="s">
        <v>253</v>
      </c>
      <c r="E1316" t="s">
        <v>253</v>
      </c>
      <c r="F1316" s="3" t="s">
        <v>253</v>
      </c>
      <c r="G1316" s="11" t="s">
        <v>253</v>
      </c>
      <c r="H1316" s="11" t="s">
        <v>253</v>
      </c>
      <c r="I1316" s="3" t="s">
        <v>253</v>
      </c>
      <c r="J1316" s="3" t="s">
        <v>253</v>
      </c>
      <c r="K1316" s="3" t="s">
        <v>253</v>
      </c>
      <c r="L1316" s="3" t="s">
        <v>253</v>
      </c>
      <c r="M1316" t="str">
        <f>IF(LEN(H1316),MATCH(H1316,'MPIO_SFIO Table'!$A$11:$A$65525,0)-1,"")</f>
        <v/>
      </c>
      <c r="N1316" t="str">
        <f>IF(LEN(I1316),MATCH(I1316,'MPIO_SFIO Table'!$A$11:$A$65525,0)-1,"")</f>
        <v/>
      </c>
      <c r="O1316" t="str">
        <f>IF(LEN(J1316),MATCH(J1316,'MPIO_SFIO Table'!$A$11:$A$65525,0)-1,"")</f>
        <v/>
      </c>
      <c r="P1316" t="str">
        <f>IF(LEN(K1316),MATCH(K1316,'MPIO_SFIO Table'!$A$11:$A$65525,0)-1,"")</f>
        <v/>
      </c>
      <c r="Q1316" t="str">
        <f>IF(LEN(L1316),MATCH(L1316,'MPIO_SFIO Table'!$A$11:$A$65525,0)-1,"")</f>
        <v/>
      </c>
      <c r="R1316" t="str">
        <f ca="1">IF(ISNUMBER(M1316),OFFSET('MPIO_SFIO Table'!$AJ$11,M1316,0),"")</f>
        <v/>
      </c>
      <c r="S1316" t="str">
        <f ca="1">IF(ISNUMBER(N1316),OFFSET('MPIO_SFIO Table'!$AJ$11,N1316,0),"")</f>
        <v/>
      </c>
      <c r="T1316" t="str">
        <f ca="1">IF(ISNUMBER(O1316),OFFSET('MPIO_SFIO Table'!$AJ$11,O1316,0),"")</f>
        <v/>
      </c>
      <c r="U1316" t="str">
        <f ca="1">IF(ISNUMBER(P1316),OFFSET('MPIO_SFIO Table'!$AJ$11,P1316,0),"")</f>
        <v/>
      </c>
      <c r="V1316" t="str">
        <f ca="1">IF(ISNUMBER(Q1316),OFFSET('MPIO_SFIO Table'!$AJ$11,Q1316,0),"")</f>
        <v/>
      </c>
      <c r="W1316">
        <f t="shared" ca="1" si="171"/>
        <v>0</v>
      </c>
      <c r="X1316">
        <f t="shared" ca="1" si="172"/>
        <v>0</v>
      </c>
      <c r="Y1316">
        <f t="shared" ca="1" si="173"/>
        <v>0</v>
      </c>
      <c r="Z1316">
        <f t="shared" ca="1" si="174"/>
        <v>0</v>
      </c>
      <c r="AA1316">
        <f t="shared" ca="1" si="175"/>
        <v>0</v>
      </c>
    </row>
    <row r="1317" spans="1:27" x14ac:dyDescent="0.25">
      <c r="A1317">
        <f t="shared" ca="1" si="168"/>
        <v>0</v>
      </c>
      <c r="B1317" t="str">
        <f t="shared" ca="1" si="169"/>
        <v/>
      </c>
      <c r="C1317" t="str">
        <f t="shared" si="170"/>
        <v/>
      </c>
      <c r="D1317" t="s">
        <v>253</v>
      </c>
      <c r="E1317" t="s">
        <v>253</v>
      </c>
      <c r="F1317" s="3" t="s">
        <v>253</v>
      </c>
      <c r="G1317" s="11" t="s">
        <v>253</v>
      </c>
      <c r="H1317" s="11" t="s">
        <v>253</v>
      </c>
      <c r="I1317" s="3" t="s">
        <v>253</v>
      </c>
      <c r="J1317" s="3" t="s">
        <v>253</v>
      </c>
      <c r="K1317" s="3" t="s">
        <v>253</v>
      </c>
      <c r="L1317" s="3" t="s">
        <v>253</v>
      </c>
      <c r="M1317" t="str">
        <f>IF(LEN(H1317),MATCH(H1317,'MPIO_SFIO Table'!$A$11:$A$65525,0)-1,"")</f>
        <v/>
      </c>
      <c r="N1317" t="str">
        <f>IF(LEN(I1317),MATCH(I1317,'MPIO_SFIO Table'!$A$11:$A$65525,0)-1,"")</f>
        <v/>
      </c>
      <c r="O1317" t="str">
        <f>IF(LEN(J1317),MATCH(J1317,'MPIO_SFIO Table'!$A$11:$A$65525,0)-1,"")</f>
        <v/>
      </c>
      <c r="P1317" t="str">
        <f>IF(LEN(K1317),MATCH(K1317,'MPIO_SFIO Table'!$A$11:$A$65525,0)-1,"")</f>
        <v/>
      </c>
      <c r="Q1317" t="str">
        <f>IF(LEN(L1317),MATCH(L1317,'MPIO_SFIO Table'!$A$11:$A$65525,0)-1,"")</f>
        <v/>
      </c>
      <c r="R1317" t="str">
        <f ca="1">IF(ISNUMBER(M1317),OFFSET('MPIO_SFIO Table'!$AJ$11,M1317,0),"")</f>
        <v/>
      </c>
      <c r="S1317" t="str">
        <f ca="1">IF(ISNUMBER(N1317),OFFSET('MPIO_SFIO Table'!$AJ$11,N1317,0),"")</f>
        <v/>
      </c>
      <c r="T1317" t="str">
        <f ca="1">IF(ISNUMBER(O1317),OFFSET('MPIO_SFIO Table'!$AJ$11,O1317,0),"")</f>
        <v/>
      </c>
      <c r="U1317" t="str">
        <f ca="1">IF(ISNUMBER(P1317),OFFSET('MPIO_SFIO Table'!$AJ$11,P1317,0),"")</f>
        <v/>
      </c>
      <c r="V1317" t="str">
        <f ca="1">IF(ISNUMBER(Q1317),OFFSET('MPIO_SFIO Table'!$AJ$11,Q1317,0),"")</f>
        <v/>
      </c>
      <c r="W1317">
        <f t="shared" ca="1" si="171"/>
        <v>0</v>
      </c>
      <c r="X1317">
        <f t="shared" ca="1" si="172"/>
        <v>0</v>
      </c>
      <c r="Y1317">
        <f t="shared" ca="1" si="173"/>
        <v>0</v>
      </c>
      <c r="Z1317">
        <f t="shared" ca="1" si="174"/>
        <v>0</v>
      </c>
      <c r="AA1317">
        <f t="shared" ca="1" si="175"/>
        <v>0</v>
      </c>
    </row>
    <row r="1318" spans="1:27" x14ac:dyDescent="0.25">
      <c r="A1318">
        <f t="shared" ca="1" si="168"/>
        <v>0</v>
      </c>
      <c r="B1318" t="str">
        <f t="shared" ca="1" si="169"/>
        <v/>
      </c>
      <c r="C1318" t="str">
        <f t="shared" si="170"/>
        <v/>
      </c>
      <c r="D1318" t="s">
        <v>253</v>
      </c>
      <c r="E1318" t="s">
        <v>253</v>
      </c>
      <c r="F1318" s="3" t="s">
        <v>253</v>
      </c>
      <c r="G1318" s="11" t="s">
        <v>253</v>
      </c>
      <c r="H1318" s="11" t="s">
        <v>253</v>
      </c>
      <c r="I1318" s="3" t="s">
        <v>253</v>
      </c>
      <c r="J1318" s="3" t="s">
        <v>253</v>
      </c>
      <c r="K1318" s="3" t="s">
        <v>253</v>
      </c>
      <c r="L1318" s="3" t="s">
        <v>253</v>
      </c>
      <c r="M1318" t="str">
        <f>IF(LEN(H1318),MATCH(H1318,'MPIO_SFIO Table'!$A$11:$A$65525,0)-1,"")</f>
        <v/>
      </c>
      <c r="N1318" t="str">
        <f>IF(LEN(I1318),MATCH(I1318,'MPIO_SFIO Table'!$A$11:$A$65525,0)-1,"")</f>
        <v/>
      </c>
      <c r="O1318" t="str">
        <f>IF(LEN(J1318),MATCH(J1318,'MPIO_SFIO Table'!$A$11:$A$65525,0)-1,"")</f>
        <v/>
      </c>
      <c r="P1318" t="str">
        <f>IF(LEN(K1318),MATCH(K1318,'MPIO_SFIO Table'!$A$11:$A$65525,0)-1,"")</f>
        <v/>
      </c>
      <c r="Q1318" t="str">
        <f>IF(LEN(L1318),MATCH(L1318,'MPIO_SFIO Table'!$A$11:$A$65525,0)-1,"")</f>
        <v/>
      </c>
      <c r="R1318" t="str">
        <f ca="1">IF(ISNUMBER(M1318),OFFSET('MPIO_SFIO Table'!$AJ$11,M1318,0),"")</f>
        <v/>
      </c>
      <c r="S1318" t="str">
        <f ca="1">IF(ISNUMBER(N1318),OFFSET('MPIO_SFIO Table'!$AJ$11,N1318,0),"")</f>
        <v/>
      </c>
      <c r="T1318" t="str">
        <f ca="1">IF(ISNUMBER(O1318),OFFSET('MPIO_SFIO Table'!$AJ$11,O1318,0),"")</f>
        <v/>
      </c>
      <c r="U1318" t="str">
        <f ca="1">IF(ISNUMBER(P1318),OFFSET('MPIO_SFIO Table'!$AJ$11,P1318,0),"")</f>
        <v/>
      </c>
      <c r="V1318" t="str">
        <f ca="1">IF(ISNUMBER(Q1318),OFFSET('MPIO_SFIO Table'!$AJ$11,Q1318,0),"")</f>
        <v/>
      </c>
      <c r="W1318">
        <f t="shared" ca="1" si="171"/>
        <v>0</v>
      </c>
      <c r="X1318">
        <f t="shared" ca="1" si="172"/>
        <v>0</v>
      </c>
      <c r="Y1318">
        <f t="shared" ca="1" si="173"/>
        <v>0</v>
      </c>
      <c r="Z1318">
        <f t="shared" ca="1" si="174"/>
        <v>0</v>
      </c>
      <c r="AA1318">
        <f t="shared" ca="1" si="175"/>
        <v>0</v>
      </c>
    </row>
    <row r="1319" spans="1:27" x14ac:dyDescent="0.25">
      <c r="A1319">
        <f t="shared" ca="1" si="168"/>
        <v>0</v>
      </c>
      <c r="B1319" t="str">
        <f t="shared" ca="1" si="169"/>
        <v/>
      </c>
      <c r="C1319" t="str">
        <f t="shared" si="170"/>
        <v/>
      </c>
      <c r="D1319" t="s">
        <v>253</v>
      </c>
      <c r="E1319" t="s">
        <v>253</v>
      </c>
      <c r="F1319" s="3" t="s">
        <v>253</v>
      </c>
      <c r="G1319" s="11" t="s">
        <v>253</v>
      </c>
      <c r="H1319" s="11" t="s">
        <v>253</v>
      </c>
      <c r="I1319" s="3" t="s">
        <v>253</v>
      </c>
      <c r="J1319" s="3" t="s">
        <v>253</v>
      </c>
      <c r="K1319" s="3" t="s">
        <v>253</v>
      </c>
      <c r="L1319" s="3" t="s">
        <v>253</v>
      </c>
      <c r="M1319" t="str">
        <f>IF(LEN(H1319),MATCH(H1319,'MPIO_SFIO Table'!$A$11:$A$65525,0)-1,"")</f>
        <v/>
      </c>
      <c r="N1319" t="str">
        <f>IF(LEN(I1319),MATCH(I1319,'MPIO_SFIO Table'!$A$11:$A$65525,0)-1,"")</f>
        <v/>
      </c>
      <c r="O1319" t="str">
        <f>IF(LEN(J1319),MATCH(J1319,'MPIO_SFIO Table'!$A$11:$A$65525,0)-1,"")</f>
        <v/>
      </c>
      <c r="P1319" t="str">
        <f>IF(LEN(K1319),MATCH(K1319,'MPIO_SFIO Table'!$A$11:$A$65525,0)-1,"")</f>
        <v/>
      </c>
      <c r="Q1319" t="str">
        <f>IF(LEN(L1319),MATCH(L1319,'MPIO_SFIO Table'!$A$11:$A$65525,0)-1,"")</f>
        <v/>
      </c>
      <c r="R1319" t="str">
        <f ca="1">IF(ISNUMBER(M1319),OFFSET('MPIO_SFIO Table'!$AJ$11,M1319,0),"")</f>
        <v/>
      </c>
      <c r="S1319" t="str">
        <f ca="1">IF(ISNUMBER(N1319),OFFSET('MPIO_SFIO Table'!$AJ$11,N1319,0),"")</f>
        <v/>
      </c>
      <c r="T1319" t="str">
        <f ca="1">IF(ISNUMBER(O1319),OFFSET('MPIO_SFIO Table'!$AJ$11,O1319,0),"")</f>
        <v/>
      </c>
      <c r="U1319" t="str">
        <f ca="1">IF(ISNUMBER(P1319),OFFSET('MPIO_SFIO Table'!$AJ$11,P1319,0),"")</f>
        <v/>
      </c>
      <c r="V1319" t="str">
        <f ca="1">IF(ISNUMBER(Q1319),OFFSET('MPIO_SFIO Table'!$AJ$11,Q1319,0),"")</f>
        <v/>
      </c>
      <c r="W1319">
        <f t="shared" ca="1" si="171"/>
        <v>0</v>
      </c>
      <c r="X1319">
        <f t="shared" ca="1" si="172"/>
        <v>0</v>
      </c>
      <c r="Y1319">
        <f t="shared" ca="1" si="173"/>
        <v>0</v>
      </c>
      <c r="Z1319">
        <f t="shared" ca="1" si="174"/>
        <v>0</v>
      </c>
      <c r="AA1319">
        <f t="shared" ca="1" si="175"/>
        <v>0</v>
      </c>
    </row>
    <row r="1320" spans="1:27" x14ac:dyDescent="0.25">
      <c r="A1320">
        <f t="shared" ca="1" si="168"/>
        <v>0</v>
      </c>
      <c r="B1320" t="str">
        <f t="shared" ca="1" si="169"/>
        <v/>
      </c>
      <c r="C1320" t="str">
        <f t="shared" si="170"/>
        <v/>
      </c>
      <c r="D1320" t="s">
        <v>253</v>
      </c>
      <c r="E1320" t="s">
        <v>253</v>
      </c>
      <c r="F1320" s="3" t="s">
        <v>253</v>
      </c>
      <c r="G1320" s="11" t="s">
        <v>253</v>
      </c>
      <c r="H1320" s="11" t="s">
        <v>253</v>
      </c>
      <c r="I1320" s="3" t="s">
        <v>253</v>
      </c>
      <c r="J1320" s="3" t="s">
        <v>253</v>
      </c>
      <c r="K1320" s="3" t="s">
        <v>253</v>
      </c>
      <c r="L1320" s="3" t="s">
        <v>253</v>
      </c>
      <c r="M1320" t="str">
        <f>IF(LEN(H1320),MATCH(H1320,'MPIO_SFIO Table'!$A$11:$A$65525,0)-1,"")</f>
        <v/>
      </c>
      <c r="N1320" t="str">
        <f>IF(LEN(I1320),MATCH(I1320,'MPIO_SFIO Table'!$A$11:$A$65525,0)-1,"")</f>
        <v/>
      </c>
      <c r="O1320" t="str">
        <f>IF(LEN(J1320),MATCH(J1320,'MPIO_SFIO Table'!$A$11:$A$65525,0)-1,"")</f>
        <v/>
      </c>
      <c r="P1320" t="str">
        <f>IF(LEN(K1320),MATCH(K1320,'MPIO_SFIO Table'!$A$11:$A$65525,0)-1,"")</f>
        <v/>
      </c>
      <c r="Q1320" t="str">
        <f>IF(LEN(L1320),MATCH(L1320,'MPIO_SFIO Table'!$A$11:$A$65525,0)-1,"")</f>
        <v/>
      </c>
      <c r="R1320" t="str">
        <f ca="1">IF(ISNUMBER(M1320),OFFSET('MPIO_SFIO Table'!$AJ$11,M1320,0),"")</f>
        <v/>
      </c>
      <c r="S1320" t="str">
        <f ca="1">IF(ISNUMBER(N1320),OFFSET('MPIO_SFIO Table'!$AJ$11,N1320,0),"")</f>
        <v/>
      </c>
      <c r="T1320" t="str">
        <f ca="1">IF(ISNUMBER(O1320),OFFSET('MPIO_SFIO Table'!$AJ$11,O1320,0),"")</f>
        <v/>
      </c>
      <c r="U1320" t="str">
        <f ca="1">IF(ISNUMBER(P1320),OFFSET('MPIO_SFIO Table'!$AJ$11,P1320,0),"")</f>
        <v/>
      </c>
      <c r="V1320" t="str">
        <f ca="1">IF(ISNUMBER(Q1320),OFFSET('MPIO_SFIO Table'!$AJ$11,Q1320,0),"")</f>
        <v/>
      </c>
      <c r="W1320">
        <f t="shared" ca="1" si="171"/>
        <v>0</v>
      </c>
      <c r="X1320">
        <f t="shared" ca="1" si="172"/>
        <v>0</v>
      </c>
      <c r="Y1320">
        <f t="shared" ca="1" si="173"/>
        <v>0</v>
      </c>
      <c r="Z1320">
        <f t="shared" ca="1" si="174"/>
        <v>0</v>
      </c>
      <c r="AA1320">
        <f t="shared" ca="1" si="175"/>
        <v>0</v>
      </c>
    </row>
    <row r="1321" spans="1:27" x14ac:dyDescent="0.25">
      <c r="A1321">
        <f t="shared" ca="1" si="168"/>
        <v>0</v>
      </c>
      <c r="B1321" t="str">
        <f t="shared" ca="1" si="169"/>
        <v/>
      </c>
      <c r="C1321" t="str">
        <f t="shared" si="170"/>
        <v/>
      </c>
      <c r="D1321" t="s">
        <v>253</v>
      </c>
      <c r="E1321" t="s">
        <v>253</v>
      </c>
      <c r="F1321" s="3" t="s">
        <v>253</v>
      </c>
      <c r="G1321" s="11" t="s">
        <v>253</v>
      </c>
      <c r="H1321" s="11" t="s">
        <v>253</v>
      </c>
      <c r="I1321" s="3" t="s">
        <v>253</v>
      </c>
      <c r="J1321" s="3" t="s">
        <v>253</v>
      </c>
      <c r="K1321" s="3" t="s">
        <v>253</v>
      </c>
      <c r="L1321" s="3" t="s">
        <v>253</v>
      </c>
      <c r="M1321" t="str">
        <f>IF(LEN(H1321),MATCH(H1321,'MPIO_SFIO Table'!$A$11:$A$65525,0)-1,"")</f>
        <v/>
      </c>
      <c r="N1321" t="str">
        <f>IF(LEN(I1321),MATCH(I1321,'MPIO_SFIO Table'!$A$11:$A$65525,0)-1,"")</f>
        <v/>
      </c>
      <c r="O1321" t="str">
        <f>IF(LEN(J1321),MATCH(J1321,'MPIO_SFIO Table'!$A$11:$A$65525,0)-1,"")</f>
        <v/>
      </c>
      <c r="P1321" t="str">
        <f>IF(LEN(K1321),MATCH(K1321,'MPIO_SFIO Table'!$A$11:$A$65525,0)-1,"")</f>
        <v/>
      </c>
      <c r="Q1321" t="str">
        <f>IF(LEN(L1321),MATCH(L1321,'MPIO_SFIO Table'!$A$11:$A$65525,0)-1,"")</f>
        <v/>
      </c>
      <c r="R1321" t="str">
        <f ca="1">IF(ISNUMBER(M1321),OFFSET('MPIO_SFIO Table'!$AJ$11,M1321,0),"")</f>
        <v/>
      </c>
      <c r="S1321" t="str">
        <f ca="1">IF(ISNUMBER(N1321),OFFSET('MPIO_SFIO Table'!$AJ$11,N1321,0),"")</f>
        <v/>
      </c>
      <c r="T1321" t="str">
        <f ca="1">IF(ISNUMBER(O1321),OFFSET('MPIO_SFIO Table'!$AJ$11,O1321,0),"")</f>
        <v/>
      </c>
      <c r="U1321" t="str">
        <f ca="1">IF(ISNUMBER(P1321),OFFSET('MPIO_SFIO Table'!$AJ$11,P1321,0),"")</f>
        <v/>
      </c>
      <c r="V1321" t="str">
        <f ca="1">IF(ISNUMBER(Q1321),OFFSET('MPIO_SFIO Table'!$AJ$11,Q1321,0),"")</f>
        <v/>
      </c>
      <c r="W1321">
        <f t="shared" ca="1" si="171"/>
        <v>0</v>
      </c>
      <c r="X1321">
        <f t="shared" ca="1" si="172"/>
        <v>0</v>
      </c>
      <c r="Y1321">
        <f t="shared" ca="1" si="173"/>
        <v>0</v>
      </c>
      <c r="Z1321">
        <f t="shared" ca="1" si="174"/>
        <v>0</v>
      </c>
      <c r="AA1321">
        <f t="shared" ca="1" si="175"/>
        <v>0</v>
      </c>
    </row>
    <row r="1322" spans="1:27" x14ac:dyDescent="0.25">
      <c r="A1322">
        <f t="shared" ca="1" si="168"/>
        <v>0</v>
      </c>
      <c r="B1322" t="str">
        <f t="shared" ca="1" si="169"/>
        <v/>
      </c>
      <c r="C1322" t="str">
        <f t="shared" si="170"/>
        <v/>
      </c>
      <c r="D1322" t="s">
        <v>253</v>
      </c>
      <c r="E1322" t="s">
        <v>253</v>
      </c>
      <c r="F1322" s="3" t="s">
        <v>253</v>
      </c>
      <c r="G1322" s="11" t="s">
        <v>253</v>
      </c>
      <c r="H1322" s="11" t="s">
        <v>253</v>
      </c>
      <c r="I1322" s="3" t="s">
        <v>253</v>
      </c>
      <c r="J1322" s="3" t="s">
        <v>253</v>
      </c>
      <c r="K1322" s="3" t="s">
        <v>253</v>
      </c>
      <c r="L1322" s="3" t="s">
        <v>253</v>
      </c>
      <c r="M1322" t="str">
        <f>IF(LEN(H1322),MATCH(H1322,'MPIO_SFIO Table'!$A$11:$A$65525,0)-1,"")</f>
        <v/>
      </c>
      <c r="N1322" t="str">
        <f>IF(LEN(I1322),MATCH(I1322,'MPIO_SFIO Table'!$A$11:$A$65525,0)-1,"")</f>
        <v/>
      </c>
      <c r="O1322" t="str">
        <f>IF(LEN(J1322),MATCH(J1322,'MPIO_SFIO Table'!$A$11:$A$65525,0)-1,"")</f>
        <v/>
      </c>
      <c r="P1322" t="str">
        <f>IF(LEN(K1322),MATCH(K1322,'MPIO_SFIO Table'!$A$11:$A$65525,0)-1,"")</f>
        <v/>
      </c>
      <c r="Q1322" t="str">
        <f>IF(LEN(L1322),MATCH(L1322,'MPIO_SFIO Table'!$A$11:$A$65525,0)-1,"")</f>
        <v/>
      </c>
      <c r="R1322" t="str">
        <f ca="1">IF(ISNUMBER(M1322),OFFSET('MPIO_SFIO Table'!$AJ$11,M1322,0),"")</f>
        <v/>
      </c>
      <c r="S1322" t="str">
        <f ca="1">IF(ISNUMBER(N1322),OFFSET('MPIO_SFIO Table'!$AJ$11,N1322,0),"")</f>
        <v/>
      </c>
      <c r="T1322" t="str">
        <f ca="1">IF(ISNUMBER(O1322),OFFSET('MPIO_SFIO Table'!$AJ$11,O1322,0),"")</f>
        <v/>
      </c>
      <c r="U1322" t="str">
        <f ca="1">IF(ISNUMBER(P1322),OFFSET('MPIO_SFIO Table'!$AJ$11,P1322,0),"")</f>
        <v/>
      </c>
      <c r="V1322" t="str">
        <f ca="1">IF(ISNUMBER(Q1322),OFFSET('MPIO_SFIO Table'!$AJ$11,Q1322,0),"")</f>
        <v/>
      </c>
      <c r="W1322">
        <f t="shared" ca="1" si="171"/>
        <v>0</v>
      </c>
      <c r="X1322">
        <f t="shared" ca="1" si="172"/>
        <v>0</v>
      </c>
      <c r="Y1322">
        <f t="shared" ca="1" si="173"/>
        <v>0</v>
      </c>
      <c r="Z1322">
        <f t="shared" ca="1" si="174"/>
        <v>0</v>
      </c>
      <c r="AA1322">
        <f t="shared" ca="1" si="175"/>
        <v>0</v>
      </c>
    </row>
    <row r="1323" spans="1:27" x14ac:dyDescent="0.25">
      <c r="A1323">
        <f t="shared" ca="1" si="168"/>
        <v>0</v>
      </c>
      <c r="B1323" t="str">
        <f t="shared" ca="1" si="169"/>
        <v/>
      </c>
      <c r="C1323" t="str">
        <f t="shared" si="170"/>
        <v/>
      </c>
      <c r="D1323" t="s">
        <v>253</v>
      </c>
      <c r="E1323" t="s">
        <v>253</v>
      </c>
      <c r="F1323" s="3" t="s">
        <v>253</v>
      </c>
      <c r="G1323" s="11" t="s">
        <v>253</v>
      </c>
      <c r="H1323" s="11" t="s">
        <v>253</v>
      </c>
      <c r="I1323" s="3" t="s">
        <v>253</v>
      </c>
      <c r="J1323" s="3" t="s">
        <v>253</v>
      </c>
      <c r="K1323" s="3" t="s">
        <v>253</v>
      </c>
      <c r="L1323" s="3" t="s">
        <v>253</v>
      </c>
      <c r="M1323" t="str">
        <f>IF(LEN(H1323),MATCH(H1323,'MPIO_SFIO Table'!$A$11:$A$65525,0)-1,"")</f>
        <v/>
      </c>
      <c r="N1323" t="str">
        <f>IF(LEN(I1323),MATCH(I1323,'MPIO_SFIO Table'!$A$11:$A$65525,0)-1,"")</f>
        <v/>
      </c>
      <c r="O1323" t="str">
        <f>IF(LEN(J1323),MATCH(J1323,'MPIO_SFIO Table'!$A$11:$A$65525,0)-1,"")</f>
        <v/>
      </c>
      <c r="P1323" t="str">
        <f>IF(LEN(K1323),MATCH(K1323,'MPIO_SFIO Table'!$A$11:$A$65525,0)-1,"")</f>
        <v/>
      </c>
      <c r="Q1323" t="str">
        <f>IF(LEN(L1323),MATCH(L1323,'MPIO_SFIO Table'!$A$11:$A$65525,0)-1,"")</f>
        <v/>
      </c>
      <c r="R1323" t="str">
        <f ca="1">IF(ISNUMBER(M1323),OFFSET('MPIO_SFIO Table'!$AJ$11,M1323,0),"")</f>
        <v/>
      </c>
      <c r="S1323" t="str">
        <f ca="1">IF(ISNUMBER(N1323),OFFSET('MPIO_SFIO Table'!$AJ$11,N1323,0),"")</f>
        <v/>
      </c>
      <c r="T1323" t="str">
        <f ca="1">IF(ISNUMBER(O1323),OFFSET('MPIO_SFIO Table'!$AJ$11,O1323,0),"")</f>
        <v/>
      </c>
      <c r="U1323" t="str">
        <f ca="1">IF(ISNUMBER(P1323),OFFSET('MPIO_SFIO Table'!$AJ$11,P1323,0),"")</f>
        <v/>
      </c>
      <c r="V1323" t="str">
        <f ca="1">IF(ISNUMBER(Q1323),OFFSET('MPIO_SFIO Table'!$AJ$11,Q1323,0),"")</f>
        <v/>
      </c>
      <c r="W1323">
        <f t="shared" ca="1" si="171"/>
        <v>0</v>
      </c>
      <c r="X1323">
        <f t="shared" ca="1" si="172"/>
        <v>0</v>
      </c>
      <c r="Y1323">
        <f t="shared" ca="1" si="173"/>
        <v>0</v>
      </c>
      <c r="Z1323">
        <f t="shared" ca="1" si="174"/>
        <v>0</v>
      </c>
      <c r="AA1323">
        <f t="shared" ca="1" si="175"/>
        <v>0</v>
      </c>
    </row>
    <row r="1324" spans="1:27" x14ac:dyDescent="0.25">
      <c r="A1324">
        <f t="shared" ca="1" si="168"/>
        <v>0</v>
      </c>
      <c r="B1324" t="str">
        <f t="shared" ca="1" si="169"/>
        <v/>
      </c>
      <c r="C1324" t="str">
        <f t="shared" si="170"/>
        <v/>
      </c>
      <c r="D1324" t="s">
        <v>253</v>
      </c>
      <c r="E1324" t="s">
        <v>253</v>
      </c>
      <c r="F1324" s="3" t="s">
        <v>253</v>
      </c>
      <c r="G1324" s="11" t="s">
        <v>253</v>
      </c>
      <c r="H1324" s="11" t="s">
        <v>253</v>
      </c>
      <c r="I1324" s="3" t="s">
        <v>253</v>
      </c>
      <c r="J1324" s="3" t="s">
        <v>253</v>
      </c>
      <c r="K1324" s="3" t="s">
        <v>253</v>
      </c>
      <c r="L1324" s="3" t="s">
        <v>253</v>
      </c>
      <c r="M1324" t="str">
        <f>IF(LEN(H1324),MATCH(H1324,'MPIO_SFIO Table'!$A$11:$A$65525,0)-1,"")</f>
        <v/>
      </c>
      <c r="N1324" t="str">
        <f>IF(LEN(I1324),MATCH(I1324,'MPIO_SFIO Table'!$A$11:$A$65525,0)-1,"")</f>
        <v/>
      </c>
      <c r="O1324" t="str">
        <f>IF(LEN(J1324),MATCH(J1324,'MPIO_SFIO Table'!$A$11:$A$65525,0)-1,"")</f>
        <v/>
      </c>
      <c r="P1324" t="str">
        <f>IF(LEN(K1324),MATCH(K1324,'MPIO_SFIO Table'!$A$11:$A$65525,0)-1,"")</f>
        <v/>
      </c>
      <c r="Q1324" t="str">
        <f>IF(LEN(L1324),MATCH(L1324,'MPIO_SFIO Table'!$A$11:$A$65525,0)-1,"")</f>
        <v/>
      </c>
      <c r="R1324" t="str">
        <f ca="1">IF(ISNUMBER(M1324),OFFSET('MPIO_SFIO Table'!$AJ$11,M1324,0),"")</f>
        <v/>
      </c>
      <c r="S1324" t="str">
        <f ca="1">IF(ISNUMBER(N1324),OFFSET('MPIO_SFIO Table'!$AJ$11,N1324,0),"")</f>
        <v/>
      </c>
      <c r="T1324" t="str">
        <f ca="1">IF(ISNUMBER(O1324),OFFSET('MPIO_SFIO Table'!$AJ$11,O1324,0),"")</f>
        <v/>
      </c>
      <c r="U1324" t="str">
        <f ca="1">IF(ISNUMBER(P1324),OFFSET('MPIO_SFIO Table'!$AJ$11,P1324,0),"")</f>
        <v/>
      </c>
      <c r="V1324" t="str">
        <f ca="1">IF(ISNUMBER(Q1324),OFFSET('MPIO_SFIO Table'!$AJ$11,Q1324,0),"")</f>
        <v/>
      </c>
      <c r="W1324">
        <f t="shared" ca="1" si="171"/>
        <v>0</v>
      </c>
      <c r="X1324">
        <f t="shared" ca="1" si="172"/>
        <v>0</v>
      </c>
      <c r="Y1324">
        <f t="shared" ca="1" si="173"/>
        <v>0</v>
      </c>
      <c r="Z1324">
        <f t="shared" ca="1" si="174"/>
        <v>0</v>
      </c>
      <c r="AA1324">
        <f t="shared" ca="1" si="175"/>
        <v>0</v>
      </c>
    </row>
    <row r="1325" spans="1:27" x14ac:dyDescent="0.25">
      <c r="A1325">
        <f t="shared" ca="1" si="168"/>
        <v>0</v>
      </c>
      <c r="B1325" t="str">
        <f t="shared" ca="1" si="169"/>
        <v/>
      </c>
      <c r="C1325" t="str">
        <f t="shared" si="170"/>
        <v/>
      </c>
      <c r="D1325" t="s">
        <v>253</v>
      </c>
      <c r="E1325" t="s">
        <v>253</v>
      </c>
      <c r="F1325" s="3" t="s">
        <v>253</v>
      </c>
      <c r="G1325" s="11" t="s">
        <v>253</v>
      </c>
      <c r="H1325" s="11" t="s">
        <v>253</v>
      </c>
      <c r="I1325" s="3" t="s">
        <v>253</v>
      </c>
      <c r="J1325" s="3" t="s">
        <v>253</v>
      </c>
      <c r="K1325" s="3" t="s">
        <v>253</v>
      </c>
      <c r="L1325" s="3" t="s">
        <v>253</v>
      </c>
      <c r="M1325" t="str">
        <f>IF(LEN(H1325),MATCH(H1325,'MPIO_SFIO Table'!$A$11:$A$65525,0)-1,"")</f>
        <v/>
      </c>
      <c r="N1325" t="str">
        <f>IF(LEN(I1325),MATCH(I1325,'MPIO_SFIO Table'!$A$11:$A$65525,0)-1,"")</f>
        <v/>
      </c>
      <c r="O1325" t="str">
        <f>IF(LEN(J1325),MATCH(J1325,'MPIO_SFIO Table'!$A$11:$A$65525,0)-1,"")</f>
        <v/>
      </c>
      <c r="P1325" t="str">
        <f>IF(LEN(K1325),MATCH(K1325,'MPIO_SFIO Table'!$A$11:$A$65525,0)-1,"")</f>
        <v/>
      </c>
      <c r="Q1325" t="str">
        <f>IF(LEN(L1325),MATCH(L1325,'MPIO_SFIO Table'!$A$11:$A$65525,0)-1,"")</f>
        <v/>
      </c>
      <c r="R1325" t="str">
        <f ca="1">IF(ISNUMBER(M1325),OFFSET('MPIO_SFIO Table'!$AJ$11,M1325,0),"")</f>
        <v/>
      </c>
      <c r="S1325" t="str">
        <f ca="1">IF(ISNUMBER(N1325),OFFSET('MPIO_SFIO Table'!$AJ$11,N1325,0),"")</f>
        <v/>
      </c>
      <c r="T1325" t="str">
        <f ca="1">IF(ISNUMBER(O1325),OFFSET('MPIO_SFIO Table'!$AJ$11,O1325,0),"")</f>
        <v/>
      </c>
      <c r="U1325" t="str">
        <f ca="1">IF(ISNUMBER(P1325),OFFSET('MPIO_SFIO Table'!$AJ$11,P1325,0),"")</f>
        <v/>
      </c>
      <c r="V1325" t="str">
        <f ca="1">IF(ISNUMBER(Q1325),OFFSET('MPIO_SFIO Table'!$AJ$11,Q1325,0),"")</f>
        <v/>
      </c>
      <c r="W1325">
        <f t="shared" ca="1" si="171"/>
        <v>0</v>
      </c>
      <c r="X1325">
        <f t="shared" ca="1" si="172"/>
        <v>0</v>
      </c>
      <c r="Y1325">
        <f t="shared" ca="1" si="173"/>
        <v>0</v>
      </c>
      <c r="Z1325">
        <f t="shared" ca="1" si="174"/>
        <v>0</v>
      </c>
      <c r="AA1325">
        <f t="shared" ca="1" si="175"/>
        <v>0</v>
      </c>
    </row>
    <row r="1326" spans="1:27" x14ac:dyDescent="0.25">
      <c r="A1326">
        <f t="shared" ca="1" si="168"/>
        <v>0</v>
      </c>
      <c r="B1326" t="str">
        <f t="shared" ca="1" si="169"/>
        <v/>
      </c>
      <c r="C1326" t="str">
        <f t="shared" si="170"/>
        <v/>
      </c>
      <c r="D1326" t="s">
        <v>253</v>
      </c>
      <c r="E1326" t="s">
        <v>253</v>
      </c>
      <c r="F1326" s="3" t="s">
        <v>253</v>
      </c>
      <c r="G1326" s="11" t="s">
        <v>253</v>
      </c>
      <c r="H1326" s="11" t="s">
        <v>253</v>
      </c>
      <c r="I1326" s="3" t="s">
        <v>253</v>
      </c>
      <c r="J1326" s="3" t="s">
        <v>253</v>
      </c>
      <c r="K1326" s="3" t="s">
        <v>253</v>
      </c>
      <c r="L1326" s="3" t="s">
        <v>253</v>
      </c>
      <c r="M1326" t="str">
        <f>IF(LEN(H1326),MATCH(H1326,'MPIO_SFIO Table'!$A$11:$A$65525,0)-1,"")</f>
        <v/>
      </c>
      <c r="N1326" t="str">
        <f>IF(LEN(I1326),MATCH(I1326,'MPIO_SFIO Table'!$A$11:$A$65525,0)-1,"")</f>
        <v/>
      </c>
      <c r="O1326" t="str">
        <f>IF(LEN(J1326),MATCH(J1326,'MPIO_SFIO Table'!$A$11:$A$65525,0)-1,"")</f>
        <v/>
      </c>
      <c r="P1326" t="str">
        <f>IF(LEN(K1326),MATCH(K1326,'MPIO_SFIO Table'!$A$11:$A$65525,0)-1,"")</f>
        <v/>
      </c>
      <c r="Q1326" t="str">
        <f>IF(LEN(L1326),MATCH(L1326,'MPIO_SFIO Table'!$A$11:$A$65525,0)-1,"")</f>
        <v/>
      </c>
      <c r="R1326" t="str">
        <f ca="1">IF(ISNUMBER(M1326),OFFSET('MPIO_SFIO Table'!$AJ$11,M1326,0),"")</f>
        <v/>
      </c>
      <c r="S1326" t="str">
        <f ca="1">IF(ISNUMBER(N1326),OFFSET('MPIO_SFIO Table'!$AJ$11,N1326,0),"")</f>
        <v/>
      </c>
      <c r="T1326" t="str">
        <f ca="1">IF(ISNUMBER(O1326),OFFSET('MPIO_SFIO Table'!$AJ$11,O1326,0),"")</f>
        <v/>
      </c>
      <c r="U1326" t="str">
        <f ca="1">IF(ISNUMBER(P1326),OFFSET('MPIO_SFIO Table'!$AJ$11,P1326,0),"")</f>
        <v/>
      </c>
      <c r="V1326" t="str">
        <f ca="1">IF(ISNUMBER(Q1326),OFFSET('MPIO_SFIO Table'!$AJ$11,Q1326,0),"")</f>
        <v/>
      </c>
      <c r="W1326">
        <f t="shared" ca="1" si="171"/>
        <v>0</v>
      </c>
      <c r="X1326">
        <f t="shared" ca="1" si="172"/>
        <v>0</v>
      </c>
      <c r="Y1326">
        <f t="shared" ca="1" si="173"/>
        <v>0</v>
      </c>
      <c r="Z1326">
        <f t="shared" ca="1" si="174"/>
        <v>0</v>
      </c>
      <c r="AA1326">
        <f t="shared" ca="1" si="175"/>
        <v>0</v>
      </c>
    </row>
    <row r="1327" spans="1:27" x14ac:dyDescent="0.25">
      <c r="A1327">
        <f t="shared" ca="1" si="168"/>
        <v>0</v>
      </c>
      <c r="B1327" t="str">
        <f t="shared" ca="1" si="169"/>
        <v/>
      </c>
      <c r="C1327" t="str">
        <f t="shared" si="170"/>
        <v/>
      </c>
      <c r="D1327" t="s">
        <v>253</v>
      </c>
      <c r="E1327" t="s">
        <v>253</v>
      </c>
      <c r="F1327" s="3" t="s">
        <v>253</v>
      </c>
      <c r="G1327" s="11" t="s">
        <v>253</v>
      </c>
      <c r="H1327" s="11" t="s">
        <v>253</v>
      </c>
      <c r="I1327" s="3" t="s">
        <v>253</v>
      </c>
      <c r="J1327" s="3" t="s">
        <v>253</v>
      </c>
      <c r="K1327" s="3" t="s">
        <v>253</v>
      </c>
      <c r="L1327" s="3" t="s">
        <v>253</v>
      </c>
      <c r="M1327" t="str">
        <f>IF(LEN(H1327),MATCH(H1327,'MPIO_SFIO Table'!$A$11:$A$65525,0)-1,"")</f>
        <v/>
      </c>
      <c r="N1327" t="str">
        <f>IF(LEN(I1327),MATCH(I1327,'MPIO_SFIO Table'!$A$11:$A$65525,0)-1,"")</f>
        <v/>
      </c>
      <c r="O1327" t="str">
        <f>IF(LEN(J1327),MATCH(J1327,'MPIO_SFIO Table'!$A$11:$A$65525,0)-1,"")</f>
        <v/>
      </c>
      <c r="P1327" t="str">
        <f>IF(LEN(K1327),MATCH(K1327,'MPIO_SFIO Table'!$A$11:$A$65525,0)-1,"")</f>
        <v/>
      </c>
      <c r="Q1327" t="str">
        <f>IF(LEN(L1327),MATCH(L1327,'MPIO_SFIO Table'!$A$11:$A$65525,0)-1,"")</f>
        <v/>
      </c>
      <c r="R1327" t="str">
        <f ca="1">IF(ISNUMBER(M1327),OFFSET('MPIO_SFIO Table'!$AJ$11,M1327,0),"")</f>
        <v/>
      </c>
      <c r="S1327" t="str">
        <f ca="1">IF(ISNUMBER(N1327),OFFSET('MPIO_SFIO Table'!$AJ$11,N1327,0),"")</f>
        <v/>
      </c>
      <c r="T1327" t="str">
        <f ca="1">IF(ISNUMBER(O1327),OFFSET('MPIO_SFIO Table'!$AJ$11,O1327,0),"")</f>
        <v/>
      </c>
      <c r="U1327" t="str">
        <f ca="1">IF(ISNUMBER(P1327),OFFSET('MPIO_SFIO Table'!$AJ$11,P1327,0),"")</f>
        <v/>
      </c>
      <c r="V1327" t="str">
        <f ca="1">IF(ISNUMBER(Q1327),OFFSET('MPIO_SFIO Table'!$AJ$11,Q1327,0),"")</f>
        <v/>
      </c>
      <c r="W1327">
        <f t="shared" ca="1" si="171"/>
        <v>0</v>
      </c>
      <c r="X1327">
        <f t="shared" ca="1" si="172"/>
        <v>0</v>
      </c>
      <c r="Y1327">
        <f t="shared" ca="1" si="173"/>
        <v>0</v>
      </c>
      <c r="Z1327">
        <f t="shared" ca="1" si="174"/>
        <v>0</v>
      </c>
      <c r="AA1327">
        <f t="shared" ca="1" si="175"/>
        <v>0</v>
      </c>
    </row>
    <row r="1328" spans="1:27" x14ac:dyDescent="0.25">
      <c r="A1328">
        <f t="shared" ca="1" si="168"/>
        <v>0</v>
      </c>
      <c r="B1328" t="str">
        <f t="shared" ca="1" si="169"/>
        <v/>
      </c>
      <c r="C1328" t="str">
        <f t="shared" si="170"/>
        <v/>
      </c>
      <c r="D1328" t="s">
        <v>253</v>
      </c>
      <c r="E1328" t="s">
        <v>253</v>
      </c>
      <c r="F1328" s="3" t="s">
        <v>253</v>
      </c>
      <c r="G1328" s="11" t="s">
        <v>253</v>
      </c>
      <c r="H1328" s="11" t="s">
        <v>253</v>
      </c>
      <c r="I1328" s="3" t="s">
        <v>253</v>
      </c>
      <c r="J1328" s="3" t="s">
        <v>253</v>
      </c>
      <c r="K1328" s="3" t="s">
        <v>253</v>
      </c>
      <c r="L1328" s="3" t="s">
        <v>253</v>
      </c>
      <c r="M1328" t="str">
        <f>IF(LEN(H1328),MATCH(H1328,'MPIO_SFIO Table'!$A$11:$A$65525,0)-1,"")</f>
        <v/>
      </c>
      <c r="N1328" t="str">
        <f>IF(LEN(I1328),MATCH(I1328,'MPIO_SFIO Table'!$A$11:$A$65525,0)-1,"")</f>
        <v/>
      </c>
      <c r="O1328" t="str">
        <f>IF(LEN(J1328),MATCH(J1328,'MPIO_SFIO Table'!$A$11:$A$65525,0)-1,"")</f>
        <v/>
      </c>
      <c r="P1328" t="str">
        <f>IF(LEN(K1328),MATCH(K1328,'MPIO_SFIO Table'!$A$11:$A$65525,0)-1,"")</f>
        <v/>
      </c>
      <c r="Q1328" t="str">
        <f>IF(LEN(L1328),MATCH(L1328,'MPIO_SFIO Table'!$A$11:$A$65525,0)-1,"")</f>
        <v/>
      </c>
      <c r="R1328" t="str">
        <f ca="1">IF(ISNUMBER(M1328),OFFSET('MPIO_SFIO Table'!$AJ$11,M1328,0),"")</f>
        <v/>
      </c>
      <c r="S1328" t="str">
        <f ca="1">IF(ISNUMBER(N1328),OFFSET('MPIO_SFIO Table'!$AJ$11,N1328,0),"")</f>
        <v/>
      </c>
      <c r="T1328" t="str">
        <f ca="1">IF(ISNUMBER(O1328),OFFSET('MPIO_SFIO Table'!$AJ$11,O1328,0),"")</f>
        <v/>
      </c>
      <c r="U1328" t="str">
        <f ca="1">IF(ISNUMBER(P1328),OFFSET('MPIO_SFIO Table'!$AJ$11,P1328,0),"")</f>
        <v/>
      </c>
      <c r="V1328" t="str">
        <f ca="1">IF(ISNUMBER(Q1328),OFFSET('MPIO_SFIO Table'!$AJ$11,Q1328,0),"")</f>
        <v/>
      </c>
      <c r="W1328">
        <f t="shared" ca="1" si="171"/>
        <v>0</v>
      </c>
      <c r="X1328">
        <f t="shared" ca="1" si="172"/>
        <v>0</v>
      </c>
      <c r="Y1328">
        <f t="shared" ca="1" si="173"/>
        <v>0</v>
      </c>
      <c r="Z1328">
        <f t="shared" ca="1" si="174"/>
        <v>0</v>
      </c>
      <c r="AA1328">
        <f t="shared" ca="1" si="175"/>
        <v>0</v>
      </c>
    </row>
    <row r="1329" spans="1:27" x14ac:dyDescent="0.25">
      <c r="A1329">
        <f t="shared" ca="1" si="168"/>
        <v>0</v>
      </c>
      <c r="B1329" t="str">
        <f t="shared" ca="1" si="169"/>
        <v/>
      </c>
      <c r="C1329" t="str">
        <f t="shared" si="170"/>
        <v/>
      </c>
      <c r="D1329" t="s">
        <v>253</v>
      </c>
      <c r="E1329" t="s">
        <v>253</v>
      </c>
      <c r="F1329" s="3" t="s">
        <v>253</v>
      </c>
      <c r="G1329" s="11" t="s">
        <v>253</v>
      </c>
      <c r="H1329" s="11" t="s">
        <v>253</v>
      </c>
      <c r="I1329" s="3" t="s">
        <v>253</v>
      </c>
      <c r="J1329" s="3" t="s">
        <v>253</v>
      </c>
      <c r="K1329" s="3" t="s">
        <v>253</v>
      </c>
      <c r="L1329" s="3" t="s">
        <v>253</v>
      </c>
      <c r="M1329" t="str">
        <f>IF(LEN(H1329),MATCH(H1329,'MPIO_SFIO Table'!$A$11:$A$65525,0)-1,"")</f>
        <v/>
      </c>
      <c r="N1329" t="str">
        <f>IF(LEN(I1329),MATCH(I1329,'MPIO_SFIO Table'!$A$11:$A$65525,0)-1,"")</f>
        <v/>
      </c>
      <c r="O1329" t="str">
        <f>IF(LEN(J1329),MATCH(J1329,'MPIO_SFIO Table'!$A$11:$A$65525,0)-1,"")</f>
        <v/>
      </c>
      <c r="P1329" t="str">
        <f>IF(LEN(K1329),MATCH(K1329,'MPIO_SFIO Table'!$A$11:$A$65525,0)-1,"")</f>
        <v/>
      </c>
      <c r="Q1329" t="str">
        <f>IF(LEN(L1329),MATCH(L1329,'MPIO_SFIO Table'!$A$11:$A$65525,0)-1,"")</f>
        <v/>
      </c>
      <c r="R1329" t="str">
        <f ca="1">IF(ISNUMBER(M1329),OFFSET('MPIO_SFIO Table'!$AJ$11,M1329,0),"")</f>
        <v/>
      </c>
      <c r="S1329" t="str">
        <f ca="1">IF(ISNUMBER(N1329),OFFSET('MPIO_SFIO Table'!$AJ$11,N1329,0),"")</f>
        <v/>
      </c>
      <c r="T1329" t="str">
        <f ca="1">IF(ISNUMBER(O1329),OFFSET('MPIO_SFIO Table'!$AJ$11,O1329,0),"")</f>
        <v/>
      </c>
      <c r="U1329" t="str">
        <f ca="1">IF(ISNUMBER(P1329),OFFSET('MPIO_SFIO Table'!$AJ$11,P1329,0),"")</f>
        <v/>
      </c>
      <c r="V1329" t="str">
        <f ca="1">IF(ISNUMBER(Q1329),OFFSET('MPIO_SFIO Table'!$AJ$11,Q1329,0),"")</f>
        <v/>
      </c>
      <c r="W1329">
        <f t="shared" ca="1" si="171"/>
        <v>0</v>
      </c>
      <c r="X1329">
        <f t="shared" ca="1" si="172"/>
        <v>0</v>
      </c>
      <c r="Y1329">
        <f t="shared" ca="1" si="173"/>
        <v>0</v>
      </c>
      <c r="Z1329">
        <f t="shared" ca="1" si="174"/>
        <v>0</v>
      </c>
      <c r="AA1329">
        <f t="shared" ca="1" si="175"/>
        <v>0</v>
      </c>
    </row>
    <row r="1330" spans="1:27" x14ac:dyDescent="0.25">
      <c r="A1330">
        <f t="shared" ca="1" si="168"/>
        <v>0</v>
      </c>
      <c r="B1330" t="str">
        <f t="shared" ca="1" si="169"/>
        <v/>
      </c>
      <c r="C1330" t="str">
        <f t="shared" si="170"/>
        <v/>
      </c>
      <c r="D1330" t="s">
        <v>253</v>
      </c>
      <c r="E1330" t="s">
        <v>253</v>
      </c>
      <c r="F1330" s="3" t="s">
        <v>253</v>
      </c>
      <c r="G1330" s="11" t="s">
        <v>253</v>
      </c>
      <c r="H1330" s="11" t="s">
        <v>253</v>
      </c>
      <c r="I1330" s="3" t="s">
        <v>253</v>
      </c>
      <c r="J1330" s="3" t="s">
        <v>253</v>
      </c>
      <c r="K1330" s="3" t="s">
        <v>253</v>
      </c>
      <c r="L1330" s="3" t="s">
        <v>253</v>
      </c>
      <c r="M1330" t="str">
        <f>IF(LEN(H1330),MATCH(H1330,'MPIO_SFIO Table'!$A$11:$A$65525,0)-1,"")</f>
        <v/>
      </c>
      <c r="N1330" t="str">
        <f>IF(LEN(I1330),MATCH(I1330,'MPIO_SFIO Table'!$A$11:$A$65525,0)-1,"")</f>
        <v/>
      </c>
      <c r="O1330" t="str">
        <f>IF(LEN(J1330),MATCH(J1330,'MPIO_SFIO Table'!$A$11:$A$65525,0)-1,"")</f>
        <v/>
      </c>
      <c r="P1330" t="str">
        <f>IF(LEN(K1330),MATCH(K1330,'MPIO_SFIO Table'!$A$11:$A$65525,0)-1,"")</f>
        <v/>
      </c>
      <c r="Q1330" t="str">
        <f>IF(LEN(L1330),MATCH(L1330,'MPIO_SFIO Table'!$A$11:$A$65525,0)-1,"")</f>
        <v/>
      </c>
      <c r="R1330" t="str">
        <f ca="1">IF(ISNUMBER(M1330),OFFSET('MPIO_SFIO Table'!$AJ$11,M1330,0),"")</f>
        <v/>
      </c>
      <c r="S1330" t="str">
        <f ca="1">IF(ISNUMBER(N1330),OFFSET('MPIO_SFIO Table'!$AJ$11,N1330,0),"")</f>
        <v/>
      </c>
      <c r="T1330" t="str">
        <f ca="1">IF(ISNUMBER(O1330),OFFSET('MPIO_SFIO Table'!$AJ$11,O1330,0),"")</f>
        <v/>
      </c>
      <c r="U1330" t="str">
        <f ca="1">IF(ISNUMBER(P1330),OFFSET('MPIO_SFIO Table'!$AJ$11,P1330,0),"")</f>
        <v/>
      </c>
      <c r="V1330" t="str">
        <f ca="1">IF(ISNUMBER(Q1330),OFFSET('MPIO_SFIO Table'!$AJ$11,Q1330,0),"")</f>
        <v/>
      </c>
      <c r="W1330">
        <f t="shared" ca="1" si="171"/>
        <v>0</v>
      </c>
      <c r="X1330">
        <f t="shared" ca="1" si="172"/>
        <v>0</v>
      </c>
      <c r="Y1330">
        <f t="shared" ca="1" si="173"/>
        <v>0</v>
      </c>
      <c r="Z1330">
        <f t="shared" ca="1" si="174"/>
        <v>0</v>
      </c>
      <c r="AA1330">
        <f t="shared" ca="1" si="175"/>
        <v>0</v>
      </c>
    </row>
    <row r="1331" spans="1:27" x14ac:dyDescent="0.25">
      <c r="A1331">
        <f t="shared" ca="1" si="168"/>
        <v>0</v>
      </c>
      <c r="B1331" t="str">
        <f t="shared" ca="1" si="169"/>
        <v/>
      </c>
      <c r="C1331" t="str">
        <f t="shared" si="170"/>
        <v/>
      </c>
      <c r="D1331" t="s">
        <v>253</v>
      </c>
      <c r="E1331" t="s">
        <v>253</v>
      </c>
      <c r="F1331" s="3" t="s">
        <v>253</v>
      </c>
      <c r="G1331" s="11" t="s">
        <v>253</v>
      </c>
      <c r="H1331" s="11" t="s">
        <v>253</v>
      </c>
      <c r="I1331" s="3" t="s">
        <v>253</v>
      </c>
      <c r="J1331" s="3" t="s">
        <v>253</v>
      </c>
      <c r="K1331" s="3" t="s">
        <v>253</v>
      </c>
      <c r="L1331" s="3" t="s">
        <v>253</v>
      </c>
      <c r="M1331" t="str">
        <f>IF(LEN(H1331),MATCH(H1331,'MPIO_SFIO Table'!$A$11:$A$65525,0)-1,"")</f>
        <v/>
      </c>
      <c r="N1331" t="str">
        <f>IF(LEN(I1331),MATCH(I1331,'MPIO_SFIO Table'!$A$11:$A$65525,0)-1,"")</f>
        <v/>
      </c>
      <c r="O1331" t="str">
        <f>IF(LEN(J1331),MATCH(J1331,'MPIO_SFIO Table'!$A$11:$A$65525,0)-1,"")</f>
        <v/>
      </c>
      <c r="P1331" t="str">
        <f>IF(LEN(K1331),MATCH(K1331,'MPIO_SFIO Table'!$A$11:$A$65525,0)-1,"")</f>
        <v/>
      </c>
      <c r="Q1331" t="str">
        <f>IF(LEN(L1331),MATCH(L1331,'MPIO_SFIO Table'!$A$11:$A$65525,0)-1,"")</f>
        <v/>
      </c>
      <c r="R1331" t="str">
        <f ca="1">IF(ISNUMBER(M1331),OFFSET('MPIO_SFIO Table'!$AJ$11,M1331,0),"")</f>
        <v/>
      </c>
      <c r="S1331" t="str">
        <f ca="1">IF(ISNUMBER(N1331),OFFSET('MPIO_SFIO Table'!$AJ$11,N1331,0),"")</f>
        <v/>
      </c>
      <c r="T1331" t="str">
        <f ca="1">IF(ISNUMBER(O1331),OFFSET('MPIO_SFIO Table'!$AJ$11,O1331,0),"")</f>
        <v/>
      </c>
      <c r="U1331" t="str">
        <f ca="1">IF(ISNUMBER(P1331),OFFSET('MPIO_SFIO Table'!$AJ$11,P1331,0),"")</f>
        <v/>
      </c>
      <c r="V1331" t="str">
        <f ca="1">IF(ISNUMBER(Q1331),OFFSET('MPIO_SFIO Table'!$AJ$11,Q1331,0),"")</f>
        <v/>
      </c>
      <c r="W1331">
        <f t="shared" ca="1" si="171"/>
        <v>0</v>
      </c>
      <c r="X1331">
        <f t="shared" ca="1" si="172"/>
        <v>0</v>
      </c>
      <c r="Y1331">
        <f t="shared" ca="1" si="173"/>
        <v>0</v>
      </c>
      <c r="Z1331">
        <f t="shared" ca="1" si="174"/>
        <v>0</v>
      </c>
      <c r="AA1331">
        <f t="shared" ca="1" si="175"/>
        <v>0</v>
      </c>
    </row>
    <row r="1332" spans="1:27" x14ac:dyDescent="0.25">
      <c r="A1332">
        <f t="shared" ca="1" si="168"/>
        <v>0</v>
      </c>
      <c r="B1332" t="str">
        <f t="shared" ca="1" si="169"/>
        <v/>
      </c>
      <c r="C1332" t="str">
        <f t="shared" si="170"/>
        <v/>
      </c>
      <c r="D1332" t="s">
        <v>253</v>
      </c>
      <c r="E1332" t="s">
        <v>253</v>
      </c>
      <c r="F1332" s="3" t="s">
        <v>253</v>
      </c>
      <c r="G1332" s="11" t="s">
        <v>253</v>
      </c>
      <c r="H1332" s="11" t="s">
        <v>253</v>
      </c>
      <c r="I1332" s="3" t="s">
        <v>253</v>
      </c>
      <c r="J1332" s="3" t="s">
        <v>253</v>
      </c>
      <c r="K1332" s="3" t="s">
        <v>253</v>
      </c>
      <c r="L1332" s="3" t="s">
        <v>253</v>
      </c>
      <c r="M1332" t="str">
        <f>IF(LEN(H1332),MATCH(H1332,'MPIO_SFIO Table'!$A$11:$A$65525,0)-1,"")</f>
        <v/>
      </c>
      <c r="N1332" t="str">
        <f>IF(LEN(I1332),MATCH(I1332,'MPIO_SFIO Table'!$A$11:$A$65525,0)-1,"")</f>
        <v/>
      </c>
      <c r="O1332" t="str">
        <f>IF(LEN(J1332),MATCH(J1332,'MPIO_SFIO Table'!$A$11:$A$65525,0)-1,"")</f>
        <v/>
      </c>
      <c r="P1332" t="str">
        <f>IF(LEN(K1332),MATCH(K1332,'MPIO_SFIO Table'!$A$11:$A$65525,0)-1,"")</f>
        <v/>
      </c>
      <c r="Q1332" t="str">
        <f>IF(LEN(L1332),MATCH(L1332,'MPIO_SFIO Table'!$A$11:$A$65525,0)-1,"")</f>
        <v/>
      </c>
      <c r="R1332" t="str">
        <f ca="1">IF(ISNUMBER(M1332),OFFSET('MPIO_SFIO Table'!$AJ$11,M1332,0),"")</f>
        <v/>
      </c>
      <c r="S1332" t="str">
        <f ca="1">IF(ISNUMBER(N1332),OFFSET('MPIO_SFIO Table'!$AJ$11,N1332,0),"")</f>
        <v/>
      </c>
      <c r="T1332" t="str">
        <f ca="1">IF(ISNUMBER(O1332),OFFSET('MPIO_SFIO Table'!$AJ$11,O1332,0),"")</f>
        <v/>
      </c>
      <c r="U1332" t="str">
        <f ca="1">IF(ISNUMBER(P1332),OFFSET('MPIO_SFIO Table'!$AJ$11,P1332,0),"")</f>
        <v/>
      </c>
      <c r="V1332" t="str">
        <f ca="1">IF(ISNUMBER(Q1332),OFFSET('MPIO_SFIO Table'!$AJ$11,Q1332,0),"")</f>
        <v/>
      </c>
      <c r="W1332">
        <f t="shared" ca="1" si="171"/>
        <v>0</v>
      </c>
      <c r="X1332">
        <f t="shared" ca="1" si="172"/>
        <v>0</v>
      </c>
      <c r="Y1332">
        <f t="shared" ca="1" si="173"/>
        <v>0</v>
      </c>
      <c r="Z1332">
        <f t="shared" ca="1" si="174"/>
        <v>0</v>
      </c>
      <c r="AA1332">
        <f t="shared" ca="1" si="175"/>
        <v>0</v>
      </c>
    </row>
    <row r="1333" spans="1:27" x14ac:dyDescent="0.25">
      <c r="A1333">
        <f t="shared" ca="1" si="168"/>
        <v>0</v>
      </c>
      <c r="B1333" t="str">
        <f t="shared" ca="1" si="169"/>
        <v/>
      </c>
      <c r="C1333" t="str">
        <f t="shared" si="170"/>
        <v/>
      </c>
      <c r="D1333" t="s">
        <v>253</v>
      </c>
      <c r="E1333" t="s">
        <v>253</v>
      </c>
      <c r="F1333" s="3" t="s">
        <v>253</v>
      </c>
      <c r="G1333" s="11" t="s">
        <v>253</v>
      </c>
      <c r="H1333" s="11" t="s">
        <v>253</v>
      </c>
      <c r="I1333" s="3" t="s">
        <v>253</v>
      </c>
      <c r="J1333" s="3" t="s">
        <v>253</v>
      </c>
      <c r="K1333" s="3" t="s">
        <v>253</v>
      </c>
      <c r="L1333" s="3" t="s">
        <v>253</v>
      </c>
      <c r="M1333" t="str">
        <f>IF(LEN(H1333),MATCH(H1333,'MPIO_SFIO Table'!$A$11:$A$65525,0)-1,"")</f>
        <v/>
      </c>
      <c r="N1333" t="str">
        <f>IF(LEN(I1333),MATCH(I1333,'MPIO_SFIO Table'!$A$11:$A$65525,0)-1,"")</f>
        <v/>
      </c>
      <c r="O1333" t="str">
        <f>IF(LEN(J1333),MATCH(J1333,'MPIO_SFIO Table'!$A$11:$A$65525,0)-1,"")</f>
        <v/>
      </c>
      <c r="P1333" t="str">
        <f>IF(LEN(K1333),MATCH(K1333,'MPIO_SFIO Table'!$A$11:$A$65525,0)-1,"")</f>
        <v/>
      </c>
      <c r="Q1333" t="str">
        <f>IF(LEN(L1333),MATCH(L1333,'MPIO_SFIO Table'!$A$11:$A$65525,0)-1,"")</f>
        <v/>
      </c>
      <c r="R1333" t="str">
        <f ca="1">IF(ISNUMBER(M1333),OFFSET('MPIO_SFIO Table'!$AJ$11,M1333,0),"")</f>
        <v/>
      </c>
      <c r="S1333" t="str">
        <f ca="1">IF(ISNUMBER(N1333),OFFSET('MPIO_SFIO Table'!$AJ$11,N1333,0),"")</f>
        <v/>
      </c>
      <c r="T1333" t="str">
        <f ca="1">IF(ISNUMBER(O1333),OFFSET('MPIO_SFIO Table'!$AJ$11,O1333,0),"")</f>
        <v/>
      </c>
      <c r="U1333" t="str">
        <f ca="1">IF(ISNUMBER(P1333),OFFSET('MPIO_SFIO Table'!$AJ$11,P1333,0),"")</f>
        <v/>
      </c>
      <c r="V1333" t="str">
        <f ca="1">IF(ISNUMBER(Q1333),OFFSET('MPIO_SFIO Table'!$AJ$11,Q1333,0),"")</f>
        <v/>
      </c>
      <c r="W1333">
        <f t="shared" ca="1" si="171"/>
        <v>0</v>
      </c>
      <c r="X1333">
        <f t="shared" ca="1" si="172"/>
        <v>0</v>
      </c>
      <c r="Y1333">
        <f t="shared" ca="1" si="173"/>
        <v>0</v>
      </c>
      <c r="Z1333">
        <f t="shared" ca="1" si="174"/>
        <v>0</v>
      </c>
      <c r="AA1333">
        <f t="shared" ca="1" si="175"/>
        <v>0</v>
      </c>
    </row>
    <row r="1334" spans="1:27" x14ac:dyDescent="0.25">
      <c r="A1334">
        <f t="shared" ca="1" si="168"/>
        <v>0</v>
      </c>
      <c r="B1334" t="str">
        <f t="shared" ca="1" si="169"/>
        <v/>
      </c>
      <c r="C1334" t="str">
        <f t="shared" si="170"/>
        <v/>
      </c>
      <c r="D1334" t="s">
        <v>253</v>
      </c>
      <c r="E1334" t="s">
        <v>253</v>
      </c>
      <c r="F1334" s="3" t="s">
        <v>253</v>
      </c>
      <c r="G1334" s="11" t="s">
        <v>253</v>
      </c>
      <c r="H1334" s="11" t="s">
        <v>253</v>
      </c>
      <c r="I1334" s="3" t="s">
        <v>253</v>
      </c>
      <c r="J1334" s="3" t="s">
        <v>253</v>
      </c>
      <c r="K1334" s="3" t="s">
        <v>253</v>
      </c>
      <c r="L1334" s="3" t="s">
        <v>253</v>
      </c>
      <c r="M1334" t="str">
        <f>IF(LEN(H1334),MATCH(H1334,'MPIO_SFIO Table'!$A$11:$A$65525,0)-1,"")</f>
        <v/>
      </c>
      <c r="N1334" t="str">
        <f>IF(LEN(I1334),MATCH(I1334,'MPIO_SFIO Table'!$A$11:$A$65525,0)-1,"")</f>
        <v/>
      </c>
      <c r="O1334" t="str">
        <f>IF(LEN(J1334),MATCH(J1334,'MPIO_SFIO Table'!$A$11:$A$65525,0)-1,"")</f>
        <v/>
      </c>
      <c r="P1334" t="str">
        <f>IF(LEN(K1334),MATCH(K1334,'MPIO_SFIO Table'!$A$11:$A$65525,0)-1,"")</f>
        <v/>
      </c>
      <c r="Q1334" t="str">
        <f>IF(LEN(L1334),MATCH(L1334,'MPIO_SFIO Table'!$A$11:$A$65525,0)-1,"")</f>
        <v/>
      </c>
      <c r="R1334" t="str">
        <f ca="1">IF(ISNUMBER(M1334),OFFSET('MPIO_SFIO Table'!$AJ$11,M1334,0),"")</f>
        <v/>
      </c>
      <c r="S1334" t="str">
        <f ca="1">IF(ISNUMBER(N1334),OFFSET('MPIO_SFIO Table'!$AJ$11,N1334,0),"")</f>
        <v/>
      </c>
      <c r="T1334" t="str">
        <f ca="1">IF(ISNUMBER(O1334),OFFSET('MPIO_SFIO Table'!$AJ$11,O1334,0),"")</f>
        <v/>
      </c>
      <c r="U1334" t="str">
        <f ca="1">IF(ISNUMBER(P1334),OFFSET('MPIO_SFIO Table'!$AJ$11,P1334,0),"")</f>
        <v/>
      </c>
      <c r="V1334" t="str">
        <f ca="1">IF(ISNUMBER(Q1334),OFFSET('MPIO_SFIO Table'!$AJ$11,Q1334,0),"")</f>
        <v/>
      </c>
      <c r="W1334">
        <f t="shared" ca="1" si="171"/>
        <v>0</v>
      </c>
      <c r="X1334">
        <f t="shared" ca="1" si="172"/>
        <v>0</v>
      </c>
      <c r="Y1334">
        <f t="shared" ca="1" si="173"/>
        <v>0</v>
      </c>
      <c r="Z1334">
        <f t="shared" ca="1" si="174"/>
        <v>0</v>
      </c>
      <c r="AA1334">
        <f t="shared" ca="1" si="175"/>
        <v>0</v>
      </c>
    </row>
    <row r="1335" spans="1:27" x14ac:dyDescent="0.25">
      <c r="A1335">
        <f t="shared" ca="1" si="168"/>
        <v>0</v>
      </c>
      <c r="B1335" t="str">
        <f t="shared" ca="1" si="169"/>
        <v/>
      </c>
      <c r="C1335" t="str">
        <f t="shared" si="170"/>
        <v/>
      </c>
      <c r="D1335" t="s">
        <v>253</v>
      </c>
      <c r="E1335" t="s">
        <v>253</v>
      </c>
      <c r="F1335" s="3" t="s">
        <v>253</v>
      </c>
      <c r="G1335" s="11" t="s">
        <v>253</v>
      </c>
      <c r="H1335" s="11" t="s">
        <v>253</v>
      </c>
      <c r="I1335" s="3" t="s">
        <v>253</v>
      </c>
      <c r="J1335" s="3" t="s">
        <v>253</v>
      </c>
      <c r="K1335" s="3" t="s">
        <v>253</v>
      </c>
      <c r="L1335" s="3" t="s">
        <v>253</v>
      </c>
      <c r="M1335" t="str">
        <f>IF(LEN(H1335),MATCH(H1335,'MPIO_SFIO Table'!$A$11:$A$65525,0)-1,"")</f>
        <v/>
      </c>
      <c r="N1335" t="str">
        <f>IF(LEN(I1335),MATCH(I1335,'MPIO_SFIO Table'!$A$11:$A$65525,0)-1,"")</f>
        <v/>
      </c>
      <c r="O1335" t="str">
        <f>IF(LEN(J1335),MATCH(J1335,'MPIO_SFIO Table'!$A$11:$A$65525,0)-1,"")</f>
        <v/>
      </c>
      <c r="P1335" t="str">
        <f>IF(LEN(K1335),MATCH(K1335,'MPIO_SFIO Table'!$A$11:$A$65525,0)-1,"")</f>
        <v/>
      </c>
      <c r="Q1335" t="str">
        <f>IF(LEN(L1335),MATCH(L1335,'MPIO_SFIO Table'!$A$11:$A$65525,0)-1,"")</f>
        <v/>
      </c>
      <c r="R1335" t="str">
        <f ca="1">IF(ISNUMBER(M1335),OFFSET('MPIO_SFIO Table'!$AJ$11,M1335,0),"")</f>
        <v/>
      </c>
      <c r="S1335" t="str">
        <f ca="1">IF(ISNUMBER(N1335),OFFSET('MPIO_SFIO Table'!$AJ$11,N1335,0),"")</f>
        <v/>
      </c>
      <c r="T1335" t="str">
        <f ca="1">IF(ISNUMBER(O1335),OFFSET('MPIO_SFIO Table'!$AJ$11,O1335,0),"")</f>
        <v/>
      </c>
      <c r="U1335" t="str">
        <f ca="1">IF(ISNUMBER(P1335),OFFSET('MPIO_SFIO Table'!$AJ$11,P1335,0),"")</f>
        <v/>
      </c>
      <c r="V1335" t="str">
        <f ca="1">IF(ISNUMBER(Q1335),OFFSET('MPIO_SFIO Table'!$AJ$11,Q1335,0),"")</f>
        <v/>
      </c>
      <c r="W1335">
        <f t="shared" ca="1" si="171"/>
        <v>0</v>
      </c>
      <c r="X1335">
        <f t="shared" ca="1" si="172"/>
        <v>0</v>
      </c>
      <c r="Y1335">
        <f t="shared" ca="1" si="173"/>
        <v>0</v>
      </c>
      <c r="Z1335">
        <f t="shared" ca="1" si="174"/>
        <v>0</v>
      </c>
      <c r="AA1335">
        <f t="shared" ca="1" si="175"/>
        <v>0</v>
      </c>
    </row>
    <row r="1336" spans="1:27" x14ac:dyDescent="0.25">
      <c r="A1336">
        <f t="shared" ca="1" si="168"/>
        <v>0</v>
      </c>
      <c r="B1336" t="str">
        <f t="shared" ca="1" si="169"/>
        <v/>
      </c>
      <c r="C1336" t="str">
        <f t="shared" si="170"/>
        <v/>
      </c>
      <c r="D1336" t="s">
        <v>253</v>
      </c>
      <c r="E1336" t="s">
        <v>253</v>
      </c>
      <c r="F1336" s="3" t="s">
        <v>253</v>
      </c>
      <c r="G1336" s="11" t="s">
        <v>253</v>
      </c>
      <c r="H1336" s="11" t="s">
        <v>253</v>
      </c>
      <c r="I1336" s="3" t="s">
        <v>253</v>
      </c>
      <c r="J1336" s="3" t="s">
        <v>253</v>
      </c>
      <c r="K1336" s="3" t="s">
        <v>253</v>
      </c>
      <c r="L1336" s="3" t="s">
        <v>253</v>
      </c>
      <c r="M1336" t="str">
        <f>IF(LEN(H1336),MATCH(H1336,'MPIO_SFIO Table'!$A$11:$A$65525,0)-1,"")</f>
        <v/>
      </c>
      <c r="N1336" t="str">
        <f>IF(LEN(I1336),MATCH(I1336,'MPIO_SFIO Table'!$A$11:$A$65525,0)-1,"")</f>
        <v/>
      </c>
      <c r="O1336" t="str">
        <f>IF(LEN(J1336),MATCH(J1336,'MPIO_SFIO Table'!$A$11:$A$65525,0)-1,"")</f>
        <v/>
      </c>
      <c r="P1336" t="str">
        <f>IF(LEN(K1336),MATCH(K1336,'MPIO_SFIO Table'!$A$11:$A$65525,0)-1,"")</f>
        <v/>
      </c>
      <c r="Q1336" t="str">
        <f>IF(LEN(L1336),MATCH(L1336,'MPIO_SFIO Table'!$A$11:$A$65525,0)-1,"")</f>
        <v/>
      </c>
      <c r="R1336" t="str">
        <f ca="1">IF(ISNUMBER(M1336),OFFSET('MPIO_SFIO Table'!$AJ$11,M1336,0),"")</f>
        <v/>
      </c>
      <c r="S1336" t="str">
        <f ca="1">IF(ISNUMBER(N1336),OFFSET('MPIO_SFIO Table'!$AJ$11,N1336,0),"")</f>
        <v/>
      </c>
      <c r="T1336" t="str">
        <f ca="1">IF(ISNUMBER(O1336),OFFSET('MPIO_SFIO Table'!$AJ$11,O1336,0),"")</f>
        <v/>
      </c>
      <c r="U1336" t="str">
        <f ca="1">IF(ISNUMBER(P1336),OFFSET('MPIO_SFIO Table'!$AJ$11,P1336,0),"")</f>
        <v/>
      </c>
      <c r="V1336" t="str">
        <f ca="1">IF(ISNUMBER(Q1336),OFFSET('MPIO_SFIO Table'!$AJ$11,Q1336,0),"")</f>
        <v/>
      </c>
      <c r="W1336">
        <f t="shared" ca="1" si="171"/>
        <v>0</v>
      </c>
      <c r="X1336">
        <f t="shared" ca="1" si="172"/>
        <v>0</v>
      </c>
      <c r="Y1336">
        <f t="shared" ca="1" si="173"/>
        <v>0</v>
      </c>
      <c r="Z1336">
        <f t="shared" ca="1" si="174"/>
        <v>0</v>
      </c>
      <c r="AA1336">
        <f t="shared" ca="1" si="175"/>
        <v>0</v>
      </c>
    </row>
    <row r="1337" spans="1:27" x14ac:dyDescent="0.25">
      <c r="A1337">
        <f t="shared" ca="1" si="168"/>
        <v>0</v>
      </c>
      <c r="B1337" t="str">
        <f t="shared" ca="1" si="169"/>
        <v/>
      </c>
      <c r="C1337" t="str">
        <f t="shared" si="170"/>
        <v/>
      </c>
      <c r="D1337" t="s">
        <v>253</v>
      </c>
      <c r="E1337" t="s">
        <v>253</v>
      </c>
      <c r="F1337" s="3" t="s">
        <v>253</v>
      </c>
      <c r="G1337" s="11" t="s">
        <v>253</v>
      </c>
      <c r="H1337" s="11" t="s">
        <v>253</v>
      </c>
      <c r="I1337" s="3" t="s">
        <v>253</v>
      </c>
      <c r="J1337" s="3" t="s">
        <v>253</v>
      </c>
      <c r="K1337" s="3" t="s">
        <v>253</v>
      </c>
      <c r="L1337" s="3" t="s">
        <v>253</v>
      </c>
      <c r="M1337" t="str">
        <f>IF(LEN(H1337),MATCH(H1337,'MPIO_SFIO Table'!$A$11:$A$65525,0)-1,"")</f>
        <v/>
      </c>
      <c r="N1337" t="str">
        <f>IF(LEN(I1337),MATCH(I1337,'MPIO_SFIO Table'!$A$11:$A$65525,0)-1,"")</f>
        <v/>
      </c>
      <c r="O1337" t="str">
        <f>IF(LEN(J1337),MATCH(J1337,'MPIO_SFIO Table'!$A$11:$A$65525,0)-1,"")</f>
        <v/>
      </c>
      <c r="P1337" t="str">
        <f>IF(LEN(K1337),MATCH(K1337,'MPIO_SFIO Table'!$A$11:$A$65525,0)-1,"")</f>
        <v/>
      </c>
      <c r="Q1337" t="str">
        <f>IF(LEN(L1337),MATCH(L1337,'MPIO_SFIO Table'!$A$11:$A$65525,0)-1,"")</f>
        <v/>
      </c>
      <c r="R1337" t="str">
        <f ca="1">IF(ISNUMBER(M1337),OFFSET('MPIO_SFIO Table'!$AJ$11,M1337,0),"")</f>
        <v/>
      </c>
      <c r="S1337" t="str">
        <f ca="1">IF(ISNUMBER(N1337),OFFSET('MPIO_SFIO Table'!$AJ$11,N1337,0),"")</f>
        <v/>
      </c>
      <c r="T1337" t="str">
        <f ca="1">IF(ISNUMBER(O1337),OFFSET('MPIO_SFIO Table'!$AJ$11,O1337,0),"")</f>
        <v/>
      </c>
      <c r="U1337" t="str">
        <f ca="1">IF(ISNUMBER(P1337),OFFSET('MPIO_SFIO Table'!$AJ$11,P1337,0),"")</f>
        <v/>
      </c>
      <c r="V1337" t="str">
        <f ca="1">IF(ISNUMBER(Q1337),OFFSET('MPIO_SFIO Table'!$AJ$11,Q1337,0),"")</f>
        <v/>
      </c>
      <c r="W1337">
        <f t="shared" ca="1" si="171"/>
        <v>0</v>
      </c>
      <c r="X1337">
        <f t="shared" ca="1" si="172"/>
        <v>0</v>
      </c>
      <c r="Y1337">
        <f t="shared" ca="1" si="173"/>
        <v>0</v>
      </c>
      <c r="Z1337">
        <f t="shared" ca="1" si="174"/>
        <v>0</v>
      </c>
      <c r="AA1337">
        <f t="shared" ca="1" si="175"/>
        <v>0</v>
      </c>
    </row>
    <row r="1338" spans="1:27" x14ac:dyDescent="0.25">
      <c r="A1338">
        <f t="shared" ca="1" si="168"/>
        <v>0</v>
      </c>
      <c r="B1338" t="str">
        <f t="shared" ca="1" si="169"/>
        <v/>
      </c>
      <c r="C1338" t="str">
        <f t="shared" si="170"/>
        <v/>
      </c>
      <c r="D1338" t="s">
        <v>253</v>
      </c>
      <c r="E1338" t="s">
        <v>253</v>
      </c>
      <c r="F1338" s="3" t="s">
        <v>253</v>
      </c>
      <c r="G1338" s="11" t="s">
        <v>253</v>
      </c>
      <c r="H1338" s="11" t="s">
        <v>253</v>
      </c>
      <c r="I1338" s="3" t="s">
        <v>253</v>
      </c>
      <c r="J1338" s="3" t="s">
        <v>253</v>
      </c>
      <c r="K1338" s="3" t="s">
        <v>253</v>
      </c>
      <c r="L1338" s="3" t="s">
        <v>253</v>
      </c>
      <c r="M1338" t="str">
        <f>IF(LEN(H1338),MATCH(H1338,'MPIO_SFIO Table'!$A$11:$A$65525,0)-1,"")</f>
        <v/>
      </c>
      <c r="N1338" t="str">
        <f>IF(LEN(I1338),MATCH(I1338,'MPIO_SFIO Table'!$A$11:$A$65525,0)-1,"")</f>
        <v/>
      </c>
      <c r="O1338" t="str">
        <f>IF(LEN(J1338),MATCH(J1338,'MPIO_SFIO Table'!$A$11:$A$65525,0)-1,"")</f>
        <v/>
      </c>
      <c r="P1338" t="str">
        <f>IF(LEN(K1338),MATCH(K1338,'MPIO_SFIO Table'!$A$11:$A$65525,0)-1,"")</f>
        <v/>
      </c>
      <c r="Q1338" t="str">
        <f>IF(LEN(L1338),MATCH(L1338,'MPIO_SFIO Table'!$A$11:$A$65525,0)-1,"")</f>
        <v/>
      </c>
      <c r="R1338" t="str">
        <f ca="1">IF(ISNUMBER(M1338),OFFSET('MPIO_SFIO Table'!$AJ$11,M1338,0),"")</f>
        <v/>
      </c>
      <c r="S1338" t="str">
        <f ca="1">IF(ISNUMBER(N1338),OFFSET('MPIO_SFIO Table'!$AJ$11,N1338,0),"")</f>
        <v/>
      </c>
      <c r="T1338" t="str">
        <f ca="1">IF(ISNUMBER(O1338),OFFSET('MPIO_SFIO Table'!$AJ$11,O1338,0),"")</f>
        <v/>
      </c>
      <c r="U1338" t="str">
        <f ca="1">IF(ISNUMBER(P1338),OFFSET('MPIO_SFIO Table'!$AJ$11,P1338,0),"")</f>
        <v/>
      </c>
      <c r="V1338" t="str">
        <f ca="1">IF(ISNUMBER(Q1338),OFFSET('MPIO_SFIO Table'!$AJ$11,Q1338,0),"")</f>
        <v/>
      </c>
      <c r="W1338">
        <f t="shared" ca="1" si="171"/>
        <v>0</v>
      </c>
      <c r="X1338">
        <f t="shared" ca="1" si="172"/>
        <v>0</v>
      </c>
      <c r="Y1338">
        <f t="shared" ca="1" si="173"/>
        <v>0</v>
      </c>
      <c r="Z1338">
        <f t="shared" ca="1" si="174"/>
        <v>0</v>
      </c>
      <c r="AA1338">
        <f t="shared" ca="1" si="175"/>
        <v>0</v>
      </c>
    </row>
    <row r="1339" spans="1:27" x14ac:dyDescent="0.25">
      <c r="A1339">
        <f t="shared" ca="1" si="168"/>
        <v>0</v>
      </c>
      <c r="B1339" t="str">
        <f t="shared" ca="1" si="169"/>
        <v/>
      </c>
      <c r="C1339" t="str">
        <f t="shared" si="170"/>
        <v/>
      </c>
      <c r="D1339" t="s">
        <v>253</v>
      </c>
      <c r="E1339" t="s">
        <v>253</v>
      </c>
      <c r="F1339" s="3" t="s">
        <v>253</v>
      </c>
      <c r="G1339" s="11" t="s">
        <v>253</v>
      </c>
      <c r="H1339" s="11" t="s">
        <v>253</v>
      </c>
      <c r="I1339" s="3" t="s">
        <v>253</v>
      </c>
      <c r="J1339" s="3" t="s">
        <v>253</v>
      </c>
      <c r="K1339" s="3" t="s">
        <v>253</v>
      </c>
      <c r="L1339" s="3" t="s">
        <v>253</v>
      </c>
      <c r="M1339" t="str">
        <f>IF(LEN(H1339),MATCH(H1339,'MPIO_SFIO Table'!$A$11:$A$65525,0)-1,"")</f>
        <v/>
      </c>
      <c r="N1339" t="str">
        <f>IF(LEN(I1339),MATCH(I1339,'MPIO_SFIO Table'!$A$11:$A$65525,0)-1,"")</f>
        <v/>
      </c>
      <c r="O1339" t="str">
        <f>IF(LEN(J1339),MATCH(J1339,'MPIO_SFIO Table'!$A$11:$A$65525,0)-1,"")</f>
        <v/>
      </c>
      <c r="P1339" t="str">
        <f>IF(LEN(K1339),MATCH(K1339,'MPIO_SFIO Table'!$A$11:$A$65525,0)-1,"")</f>
        <v/>
      </c>
      <c r="Q1339" t="str">
        <f>IF(LEN(L1339),MATCH(L1339,'MPIO_SFIO Table'!$A$11:$A$65525,0)-1,"")</f>
        <v/>
      </c>
      <c r="R1339" t="str">
        <f ca="1">IF(ISNUMBER(M1339),OFFSET('MPIO_SFIO Table'!$AJ$11,M1339,0),"")</f>
        <v/>
      </c>
      <c r="S1339" t="str">
        <f ca="1">IF(ISNUMBER(N1339),OFFSET('MPIO_SFIO Table'!$AJ$11,N1339,0),"")</f>
        <v/>
      </c>
      <c r="T1339" t="str">
        <f ca="1">IF(ISNUMBER(O1339),OFFSET('MPIO_SFIO Table'!$AJ$11,O1339,0),"")</f>
        <v/>
      </c>
      <c r="U1339" t="str">
        <f ca="1">IF(ISNUMBER(P1339),OFFSET('MPIO_SFIO Table'!$AJ$11,P1339,0),"")</f>
        <v/>
      </c>
      <c r="V1339" t="str">
        <f ca="1">IF(ISNUMBER(Q1339),OFFSET('MPIO_SFIO Table'!$AJ$11,Q1339,0),"")</f>
        <v/>
      </c>
      <c r="W1339">
        <f t="shared" ca="1" si="171"/>
        <v>0</v>
      </c>
      <c r="X1339">
        <f t="shared" ca="1" si="172"/>
        <v>0</v>
      </c>
      <c r="Y1339">
        <f t="shared" ca="1" si="173"/>
        <v>0</v>
      </c>
      <c r="Z1339">
        <f t="shared" ca="1" si="174"/>
        <v>0</v>
      </c>
      <c r="AA1339">
        <f t="shared" ca="1" si="175"/>
        <v>0</v>
      </c>
    </row>
    <row r="1340" spans="1:27" x14ac:dyDescent="0.25">
      <c r="A1340">
        <f t="shared" ca="1" si="168"/>
        <v>0</v>
      </c>
      <c r="B1340" t="str">
        <f t="shared" ca="1" si="169"/>
        <v/>
      </c>
      <c r="C1340" t="str">
        <f t="shared" si="170"/>
        <v/>
      </c>
      <c r="D1340" t="s">
        <v>253</v>
      </c>
      <c r="E1340" t="s">
        <v>253</v>
      </c>
      <c r="F1340" s="3" t="s">
        <v>253</v>
      </c>
      <c r="G1340" s="11" t="s">
        <v>253</v>
      </c>
      <c r="H1340" s="11" t="s">
        <v>253</v>
      </c>
      <c r="I1340" s="3" t="s">
        <v>253</v>
      </c>
      <c r="J1340" s="3" t="s">
        <v>253</v>
      </c>
      <c r="K1340" s="3" t="s">
        <v>253</v>
      </c>
      <c r="L1340" s="3" t="s">
        <v>253</v>
      </c>
      <c r="M1340" t="str">
        <f>IF(LEN(H1340),MATCH(H1340,'MPIO_SFIO Table'!$A$11:$A$65525,0)-1,"")</f>
        <v/>
      </c>
      <c r="N1340" t="str">
        <f>IF(LEN(I1340),MATCH(I1340,'MPIO_SFIO Table'!$A$11:$A$65525,0)-1,"")</f>
        <v/>
      </c>
      <c r="O1340" t="str">
        <f>IF(LEN(J1340),MATCH(J1340,'MPIO_SFIO Table'!$A$11:$A$65525,0)-1,"")</f>
        <v/>
      </c>
      <c r="P1340" t="str">
        <f>IF(LEN(K1340),MATCH(K1340,'MPIO_SFIO Table'!$A$11:$A$65525,0)-1,"")</f>
        <v/>
      </c>
      <c r="Q1340" t="str">
        <f>IF(LEN(L1340),MATCH(L1340,'MPIO_SFIO Table'!$A$11:$A$65525,0)-1,"")</f>
        <v/>
      </c>
      <c r="R1340" t="str">
        <f ca="1">IF(ISNUMBER(M1340),OFFSET('MPIO_SFIO Table'!$AJ$11,M1340,0),"")</f>
        <v/>
      </c>
      <c r="S1340" t="str">
        <f ca="1">IF(ISNUMBER(N1340),OFFSET('MPIO_SFIO Table'!$AJ$11,N1340,0),"")</f>
        <v/>
      </c>
      <c r="T1340" t="str">
        <f ca="1">IF(ISNUMBER(O1340),OFFSET('MPIO_SFIO Table'!$AJ$11,O1340,0),"")</f>
        <v/>
      </c>
      <c r="U1340" t="str">
        <f ca="1">IF(ISNUMBER(P1340),OFFSET('MPIO_SFIO Table'!$AJ$11,P1340,0),"")</f>
        <v/>
      </c>
      <c r="V1340" t="str">
        <f ca="1">IF(ISNUMBER(Q1340),OFFSET('MPIO_SFIO Table'!$AJ$11,Q1340,0),"")</f>
        <v/>
      </c>
      <c r="W1340">
        <f t="shared" ca="1" si="171"/>
        <v>0</v>
      </c>
      <c r="X1340">
        <f t="shared" ca="1" si="172"/>
        <v>0</v>
      </c>
      <c r="Y1340">
        <f t="shared" ca="1" si="173"/>
        <v>0</v>
      </c>
      <c r="Z1340">
        <f t="shared" ca="1" si="174"/>
        <v>0</v>
      </c>
      <c r="AA1340">
        <f t="shared" ca="1" si="175"/>
        <v>0</v>
      </c>
    </row>
    <row r="1341" spans="1:27" x14ac:dyDescent="0.25">
      <c r="A1341">
        <f t="shared" ca="1" si="168"/>
        <v>0</v>
      </c>
      <c r="B1341" t="str">
        <f t="shared" ca="1" si="169"/>
        <v/>
      </c>
      <c r="C1341" t="str">
        <f t="shared" si="170"/>
        <v/>
      </c>
      <c r="D1341" t="s">
        <v>253</v>
      </c>
      <c r="E1341" t="s">
        <v>253</v>
      </c>
      <c r="F1341" s="3" t="s">
        <v>253</v>
      </c>
      <c r="G1341" s="11" t="s">
        <v>253</v>
      </c>
      <c r="H1341" s="11" t="s">
        <v>253</v>
      </c>
      <c r="I1341" s="3" t="s">
        <v>253</v>
      </c>
      <c r="J1341" s="3" t="s">
        <v>253</v>
      </c>
      <c r="K1341" s="3" t="s">
        <v>253</v>
      </c>
      <c r="L1341" s="3" t="s">
        <v>253</v>
      </c>
      <c r="M1341" t="str">
        <f>IF(LEN(H1341),MATCH(H1341,'MPIO_SFIO Table'!$A$11:$A$65525,0)-1,"")</f>
        <v/>
      </c>
      <c r="N1341" t="str">
        <f>IF(LEN(I1341),MATCH(I1341,'MPIO_SFIO Table'!$A$11:$A$65525,0)-1,"")</f>
        <v/>
      </c>
      <c r="O1341" t="str">
        <f>IF(LEN(J1341),MATCH(J1341,'MPIO_SFIO Table'!$A$11:$A$65525,0)-1,"")</f>
        <v/>
      </c>
      <c r="P1341" t="str">
        <f>IF(LEN(K1341),MATCH(K1341,'MPIO_SFIO Table'!$A$11:$A$65525,0)-1,"")</f>
        <v/>
      </c>
      <c r="Q1341" t="str">
        <f>IF(LEN(L1341),MATCH(L1341,'MPIO_SFIO Table'!$A$11:$A$65525,0)-1,"")</f>
        <v/>
      </c>
      <c r="R1341" t="str">
        <f ca="1">IF(ISNUMBER(M1341),OFFSET('MPIO_SFIO Table'!$AJ$11,M1341,0),"")</f>
        <v/>
      </c>
      <c r="S1341" t="str">
        <f ca="1">IF(ISNUMBER(N1341),OFFSET('MPIO_SFIO Table'!$AJ$11,N1341,0),"")</f>
        <v/>
      </c>
      <c r="T1341" t="str">
        <f ca="1">IF(ISNUMBER(O1341),OFFSET('MPIO_SFIO Table'!$AJ$11,O1341,0),"")</f>
        <v/>
      </c>
      <c r="U1341" t="str">
        <f ca="1">IF(ISNUMBER(P1341),OFFSET('MPIO_SFIO Table'!$AJ$11,P1341,0),"")</f>
        <v/>
      </c>
      <c r="V1341" t="str">
        <f ca="1">IF(ISNUMBER(Q1341),OFFSET('MPIO_SFIO Table'!$AJ$11,Q1341,0),"")</f>
        <v/>
      </c>
      <c r="W1341">
        <f t="shared" ca="1" si="171"/>
        <v>0</v>
      </c>
      <c r="X1341">
        <f t="shared" ca="1" si="172"/>
        <v>0</v>
      </c>
      <c r="Y1341">
        <f t="shared" ca="1" si="173"/>
        <v>0</v>
      </c>
      <c r="Z1341">
        <f t="shared" ca="1" si="174"/>
        <v>0</v>
      </c>
      <c r="AA1341">
        <f t="shared" ca="1" si="175"/>
        <v>0</v>
      </c>
    </row>
    <row r="1342" spans="1:27" x14ac:dyDescent="0.25">
      <c r="A1342">
        <f t="shared" ca="1" si="168"/>
        <v>0</v>
      </c>
      <c r="B1342" t="str">
        <f t="shared" ca="1" si="169"/>
        <v/>
      </c>
      <c r="C1342" t="str">
        <f t="shared" si="170"/>
        <v/>
      </c>
      <c r="D1342" t="s">
        <v>253</v>
      </c>
      <c r="E1342" t="s">
        <v>253</v>
      </c>
      <c r="F1342" s="3" t="s">
        <v>253</v>
      </c>
      <c r="G1342" s="11" t="s">
        <v>253</v>
      </c>
      <c r="H1342" s="11" t="s">
        <v>253</v>
      </c>
      <c r="I1342" s="3" t="s">
        <v>253</v>
      </c>
      <c r="J1342" s="3" t="s">
        <v>253</v>
      </c>
      <c r="K1342" s="3" t="s">
        <v>253</v>
      </c>
      <c r="L1342" s="3" t="s">
        <v>253</v>
      </c>
      <c r="M1342" t="str">
        <f>IF(LEN(H1342),MATCH(H1342,'MPIO_SFIO Table'!$A$11:$A$65525,0)-1,"")</f>
        <v/>
      </c>
      <c r="N1342" t="str">
        <f>IF(LEN(I1342),MATCH(I1342,'MPIO_SFIO Table'!$A$11:$A$65525,0)-1,"")</f>
        <v/>
      </c>
      <c r="O1342" t="str">
        <f>IF(LEN(J1342),MATCH(J1342,'MPIO_SFIO Table'!$A$11:$A$65525,0)-1,"")</f>
        <v/>
      </c>
      <c r="P1342" t="str">
        <f>IF(LEN(K1342),MATCH(K1342,'MPIO_SFIO Table'!$A$11:$A$65525,0)-1,"")</f>
        <v/>
      </c>
      <c r="Q1342" t="str">
        <f>IF(LEN(L1342),MATCH(L1342,'MPIO_SFIO Table'!$A$11:$A$65525,0)-1,"")</f>
        <v/>
      </c>
      <c r="R1342" t="str">
        <f ca="1">IF(ISNUMBER(M1342),OFFSET('MPIO_SFIO Table'!$AJ$11,M1342,0),"")</f>
        <v/>
      </c>
      <c r="S1342" t="str">
        <f ca="1">IF(ISNUMBER(N1342),OFFSET('MPIO_SFIO Table'!$AJ$11,N1342,0),"")</f>
        <v/>
      </c>
      <c r="T1342" t="str">
        <f ca="1">IF(ISNUMBER(O1342),OFFSET('MPIO_SFIO Table'!$AJ$11,O1342,0),"")</f>
        <v/>
      </c>
      <c r="U1342" t="str">
        <f ca="1">IF(ISNUMBER(P1342),OFFSET('MPIO_SFIO Table'!$AJ$11,P1342,0),"")</f>
        <v/>
      </c>
      <c r="V1342" t="str">
        <f ca="1">IF(ISNUMBER(Q1342),OFFSET('MPIO_SFIO Table'!$AJ$11,Q1342,0),"")</f>
        <v/>
      </c>
      <c r="W1342">
        <f t="shared" ca="1" si="171"/>
        <v>0</v>
      </c>
      <c r="X1342">
        <f t="shared" ca="1" si="172"/>
        <v>0</v>
      </c>
      <c r="Y1342">
        <f t="shared" ca="1" si="173"/>
        <v>0</v>
      </c>
      <c r="Z1342">
        <f t="shared" ca="1" si="174"/>
        <v>0</v>
      </c>
      <c r="AA1342">
        <f t="shared" ca="1" si="175"/>
        <v>0</v>
      </c>
    </row>
    <row r="1343" spans="1:27" x14ac:dyDescent="0.25">
      <c r="A1343">
        <f t="shared" ca="1" si="168"/>
        <v>0</v>
      </c>
      <c r="B1343" t="str">
        <f t="shared" ca="1" si="169"/>
        <v/>
      </c>
      <c r="C1343" t="str">
        <f t="shared" si="170"/>
        <v/>
      </c>
      <c r="D1343" t="s">
        <v>253</v>
      </c>
      <c r="E1343" t="s">
        <v>253</v>
      </c>
      <c r="F1343" s="3" t="s">
        <v>253</v>
      </c>
      <c r="G1343" s="11" t="s">
        <v>253</v>
      </c>
      <c r="H1343" s="11" t="s">
        <v>253</v>
      </c>
      <c r="I1343" s="3" t="s">
        <v>253</v>
      </c>
      <c r="J1343" s="3" t="s">
        <v>253</v>
      </c>
      <c r="K1343" s="3" t="s">
        <v>253</v>
      </c>
      <c r="L1343" s="3" t="s">
        <v>253</v>
      </c>
      <c r="M1343" t="str">
        <f>IF(LEN(H1343),MATCH(H1343,'MPIO_SFIO Table'!$A$11:$A$65525,0)-1,"")</f>
        <v/>
      </c>
      <c r="N1343" t="str">
        <f>IF(LEN(I1343),MATCH(I1343,'MPIO_SFIO Table'!$A$11:$A$65525,0)-1,"")</f>
        <v/>
      </c>
      <c r="O1343" t="str">
        <f>IF(LEN(J1343),MATCH(J1343,'MPIO_SFIO Table'!$A$11:$A$65525,0)-1,"")</f>
        <v/>
      </c>
      <c r="P1343" t="str">
        <f>IF(LEN(K1343),MATCH(K1343,'MPIO_SFIO Table'!$A$11:$A$65525,0)-1,"")</f>
        <v/>
      </c>
      <c r="Q1343" t="str">
        <f>IF(LEN(L1343),MATCH(L1343,'MPIO_SFIO Table'!$A$11:$A$65525,0)-1,"")</f>
        <v/>
      </c>
      <c r="R1343" t="str">
        <f ca="1">IF(ISNUMBER(M1343),OFFSET('MPIO_SFIO Table'!$AJ$11,M1343,0),"")</f>
        <v/>
      </c>
      <c r="S1343" t="str">
        <f ca="1">IF(ISNUMBER(N1343),OFFSET('MPIO_SFIO Table'!$AJ$11,N1343,0),"")</f>
        <v/>
      </c>
      <c r="T1343" t="str">
        <f ca="1">IF(ISNUMBER(O1343),OFFSET('MPIO_SFIO Table'!$AJ$11,O1343,0),"")</f>
        <v/>
      </c>
      <c r="U1343" t="str">
        <f ca="1">IF(ISNUMBER(P1343),OFFSET('MPIO_SFIO Table'!$AJ$11,P1343,0),"")</f>
        <v/>
      </c>
      <c r="V1343" t="str">
        <f ca="1">IF(ISNUMBER(Q1343),OFFSET('MPIO_SFIO Table'!$AJ$11,Q1343,0),"")</f>
        <v/>
      </c>
      <c r="W1343">
        <f t="shared" ca="1" si="171"/>
        <v>0</v>
      </c>
      <c r="X1343">
        <f t="shared" ca="1" si="172"/>
        <v>0</v>
      </c>
      <c r="Y1343">
        <f t="shared" ca="1" si="173"/>
        <v>0</v>
      </c>
      <c r="Z1343">
        <f t="shared" ca="1" si="174"/>
        <v>0</v>
      </c>
      <c r="AA1343">
        <f t="shared" ca="1" si="175"/>
        <v>0</v>
      </c>
    </row>
    <row r="1344" spans="1:27" x14ac:dyDescent="0.25">
      <c r="A1344">
        <f t="shared" ca="1" si="168"/>
        <v>0</v>
      </c>
      <c r="B1344" t="str">
        <f t="shared" ca="1" si="169"/>
        <v/>
      </c>
      <c r="C1344" t="str">
        <f t="shared" si="170"/>
        <v/>
      </c>
      <c r="D1344" t="s">
        <v>253</v>
      </c>
      <c r="E1344" t="s">
        <v>253</v>
      </c>
      <c r="F1344" s="3" t="s">
        <v>253</v>
      </c>
      <c r="G1344" s="11" t="s">
        <v>253</v>
      </c>
      <c r="H1344" s="11" t="s">
        <v>253</v>
      </c>
      <c r="I1344" s="3" t="s">
        <v>253</v>
      </c>
      <c r="J1344" s="3" t="s">
        <v>253</v>
      </c>
      <c r="K1344" s="3" t="s">
        <v>253</v>
      </c>
      <c r="L1344" s="3" t="s">
        <v>253</v>
      </c>
      <c r="M1344" t="str">
        <f>IF(LEN(H1344),MATCH(H1344,'MPIO_SFIO Table'!$A$11:$A$65525,0)-1,"")</f>
        <v/>
      </c>
      <c r="N1344" t="str">
        <f>IF(LEN(I1344),MATCH(I1344,'MPIO_SFIO Table'!$A$11:$A$65525,0)-1,"")</f>
        <v/>
      </c>
      <c r="O1344" t="str">
        <f>IF(LEN(J1344),MATCH(J1344,'MPIO_SFIO Table'!$A$11:$A$65525,0)-1,"")</f>
        <v/>
      </c>
      <c r="P1344" t="str">
        <f>IF(LEN(K1344),MATCH(K1344,'MPIO_SFIO Table'!$A$11:$A$65525,0)-1,"")</f>
        <v/>
      </c>
      <c r="Q1344" t="str">
        <f>IF(LEN(L1344),MATCH(L1344,'MPIO_SFIO Table'!$A$11:$A$65525,0)-1,"")</f>
        <v/>
      </c>
      <c r="R1344" t="str">
        <f ca="1">IF(ISNUMBER(M1344),OFFSET('MPIO_SFIO Table'!$AJ$11,M1344,0),"")</f>
        <v/>
      </c>
      <c r="S1344" t="str">
        <f ca="1">IF(ISNUMBER(N1344),OFFSET('MPIO_SFIO Table'!$AJ$11,N1344,0),"")</f>
        <v/>
      </c>
      <c r="T1344" t="str">
        <f ca="1">IF(ISNUMBER(O1344),OFFSET('MPIO_SFIO Table'!$AJ$11,O1344,0),"")</f>
        <v/>
      </c>
      <c r="U1344" t="str">
        <f ca="1">IF(ISNUMBER(P1344),OFFSET('MPIO_SFIO Table'!$AJ$11,P1344,0),"")</f>
        <v/>
      </c>
      <c r="V1344" t="str">
        <f ca="1">IF(ISNUMBER(Q1344),OFFSET('MPIO_SFIO Table'!$AJ$11,Q1344,0),"")</f>
        <v/>
      </c>
      <c r="W1344">
        <f t="shared" ca="1" si="171"/>
        <v>0</v>
      </c>
      <c r="X1344">
        <f t="shared" ca="1" si="172"/>
        <v>0</v>
      </c>
      <c r="Y1344">
        <f t="shared" ca="1" si="173"/>
        <v>0</v>
      </c>
      <c r="Z1344">
        <f t="shared" ca="1" si="174"/>
        <v>0</v>
      </c>
      <c r="AA1344">
        <f t="shared" ca="1" si="175"/>
        <v>0</v>
      </c>
    </row>
    <row r="1345" spans="1:27" x14ac:dyDescent="0.25">
      <c r="A1345">
        <f t="shared" ca="1" si="168"/>
        <v>0</v>
      </c>
      <c r="B1345" t="str">
        <f t="shared" ca="1" si="169"/>
        <v/>
      </c>
      <c r="C1345" t="str">
        <f t="shared" si="170"/>
        <v/>
      </c>
      <c r="D1345" t="s">
        <v>253</v>
      </c>
      <c r="E1345" t="s">
        <v>253</v>
      </c>
      <c r="F1345" s="3" t="s">
        <v>253</v>
      </c>
      <c r="G1345" s="11" t="s">
        <v>253</v>
      </c>
      <c r="H1345" s="11" t="s">
        <v>253</v>
      </c>
      <c r="I1345" s="3" t="s">
        <v>253</v>
      </c>
      <c r="J1345" s="3" t="s">
        <v>253</v>
      </c>
      <c r="K1345" s="3" t="s">
        <v>253</v>
      </c>
      <c r="L1345" s="3" t="s">
        <v>253</v>
      </c>
      <c r="M1345" t="str">
        <f>IF(LEN(H1345),MATCH(H1345,'MPIO_SFIO Table'!$A$11:$A$65525,0)-1,"")</f>
        <v/>
      </c>
      <c r="N1345" t="str">
        <f>IF(LEN(I1345),MATCH(I1345,'MPIO_SFIO Table'!$A$11:$A$65525,0)-1,"")</f>
        <v/>
      </c>
      <c r="O1345" t="str">
        <f>IF(LEN(J1345),MATCH(J1345,'MPIO_SFIO Table'!$A$11:$A$65525,0)-1,"")</f>
        <v/>
      </c>
      <c r="P1345" t="str">
        <f>IF(LEN(K1345),MATCH(K1345,'MPIO_SFIO Table'!$A$11:$A$65525,0)-1,"")</f>
        <v/>
      </c>
      <c r="Q1345" t="str">
        <f>IF(LEN(L1345),MATCH(L1345,'MPIO_SFIO Table'!$A$11:$A$65525,0)-1,"")</f>
        <v/>
      </c>
      <c r="R1345" t="str">
        <f ca="1">IF(ISNUMBER(M1345),OFFSET('MPIO_SFIO Table'!$AJ$11,M1345,0),"")</f>
        <v/>
      </c>
      <c r="S1345" t="str">
        <f ca="1">IF(ISNUMBER(N1345),OFFSET('MPIO_SFIO Table'!$AJ$11,N1345,0),"")</f>
        <v/>
      </c>
      <c r="T1345" t="str">
        <f ca="1">IF(ISNUMBER(O1345),OFFSET('MPIO_SFIO Table'!$AJ$11,O1345,0),"")</f>
        <v/>
      </c>
      <c r="U1345" t="str">
        <f ca="1">IF(ISNUMBER(P1345),OFFSET('MPIO_SFIO Table'!$AJ$11,P1345,0),"")</f>
        <v/>
      </c>
      <c r="V1345" t="str">
        <f ca="1">IF(ISNUMBER(Q1345),OFFSET('MPIO_SFIO Table'!$AJ$11,Q1345,0),"")</f>
        <v/>
      </c>
      <c r="W1345">
        <f t="shared" ca="1" si="171"/>
        <v>0</v>
      </c>
      <c r="X1345">
        <f t="shared" ca="1" si="172"/>
        <v>0</v>
      </c>
      <c r="Y1345">
        <f t="shared" ca="1" si="173"/>
        <v>0</v>
      </c>
      <c r="Z1345">
        <f t="shared" ca="1" si="174"/>
        <v>0</v>
      </c>
      <c r="AA1345">
        <f t="shared" ca="1" si="175"/>
        <v>0</v>
      </c>
    </row>
    <row r="1346" spans="1:27" x14ac:dyDescent="0.25">
      <c r="A1346">
        <f t="shared" ca="1" si="168"/>
        <v>0</v>
      </c>
      <c r="B1346" t="str">
        <f t="shared" ca="1" si="169"/>
        <v/>
      </c>
      <c r="C1346" t="str">
        <f t="shared" si="170"/>
        <v/>
      </c>
      <c r="D1346" t="s">
        <v>253</v>
      </c>
      <c r="E1346" t="s">
        <v>253</v>
      </c>
      <c r="F1346" s="3" t="s">
        <v>253</v>
      </c>
      <c r="G1346" s="11" t="s">
        <v>253</v>
      </c>
      <c r="H1346" s="11" t="s">
        <v>253</v>
      </c>
      <c r="I1346" s="3" t="s">
        <v>253</v>
      </c>
      <c r="J1346" s="3" t="s">
        <v>253</v>
      </c>
      <c r="K1346" s="3" t="s">
        <v>253</v>
      </c>
      <c r="L1346" s="3" t="s">
        <v>253</v>
      </c>
      <c r="M1346" t="str">
        <f>IF(LEN(H1346),MATCH(H1346,'MPIO_SFIO Table'!$A$11:$A$65525,0)-1,"")</f>
        <v/>
      </c>
      <c r="N1346" t="str">
        <f>IF(LEN(I1346),MATCH(I1346,'MPIO_SFIO Table'!$A$11:$A$65525,0)-1,"")</f>
        <v/>
      </c>
      <c r="O1346" t="str">
        <f>IF(LEN(J1346),MATCH(J1346,'MPIO_SFIO Table'!$A$11:$A$65525,0)-1,"")</f>
        <v/>
      </c>
      <c r="P1346" t="str">
        <f>IF(LEN(K1346),MATCH(K1346,'MPIO_SFIO Table'!$A$11:$A$65525,0)-1,"")</f>
        <v/>
      </c>
      <c r="Q1346" t="str">
        <f>IF(LEN(L1346),MATCH(L1346,'MPIO_SFIO Table'!$A$11:$A$65525,0)-1,"")</f>
        <v/>
      </c>
      <c r="R1346" t="str">
        <f ca="1">IF(ISNUMBER(M1346),OFFSET('MPIO_SFIO Table'!$AJ$11,M1346,0),"")</f>
        <v/>
      </c>
      <c r="S1346" t="str">
        <f ca="1">IF(ISNUMBER(N1346),OFFSET('MPIO_SFIO Table'!$AJ$11,N1346,0),"")</f>
        <v/>
      </c>
      <c r="T1346" t="str">
        <f ca="1">IF(ISNUMBER(O1346),OFFSET('MPIO_SFIO Table'!$AJ$11,O1346,0),"")</f>
        <v/>
      </c>
      <c r="U1346" t="str">
        <f ca="1">IF(ISNUMBER(P1346),OFFSET('MPIO_SFIO Table'!$AJ$11,P1346,0),"")</f>
        <v/>
      </c>
      <c r="V1346" t="str">
        <f ca="1">IF(ISNUMBER(Q1346),OFFSET('MPIO_SFIO Table'!$AJ$11,Q1346,0),"")</f>
        <v/>
      </c>
      <c r="W1346">
        <f t="shared" ca="1" si="171"/>
        <v>0</v>
      </c>
      <c r="X1346">
        <f t="shared" ca="1" si="172"/>
        <v>0</v>
      </c>
      <c r="Y1346">
        <f t="shared" ca="1" si="173"/>
        <v>0</v>
      </c>
      <c r="Z1346">
        <f t="shared" ca="1" si="174"/>
        <v>0</v>
      </c>
      <c r="AA1346">
        <f t="shared" ca="1" si="175"/>
        <v>0</v>
      </c>
    </row>
    <row r="1347" spans="1:27" x14ac:dyDescent="0.25">
      <c r="A1347">
        <f t="shared" ca="1" si="168"/>
        <v>0</v>
      </c>
      <c r="B1347" t="str">
        <f t="shared" ca="1" si="169"/>
        <v/>
      </c>
      <c r="C1347" t="str">
        <f t="shared" si="170"/>
        <v/>
      </c>
      <c r="D1347" t="s">
        <v>253</v>
      </c>
      <c r="E1347" t="s">
        <v>253</v>
      </c>
      <c r="F1347" s="3" t="s">
        <v>253</v>
      </c>
      <c r="G1347" s="11" t="s">
        <v>253</v>
      </c>
      <c r="H1347" s="11" t="s">
        <v>253</v>
      </c>
      <c r="I1347" s="3" t="s">
        <v>253</v>
      </c>
      <c r="J1347" s="3" t="s">
        <v>253</v>
      </c>
      <c r="K1347" s="3" t="s">
        <v>253</v>
      </c>
      <c r="L1347" s="3" t="s">
        <v>253</v>
      </c>
      <c r="M1347" t="str">
        <f>IF(LEN(H1347),MATCH(H1347,'MPIO_SFIO Table'!$A$11:$A$65525,0)-1,"")</f>
        <v/>
      </c>
      <c r="N1347" t="str">
        <f>IF(LEN(I1347),MATCH(I1347,'MPIO_SFIO Table'!$A$11:$A$65525,0)-1,"")</f>
        <v/>
      </c>
      <c r="O1347" t="str">
        <f>IF(LEN(J1347),MATCH(J1347,'MPIO_SFIO Table'!$A$11:$A$65525,0)-1,"")</f>
        <v/>
      </c>
      <c r="P1347" t="str">
        <f>IF(LEN(K1347),MATCH(K1347,'MPIO_SFIO Table'!$A$11:$A$65525,0)-1,"")</f>
        <v/>
      </c>
      <c r="Q1347" t="str">
        <f>IF(LEN(L1347),MATCH(L1347,'MPIO_SFIO Table'!$A$11:$A$65525,0)-1,"")</f>
        <v/>
      </c>
      <c r="R1347" t="str">
        <f ca="1">IF(ISNUMBER(M1347),OFFSET('MPIO_SFIO Table'!$AJ$11,M1347,0),"")</f>
        <v/>
      </c>
      <c r="S1347" t="str">
        <f ca="1">IF(ISNUMBER(N1347),OFFSET('MPIO_SFIO Table'!$AJ$11,N1347,0),"")</f>
        <v/>
      </c>
      <c r="T1347" t="str">
        <f ca="1">IF(ISNUMBER(O1347),OFFSET('MPIO_SFIO Table'!$AJ$11,O1347,0),"")</f>
        <v/>
      </c>
      <c r="U1347" t="str">
        <f ca="1">IF(ISNUMBER(P1347),OFFSET('MPIO_SFIO Table'!$AJ$11,P1347,0),"")</f>
        <v/>
      </c>
      <c r="V1347" t="str">
        <f ca="1">IF(ISNUMBER(Q1347),OFFSET('MPIO_SFIO Table'!$AJ$11,Q1347,0),"")</f>
        <v/>
      </c>
      <c r="W1347">
        <f t="shared" ca="1" si="171"/>
        <v>0</v>
      </c>
      <c r="X1347">
        <f t="shared" ca="1" si="172"/>
        <v>0</v>
      </c>
      <c r="Y1347">
        <f t="shared" ca="1" si="173"/>
        <v>0</v>
      </c>
      <c r="Z1347">
        <f t="shared" ca="1" si="174"/>
        <v>0</v>
      </c>
      <c r="AA1347">
        <f t="shared" ca="1" si="175"/>
        <v>0</v>
      </c>
    </row>
    <row r="1348" spans="1:27" x14ac:dyDescent="0.25">
      <c r="A1348">
        <f t="shared" ca="1" si="168"/>
        <v>0</v>
      </c>
      <c r="B1348" t="str">
        <f t="shared" ca="1" si="169"/>
        <v/>
      </c>
      <c r="C1348" t="str">
        <f t="shared" si="170"/>
        <v/>
      </c>
      <c r="D1348" t="s">
        <v>253</v>
      </c>
      <c r="E1348" t="s">
        <v>253</v>
      </c>
      <c r="F1348" s="3" t="s">
        <v>253</v>
      </c>
      <c r="G1348" s="11" t="s">
        <v>253</v>
      </c>
      <c r="H1348" s="11" t="s">
        <v>253</v>
      </c>
      <c r="I1348" s="3" t="s">
        <v>253</v>
      </c>
      <c r="J1348" s="3" t="s">
        <v>253</v>
      </c>
      <c r="K1348" s="3" t="s">
        <v>253</v>
      </c>
      <c r="L1348" s="3" t="s">
        <v>253</v>
      </c>
      <c r="M1348" t="str">
        <f>IF(LEN(H1348),MATCH(H1348,'MPIO_SFIO Table'!$A$11:$A$65525,0)-1,"")</f>
        <v/>
      </c>
      <c r="N1348" t="str">
        <f>IF(LEN(I1348),MATCH(I1348,'MPIO_SFIO Table'!$A$11:$A$65525,0)-1,"")</f>
        <v/>
      </c>
      <c r="O1348" t="str">
        <f>IF(LEN(J1348),MATCH(J1348,'MPIO_SFIO Table'!$A$11:$A$65525,0)-1,"")</f>
        <v/>
      </c>
      <c r="P1348" t="str">
        <f>IF(LEN(K1348),MATCH(K1348,'MPIO_SFIO Table'!$A$11:$A$65525,0)-1,"")</f>
        <v/>
      </c>
      <c r="Q1348" t="str">
        <f>IF(LEN(L1348),MATCH(L1348,'MPIO_SFIO Table'!$A$11:$A$65525,0)-1,"")</f>
        <v/>
      </c>
      <c r="R1348" t="str">
        <f ca="1">IF(ISNUMBER(M1348),OFFSET('MPIO_SFIO Table'!$AJ$11,M1348,0),"")</f>
        <v/>
      </c>
      <c r="S1348" t="str">
        <f ca="1">IF(ISNUMBER(N1348),OFFSET('MPIO_SFIO Table'!$AJ$11,N1348,0),"")</f>
        <v/>
      </c>
      <c r="T1348" t="str">
        <f ca="1">IF(ISNUMBER(O1348),OFFSET('MPIO_SFIO Table'!$AJ$11,O1348,0),"")</f>
        <v/>
      </c>
      <c r="U1348" t="str">
        <f ca="1">IF(ISNUMBER(P1348),OFFSET('MPIO_SFIO Table'!$AJ$11,P1348,0),"")</f>
        <v/>
      </c>
      <c r="V1348" t="str">
        <f ca="1">IF(ISNUMBER(Q1348),OFFSET('MPIO_SFIO Table'!$AJ$11,Q1348,0),"")</f>
        <v/>
      </c>
      <c r="W1348">
        <f t="shared" ca="1" si="171"/>
        <v>0</v>
      </c>
      <c r="X1348">
        <f t="shared" ca="1" si="172"/>
        <v>0</v>
      </c>
      <c r="Y1348">
        <f t="shared" ca="1" si="173"/>
        <v>0</v>
      </c>
      <c r="Z1348">
        <f t="shared" ca="1" si="174"/>
        <v>0</v>
      </c>
      <c r="AA1348">
        <f t="shared" ca="1" si="175"/>
        <v>0</v>
      </c>
    </row>
    <row r="1349" spans="1:27" x14ac:dyDescent="0.25">
      <c r="A1349">
        <f t="shared" ca="1" si="168"/>
        <v>0</v>
      </c>
      <c r="B1349" t="str">
        <f t="shared" ca="1" si="169"/>
        <v/>
      </c>
      <c r="C1349" t="str">
        <f t="shared" si="170"/>
        <v/>
      </c>
      <c r="D1349" t="s">
        <v>253</v>
      </c>
      <c r="E1349" t="s">
        <v>253</v>
      </c>
      <c r="F1349" s="3" t="s">
        <v>253</v>
      </c>
      <c r="G1349" s="11" t="s">
        <v>253</v>
      </c>
      <c r="H1349" s="11" t="s">
        <v>253</v>
      </c>
      <c r="I1349" s="3" t="s">
        <v>253</v>
      </c>
      <c r="J1349" s="3" t="s">
        <v>253</v>
      </c>
      <c r="K1349" s="3" t="s">
        <v>253</v>
      </c>
      <c r="L1349" s="3" t="s">
        <v>253</v>
      </c>
      <c r="M1349" t="str">
        <f>IF(LEN(H1349),MATCH(H1349,'MPIO_SFIO Table'!$A$11:$A$65525,0)-1,"")</f>
        <v/>
      </c>
      <c r="N1349" t="str">
        <f>IF(LEN(I1349),MATCH(I1349,'MPIO_SFIO Table'!$A$11:$A$65525,0)-1,"")</f>
        <v/>
      </c>
      <c r="O1349" t="str">
        <f>IF(LEN(J1349),MATCH(J1349,'MPIO_SFIO Table'!$A$11:$A$65525,0)-1,"")</f>
        <v/>
      </c>
      <c r="P1349" t="str">
        <f>IF(LEN(K1349),MATCH(K1349,'MPIO_SFIO Table'!$A$11:$A$65525,0)-1,"")</f>
        <v/>
      </c>
      <c r="Q1349" t="str">
        <f>IF(LEN(L1349),MATCH(L1349,'MPIO_SFIO Table'!$A$11:$A$65525,0)-1,"")</f>
        <v/>
      </c>
      <c r="R1349" t="str">
        <f ca="1">IF(ISNUMBER(M1349),OFFSET('MPIO_SFIO Table'!$AJ$11,M1349,0),"")</f>
        <v/>
      </c>
      <c r="S1349" t="str">
        <f ca="1">IF(ISNUMBER(N1349),OFFSET('MPIO_SFIO Table'!$AJ$11,N1349,0),"")</f>
        <v/>
      </c>
      <c r="T1349" t="str">
        <f ca="1">IF(ISNUMBER(O1349),OFFSET('MPIO_SFIO Table'!$AJ$11,O1349,0),"")</f>
        <v/>
      </c>
      <c r="U1349" t="str">
        <f ca="1">IF(ISNUMBER(P1349),OFFSET('MPIO_SFIO Table'!$AJ$11,P1349,0),"")</f>
        <v/>
      </c>
      <c r="V1349" t="str">
        <f ca="1">IF(ISNUMBER(Q1349),OFFSET('MPIO_SFIO Table'!$AJ$11,Q1349,0),"")</f>
        <v/>
      </c>
      <c r="W1349">
        <f t="shared" ca="1" si="171"/>
        <v>0</v>
      </c>
      <c r="X1349">
        <f t="shared" ca="1" si="172"/>
        <v>0</v>
      </c>
      <c r="Y1349">
        <f t="shared" ca="1" si="173"/>
        <v>0</v>
      </c>
      <c r="Z1349">
        <f t="shared" ca="1" si="174"/>
        <v>0</v>
      </c>
      <c r="AA1349">
        <f t="shared" ca="1" si="175"/>
        <v>0</v>
      </c>
    </row>
    <row r="1350" spans="1:27" x14ac:dyDescent="0.25">
      <c r="A1350">
        <f t="shared" ca="1" si="168"/>
        <v>0</v>
      </c>
      <c r="B1350" t="str">
        <f t="shared" ca="1" si="169"/>
        <v/>
      </c>
      <c r="C1350" t="str">
        <f t="shared" si="170"/>
        <v/>
      </c>
      <c r="D1350" t="s">
        <v>253</v>
      </c>
      <c r="E1350" t="s">
        <v>253</v>
      </c>
      <c r="F1350" s="3" t="s">
        <v>253</v>
      </c>
      <c r="G1350" s="11" t="s">
        <v>253</v>
      </c>
      <c r="H1350" s="11" t="s">
        <v>253</v>
      </c>
      <c r="I1350" s="3" t="s">
        <v>253</v>
      </c>
      <c r="J1350" s="3" t="s">
        <v>253</v>
      </c>
      <c r="K1350" s="3" t="s">
        <v>253</v>
      </c>
      <c r="L1350" s="3" t="s">
        <v>253</v>
      </c>
      <c r="M1350" t="str">
        <f>IF(LEN(H1350),MATCH(H1350,'MPIO_SFIO Table'!$A$11:$A$65525,0)-1,"")</f>
        <v/>
      </c>
      <c r="N1350" t="str">
        <f>IF(LEN(I1350),MATCH(I1350,'MPIO_SFIO Table'!$A$11:$A$65525,0)-1,"")</f>
        <v/>
      </c>
      <c r="O1350" t="str">
        <f>IF(LEN(J1350),MATCH(J1350,'MPIO_SFIO Table'!$A$11:$A$65525,0)-1,"")</f>
        <v/>
      </c>
      <c r="P1350" t="str">
        <f>IF(LEN(K1350),MATCH(K1350,'MPIO_SFIO Table'!$A$11:$A$65525,0)-1,"")</f>
        <v/>
      </c>
      <c r="Q1350" t="str">
        <f>IF(LEN(L1350),MATCH(L1350,'MPIO_SFIO Table'!$A$11:$A$65525,0)-1,"")</f>
        <v/>
      </c>
      <c r="R1350" t="str">
        <f ca="1">IF(ISNUMBER(M1350),OFFSET('MPIO_SFIO Table'!$AJ$11,M1350,0),"")</f>
        <v/>
      </c>
      <c r="S1350" t="str">
        <f ca="1">IF(ISNUMBER(N1350),OFFSET('MPIO_SFIO Table'!$AJ$11,N1350,0),"")</f>
        <v/>
      </c>
      <c r="T1350" t="str">
        <f ca="1">IF(ISNUMBER(O1350),OFFSET('MPIO_SFIO Table'!$AJ$11,O1350,0),"")</f>
        <v/>
      </c>
      <c r="U1350" t="str">
        <f ca="1">IF(ISNUMBER(P1350),OFFSET('MPIO_SFIO Table'!$AJ$11,P1350,0),"")</f>
        <v/>
      </c>
      <c r="V1350" t="str">
        <f ca="1">IF(ISNUMBER(Q1350),OFFSET('MPIO_SFIO Table'!$AJ$11,Q1350,0),"")</f>
        <v/>
      </c>
      <c r="W1350">
        <f t="shared" ca="1" si="171"/>
        <v>0</v>
      </c>
      <c r="X1350">
        <f t="shared" ca="1" si="172"/>
        <v>0</v>
      </c>
      <c r="Y1350">
        <f t="shared" ca="1" si="173"/>
        <v>0</v>
      </c>
      <c r="Z1350">
        <f t="shared" ca="1" si="174"/>
        <v>0</v>
      </c>
      <c r="AA1350">
        <f t="shared" ca="1" si="175"/>
        <v>0</v>
      </c>
    </row>
    <row r="1351" spans="1:27" x14ac:dyDescent="0.25">
      <c r="A1351">
        <f t="shared" ca="1" si="168"/>
        <v>0</v>
      </c>
      <c r="B1351" t="str">
        <f t="shared" ca="1" si="169"/>
        <v/>
      </c>
      <c r="C1351" t="str">
        <f t="shared" si="170"/>
        <v/>
      </c>
      <c r="D1351" t="s">
        <v>253</v>
      </c>
      <c r="E1351" t="s">
        <v>253</v>
      </c>
      <c r="F1351" s="3" t="s">
        <v>253</v>
      </c>
      <c r="G1351" s="11" t="s">
        <v>253</v>
      </c>
      <c r="H1351" s="11" t="s">
        <v>253</v>
      </c>
      <c r="I1351" s="3" t="s">
        <v>253</v>
      </c>
      <c r="J1351" s="3" t="s">
        <v>253</v>
      </c>
      <c r="K1351" s="3" t="s">
        <v>253</v>
      </c>
      <c r="L1351" s="3" t="s">
        <v>253</v>
      </c>
      <c r="M1351" t="str">
        <f>IF(LEN(H1351),MATCH(H1351,'MPIO_SFIO Table'!$A$11:$A$65525,0)-1,"")</f>
        <v/>
      </c>
      <c r="N1351" t="str">
        <f>IF(LEN(I1351),MATCH(I1351,'MPIO_SFIO Table'!$A$11:$A$65525,0)-1,"")</f>
        <v/>
      </c>
      <c r="O1351" t="str">
        <f>IF(LEN(J1351),MATCH(J1351,'MPIO_SFIO Table'!$A$11:$A$65525,0)-1,"")</f>
        <v/>
      </c>
      <c r="P1351" t="str">
        <f>IF(LEN(K1351),MATCH(K1351,'MPIO_SFIO Table'!$A$11:$A$65525,0)-1,"")</f>
        <v/>
      </c>
      <c r="Q1351" t="str">
        <f>IF(LEN(L1351),MATCH(L1351,'MPIO_SFIO Table'!$A$11:$A$65525,0)-1,"")</f>
        <v/>
      </c>
      <c r="R1351" t="str">
        <f ca="1">IF(ISNUMBER(M1351),OFFSET('MPIO_SFIO Table'!$AJ$11,M1351,0),"")</f>
        <v/>
      </c>
      <c r="S1351" t="str">
        <f ca="1">IF(ISNUMBER(N1351),OFFSET('MPIO_SFIO Table'!$AJ$11,N1351,0),"")</f>
        <v/>
      </c>
      <c r="T1351" t="str">
        <f ca="1">IF(ISNUMBER(O1351),OFFSET('MPIO_SFIO Table'!$AJ$11,O1351,0),"")</f>
        <v/>
      </c>
      <c r="U1351" t="str">
        <f ca="1">IF(ISNUMBER(P1351),OFFSET('MPIO_SFIO Table'!$AJ$11,P1351,0),"")</f>
        <v/>
      </c>
      <c r="V1351" t="str">
        <f ca="1">IF(ISNUMBER(Q1351),OFFSET('MPIO_SFIO Table'!$AJ$11,Q1351,0),"")</f>
        <v/>
      </c>
      <c r="W1351">
        <f t="shared" ca="1" si="171"/>
        <v>0</v>
      </c>
      <c r="X1351">
        <f t="shared" ca="1" si="172"/>
        <v>0</v>
      </c>
      <c r="Y1351">
        <f t="shared" ca="1" si="173"/>
        <v>0</v>
      </c>
      <c r="Z1351">
        <f t="shared" ca="1" si="174"/>
        <v>0</v>
      </c>
      <c r="AA1351">
        <f t="shared" ca="1" si="175"/>
        <v>0</v>
      </c>
    </row>
    <row r="1352" spans="1:27" x14ac:dyDescent="0.25">
      <c r="A1352">
        <f t="shared" ref="A1352:A1415" ca="1" si="176">SUM($W1352:$AA1352)</f>
        <v>0</v>
      </c>
      <c r="B1352" t="str">
        <f t="shared" ref="B1352:B1415" ca="1" si="177">IF(A1352&lt;&gt;0,REPLACE(G1352,FIND("-",G1352),LEN(G1352),""),"")</f>
        <v/>
      </c>
      <c r="C1352" t="str">
        <f t="shared" si="170"/>
        <v/>
      </c>
      <c r="D1352" t="s">
        <v>253</v>
      </c>
      <c r="E1352" t="s">
        <v>253</v>
      </c>
      <c r="F1352" s="3" t="s">
        <v>253</v>
      </c>
      <c r="G1352" s="11" t="s">
        <v>253</v>
      </c>
      <c r="H1352" s="11" t="s">
        <v>253</v>
      </c>
      <c r="I1352" s="3" t="s">
        <v>253</v>
      </c>
      <c r="J1352" s="3" t="s">
        <v>253</v>
      </c>
      <c r="K1352" s="3" t="s">
        <v>253</v>
      </c>
      <c r="L1352" s="3" t="s">
        <v>253</v>
      </c>
      <c r="M1352" t="str">
        <f>IF(LEN(H1352),MATCH(H1352,'MPIO_SFIO Table'!$A$11:$A$65525,0)-1,"")</f>
        <v/>
      </c>
      <c r="N1352" t="str">
        <f>IF(LEN(I1352),MATCH(I1352,'MPIO_SFIO Table'!$A$11:$A$65525,0)-1,"")</f>
        <v/>
      </c>
      <c r="O1352" t="str">
        <f>IF(LEN(J1352),MATCH(J1352,'MPIO_SFIO Table'!$A$11:$A$65525,0)-1,"")</f>
        <v/>
      </c>
      <c r="P1352" t="str">
        <f>IF(LEN(K1352),MATCH(K1352,'MPIO_SFIO Table'!$A$11:$A$65525,0)-1,"")</f>
        <v/>
      </c>
      <c r="Q1352" t="str">
        <f>IF(LEN(L1352),MATCH(L1352,'MPIO_SFIO Table'!$A$11:$A$65525,0)-1,"")</f>
        <v/>
      </c>
      <c r="R1352" t="str">
        <f ca="1">IF(ISNUMBER(M1352),OFFSET('MPIO_SFIO Table'!$AJ$11,M1352,0),"")</f>
        <v/>
      </c>
      <c r="S1352" t="str">
        <f ca="1">IF(ISNUMBER(N1352),OFFSET('MPIO_SFIO Table'!$AJ$11,N1352,0),"")</f>
        <v/>
      </c>
      <c r="T1352" t="str">
        <f ca="1">IF(ISNUMBER(O1352),OFFSET('MPIO_SFIO Table'!$AJ$11,O1352,0),"")</f>
        <v/>
      </c>
      <c r="U1352" t="str">
        <f ca="1">IF(ISNUMBER(P1352),OFFSET('MPIO_SFIO Table'!$AJ$11,P1352,0),"")</f>
        <v/>
      </c>
      <c r="V1352" t="str">
        <f ca="1">IF(ISNUMBER(Q1352),OFFSET('MPIO_SFIO Table'!$AJ$11,Q1352,0),"")</f>
        <v/>
      </c>
      <c r="W1352">
        <f t="shared" ca="1" si="171"/>
        <v>0</v>
      </c>
      <c r="X1352">
        <f t="shared" ca="1" si="172"/>
        <v>0</v>
      </c>
      <c r="Y1352">
        <f t="shared" ca="1" si="173"/>
        <v>0</v>
      </c>
      <c r="Z1352">
        <f t="shared" ca="1" si="174"/>
        <v>0</v>
      </c>
      <c r="AA1352">
        <f t="shared" ca="1" si="175"/>
        <v>0</v>
      </c>
    </row>
    <row r="1353" spans="1:27" x14ac:dyDescent="0.25">
      <c r="A1353">
        <f t="shared" ca="1" si="176"/>
        <v>0</v>
      </c>
      <c r="B1353" t="str">
        <f t="shared" ca="1" si="177"/>
        <v/>
      </c>
      <c r="C1353" t="str">
        <f t="shared" ref="C1353:C1416" si="178">REPLACE(G1353,FIND(".",CONCATENATE(REPLACE(G1353,FIND("-",CONCATENATE(G1353,"-")),LEN(G1353),""),".")),LEN(G1353),"")</f>
        <v/>
      </c>
      <c r="D1353" t="s">
        <v>253</v>
      </c>
      <c r="E1353" t="s">
        <v>253</v>
      </c>
      <c r="F1353" s="3" t="s">
        <v>253</v>
      </c>
      <c r="G1353" s="11" t="s">
        <v>253</v>
      </c>
      <c r="H1353" s="11" t="s">
        <v>253</v>
      </c>
      <c r="I1353" s="3" t="s">
        <v>253</v>
      </c>
      <c r="J1353" s="3" t="s">
        <v>253</v>
      </c>
      <c r="K1353" s="3" t="s">
        <v>253</v>
      </c>
      <c r="L1353" s="3" t="s">
        <v>253</v>
      </c>
      <c r="M1353" t="str">
        <f>IF(LEN(H1353),MATCH(H1353,'MPIO_SFIO Table'!$A$11:$A$65525,0)-1,"")</f>
        <v/>
      </c>
      <c r="N1353" t="str">
        <f>IF(LEN(I1353),MATCH(I1353,'MPIO_SFIO Table'!$A$11:$A$65525,0)-1,"")</f>
        <v/>
      </c>
      <c r="O1353" t="str">
        <f>IF(LEN(J1353),MATCH(J1353,'MPIO_SFIO Table'!$A$11:$A$65525,0)-1,"")</f>
        <v/>
      </c>
      <c r="P1353" t="str">
        <f>IF(LEN(K1353),MATCH(K1353,'MPIO_SFIO Table'!$A$11:$A$65525,0)-1,"")</f>
        <v/>
      </c>
      <c r="Q1353" t="str">
        <f>IF(LEN(L1353),MATCH(L1353,'MPIO_SFIO Table'!$A$11:$A$65525,0)-1,"")</f>
        <v/>
      </c>
      <c r="R1353" t="str">
        <f ca="1">IF(ISNUMBER(M1353),OFFSET('MPIO_SFIO Table'!$AJ$11,M1353,0),"")</f>
        <v/>
      </c>
      <c r="S1353" t="str">
        <f ca="1">IF(ISNUMBER(N1353),OFFSET('MPIO_SFIO Table'!$AJ$11,N1353,0),"")</f>
        <v/>
      </c>
      <c r="T1353" t="str">
        <f ca="1">IF(ISNUMBER(O1353),OFFSET('MPIO_SFIO Table'!$AJ$11,O1353,0),"")</f>
        <v/>
      </c>
      <c r="U1353" t="str">
        <f ca="1">IF(ISNUMBER(P1353),OFFSET('MPIO_SFIO Table'!$AJ$11,P1353,0),"")</f>
        <v/>
      </c>
      <c r="V1353" t="str">
        <f ca="1">IF(ISNUMBER(Q1353),OFFSET('MPIO_SFIO Table'!$AJ$11,Q1353,0),"")</f>
        <v/>
      </c>
      <c r="W1353">
        <f t="shared" ref="W1353:W1416" ca="1" si="179">1*AND(ISTEXT(R1353),LEN(R1353),R1353=$G1353)</f>
        <v>0</v>
      </c>
      <c r="X1353">
        <f t="shared" ref="X1353:X1416" ca="1" si="180">1*AND(ISTEXT(S1353),LEN(S1353),S1353=$G1353)</f>
        <v>0</v>
      </c>
      <c r="Y1353">
        <f t="shared" ref="Y1353:Y1416" ca="1" si="181">1*AND(ISTEXT(T1353),LEN(T1353),T1353=$G1353)</f>
        <v>0</v>
      </c>
      <c r="Z1353">
        <f t="shared" ref="Z1353:Z1416" ca="1" si="182">1*AND(ISTEXT(U1353),LEN(U1353),U1353=$G1353)</f>
        <v>0</v>
      </c>
      <c r="AA1353">
        <f t="shared" ref="AA1353:AA1416" ca="1" si="183">1*AND(ISTEXT(V1353),LEN(V1353),V1353=$G1353)</f>
        <v>0</v>
      </c>
    </row>
    <row r="1354" spans="1:27" x14ac:dyDescent="0.25">
      <c r="A1354">
        <f t="shared" ca="1" si="176"/>
        <v>0</v>
      </c>
      <c r="B1354" t="str">
        <f t="shared" ca="1" si="177"/>
        <v/>
      </c>
      <c r="C1354" t="str">
        <f t="shared" si="178"/>
        <v/>
      </c>
      <c r="D1354" t="s">
        <v>253</v>
      </c>
      <c r="E1354" t="s">
        <v>253</v>
      </c>
      <c r="F1354" s="3" t="s">
        <v>253</v>
      </c>
      <c r="G1354" s="11" t="s">
        <v>253</v>
      </c>
      <c r="H1354" s="11" t="s">
        <v>253</v>
      </c>
      <c r="I1354" s="3" t="s">
        <v>253</v>
      </c>
      <c r="J1354" s="3" t="s">
        <v>253</v>
      </c>
      <c r="K1354" s="3" t="s">
        <v>253</v>
      </c>
      <c r="L1354" s="3" t="s">
        <v>253</v>
      </c>
      <c r="M1354" t="str">
        <f>IF(LEN(H1354),MATCH(H1354,'MPIO_SFIO Table'!$A$11:$A$65525,0)-1,"")</f>
        <v/>
      </c>
      <c r="N1354" t="str">
        <f>IF(LEN(I1354),MATCH(I1354,'MPIO_SFIO Table'!$A$11:$A$65525,0)-1,"")</f>
        <v/>
      </c>
      <c r="O1354" t="str">
        <f>IF(LEN(J1354),MATCH(J1354,'MPIO_SFIO Table'!$A$11:$A$65525,0)-1,"")</f>
        <v/>
      </c>
      <c r="P1354" t="str">
        <f>IF(LEN(K1354),MATCH(K1354,'MPIO_SFIO Table'!$A$11:$A$65525,0)-1,"")</f>
        <v/>
      </c>
      <c r="Q1354" t="str">
        <f>IF(LEN(L1354),MATCH(L1354,'MPIO_SFIO Table'!$A$11:$A$65525,0)-1,"")</f>
        <v/>
      </c>
      <c r="R1354" t="str">
        <f ca="1">IF(ISNUMBER(M1354),OFFSET('MPIO_SFIO Table'!$AJ$11,M1354,0),"")</f>
        <v/>
      </c>
      <c r="S1354" t="str">
        <f ca="1">IF(ISNUMBER(N1354),OFFSET('MPIO_SFIO Table'!$AJ$11,N1354,0),"")</f>
        <v/>
      </c>
      <c r="T1354" t="str">
        <f ca="1">IF(ISNUMBER(O1354),OFFSET('MPIO_SFIO Table'!$AJ$11,O1354,0),"")</f>
        <v/>
      </c>
      <c r="U1354" t="str">
        <f ca="1">IF(ISNUMBER(P1354),OFFSET('MPIO_SFIO Table'!$AJ$11,P1354,0),"")</f>
        <v/>
      </c>
      <c r="V1354" t="str">
        <f ca="1">IF(ISNUMBER(Q1354),OFFSET('MPIO_SFIO Table'!$AJ$11,Q1354,0),"")</f>
        <v/>
      </c>
      <c r="W1354">
        <f t="shared" ca="1" si="179"/>
        <v>0</v>
      </c>
      <c r="X1354">
        <f t="shared" ca="1" si="180"/>
        <v>0</v>
      </c>
      <c r="Y1354">
        <f t="shared" ca="1" si="181"/>
        <v>0</v>
      </c>
      <c r="Z1354">
        <f t="shared" ca="1" si="182"/>
        <v>0</v>
      </c>
      <c r="AA1354">
        <f t="shared" ca="1" si="183"/>
        <v>0</v>
      </c>
    </row>
    <row r="1355" spans="1:27" x14ac:dyDescent="0.25">
      <c r="A1355">
        <f t="shared" ca="1" si="176"/>
        <v>0</v>
      </c>
      <c r="B1355" t="str">
        <f t="shared" ca="1" si="177"/>
        <v/>
      </c>
      <c r="C1355" t="str">
        <f t="shared" si="178"/>
        <v/>
      </c>
      <c r="D1355" t="s">
        <v>253</v>
      </c>
      <c r="E1355" t="s">
        <v>253</v>
      </c>
      <c r="F1355" s="3" t="s">
        <v>253</v>
      </c>
      <c r="G1355" s="11" t="s">
        <v>253</v>
      </c>
      <c r="H1355" s="11" t="s">
        <v>253</v>
      </c>
      <c r="I1355" s="3" t="s">
        <v>253</v>
      </c>
      <c r="J1355" s="3" t="s">
        <v>253</v>
      </c>
      <c r="K1355" s="3" t="s">
        <v>253</v>
      </c>
      <c r="L1355" s="3" t="s">
        <v>253</v>
      </c>
      <c r="M1355" t="str">
        <f>IF(LEN(H1355),MATCH(H1355,'MPIO_SFIO Table'!$A$11:$A$65525,0)-1,"")</f>
        <v/>
      </c>
      <c r="N1355" t="str">
        <f>IF(LEN(I1355),MATCH(I1355,'MPIO_SFIO Table'!$A$11:$A$65525,0)-1,"")</f>
        <v/>
      </c>
      <c r="O1355" t="str">
        <f>IF(LEN(J1355),MATCH(J1355,'MPIO_SFIO Table'!$A$11:$A$65525,0)-1,"")</f>
        <v/>
      </c>
      <c r="P1355" t="str">
        <f>IF(LEN(K1355),MATCH(K1355,'MPIO_SFIO Table'!$A$11:$A$65525,0)-1,"")</f>
        <v/>
      </c>
      <c r="Q1355" t="str">
        <f>IF(LEN(L1355),MATCH(L1355,'MPIO_SFIO Table'!$A$11:$A$65525,0)-1,"")</f>
        <v/>
      </c>
      <c r="R1355" t="str">
        <f ca="1">IF(ISNUMBER(M1355),OFFSET('MPIO_SFIO Table'!$AJ$11,M1355,0),"")</f>
        <v/>
      </c>
      <c r="S1355" t="str">
        <f ca="1">IF(ISNUMBER(N1355),OFFSET('MPIO_SFIO Table'!$AJ$11,N1355,0),"")</f>
        <v/>
      </c>
      <c r="T1355" t="str">
        <f ca="1">IF(ISNUMBER(O1355),OFFSET('MPIO_SFIO Table'!$AJ$11,O1355,0),"")</f>
        <v/>
      </c>
      <c r="U1355" t="str">
        <f ca="1">IF(ISNUMBER(P1355),OFFSET('MPIO_SFIO Table'!$AJ$11,P1355,0),"")</f>
        <v/>
      </c>
      <c r="V1355" t="str">
        <f ca="1">IF(ISNUMBER(Q1355),OFFSET('MPIO_SFIO Table'!$AJ$11,Q1355,0),"")</f>
        <v/>
      </c>
      <c r="W1355">
        <f t="shared" ca="1" si="179"/>
        <v>0</v>
      </c>
      <c r="X1355">
        <f t="shared" ca="1" si="180"/>
        <v>0</v>
      </c>
      <c r="Y1355">
        <f t="shared" ca="1" si="181"/>
        <v>0</v>
      </c>
      <c r="Z1355">
        <f t="shared" ca="1" si="182"/>
        <v>0</v>
      </c>
      <c r="AA1355">
        <f t="shared" ca="1" si="183"/>
        <v>0</v>
      </c>
    </row>
    <row r="1356" spans="1:27" x14ac:dyDescent="0.25">
      <c r="A1356">
        <f t="shared" ca="1" si="176"/>
        <v>0</v>
      </c>
      <c r="B1356" t="str">
        <f t="shared" ca="1" si="177"/>
        <v/>
      </c>
      <c r="C1356" t="str">
        <f t="shared" si="178"/>
        <v/>
      </c>
      <c r="D1356" t="s">
        <v>253</v>
      </c>
      <c r="E1356" t="s">
        <v>253</v>
      </c>
      <c r="F1356" s="3" t="s">
        <v>253</v>
      </c>
      <c r="G1356" s="11" t="s">
        <v>253</v>
      </c>
      <c r="H1356" s="11" t="s">
        <v>253</v>
      </c>
      <c r="I1356" s="3" t="s">
        <v>253</v>
      </c>
      <c r="J1356" s="3" t="s">
        <v>253</v>
      </c>
      <c r="K1356" s="3" t="s">
        <v>253</v>
      </c>
      <c r="L1356" s="3" t="s">
        <v>253</v>
      </c>
      <c r="M1356" t="str">
        <f>IF(LEN(H1356),MATCH(H1356,'MPIO_SFIO Table'!$A$11:$A$65525,0)-1,"")</f>
        <v/>
      </c>
      <c r="N1356" t="str">
        <f>IF(LEN(I1356),MATCH(I1356,'MPIO_SFIO Table'!$A$11:$A$65525,0)-1,"")</f>
        <v/>
      </c>
      <c r="O1356" t="str">
        <f>IF(LEN(J1356),MATCH(J1356,'MPIO_SFIO Table'!$A$11:$A$65525,0)-1,"")</f>
        <v/>
      </c>
      <c r="P1356" t="str">
        <f>IF(LEN(K1356),MATCH(K1356,'MPIO_SFIO Table'!$A$11:$A$65525,0)-1,"")</f>
        <v/>
      </c>
      <c r="Q1356" t="str">
        <f>IF(LEN(L1356),MATCH(L1356,'MPIO_SFIO Table'!$A$11:$A$65525,0)-1,"")</f>
        <v/>
      </c>
      <c r="R1356" t="str">
        <f ca="1">IF(ISNUMBER(M1356),OFFSET('MPIO_SFIO Table'!$AJ$11,M1356,0),"")</f>
        <v/>
      </c>
      <c r="S1356" t="str">
        <f ca="1">IF(ISNUMBER(N1356),OFFSET('MPIO_SFIO Table'!$AJ$11,N1356,0),"")</f>
        <v/>
      </c>
      <c r="T1356" t="str">
        <f ca="1">IF(ISNUMBER(O1356),OFFSET('MPIO_SFIO Table'!$AJ$11,O1356,0),"")</f>
        <v/>
      </c>
      <c r="U1356" t="str">
        <f ca="1">IF(ISNUMBER(P1356),OFFSET('MPIO_SFIO Table'!$AJ$11,P1356,0),"")</f>
        <v/>
      </c>
      <c r="V1356" t="str">
        <f ca="1">IF(ISNUMBER(Q1356),OFFSET('MPIO_SFIO Table'!$AJ$11,Q1356,0),"")</f>
        <v/>
      </c>
      <c r="W1356">
        <f t="shared" ca="1" si="179"/>
        <v>0</v>
      </c>
      <c r="X1356">
        <f t="shared" ca="1" si="180"/>
        <v>0</v>
      </c>
      <c r="Y1356">
        <f t="shared" ca="1" si="181"/>
        <v>0</v>
      </c>
      <c r="Z1356">
        <f t="shared" ca="1" si="182"/>
        <v>0</v>
      </c>
      <c r="AA1356">
        <f t="shared" ca="1" si="183"/>
        <v>0</v>
      </c>
    </row>
    <row r="1357" spans="1:27" x14ac:dyDescent="0.25">
      <c r="A1357">
        <f t="shared" ca="1" si="176"/>
        <v>0</v>
      </c>
      <c r="B1357" t="str">
        <f t="shared" ca="1" si="177"/>
        <v/>
      </c>
      <c r="C1357" t="str">
        <f t="shared" si="178"/>
        <v/>
      </c>
      <c r="D1357" t="s">
        <v>253</v>
      </c>
      <c r="E1357" t="s">
        <v>253</v>
      </c>
      <c r="F1357" s="3" t="s">
        <v>253</v>
      </c>
      <c r="G1357" s="11" t="s">
        <v>253</v>
      </c>
      <c r="H1357" s="11" t="s">
        <v>253</v>
      </c>
      <c r="I1357" s="3" t="s">
        <v>253</v>
      </c>
      <c r="J1357" s="3" t="s">
        <v>253</v>
      </c>
      <c r="K1357" s="3" t="s">
        <v>253</v>
      </c>
      <c r="L1357" s="3" t="s">
        <v>253</v>
      </c>
      <c r="M1357" t="str">
        <f>IF(LEN(H1357),MATCH(H1357,'MPIO_SFIO Table'!$A$11:$A$65525,0)-1,"")</f>
        <v/>
      </c>
      <c r="N1357" t="str">
        <f>IF(LEN(I1357),MATCH(I1357,'MPIO_SFIO Table'!$A$11:$A$65525,0)-1,"")</f>
        <v/>
      </c>
      <c r="O1357" t="str">
        <f>IF(LEN(J1357),MATCH(J1357,'MPIO_SFIO Table'!$A$11:$A$65525,0)-1,"")</f>
        <v/>
      </c>
      <c r="P1357" t="str">
        <f>IF(LEN(K1357),MATCH(K1357,'MPIO_SFIO Table'!$A$11:$A$65525,0)-1,"")</f>
        <v/>
      </c>
      <c r="Q1357" t="str">
        <f>IF(LEN(L1357),MATCH(L1357,'MPIO_SFIO Table'!$A$11:$A$65525,0)-1,"")</f>
        <v/>
      </c>
      <c r="R1357" t="str">
        <f ca="1">IF(ISNUMBER(M1357),OFFSET('MPIO_SFIO Table'!$AJ$11,M1357,0),"")</f>
        <v/>
      </c>
      <c r="S1357" t="str">
        <f ca="1">IF(ISNUMBER(N1357),OFFSET('MPIO_SFIO Table'!$AJ$11,N1357,0),"")</f>
        <v/>
      </c>
      <c r="T1357" t="str">
        <f ca="1">IF(ISNUMBER(O1357),OFFSET('MPIO_SFIO Table'!$AJ$11,O1357,0),"")</f>
        <v/>
      </c>
      <c r="U1357" t="str">
        <f ca="1">IF(ISNUMBER(P1357),OFFSET('MPIO_SFIO Table'!$AJ$11,P1357,0),"")</f>
        <v/>
      </c>
      <c r="V1357" t="str">
        <f ca="1">IF(ISNUMBER(Q1357),OFFSET('MPIO_SFIO Table'!$AJ$11,Q1357,0),"")</f>
        <v/>
      </c>
      <c r="W1357">
        <f t="shared" ca="1" si="179"/>
        <v>0</v>
      </c>
      <c r="X1357">
        <f t="shared" ca="1" si="180"/>
        <v>0</v>
      </c>
      <c r="Y1357">
        <f t="shared" ca="1" si="181"/>
        <v>0</v>
      </c>
      <c r="Z1357">
        <f t="shared" ca="1" si="182"/>
        <v>0</v>
      </c>
      <c r="AA1357">
        <f t="shared" ca="1" si="183"/>
        <v>0</v>
      </c>
    </row>
    <row r="1358" spans="1:27" x14ac:dyDescent="0.25">
      <c r="A1358">
        <f t="shared" ca="1" si="176"/>
        <v>0</v>
      </c>
      <c r="B1358" t="str">
        <f t="shared" ca="1" si="177"/>
        <v/>
      </c>
      <c r="C1358" t="str">
        <f t="shared" si="178"/>
        <v/>
      </c>
      <c r="D1358" t="s">
        <v>253</v>
      </c>
      <c r="E1358" t="s">
        <v>253</v>
      </c>
      <c r="F1358" s="3" t="s">
        <v>253</v>
      </c>
      <c r="G1358" s="11" t="s">
        <v>253</v>
      </c>
      <c r="H1358" s="11" t="s">
        <v>253</v>
      </c>
      <c r="I1358" s="3" t="s">
        <v>253</v>
      </c>
      <c r="J1358" s="3" t="s">
        <v>253</v>
      </c>
      <c r="K1358" s="3" t="s">
        <v>253</v>
      </c>
      <c r="L1358" s="3" t="s">
        <v>253</v>
      </c>
      <c r="M1358" t="str">
        <f>IF(LEN(H1358),MATCH(H1358,'MPIO_SFIO Table'!$A$11:$A$65525,0)-1,"")</f>
        <v/>
      </c>
      <c r="N1358" t="str">
        <f>IF(LEN(I1358),MATCH(I1358,'MPIO_SFIO Table'!$A$11:$A$65525,0)-1,"")</f>
        <v/>
      </c>
      <c r="O1358" t="str">
        <f>IF(LEN(J1358),MATCH(J1358,'MPIO_SFIO Table'!$A$11:$A$65525,0)-1,"")</f>
        <v/>
      </c>
      <c r="P1358" t="str">
        <f>IF(LEN(K1358),MATCH(K1358,'MPIO_SFIO Table'!$A$11:$A$65525,0)-1,"")</f>
        <v/>
      </c>
      <c r="Q1358" t="str">
        <f>IF(LEN(L1358),MATCH(L1358,'MPIO_SFIO Table'!$A$11:$A$65525,0)-1,"")</f>
        <v/>
      </c>
      <c r="R1358" t="str">
        <f ca="1">IF(ISNUMBER(M1358),OFFSET('MPIO_SFIO Table'!$AJ$11,M1358,0),"")</f>
        <v/>
      </c>
      <c r="S1358" t="str">
        <f ca="1">IF(ISNUMBER(N1358),OFFSET('MPIO_SFIO Table'!$AJ$11,N1358,0),"")</f>
        <v/>
      </c>
      <c r="T1358" t="str">
        <f ca="1">IF(ISNUMBER(O1358),OFFSET('MPIO_SFIO Table'!$AJ$11,O1358,0),"")</f>
        <v/>
      </c>
      <c r="U1358" t="str">
        <f ca="1">IF(ISNUMBER(P1358),OFFSET('MPIO_SFIO Table'!$AJ$11,P1358,0),"")</f>
        <v/>
      </c>
      <c r="V1358" t="str">
        <f ca="1">IF(ISNUMBER(Q1358),OFFSET('MPIO_SFIO Table'!$AJ$11,Q1358,0),"")</f>
        <v/>
      </c>
      <c r="W1358">
        <f t="shared" ca="1" si="179"/>
        <v>0</v>
      </c>
      <c r="X1358">
        <f t="shared" ca="1" si="180"/>
        <v>0</v>
      </c>
      <c r="Y1358">
        <f t="shared" ca="1" si="181"/>
        <v>0</v>
      </c>
      <c r="Z1358">
        <f t="shared" ca="1" si="182"/>
        <v>0</v>
      </c>
      <c r="AA1358">
        <f t="shared" ca="1" si="183"/>
        <v>0</v>
      </c>
    </row>
    <row r="1359" spans="1:27" x14ac:dyDescent="0.25">
      <c r="A1359">
        <f t="shared" ca="1" si="176"/>
        <v>0</v>
      </c>
      <c r="B1359" t="str">
        <f t="shared" ca="1" si="177"/>
        <v/>
      </c>
      <c r="C1359" t="str">
        <f t="shared" si="178"/>
        <v/>
      </c>
      <c r="D1359" t="s">
        <v>253</v>
      </c>
      <c r="E1359" t="s">
        <v>253</v>
      </c>
      <c r="F1359" s="3" t="s">
        <v>253</v>
      </c>
      <c r="G1359" s="11" t="s">
        <v>253</v>
      </c>
      <c r="H1359" s="11" t="s">
        <v>253</v>
      </c>
      <c r="I1359" s="3" t="s">
        <v>253</v>
      </c>
      <c r="J1359" s="3" t="s">
        <v>253</v>
      </c>
      <c r="K1359" s="3" t="s">
        <v>253</v>
      </c>
      <c r="L1359" s="3" t="s">
        <v>253</v>
      </c>
      <c r="M1359" t="str">
        <f>IF(LEN(H1359),MATCH(H1359,'MPIO_SFIO Table'!$A$11:$A$65525,0)-1,"")</f>
        <v/>
      </c>
      <c r="N1359" t="str">
        <f>IF(LEN(I1359),MATCH(I1359,'MPIO_SFIO Table'!$A$11:$A$65525,0)-1,"")</f>
        <v/>
      </c>
      <c r="O1359" t="str">
        <f>IF(LEN(J1359),MATCH(J1359,'MPIO_SFIO Table'!$A$11:$A$65525,0)-1,"")</f>
        <v/>
      </c>
      <c r="P1359" t="str">
        <f>IF(LEN(K1359),MATCH(K1359,'MPIO_SFIO Table'!$A$11:$A$65525,0)-1,"")</f>
        <v/>
      </c>
      <c r="Q1359" t="str">
        <f>IF(LEN(L1359),MATCH(L1359,'MPIO_SFIO Table'!$A$11:$A$65525,0)-1,"")</f>
        <v/>
      </c>
      <c r="R1359" t="str">
        <f ca="1">IF(ISNUMBER(M1359),OFFSET('MPIO_SFIO Table'!$AJ$11,M1359,0),"")</f>
        <v/>
      </c>
      <c r="S1359" t="str">
        <f ca="1">IF(ISNUMBER(N1359),OFFSET('MPIO_SFIO Table'!$AJ$11,N1359,0),"")</f>
        <v/>
      </c>
      <c r="T1359" t="str">
        <f ca="1">IF(ISNUMBER(O1359),OFFSET('MPIO_SFIO Table'!$AJ$11,O1359,0),"")</f>
        <v/>
      </c>
      <c r="U1359" t="str">
        <f ca="1">IF(ISNUMBER(P1359),OFFSET('MPIO_SFIO Table'!$AJ$11,P1359,0),"")</f>
        <v/>
      </c>
      <c r="V1359" t="str">
        <f ca="1">IF(ISNUMBER(Q1359),OFFSET('MPIO_SFIO Table'!$AJ$11,Q1359,0),"")</f>
        <v/>
      </c>
      <c r="W1359">
        <f t="shared" ca="1" si="179"/>
        <v>0</v>
      </c>
      <c r="X1359">
        <f t="shared" ca="1" si="180"/>
        <v>0</v>
      </c>
      <c r="Y1359">
        <f t="shared" ca="1" si="181"/>
        <v>0</v>
      </c>
      <c r="Z1359">
        <f t="shared" ca="1" si="182"/>
        <v>0</v>
      </c>
      <c r="AA1359">
        <f t="shared" ca="1" si="183"/>
        <v>0</v>
      </c>
    </row>
    <row r="1360" spans="1:27" x14ac:dyDescent="0.25">
      <c r="A1360">
        <f t="shared" ca="1" si="176"/>
        <v>0</v>
      </c>
      <c r="B1360" t="str">
        <f t="shared" ca="1" si="177"/>
        <v/>
      </c>
      <c r="C1360" t="str">
        <f t="shared" si="178"/>
        <v/>
      </c>
      <c r="D1360" t="s">
        <v>253</v>
      </c>
      <c r="E1360" t="s">
        <v>253</v>
      </c>
      <c r="F1360" s="3" t="s">
        <v>253</v>
      </c>
      <c r="G1360" s="11" t="s">
        <v>253</v>
      </c>
      <c r="H1360" s="11" t="s">
        <v>253</v>
      </c>
      <c r="I1360" s="3" t="s">
        <v>253</v>
      </c>
      <c r="J1360" s="3" t="s">
        <v>253</v>
      </c>
      <c r="K1360" s="3" t="s">
        <v>253</v>
      </c>
      <c r="L1360" s="3" t="s">
        <v>253</v>
      </c>
      <c r="M1360" t="str">
        <f>IF(LEN(H1360),MATCH(H1360,'MPIO_SFIO Table'!$A$11:$A$65525,0)-1,"")</f>
        <v/>
      </c>
      <c r="N1360" t="str">
        <f>IF(LEN(I1360),MATCH(I1360,'MPIO_SFIO Table'!$A$11:$A$65525,0)-1,"")</f>
        <v/>
      </c>
      <c r="O1360" t="str">
        <f>IF(LEN(J1360),MATCH(J1360,'MPIO_SFIO Table'!$A$11:$A$65525,0)-1,"")</f>
        <v/>
      </c>
      <c r="P1360" t="str">
        <f>IF(LEN(K1360),MATCH(K1360,'MPIO_SFIO Table'!$A$11:$A$65525,0)-1,"")</f>
        <v/>
      </c>
      <c r="Q1360" t="str">
        <f>IF(LEN(L1360),MATCH(L1360,'MPIO_SFIO Table'!$A$11:$A$65525,0)-1,"")</f>
        <v/>
      </c>
      <c r="R1360" t="str">
        <f ca="1">IF(ISNUMBER(M1360),OFFSET('MPIO_SFIO Table'!$AJ$11,M1360,0),"")</f>
        <v/>
      </c>
      <c r="S1360" t="str">
        <f ca="1">IF(ISNUMBER(N1360),OFFSET('MPIO_SFIO Table'!$AJ$11,N1360,0),"")</f>
        <v/>
      </c>
      <c r="T1360" t="str">
        <f ca="1">IF(ISNUMBER(O1360),OFFSET('MPIO_SFIO Table'!$AJ$11,O1360,0),"")</f>
        <v/>
      </c>
      <c r="U1360" t="str">
        <f ca="1">IF(ISNUMBER(P1360),OFFSET('MPIO_SFIO Table'!$AJ$11,P1360,0),"")</f>
        <v/>
      </c>
      <c r="V1360" t="str">
        <f ca="1">IF(ISNUMBER(Q1360),OFFSET('MPIO_SFIO Table'!$AJ$11,Q1360,0),"")</f>
        <v/>
      </c>
      <c r="W1360">
        <f t="shared" ca="1" si="179"/>
        <v>0</v>
      </c>
      <c r="X1360">
        <f t="shared" ca="1" si="180"/>
        <v>0</v>
      </c>
      <c r="Y1360">
        <f t="shared" ca="1" si="181"/>
        <v>0</v>
      </c>
      <c r="Z1360">
        <f t="shared" ca="1" si="182"/>
        <v>0</v>
      </c>
      <c r="AA1360">
        <f t="shared" ca="1" si="183"/>
        <v>0</v>
      </c>
    </row>
    <row r="1361" spans="1:27" x14ac:dyDescent="0.25">
      <c r="A1361">
        <f t="shared" ca="1" si="176"/>
        <v>0</v>
      </c>
      <c r="B1361" t="str">
        <f t="shared" ca="1" si="177"/>
        <v/>
      </c>
      <c r="C1361" t="str">
        <f t="shared" si="178"/>
        <v/>
      </c>
      <c r="D1361" t="s">
        <v>253</v>
      </c>
      <c r="E1361" t="s">
        <v>253</v>
      </c>
      <c r="F1361" s="3" t="s">
        <v>253</v>
      </c>
      <c r="G1361" s="11" t="s">
        <v>253</v>
      </c>
      <c r="H1361" s="11" t="s">
        <v>253</v>
      </c>
      <c r="I1361" s="3" t="s">
        <v>253</v>
      </c>
      <c r="J1361" s="3" t="s">
        <v>253</v>
      </c>
      <c r="K1361" s="3" t="s">
        <v>253</v>
      </c>
      <c r="L1361" s="3" t="s">
        <v>253</v>
      </c>
      <c r="M1361" t="str">
        <f>IF(LEN(H1361),MATCH(H1361,'MPIO_SFIO Table'!$A$11:$A$65525,0)-1,"")</f>
        <v/>
      </c>
      <c r="N1361" t="str">
        <f>IF(LEN(I1361),MATCH(I1361,'MPIO_SFIO Table'!$A$11:$A$65525,0)-1,"")</f>
        <v/>
      </c>
      <c r="O1361" t="str">
        <f>IF(LEN(J1361),MATCH(J1361,'MPIO_SFIO Table'!$A$11:$A$65525,0)-1,"")</f>
        <v/>
      </c>
      <c r="P1361" t="str">
        <f>IF(LEN(K1361),MATCH(K1361,'MPIO_SFIO Table'!$A$11:$A$65525,0)-1,"")</f>
        <v/>
      </c>
      <c r="Q1361" t="str">
        <f>IF(LEN(L1361),MATCH(L1361,'MPIO_SFIO Table'!$A$11:$A$65525,0)-1,"")</f>
        <v/>
      </c>
      <c r="R1361" t="str">
        <f ca="1">IF(ISNUMBER(M1361),OFFSET('MPIO_SFIO Table'!$AJ$11,M1361,0),"")</f>
        <v/>
      </c>
      <c r="S1361" t="str">
        <f ca="1">IF(ISNUMBER(N1361),OFFSET('MPIO_SFIO Table'!$AJ$11,N1361,0),"")</f>
        <v/>
      </c>
      <c r="T1361" t="str">
        <f ca="1">IF(ISNUMBER(O1361),OFFSET('MPIO_SFIO Table'!$AJ$11,O1361,0),"")</f>
        <v/>
      </c>
      <c r="U1361" t="str">
        <f ca="1">IF(ISNUMBER(P1361),OFFSET('MPIO_SFIO Table'!$AJ$11,P1361,0),"")</f>
        <v/>
      </c>
      <c r="V1361" t="str">
        <f ca="1">IF(ISNUMBER(Q1361),OFFSET('MPIO_SFIO Table'!$AJ$11,Q1361,0),"")</f>
        <v/>
      </c>
      <c r="W1361">
        <f t="shared" ca="1" si="179"/>
        <v>0</v>
      </c>
      <c r="X1361">
        <f t="shared" ca="1" si="180"/>
        <v>0</v>
      </c>
      <c r="Y1361">
        <f t="shared" ca="1" si="181"/>
        <v>0</v>
      </c>
      <c r="Z1361">
        <f t="shared" ca="1" si="182"/>
        <v>0</v>
      </c>
      <c r="AA1361">
        <f t="shared" ca="1" si="183"/>
        <v>0</v>
      </c>
    </row>
    <row r="1362" spans="1:27" x14ac:dyDescent="0.25">
      <c r="A1362">
        <f t="shared" ca="1" si="176"/>
        <v>0</v>
      </c>
      <c r="B1362" t="str">
        <f t="shared" ca="1" si="177"/>
        <v/>
      </c>
      <c r="C1362" t="str">
        <f t="shared" si="178"/>
        <v/>
      </c>
      <c r="D1362" t="s">
        <v>253</v>
      </c>
      <c r="E1362" t="s">
        <v>253</v>
      </c>
      <c r="F1362" s="3" t="s">
        <v>253</v>
      </c>
      <c r="G1362" s="11" t="s">
        <v>253</v>
      </c>
      <c r="H1362" s="11" t="s">
        <v>253</v>
      </c>
      <c r="I1362" s="3" t="s">
        <v>253</v>
      </c>
      <c r="J1362" s="3" t="s">
        <v>253</v>
      </c>
      <c r="K1362" s="3" t="s">
        <v>253</v>
      </c>
      <c r="L1362" s="3" t="s">
        <v>253</v>
      </c>
      <c r="M1362" t="str">
        <f>IF(LEN(H1362),MATCH(H1362,'MPIO_SFIO Table'!$A$11:$A$65525,0)-1,"")</f>
        <v/>
      </c>
      <c r="N1362" t="str">
        <f>IF(LEN(I1362),MATCH(I1362,'MPIO_SFIO Table'!$A$11:$A$65525,0)-1,"")</f>
        <v/>
      </c>
      <c r="O1362" t="str">
        <f>IF(LEN(J1362),MATCH(J1362,'MPIO_SFIO Table'!$A$11:$A$65525,0)-1,"")</f>
        <v/>
      </c>
      <c r="P1362" t="str">
        <f>IF(LEN(K1362),MATCH(K1362,'MPIO_SFIO Table'!$A$11:$A$65525,0)-1,"")</f>
        <v/>
      </c>
      <c r="Q1362" t="str">
        <f>IF(LEN(L1362),MATCH(L1362,'MPIO_SFIO Table'!$A$11:$A$65525,0)-1,"")</f>
        <v/>
      </c>
      <c r="R1362" t="str">
        <f ca="1">IF(ISNUMBER(M1362),OFFSET('MPIO_SFIO Table'!$AJ$11,M1362,0),"")</f>
        <v/>
      </c>
      <c r="S1362" t="str">
        <f ca="1">IF(ISNUMBER(N1362),OFFSET('MPIO_SFIO Table'!$AJ$11,N1362,0),"")</f>
        <v/>
      </c>
      <c r="T1362" t="str">
        <f ca="1">IF(ISNUMBER(O1362),OFFSET('MPIO_SFIO Table'!$AJ$11,O1362,0),"")</f>
        <v/>
      </c>
      <c r="U1362" t="str">
        <f ca="1">IF(ISNUMBER(P1362),OFFSET('MPIO_SFIO Table'!$AJ$11,P1362,0),"")</f>
        <v/>
      </c>
      <c r="V1362" t="str">
        <f ca="1">IF(ISNUMBER(Q1362),OFFSET('MPIO_SFIO Table'!$AJ$11,Q1362,0),"")</f>
        <v/>
      </c>
      <c r="W1362">
        <f t="shared" ca="1" si="179"/>
        <v>0</v>
      </c>
      <c r="X1362">
        <f t="shared" ca="1" si="180"/>
        <v>0</v>
      </c>
      <c r="Y1362">
        <f t="shared" ca="1" si="181"/>
        <v>0</v>
      </c>
      <c r="Z1362">
        <f t="shared" ca="1" si="182"/>
        <v>0</v>
      </c>
      <c r="AA1362">
        <f t="shared" ca="1" si="183"/>
        <v>0</v>
      </c>
    </row>
    <row r="1363" spans="1:27" x14ac:dyDescent="0.25">
      <c r="A1363">
        <f t="shared" ca="1" si="176"/>
        <v>0</v>
      </c>
      <c r="B1363" t="str">
        <f t="shared" ca="1" si="177"/>
        <v/>
      </c>
      <c r="C1363" t="str">
        <f t="shared" si="178"/>
        <v/>
      </c>
      <c r="D1363" t="s">
        <v>253</v>
      </c>
      <c r="E1363" t="s">
        <v>253</v>
      </c>
      <c r="F1363" s="3" t="s">
        <v>253</v>
      </c>
      <c r="G1363" s="11" t="s">
        <v>253</v>
      </c>
      <c r="H1363" s="11" t="s">
        <v>253</v>
      </c>
      <c r="I1363" s="3" t="s">
        <v>253</v>
      </c>
      <c r="J1363" s="3" t="s">
        <v>253</v>
      </c>
      <c r="K1363" s="3" t="s">
        <v>253</v>
      </c>
      <c r="L1363" s="3" t="s">
        <v>253</v>
      </c>
      <c r="M1363" t="str">
        <f>IF(LEN(H1363),MATCH(H1363,'MPIO_SFIO Table'!$A$11:$A$65525,0)-1,"")</f>
        <v/>
      </c>
      <c r="N1363" t="str">
        <f>IF(LEN(I1363),MATCH(I1363,'MPIO_SFIO Table'!$A$11:$A$65525,0)-1,"")</f>
        <v/>
      </c>
      <c r="O1363" t="str">
        <f>IF(LEN(J1363),MATCH(J1363,'MPIO_SFIO Table'!$A$11:$A$65525,0)-1,"")</f>
        <v/>
      </c>
      <c r="P1363" t="str">
        <f>IF(LEN(K1363),MATCH(K1363,'MPIO_SFIO Table'!$A$11:$A$65525,0)-1,"")</f>
        <v/>
      </c>
      <c r="Q1363" t="str">
        <f>IF(LEN(L1363),MATCH(L1363,'MPIO_SFIO Table'!$A$11:$A$65525,0)-1,"")</f>
        <v/>
      </c>
      <c r="R1363" t="str">
        <f ca="1">IF(ISNUMBER(M1363),OFFSET('MPIO_SFIO Table'!$AJ$11,M1363,0),"")</f>
        <v/>
      </c>
      <c r="S1363" t="str">
        <f ca="1">IF(ISNUMBER(N1363),OFFSET('MPIO_SFIO Table'!$AJ$11,N1363,0),"")</f>
        <v/>
      </c>
      <c r="T1363" t="str">
        <f ca="1">IF(ISNUMBER(O1363),OFFSET('MPIO_SFIO Table'!$AJ$11,O1363,0),"")</f>
        <v/>
      </c>
      <c r="U1363" t="str">
        <f ca="1">IF(ISNUMBER(P1363),OFFSET('MPIO_SFIO Table'!$AJ$11,P1363,0),"")</f>
        <v/>
      </c>
      <c r="V1363" t="str">
        <f ca="1">IF(ISNUMBER(Q1363),OFFSET('MPIO_SFIO Table'!$AJ$11,Q1363,0),"")</f>
        <v/>
      </c>
      <c r="W1363">
        <f t="shared" ca="1" si="179"/>
        <v>0</v>
      </c>
      <c r="X1363">
        <f t="shared" ca="1" si="180"/>
        <v>0</v>
      </c>
      <c r="Y1363">
        <f t="shared" ca="1" si="181"/>
        <v>0</v>
      </c>
      <c r="Z1363">
        <f t="shared" ca="1" si="182"/>
        <v>0</v>
      </c>
      <c r="AA1363">
        <f t="shared" ca="1" si="183"/>
        <v>0</v>
      </c>
    </row>
    <row r="1364" spans="1:27" x14ac:dyDescent="0.25">
      <c r="A1364">
        <f t="shared" ca="1" si="176"/>
        <v>0</v>
      </c>
      <c r="B1364" t="str">
        <f t="shared" ca="1" si="177"/>
        <v/>
      </c>
      <c r="C1364" t="str">
        <f t="shared" si="178"/>
        <v/>
      </c>
      <c r="D1364" t="s">
        <v>253</v>
      </c>
      <c r="E1364" t="s">
        <v>253</v>
      </c>
      <c r="F1364" s="3" t="s">
        <v>253</v>
      </c>
      <c r="G1364" s="11" t="s">
        <v>253</v>
      </c>
      <c r="H1364" s="11" t="s">
        <v>253</v>
      </c>
      <c r="I1364" s="3" t="s">
        <v>253</v>
      </c>
      <c r="J1364" s="3" t="s">
        <v>253</v>
      </c>
      <c r="K1364" s="3" t="s">
        <v>253</v>
      </c>
      <c r="L1364" s="3" t="s">
        <v>253</v>
      </c>
      <c r="M1364" t="str">
        <f>IF(LEN(H1364),MATCH(H1364,'MPIO_SFIO Table'!$A$11:$A$65525,0)-1,"")</f>
        <v/>
      </c>
      <c r="N1364" t="str">
        <f>IF(LEN(I1364),MATCH(I1364,'MPIO_SFIO Table'!$A$11:$A$65525,0)-1,"")</f>
        <v/>
      </c>
      <c r="O1364" t="str">
        <f>IF(LEN(J1364),MATCH(J1364,'MPIO_SFIO Table'!$A$11:$A$65525,0)-1,"")</f>
        <v/>
      </c>
      <c r="P1364" t="str">
        <f>IF(LEN(K1364),MATCH(K1364,'MPIO_SFIO Table'!$A$11:$A$65525,0)-1,"")</f>
        <v/>
      </c>
      <c r="Q1364" t="str">
        <f>IF(LEN(L1364),MATCH(L1364,'MPIO_SFIO Table'!$A$11:$A$65525,0)-1,"")</f>
        <v/>
      </c>
      <c r="R1364" t="str">
        <f ca="1">IF(ISNUMBER(M1364),OFFSET('MPIO_SFIO Table'!$AJ$11,M1364,0),"")</f>
        <v/>
      </c>
      <c r="S1364" t="str">
        <f ca="1">IF(ISNUMBER(N1364),OFFSET('MPIO_SFIO Table'!$AJ$11,N1364,0),"")</f>
        <v/>
      </c>
      <c r="T1364" t="str">
        <f ca="1">IF(ISNUMBER(O1364),OFFSET('MPIO_SFIO Table'!$AJ$11,O1364,0),"")</f>
        <v/>
      </c>
      <c r="U1364" t="str">
        <f ca="1">IF(ISNUMBER(P1364),OFFSET('MPIO_SFIO Table'!$AJ$11,P1364,0),"")</f>
        <v/>
      </c>
      <c r="V1364" t="str">
        <f ca="1">IF(ISNUMBER(Q1364),OFFSET('MPIO_SFIO Table'!$AJ$11,Q1364,0),"")</f>
        <v/>
      </c>
      <c r="W1364">
        <f t="shared" ca="1" si="179"/>
        <v>0</v>
      </c>
      <c r="X1364">
        <f t="shared" ca="1" si="180"/>
        <v>0</v>
      </c>
      <c r="Y1364">
        <f t="shared" ca="1" si="181"/>
        <v>0</v>
      </c>
      <c r="Z1364">
        <f t="shared" ca="1" si="182"/>
        <v>0</v>
      </c>
      <c r="AA1364">
        <f t="shared" ca="1" si="183"/>
        <v>0</v>
      </c>
    </row>
    <row r="1365" spans="1:27" x14ac:dyDescent="0.25">
      <c r="A1365">
        <f t="shared" ca="1" si="176"/>
        <v>0</v>
      </c>
      <c r="B1365" t="str">
        <f t="shared" ca="1" si="177"/>
        <v/>
      </c>
      <c r="C1365" t="str">
        <f t="shared" si="178"/>
        <v/>
      </c>
      <c r="D1365" t="s">
        <v>253</v>
      </c>
      <c r="E1365" t="s">
        <v>253</v>
      </c>
      <c r="F1365" s="3" t="s">
        <v>253</v>
      </c>
      <c r="G1365" s="11" t="s">
        <v>253</v>
      </c>
      <c r="H1365" s="11" t="s">
        <v>253</v>
      </c>
      <c r="I1365" s="3" t="s">
        <v>253</v>
      </c>
      <c r="J1365" s="3" t="s">
        <v>253</v>
      </c>
      <c r="K1365" s="3" t="s">
        <v>253</v>
      </c>
      <c r="L1365" s="3" t="s">
        <v>253</v>
      </c>
      <c r="M1365" t="str">
        <f>IF(LEN(H1365),MATCH(H1365,'MPIO_SFIO Table'!$A$11:$A$65525,0)-1,"")</f>
        <v/>
      </c>
      <c r="N1365" t="str">
        <f>IF(LEN(I1365),MATCH(I1365,'MPIO_SFIO Table'!$A$11:$A$65525,0)-1,"")</f>
        <v/>
      </c>
      <c r="O1365" t="str">
        <f>IF(LEN(J1365),MATCH(J1365,'MPIO_SFIO Table'!$A$11:$A$65525,0)-1,"")</f>
        <v/>
      </c>
      <c r="P1365" t="str">
        <f>IF(LEN(K1365),MATCH(K1365,'MPIO_SFIO Table'!$A$11:$A$65525,0)-1,"")</f>
        <v/>
      </c>
      <c r="Q1365" t="str">
        <f>IF(LEN(L1365),MATCH(L1365,'MPIO_SFIO Table'!$A$11:$A$65525,0)-1,"")</f>
        <v/>
      </c>
      <c r="R1365" t="str">
        <f ca="1">IF(ISNUMBER(M1365),OFFSET('MPIO_SFIO Table'!$AJ$11,M1365,0),"")</f>
        <v/>
      </c>
      <c r="S1365" t="str">
        <f ca="1">IF(ISNUMBER(N1365),OFFSET('MPIO_SFIO Table'!$AJ$11,N1365,0),"")</f>
        <v/>
      </c>
      <c r="T1365" t="str">
        <f ca="1">IF(ISNUMBER(O1365),OFFSET('MPIO_SFIO Table'!$AJ$11,O1365,0),"")</f>
        <v/>
      </c>
      <c r="U1365" t="str">
        <f ca="1">IF(ISNUMBER(P1365),OFFSET('MPIO_SFIO Table'!$AJ$11,P1365,0),"")</f>
        <v/>
      </c>
      <c r="V1365" t="str">
        <f ca="1">IF(ISNUMBER(Q1365),OFFSET('MPIO_SFIO Table'!$AJ$11,Q1365,0),"")</f>
        <v/>
      </c>
      <c r="W1365">
        <f t="shared" ca="1" si="179"/>
        <v>0</v>
      </c>
      <c r="X1365">
        <f t="shared" ca="1" si="180"/>
        <v>0</v>
      </c>
      <c r="Y1365">
        <f t="shared" ca="1" si="181"/>
        <v>0</v>
      </c>
      <c r="Z1365">
        <f t="shared" ca="1" si="182"/>
        <v>0</v>
      </c>
      <c r="AA1365">
        <f t="shared" ca="1" si="183"/>
        <v>0</v>
      </c>
    </row>
    <row r="1366" spans="1:27" x14ac:dyDescent="0.25">
      <c r="A1366">
        <f t="shared" ca="1" si="176"/>
        <v>0</v>
      </c>
      <c r="B1366" t="str">
        <f t="shared" ca="1" si="177"/>
        <v/>
      </c>
      <c r="C1366" t="str">
        <f t="shared" si="178"/>
        <v/>
      </c>
      <c r="D1366" t="s">
        <v>253</v>
      </c>
      <c r="E1366" t="s">
        <v>253</v>
      </c>
      <c r="F1366" s="3" t="s">
        <v>253</v>
      </c>
      <c r="G1366" s="11" t="s">
        <v>253</v>
      </c>
      <c r="H1366" s="11" t="s">
        <v>253</v>
      </c>
      <c r="I1366" s="3" t="s">
        <v>253</v>
      </c>
      <c r="J1366" s="3" t="s">
        <v>253</v>
      </c>
      <c r="K1366" s="3" t="s">
        <v>253</v>
      </c>
      <c r="L1366" s="3" t="s">
        <v>253</v>
      </c>
      <c r="M1366" t="str">
        <f>IF(LEN(H1366),MATCH(H1366,'MPIO_SFIO Table'!$A$11:$A$65525,0)-1,"")</f>
        <v/>
      </c>
      <c r="N1366" t="str">
        <f>IF(LEN(I1366),MATCH(I1366,'MPIO_SFIO Table'!$A$11:$A$65525,0)-1,"")</f>
        <v/>
      </c>
      <c r="O1366" t="str">
        <f>IF(LEN(J1366),MATCH(J1366,'MPIO_SFIO Table'!$A$11:$A$65525,0)-1,"")</f>
        <v/>
      </c>
      <c r="P1366" t="str">
        <f>IF(LEN(K1366),MATCH(K1366,'MPIO_SFIO Table'!$A$11:$A$65525,0)-1,"")</f>
        <v/>
      </c>
      <c r="Q1366" t="str">
        <f>IF(LEN(L1366),MATCH(L1366,'MPIO_SFIO Table'!$A$11:$A$65525,0)-1,"")</f>
        <v/>
      </c>
      <c r="R1366" t="str">
        <f ca="1">IF(ISNUMBER(M1366),OFFSET('MPIO_SFIO Table'!$AJ$11,M1366,0),"")</f>
        <v/>
      </c>
      <c r="S1366" t="str">
        <f ca="1">IF(ISNUMBER(N1366),OFFSET('MPIO_SFIO Table'!$AJ$11,N1366,0),"")</f>
        <v/>
      </c>
      <c r="T1366" t="str">
        <f ca="1">IF(ISNUMBER(O1366),OFFSET('MPIO_SFIO Table'!$AJ$11,O1366,0),"")</f>
        <v/>
      </c>
      <c r="U1366" t="str">
        <f ca="1">IF(ISNUMBER(P1366),OFFSET('MPIO_SFIO Table'!$AJ$11,P1366,0),"")</f>
        <v/>
      </c>
      <c r="V1366" t="str">
        <f ca="1">IF(ISNUMBER(Q1366),OFFSET('MPIO_SFIO Table'!$AJ$11,Q1366,0),"")</f>
        <v/>
      </c>
      <c r="W1366">
        <f t="shared" ca="1" si="179"/>
        <v>0</v>
      </c>
      <c r="X1366">
        <f t="shared" ca="1" si="180"/>
        <v>0</v>
      </c>
      <c r="Y1366">
        <f t="shared" ca="1" si="181"/>
        <v>0</v>
      </c>
      <c r="Z1366">
        <f t="shared" ca="1" si="182"/>
        <v>0</v>
      </c>
      <c r="AA1366">
        <f t="shared" ca="1" si="183"/>
        <v>0</v>
      </c>
    </row>
    <row r="1367" spans="1:27" x14ac:dyDescent="0.25">
      <c r="A1367">
        <f t="shared" ca="1" si="176"/>
        <v>0</v>
      </c>
      <c r="B1367" t="str">
        <f t="shared" ca="1" si="177"/>
        <v/>
      </c>
      <c r="C1367" t="str">
        <f t="shared" si="178"/>
        <v/>
      </c>
      <c r="D1367" t="s">
        <v>253</v>
      </c>
      <c r="E1367" t="s">
        <v>253</v>
      </c>
      <c r="F1367" s="3" t="s">
        <v>253</v>
      </c>
      <c r="G1367" s="11" t="s">
        <v>253</v>
      </c>
      <c r="H1367" s="11" t="s">
        <v>253</v>
      </c>
      <c r="I1367" s="3" t="s">
        <v>253</v>
      </c>
      <c r="J1367" s="3" t="s">
        <v>253</v>
      </c>
      <c r="K1367" s="3" t="s">
        <v>253</v>
      </c>
      <c r="L1367" s="3" t="s">
        <v>253</v>
      </c>
      <c r="M1367" t="str">
        <f>IF(LEN(H1367),MATCH(H1367,'MPIO_SFIO Table'!$A$11:$A$65525,0)-1,"")</f>
        <v/>
      </c>
      <c r="N1367" t="str">
        <f>IF(LEN(I1367),MATCH(I1367,'MPIO_SFIO Table'!$A$11:$A$65525,0)-1,"")</f>
        <v/>
      </c>
      <c r="O1367" t="str">
        <f>IF(LEN(J1367),MATCH(J1367,'MPIO_SFIO Table'!$A$11:$A$65525,0)-1,"")</f>
        <v/>
      </c>
      <c r="P1367" t="str">
        <f>IF(LEN(K1367),MATCH(K1367,'MPIO_SFIO Table'!$A$11:$A$65525,0)-1,"")</f>
        <v/>
      </c>
      <c r="Q1367" t="str">
        <f>IF(LEN(L1367),MATCH(L1367,'MPIO_SFIO Table'!$A$11:$A$65525,0)-1,"")</f>
        <v/>
      </c>
      <c r="R1367" t="str">
        <f ca="1">IF(ISNUMBER(M1367),OFFSET('MPIO_SFIO Table'!$AJ$11,M1367,0),"")</f>
        <v/>
      </c>
      <c r="S1367" t="str">
        <f ca="1">IF(ISNUMBER(N1367),OFFSET('MPIO_SFIO Table'!$AJ$11,N1367,0),"")</f>
        <v/>
      </c>
      <c r="T1367" t="str">
        <f ca="1">IF(ISNUMBER(O1367),OFFSET('MPIO_SFIO Table'!$AJ$11,O1367,0),"")</f>
        <v/>
      </c>
      <c r="U1367" t="str">
        <f ca="1">IF(ISNUMBER(P1367),OFFSET('MPIO_SFIO Table'!$AJ$11,P1367,0),"")</f>
        <v/>
      </c>
      <c r="V1367" t="str">
        <f ca="1">IF(ISNUMBER(Q1367),OFFSET('MPIO_SFIO Table'!$AJ$11,Q1367,0),"")</f>
        <v/>
      </c>
      <c r="W1367">
        <f t="shared" ca="1" si="179"/>
        <v>0</v>
      </c>
      <c r="X1367">
        <f t="shared" ca="1" si="180"/>
        <v>0</v>
      </c>
      <c r="Y1367">
        <f t="shared" ca="1" si="181"/>
        <v>0</v>
      </c>
      <c r="Z1367">
        <f t="shared" ca="1" si="182"/>
        <v>0</v>
      </c>
      <c r="AA1367">
        <f t="shared" ca="1" si="183"/>
        <v>0</v>
      </c>
    </row>
    <row r="1368" spans="1:27" x14ac:dyDescent="0.25">
      <c r="A1368">
        <f t="shared" ca="1" si="176"/>
        <v>0</v>
      </c>
      <c r="B1368" t="str">
        <f t="shared" ca="1" si="177"/>
        <v/>
      </c>
      <c r="C1368" t="str">
        <f t="shared" si="178"/>
        <v/>
      </c>
      <c r="D1368" t="s">
        <v>253</v>
      </c>
      <c r="E1368" t="s">
        <v>253</v>
      </c>
      <c r="F1368" s="3" t="s">
        <v>253</v>
      </c>
      <c r="G1368" s="11" t="s">
        <v>253</v>
      </c>
      <c r="H1368" s="11" t="s">
        <v>253</v>
      </c>
      <c r="I1368" s="3" t="s">
        <v>253</v>
      </c>
      <c r="J1368" s="3" t="s">
        <v>253</v>
      </c>
      <c r="K1368" s="3" t="s">
        <v>253</v>
      </c>
      <c r="L1368" s="3" t="s">
        <v>253</v>
      </c>
      <c r="M1368" t="str">
        <f>IF(LEN(H1368),MATCH(H1368,'MPIO_SFIO Table'!$A$11:$A$65525,0)-1,"")</f>
        <v/>
      </c>
      <c r="N1368" t="str">
        <f>IF(LEN(I1368),MATCH(I1368,'MPIO_SFIO Table'!$A$11:$A$65525,0)-1,"")</f>
        <v/>
      </c>
      <c r="O1368" t="str">
        <f>IF(LEN(J1368),MATCH(J1368,'MPIO_SFIO Table'!$A$11:$A$65525,0)-1,"")</f>
        <v/>
      </c>
      <c r="P1368" t="str">
        <f>IF(LEN(K1368),MATCH(K1368,'MPIO_SFIO Table'!$A$11:$A$65525,0)-1,"")</f>
        <v/>
      </c>
      <c r="Q1368" t="str">
        <f>IF(LEN(L1368),MATCH(L1368,'MPIO_SFIO Table'!$A$11:$A$65525,0)-1,"")</f>
        <v/>
      </c>
      <c r="R1368" t="str">
        <f ca="1">IF(ISNUMBER(M1368),OFFSET('MPIO_SFIO Table'!$AJ$11,M1368,0),"")</f>
        <v/>
      </c>
      <c r="S1368" t="str">
        <f ca="1">IF(ISNUMBER(N1368),OFFSET('MPIO_SFIO Table'!$AJ$11,N1368,0),"")</f>
        <v/>
      </c>
      <c r="T1368" t="str">
        <f ca="1">IF(ISNUMBER(O1368),OFFSET('MPIO_SFIO Table'!$AJ$11,O1368,0),"")</f>
        <v/>
      </c>
      <c r="U1368" t="str">
        <f ca="1">IF(ISNUMBER(P1368),OFFSET('MPIO_SFIO Table'!$AJ$11,P1368,0),"")</f>
        <v/>
      </c>
      <c r="V1368" t="str">
        <f ca="1">IF(ISNUMBER(Q1368),OFFSET('MPIO_SFIO Table'!$AJ$11,Q1368,0),"")</f>
        <v/>
      </c>
      <c r="W1368">
        <f t="shared" ca="1" si="179"/>
        <v>0</v>
      </c>
      <c r="X1368">
        <f t="shared" ca="1" si="180"/>
        <v>0</v>
      </c>
      <c r="Y1368">
        <f t="shared" ca="1" si="181"/>
        <v>0</v>
      </c>
      <c r="Z1368">
        <f t="shared" ca="1" si="182"/>
        <v>0</v>
      </c>
      <c r="AA1368">
        <f t="shared" ca="1" si="183"/>
        <v>0</v>
      </c>
    </row>
    <row r="1369" spans="1:27" x14ac:dyDescent="0.25">
      <c r="A1369">
        <f t="shared" ca="1" si="176"/>
        <v>0</v>
      </c>
      <c r="B1369" t="str">
        <f t="shared" ca="1" si="177"/>
        <v/>
      </c>
      <c r="C1369" t="str">
        <f t="shared" si="178"/>
        <v/>
      </c>
      <c r="D1369" t="s">
        <v>253</v>
      </c>
      <c r="E1369" t="s">
        <v>253</v>
      </c>
      <c r="F1369" s="3" t="s">
        <v>253</v>
      </c>
      <c r="G1369" s="11" t="s">
        <v>253</v>
      </c>
      <c r="H1369" s="11" t="s">
        <v>253</v>
      </c>
      <c r="I1369" s="3" t="s">
        <v>253</v>
      </c>
      <c r="J1369" s="3" t="s">
        <v>253</v>
      </c>
      <c r="K1369" s="3" t="s">
        <v>253</v>
      </c>
      <c r="L1369" s="3" t="s">
        <v>253</v>
      </c>
      <c r="M1369" t="str">
        <f>IF(LEN(H1369),MATCH(H1369,'MPIO_SFIO Table'!$A$11:$A$65525,0)-1,"")</f>
        <v/>
      </c>
      <c r="N1369" t="str">
        <f>IF(LEN(I1369),MATCH(I1369,'MPIO_SFIO Table'!$A$11:$A$65525,0)-1,"")</f>
        <v/>
      </c>
      <c r="O1369" t="str">
        <f>IF(LEN(J1369),MATCH(J1369,'MPIO_SFIO Table'!$A$11:$A$65525,0)-1,"")</f>
        <v/>
      </c>
      <c r="P1369" t="str">
        <f>IF(LEN(K1369),MATCH(K1369,'MPIO_SFIO Table'!$A$11:$A$65525,0)-1,"")</f>
        <v/>
      </c>
      <c r="Q1369" t="str">
        <f>IF(LEN(L1369),MATCH(L1369,'MPIO_SFIO Table'!$A$11:$A$65525,0)-1,"")</f>
        <v/>
      </c>
      <c r="R1369" t="str">
        <f ca="1">IF(ISNUMBER(M1369),OFFSET('MPIO_SFIO Table'!$AJ$11,M1369,0),"")</f>
        <v/>
      </c>
      <c r="S1369" t="str">
        <f ca="1">IF(ISNUMBER(N1369),OFFSET('MPIO_SFIO Table'!$AJ$11,N1369,0),"")</f>
        <v/>
      </c>
      <c r="T1369" t="str">
        <f ca="1">IF(ISNUMBER(O1369),OFFSET('MPIO_SFIO Table'!$AJ$11,O1369,0),"")</f>
        <v/>
      </c>
      <c r="U1369" t="str">
        <f ca="1">IF(ISNUMBER(P1369),OFFSET('MPIO_SFIO Table'!$AJ$11,P1369,0),"")</f>
        <v/>
      </c>
      <c r="V1369" t="str">
        <f ca="1">IF(ISNUMBER(Q1369),OFFSET('MPIO_SFIO Table'!$AJ$11,Q1369,0),"")</f>
        <v/>
      </c>
      <c r="W1369">
        <f t="shared" ca="1" si="179"/>
        <v>0</v>
      </c>
      <c r="X1369">
        <f t="shared" ca="1" si="180"/>
        <v>0</v>
      </c>
      <c r="Y1369">
        <f t="shared" ca="1" si="181"/>
        <v>0</v>
      </c>
      <c r="Z1369">
        <f t="shared" ca="1" si="182"/>
        <v>0</v>
      </c>
      <c r="AA1369">
        <f t="shared" ca="1" si="183"/>
        <v>0</v>
      </c>
    </row>
    <row r="1370" spans="1:27" x14ac:dyDescent="0.25">
      <c r="A1370">
        <f t="shared" ca="1" si="176"/>
        <v>0</v>
      </c>
      <c r="B1370" t="str">
        <f t="shared" ca="1" si="177"/>
        <v/>
      </c>
      <c r="C1370" t="str">
        <f t="shared" si="178"/>
        <v/>
      </c>
      <c r="D1370" t="s">
        <v>253</v>
      </c>
      <c r="E1370" t="s">
        <v>253</v>
      </c>
      <c r="F1370" s="3" t="s">
        <v>253</v>
      </c>
      <c r="G1370" s="11" t="s">
        <v>253</v>
      </c>
      <c r="H1370" s="11" t="s">
        <v>253</v>
      </c>
      <c r="I1370" s="3" t="s">
        <v>253</v>
      </c>
      <c r="J1370" s="3" t="s">
        <v>253</v>
      </c>
      <c r="K1370" s="3" t="s">
        <v>253</v>
      </c>
      <c r="L1370" s="3" t="s">
        <v>253</v>
      </c>
      <c r="M1370" t="str">
        <f>IF(LEN(H1370),MATCH(H1370,'MPIO_SFIO Table'!$A$11:$A$65525,0)-1,"")</f>
        <v/>
      </c>
      <c r="N1370" t="str">
        <f>IF(LEN(I1370),MATCH(I1370,'MPIO_SFIO Table'!$A$11:$A$65525,0)-1,"")</f>
        <v/>
      </c>
      <c r="O1370" t="str">
        <f>IF(LEN(J1370),MATCH(J1370,'MPIO_SFIO Table'!$A$11:$A$65525,0)-1,"")</f>
        <v/>
      </c>
      <c r="P1370" t="str">
        <f>IF(LEN(K1370),MATCH(K1370,'MPIO_SFIO Table'!$A$11:$A$65525,0)-1,"")</f>
        <v/>
      </c>
      <c r="Q1370" t="str">
        <f>IF(LEN(L1370),MATCH(L1370,'MPIO_SFIO Table'!$A$11:$A$65525,0)-1,"")</f>
        <v/>
      </c>
      <c r="R1370" t="str">
        <f ca="1">IF(ISNUMBER(M1370),OFFSET('MPIO_SFIO Table'!$AJ$11,M1370,0),"")</f>
        <v/>
      </c>
      <c r="S1370" t="str">
        <f ca="1">IF(ISNUMBER(N1370),OFFSET('MPIO_SFIO Table'!$AJ$11,N1370,0),"")</f>
        <v/>
      </c>
      <c r="T1370" t="str">
        <f ca="1">IF(ISNUMBER(O1370),OFFSET('MPIO_SFIO Table'!$AJ$11,O1370,0),"")</f>
        <v/>
      </c>
      <c r="U1370" t="str">
        <f ca="1">IF(ISNUMBER(P1370),OFFSET('MPIO_SFIO Table'!$AJ$11,P1370,0),"")</f>
        <v/>
      </c>
      <c r="V1370" t="str">
        <f ca="1">IF(ISNUMBER(Q1370),OFFSET('MPIO_SFIO Table'!$AJ$11,Q1370,0),"")</f>
        <v/>
      </c>
      <c r="W1370">
        <f t="shared" ca="1" si="179"/>
        <v>0</v>
      </c>
      <c r="X1370">
        <f t="shared" ca="1" si="180"/>
        <v>0</v>
      </c>
      <c r="Y1370">
        <f t="shared" ca="1" si="181"/>
        <v>0</v>
      </c>
      <c r="Z1370">
        <f t="shared" ca="1" si="182"/>
        <v>0</v>
      </c>
      <c r="AA1370">
        <f t="shared" ca="1" si="183"/>
        <v>0</v>
      </c>
    </row>
    <row r="1371" spans="1:27" x14ac:dyDescent="0.25">
      <c r="A1371">
        <f t="shared" ca="1" si="176"/>
        <v>0</v>
      </c>
      <c r="B1371" t="str">
        <f t="shared" ca="1" si="177"/>
        <v/>
      </c>
      <c r="C1371" t="str">
        <f t="shared" si="178"/>
        <v/>
      </c>
      <c r="D1371" t="s">
        <v>253</v>
      </c>
      <c r="E1371" t="s">
        <v>253</v>
      </c>
      <c r="F1371" s="3" t="s">
        <v>253</v>
      </c>
      <c r="G1371" s="11" t="s">
        <v>253</v>
      </c>
      <c r="H1371" s="11" t="s">
        <v>253</v>
      </c>
      <c r="I1371" s="3" t="s">
        <v>253</v>
      </c>
      <c r="J1371" s="3" t="s">
        <v>253</v>
      </c>
      <c r="K1371" s="3" t="s">
        <v>253</v>
      </c>
      <c r="L1371" s="3" t="s">
        <v>253</v>
      </c>
      <c r="M1371" t="str">
        <f>IF(LEN(H1371),MATCH(H1371,'MPIO_SFIO Table'!$A$11:$A$65525,0)-1,"")</f>
        <v/>
      </c>
      <c r="N1371" t="str">
        <f>IF(LEN(I1371),MATCH(I1371,'MPIO_SFIO Table'!$A$11:$A$65525,0)-1,"")</f>
        <v/>
      </c>
      <c r="O1371" t="str">
        <f>IF(LEN(J1371),MATCH(J1371,'MPIO_SFIO Table'!$A$11:$A$65525,0)-1,"")</f>
        <v/>
      </c>
      <c r="P1371" t="str">
        <f>IF(LEN(K1371),MATCH(K1371,'MPIO_SFIO Table'!$A$11:$A$65525,0)-1,"")</f>
        <v/>
      </c>
      <c r="Q1371" t="str">
        <f>IF(LEN(L1371),MATCH(L1371,'MPIO_SFIO Table'!$A$11:$A$65525,0)-1,"")</f>
        <v/>
      </c>
      <c r="R1371" t="str">
        <f ca="1">IF(ISNUMBER(M1371),OFFSET('MPIO_SFIO Table'!$AJ$11,M1371,0),"")</f>
        <v/>
      </c>
      <c r="S1371" t="str">
        <f ca="1">IF(ISNUMBER(N1371),OFFSET('MPIO_SFIO Table'!$AJ$11,N1371,0),"")</f>
        <v/>
      </c>
      <c r="T1371" t="str">
        <f ca="1">IF(ISNUMBER(O1371),OFFSET('MPIO_SFIO Table'!$AJ$11,O1371,0),"")</f>
        <v/>
      </c>
      <c r="U1371" t="str">
        <f ca="1">IF(ISNUMBER(P1371),OFFSET('MPIO_SFIO Table'!$AJ$11,P1371,0),"")</f>
        <v/>
      </c>
      <c r="V1371" t="str">
        <f ca="1">IF(ISNUMBER(Q1371),OFFSET('MPIO_SFIO Table'!$AJ$11,Q1371,0),"")</f>
        <v/>
      </c>
      <c r="W1371">
        <f t="shared" ca="1" si="179"/>
        <v>0</v>
      </c>
      <c r="X1371">
        <f t="shared" ca="1" si="180"/>
        <v>0</v>
      </c>
      <c r="Y1371">
        <f t="shared" ca="1" si="181"/>
        <v>0</v>
      </c>
      <c r="Z1371">
        <f t="shared" ca="1" si="182"/>
        <v>0</v>
      </c>
      <c r="AA1371">
        <f t="shared" ca="1" si="183"/>
        <v>0</v>
      </c>
    </row>
    <row r="1372" spans="1:27" x14ac:dyDescent="0.25">
      <c r="A1372">
        <f t="shared" ca="1" si="176"/>
        <v>0</v>
      </c>
      <c r="B1372" t="str">
        <f t="shared" ca="1" si="177"/>
        <v/>
      </c>
      <c r="C1372" t="str">
        <f t="shared" si="178"/>
        <v/>
      </c>
      <c r="D1372" t="s">
        <v>253</v>
      </c>
      <c r="E1372" t="s">
        <v>253</v>
      </c>
      <c r="F1372" s="3" t="s">
        <v>253</v>
      </c>
      <c r="G1372" s="11" t="s">
        <v>253</v>
      </c>
      <c r="H1372" s="11" t="s">
        <v>253</v>
      </c>
      <c r="I1372" s="3" t="s">
        <v>253</v>
      </c>
      <c r="J1372" s="3" t="s">
        <v>253</v>
      </c>
      <c r="K1372" s="3" t="s">
        <v>253</v>
      </c>
      <c r="L1372" s="3" t="s">
        <v>253</v>
      </c>
      <c r="M1372" t="str">
        <f>IF(LEN(H1372),MATCH(H1372,'MPIO_SFIO Table'!$A$11:$A$65525,0)-1,"")</f>
        <v/>
      </c>
      <c r="N1372" t="str">
        <f>IF(LEN(I1372),MATCH(I1372,'MPIO_SFIO Table'!$A$11:$A$65525,0)-1,"")</f>
        <v/>
      </c>
      <c r="O1372" t="str">
        <f>IF(LEN(J1372),MATCH(J1372,'MPIO_SFIO Table'!$A$11:$A$65525,0)-1,"")</f>
        <v/>
      </c>
      <c r="P1372" t="str">
        <f>IF(LEN(K1372),MATCH(K1372,'MPIO_SFIO Table'!$A$11:$A$65525,0)-1,"")</f>
        <v/>
      </c>
      <c r="Q1372" t="str">
        <f>IF(LEN(L1372),MATCH(L1372,'MPIO_SFIO Table'!$A$11:$A$65525,0)-1,"")</f>
        <v/>
      </c>
      <c r="R1372" t="str">
        <f ca="1">IF(ISNUMBER(M1372),OFFSET('MPIO_SFIO Table'!$AJ$11,M1372,0),"")</f>
        <v/>
      </c>
      <c r="S1372" t="str">
        <f ca="1">IF(ISNUMBER(N1372),OFFSET('MPIO_SFIO Table'!$AJ$11,N1372,0),"")</f>
        <v/>
      </c>
      <c r="T1372" t="str">
        <f ca="1">IF(ISNUMBER(O1372),OFFSET('MPIO_SFIO Table'!$AJ$11,O1372,0),"")</f>
        <v/>
      </c>
      <c r="U1372" t="str">
        <f ca="1">IF(ISNUMBER(P1372),OFFSET('MPIO_SFIO Table'!$AJ$11,P1372,0),"")</f>
        <v/>
      </c>
      <c r="V1372" t="str">
        <f ca="1">IF(ISNUMBER(Q1372),OFFSET('MPIO_SFIO Table'!$AJ$11,Q1372,0),"")</f>
        <v/>
      </c>
      <c r="W1372">
        <f t="shared" ca="1" si="179"/>
        <v>0</v>
      </c>
      <c r="X1372">
        <f t="shared" ca="1" si="180"/>
        <v>0</v>
      </c>
      <c r="Y1372">
        <f t="shared" ca="1" si="181"/>
        <v>0</v>
      </c>
      <c r="Z1372">
        <f t="shared" ca="1" si="182"/>
        <v>0</v>
      </c>
      <c r="AA1372">
        <f t="shared" ca="1" si="183"/>
        <v>0</v>
      </c>
    </row>
    <row r="1373" spans="1:27" x14ac:dyDescent="0.25">
      <c r="A1373">
        <f t="shared" ca="1" si="176"/>
        <v>0</v>
      </c>
      <c r="B1373" t="str">
        <f t="shared" ca="1" si="177"/>
        <v/>
      </c>
      <c r="C1373" t="str">
        <f t="shared" si="178"/>
        <v/>
      </c>
      <c r="D1373" t="s">
        <v>253</v>
      </c>
      <c r="E1373" t="s">
        <v>253</v>
      </c>
      <c r="F1373" s="3" t="s">
        <v>253</v>
      </c>
      <c r="G1373" s="11" t="s">
        <v>253</v>
      </c>
      <c r="H1373" s="11" t="s">
        <v>253</v>
      </c>
      <c r="I1373" s="3" t="s">
        <v>253</v>
      </c>
      <c r="J1373" s="3" t="s">
        <v>253</v>
      </c>
      <c r="K1373" s="3" t="s">
        <v>253</v>
      </c>
      <c r="L1373" s="3" t="s">
        <v>253</v>
      </c>
      <c r="M1373" t="str">
        <f>IF(LEN(H1373),MATCH(H1373,'MPIO_SFIO Table'!$A$11:$A$65525,0)-1,"")</f>
        <v/>
      </c>
      <c r="N1373" t="str">
        <f>IF(LEN(I1373),MATCH(I1373,'MPIO_SFIO Table'!$A$11:$A$65525,0)-1,"")</f>
        <v/>
      </c>
      <c r="O1373" t="str">
        <f>IF(LEN(J1373),MATCH(J1373,'MPIO_SFIO Table'!$A$11:$A$65525,0)-1,"")</f>
        <v/>
      </c>
      <c r="P1373" t="str">
        <f>IF(LEN(K1373),MATCH(K1373,'MPIO_SFIO Table'!$A$11:$A$65525,0)-1,"")</f>
        <v/>
      </c>
      <c r="Q1373" t="str">
        <f>IF(LEN(L1373),MATCH(L1373,'MPIO_SFIO Table'!$A$11:$A$65525,0)-1,"")</f>
        <v/>
      </c>
      <c r="R1373" t="str">
        <f ca="1">IF(ISNUMBER(M1373),OFFSET('MPIO_SFIO Table'!$AJ$11,M1373,0),"")</f>
        <v/>
      </c>
      <c r="S1373" t="str">
        <f ca="1">IF(ISNUMBER(N1373),OFFSET('MPIO_SFIO Table'!$AJ$11,N1373,0),"")</f>
        <v/>
      </c>
      <c r="T1373" t="str">
        <f ca="1">IF(ISNUMBER(O1373),OFFSET('MPIO_SFIO Table'!$AJ$11,O1373,0),"")</f>
        <v/>
      </c>
      <c r="U1373" t="str">
        <f ca="1">IF(ISNUMBER(P1373),OFFSET('MPIO_SFIO Table'!$AJ$11,P1373,0),"")</f>
        <v/>
      </c>
      <c r="V1373" t="str">
        <f ca="1">IF(ISNUMBER(Q1373),OFFSET('MPIO_SFIO Table'!$AJ$11,Q1373,0),"")</f>
        <v/>
      </c>
      <c r="W1373">
        <f t="shared" ca="1" si="179"/>
        <v>0</v>
      </c>
      <c r="X1373">
        <f t="shared" ca="1" si="180"/>
        <v>0</v>
      </c>
      <c r="Y1373">
        <f t="shared" ca="1" si="181"/>
        <v>0</v>
      </c>
      <c r="Z1373">
        <f t="shared" ca="1" si="182"/>
        <v>0</v>
      </c>
      <c r="AA1373">
        <f t="shared" ca="1" si="183"/>
        <v>0</v>
      </c>
    </row>
    <row r="1374" spans="1:27" x14ac:dyDescent="0.25">
      <c r="A1374">
        <f t="shared" ca="1" si="176"/>
        <v>0</v>
      </c>
      <c r="B1374" t="str">
        <f t="shared" ca="1" si="177"/>
        <v/>
      </c>
      <c r="C1374" t="str">
        <f t="shared" si="178"/>
        <v/>
      </c>
      <c r="D1374" t="s">
        <v>253</v>
      </c>
      <c r="E1374" t="s">
        <v>253</v>
      </c>
      <c r="F1374" s="3" t="s">
        <v>253</v>
      </c>
      <c r="G1374" s="11" t="s">
        <v>253</v>
      </c>
      <c r="H1374" s="11" t="s">
        <v>253</v>
      </c>
      <c r="I1374" s="3" t="s">
        <v>253</v>
      </c>
      <c r="J1374" s="3" t="s">
        <v>253</v>
      </c>
      <c r="K1374" s="3" t="s">
        <v>253</v>
      </c>
      <c r="L1374" s="3" t="s">
        <v>253</v>
      </c>
      <c r="M1374" t="str">
        <f>IF(LEN(H1374),MATCH(H1374,'MPIO_SFIO Table'!$A$11:$A$65525,0)-1,"")</f>
        <v/>
      </c>
      <c r="N1374" t="str">
        <f>IF(LEN(I1374),MATCH(I1374,'MPIO_SFIO Table'!$A$11:$A$65525,0)-1,"")</f>
        <v/>
      </c>
      <c r="O1374" t="str">
        <f>IF(LEN(J1374),MATCH(J1374,'MPIO_SFIO Table'!$A$11:$A$65525,0)-1,"")</f>
        <v/>
      </c>
      <c r="P1374" t="str">
        <f>IF(LEN(K1374),MATCH(K1374,'MPIO_SFIO Table'!$A$11:$A$65525,0)-1,"")</f>
        <v/>
      </c>
      <c r="Q1374" t="str">
        <f>IF(LEN(L1374),MATCH(L1374,'MPIO_SFIO Table'!$A$11:$A$65525,0)-1,"")</f>
        <v/>
      </c>
      <c r="R1374" t="str">
        <f ca="1">IF(ISNUMBER(M1374),OFFSET('MPIO_SFIO Table'!$AJ$11,M1374,0),"")</f>
        <v/>
      </c>
      <c r="S1374" t="str">
        <f ca="1">IF(ISNUMBER(N1374),OFFSET('MPIO_SFIO Table'!$AJ$11,N1374,0),"")</f>
        <v/>
      </c>
      <c r="T1374" t="str">
        <f ca="1">IF(ISNUMBER(O1374),OFFSET('MPIO_SFIO Table'!$AJ$11,O1374,0),"")</f>
        <v/>
      </c>
      <c r="U1374" t="str">
        <f ca="1">IF(ISNUMBER(P1374),OFFSET('MPIO_SFIO Table'!$AJ$11,P1374,0),"")</f>
        <v/>
      </c>
      <c r="V1374" t="str">
        <f ca="1">IF(ISNUMBER(Q1374),OFFSET('MPIO_SFIO Table'!$AJ$11,Q1374,0),"")</f>
        <v/>
      </c>
      <c r="W1374">
        <f t="shared" ca="1" si="179"/>
        <v>0</v>
      </c>
      <c r="X1374">
        <f t="shared" ca="1" si="180"/>
        <v>0</v>
      </c>
      <c r="Y1374">
        <f t="shared" ca="1" si="181"/>
        <v>0</v>
      </c>
      <c r="Z1374">
        <f t="shared" ca="1" si="182"/>
        <v>0</v>
      </c>
      <c r="AA1374">
        <f t="shared" ca="1" si="183"/>
        <v>0</v>
      </c>
    </row>
    <row r="1375" spans="1:27" x14ac:dyDescent="0.25">
      <c r="A1375">
        <f t="shared" ca="1" si="176"/>
        <v>0</v>
      </c>
      <c r="B1375" t="str">
        <f t="shared" ca="1" si="177"/>
        <v/>
      </c>
      <c r="C1375" t="str">
        <f t="shared" si="178"/>
        <v/>
      </c>
      <c r="D1375" t="s">
        <v>253</v>
      </c>
      <c r="E1375" t="s">
        <v>253</v>
      </c>
      <c r="F1375" s="3" t="s">
        <v>253</v>
      </c>
      <c r="G1375" s="11" t="s">
        <v>253</v>
      </c>
      <c r="H1375" s="11" t="s">
        <v>253</v>
      </c>
      <c r="I1375" s="3" t="s">
        <v>253</v>
      </c>
      <c r="J1375" s="3" t="s">
        <v>253</v>
      </c>
      <c r="K1375" s="3" t="s">
        <v>253</v>
      </c>
      <c r="L1375" s="3" t="s">
        <v>253</v>
      </c>
      <c r="M1375" t="str">
        <f>IF(LEN(H1375),MATCH(H1375,'MPIO_SFIO Table'!$A$11:$A$65525,0)-1,"")</f>
        <v/>
      </c>
      <c r="N1375" t="str">
        <f>IF(LEN(I1375),MATCH(I1375,'MPIO_SFIO Table'!$A$11:$A$65525,0)-1,"")</f>
        <v/>
      </c>
      <c r="O1375" t="str">
        <f>IF(LEN(J1375),MATCH(J1375,'MPIO_SFIO Table'!$A$11:$A$65525,0)-1,"")</f>
        <v/>
      </c>
      <c r="P1375" t="str">
        <f>IF(LEN(K1375),MATCH(K1375,'MPIO_SFIO Table'!$A$11:$A$65525,0)-1,"")</f>
        <v/>
      </c>
      <c r="Q1375" t="str">
        <f>IF(LEN(L1375),MATCH(L1375,'MPIO_SFIO Table'!$A$11:$A$65525,0)-1,"")</f>
        <v/>
      </c>
      <c r="R1375" t="str">
        <f ca="1">IF(ISNUMBER(M1375),OFFSET('MPIO_SFIO Table'!$AJ$11,M1375,0),"")</f>
        <v/>
      </c>
      <c r="S1375" t="str">
        <f ca="1">IF(ISNUMBER(N1375),OFFSET('MPIO_SFIO Table'!$AJ$11,N1375,0),"")</f>
        <v/>
      </c>
      <c r="T1375" t="str">
        <f ca="1">IF(ISNUMBER(O1375),OFFSET('MPIO_SFIO Table'!$AJ$11,O1375,0),"")</f>
        <v/>
      </c>
      <c r="U1375" t="str">
        <f ca="1">IF(ISNUMBER(P1375),OFFSET('MPIO_SFIO Table'!$AJ$11,P1375,0),"")</f>
        <v/>
      </c>
      <c r="V1375" t="str">
        <f ca="1">IF(ISNUMBER(Q1375),OFFSET('MPIO_SFIO Table'!$AJ$11,Q1375,0),"")</f>
        <v/>
      </c>
      <c r="W1375">
        <f t="shared" ca="1" si="179"/>
        <v>0</v>
      </c>
      <c r="X1375">
        <f t="shared" ca="1" si="180"/>
        <v>0</v>
      </c>
      <c r="Y1375">
        <f t="shared" ca="1" si="181"/>
        <v>0</v>
      </c>
      <c r="Z1375">
        <f t="shared" ca="1" si="182"/>
        <v>0</v>
      </c>
      <c r="AA1375">
        <f t="shared" ca="1" si="183"/>
        <v>0</v>
      </c>
    </row>
    <row r="1376" spans="1:27" x14ac:dyDescent="0.25">
      <c r="A1376">
        <f t="shared" ca="1" si="176"/>
        <v>0</v>
      </c>
      <c r="B1376" t="str">
        <f t="shared" ca="1" si="177"/>
        <v/>
      </c>
      <c r="C1376" t="str">
        <f t="shared" si="178"/>
        <v/>
      </c>
      <c r="D1376" t="s">
        <v>253</v>
      </c>
      <c r="E1376" t="s">
        <v>253</v>
      </c>
      <c r="F1376" s="3" t="s">
        <v>253</v>
      </c>
      <c r="G1376" s="11" t="s">
        <v>253</v>
      </c>
      <c r="H1376" s="11" t="s">
        <v>253</v>
      </c>
      <c r="I1376" s="3" t="s">
        <v>253</v>
      </c>
      <c r="J1376" s="3" t="s">
        <v>253</v>
      </c>
      <c r="K1376" s="3" t="s">
        <v>253</v>
      </c>
      <c r="L1376" s="3" t="s">
        <v>253</v>
      </c>
      <c r="M1376" t="str">
        <f>IF(LEN(H1376),MATCH(H1376,'MPIO_SFIO Table'!$A$11:$A$65525,0)-1,"")</f>
        <v/>
      </c>
      <c r="N1376" t="str">
        <f>IF(LEN(I1376),MATCH(I1376,'MPIO_SFIO Table'!$A$11:$A$65525,0)-1,"")</f>
        <v/>
      </c>
      <c r="O1376" t="str">
        <f>IF(LEN(J1376),MATCH(J1376,'MPIO_SFIO Table'!$A$11:$A$65525,0)-1,"")</f>
        <v/>
      </c>
      <c r="P1376" t="str">
        <f>IF(LEN(K1376),MATCH(K1376,'MPIO_SFIO Table'!$A$11:$A$65525,0)-1,"")</f>
        <v/>
      </c>
      <c r="Q1376" t="str">
        <f>IF(LEN(L1376),MATCH(L1376,'MPIO_SFIO Table'!$A$11:$A$65525,0)-1,"")</f>
        <v/>
      </c>
      <c r="R1376" t="str">
        <f ca="1">IF(ISNUMBER(M1376),OFFSET('MPIO_SFIO Table'!$AJ$11,M1376,0),"")</f>
        <v/>
      </c>
      <c r="S1376" t="str">
        <f ca="1">IF(ISNUMBER(N1376),OFFSET('MPIO_SFIO Table'!$AJ$11,N1376,0),"")</f>
        <v/>
      </c>
      <c r="T1376" t="str">
        <f ca="1">IF(ISNUMBER(O1376),OFFSET('MPIO_SFIO Table'!$AJ$11,O1376,0),"")</f>
        <v/>
      </c>
      <c r="U1376" t="str">
        <f ca="1">IF(ISNUMBER(P1376),OFFSET('MPIO_SFIO Table'!$AJ$11,P1376,0),"")</f>
        <v/>
      </c>
      <c r="V1376" t="str">
        <f ca="1">IF(ISNUMBER(Q1376),OFFSET('MPIO_SFIO Table'!$AJ$11,Q1376,0),"")</f>
        <v/>
      </c>
      <c r="W1376">
        <f t="shared" ca="1" si="179"/>
        <v>0</v>
      </c>
      <c r="X1376">
        <f t="shared" ca="1" si="180"/>
        <v>0</v>
      </c>
      <c r="Y1376">
        <f t="shared" ca="1" si="181"/>
        <v>0</v>
      </c>
      <c r="Z1376">
        <f t="shared" ca="1" si="182"/>
        <v>0</v>
      </c>
      <c r="AA1376">
        <f t="shared" ca="1" si="183"/>
        <v>0</v>
      </c>
    </row>
    <row r="1377" spans="1:27" x14ac:dyDescent="0.25">
      <c r="A1377">
        <f t="shared" ca="1" si="176"/>
        <v>0</v>
      </c>
      <c r="B1377" t="str">
        <f t="shared" ca="1" si="177"/>
        <v/>
      </c>
      <c r="C1377" t="str">
        <f t="shared" si="178"/>
        <v/>
      </c>
      <c r="D1377" t="s">
        <v>253</v>
      </c>
      <c r="E1377" t="s">
        <v>253</v>
      </c>
      <c r="F1377" s="3" t="s">
        <v>253</v>
      </c>
      <c r="G1377" s="11" t="s">
        <v>253</v>
      </c>
      <c r="H1377" s="11" t="s">
        <v>253</v>
      </c>
      <c r="I1377" s="3" t="s">
        <v>253</v>
      </c>
      <c r="J1377" s="3" t="s">
        <v>253</v>
      </c>
      <c r="K1377" s="3" t="s">
        <v>253</v>
      </c>
      <c r="L1377" s="3" t="s">
        <v>253</v>
      </c>
      <c r="M1377" t="str">
        <f>IF(LEN(H1377),MATCH(H1377,'MPIO_SFIO Table'!$A$11:$A$65525,0)-1,"")</f>
        <v/>
      </c>
      <c r="N1377" t="str">
        <f>IF(LEN(I1377),MATCH(I1377,'MPIO_SFIO Table'!$A$11:$A$65525,0)-1,"")</f>
        <v/>
      </c>
      <c r="O1377" t="str">
        <f>IF(LEN(J1377),MATCH(J1377,'MPIO_SFIO Table'!$A$11:$A$65525,0)-1,"")</f>
        <v/>
      </c>
      <c r="P1377" t="str">
        <f>IF(LEN(K1377),MATCH(K1377,'MPIO_SFIO Table'!$A$11:$A$65525,0)-1,"")</f>
        <v/>
      </c>
      <c r="Q1377" t="str">
        <f>IF(LEN(L1377),MATCH(L1377,'MPIO_SFIO Table'!$A$11:$A$65525,0)-1,"")</f>
        <v/>
      </c>
      <c r="R1377" t="str">
        <f ca="1">IF(ISNUMBER(M1377),OFFSET('MPIO_SFIO Table'!$AJ$11,M1377,0),"")</f>
        <v/>
      </c>
      <c r="S1377" t="str">
        <f ca="1">IF(ISNUMBER(N1377),OFFSET('MPIO_SFIO Table'!$AJ$11,N1377,0),"")</f>
        <v/>
      </c>
      <c r="T1377" t="str">
        <f ca="1">IF(ISNUMBER(O1377),OFFSET('MPIO_SFIO Table'!$AJ$11,O1377,0),"")</f>
        <v/>
      </c>
      <c r="U1377" t="str">
        <f ca="1">IF(ISNUMBER(P1377),OFFSET('MPIO_SFIO Table'!$AJ$11,P1377,0),"")</f>
        <v/>
      </c>
      <c r="V1377" t="str">
        <f ca="1">IF(ISNUMBER(Q1377),OFFSET('MPIO_SFIO Table'!$AJ$11,Q1377,0),"")</f>
        <v/>
      </c>
      <c r="W1377">
        <f t="shared" ca="1" si="179"/>
        <v>0</v>
      </c>
      <c r="X1377">
        <f t="shared" ca="1" si="180"/>
        <v>0</v>
      </c>
      <c r="Y1377">
        <f t="shared" ca="1" si="181"/>
        <v>0</v>
      </c>
      <c r="Z1377">
        <f t="shared" ca="1" si="182"/>
        <v>0</v>
      </c>
      <c r="AA1377">
        <f t="shared" ca="1" si="183"/>
        <v>0</v>
      </c>
    </row>
    <row r="1378" spans="1:27" x14ac:dyDescent="0.25">
      <c r="A1378">
        <f t="shared" ca="1" si="176"/>
        <v>0</v>
      </c>
      <c r="B1378" t="str">
        <f t="shared" ca="1" si="177"/>
        <v/>
      </c>
      <c r="C1378" t="str">
        <f t="shared" si="178"/>
        <v/>
      </c>
      <c r="D1378" t="s">
        <v>253</v>
      </c>
      <c r="E1378" t="s">
        <v>253</v>
      </c>
      <c r="F1378" s="3" t="s">
        <v>253</v>
      </c>
      <c r="G1378" s="11" t="s">
        <v>253</v>
      </c>
      <c r="H1378" s="11" t="s">
        <v>253</v>
      </c>
      <c r="I1378" s="3" t="s">
        <v>253</v>
      </c>
      <c r="J1378" s="3" t="s">
        <v>253</v>
      </c>
      <c r="K1378" s="3" t="s">
        <v>253</v>
      </c>
      <c r="L1378" s="3" t="s">
        <v>253</v>
      </c>
      <c r="M1378" t="str">
        <f>IF(LEN(H1378),MATCH(H1378,'MPIO_SFIO Table'!$A$11:$A$65525,0)-1,"")</f>
        <v/>
      </c>
      <c r="N1378" t="str">
        <f>IF(LEN(I1378),MATCH(I1378,'MPIO_SFIO Table'!$A$11:$A$65525,0)-1,"")</f>
        <v/>
      </c>
      <c r="O1378" t="str">
        <f>IF(LEN(J1378),MATCH(J1378,'MPIO_SFIO Table'!$A$11:$A$65525,0)-1,"")</f>
        <v/>
      </c>
      <c r="P1378" t="str">
        <f>IF(LEN(K1378),MATCH(K1378,'MPIO_SFIO Table'!$A$11:$A$65525,0)-1,"")</f>
        <v/>
      </c>
      <c r="Q1378" t="str">
        <f>IF(LEN(L1378),MATCH(L1378,'MPIO_SFIO Table'!$A$11:$A$65525,0)-1,"")</f>
        <v/>
      </c>
      <c r="R1378" t="str">
        <f ca="1">IF(ISNUMBER(M1378),OFFSET('MPIO_SFIO Table'!$AJ$11,M1378,0),"")</f>
        <v/>
      </c>
      <c r="S1378" t="str">
        <f ca="1">IF(ISNUMBER(N1378),OFFSET('MPIO_SFIO Table'!$AJ$11,N1378,0),"")</f>
        <v/>
      </c>
      <c r="T1378" t="str">
        <f ca="1">IF(ISNUMBER(O1378),OFFSET('MPIO_SFIO Table'!$AJ$11,O1378,0),"")</f>
        <v/>
      </c>
      <c r="U1378" t="str">
        <f ca="1">IF(ISNUMBER(P1378),OFFSET('MPIO_SFIO Table'!$AJ$11,P1378,0),"")</f>
        <v/>
      </c>
      <c r="V1378" t="str">
        <f ca="1">IF(ISNUMBER(Q1378),OFFSET('MPIO_SFIO Table'!$AJ$11,Q1378,0),"")</f>
        <v/>
      </c>
      <c r="W1378">
        <f t="shared" ca="1" si="179"/>
        <v>0</v>
      </c>
      <c r="X1378">
        <f t="shared" ca="1" si="180"/>
        <v>0</v>
      </c>
      <c r="Y1378">
        <f t="shared" ca="1" si="181"/>
        <v>0</v>
      </c>
      <c r="Z1378">
        <f t="shared" ca="1" si="182"/>
        <v>0</v>
      </c>
      <c r="AA1378">
        <f t="shared" ca="1" si="183"/>
        <v>0</v>
      </c>
    </row>
    <row r="1379" spans="1:27" x14ac:dyDescent="0.25">
      <c r="A1379">
        <f t="shared" ca="1" si="176"/>
        <v>0</v>
      </c>
      <c r="B1379" t="str">
        <f t="shared" ca="1" si="177"/>
        <v/>
      </c>
      <c r="C1379" t="str">
        <f t="shared" si="178"/>
        <v/>
      </c>
      <c r="D1379" t="s">
        <v>253</v>
      </c>
      <c r="E1379" t="s">
        <v>253</v>
      </c>
      <c r="F1379" s="3" t="s">
        <v>253</v>
      </c>
      <c r="G1379" s="11" t="s">
        <v>253</v>
      </c>
      <c r="H1379" s="11" t="s">
        <v>253</v>
      </c>
      <c r="I1379" s="3" t="s">
        <v>253</v>
      </c>
      <c r="J1379" s="3" t="s">
        <v>253</v>
      </c>
      <c r="K1379" s="3" t="s">
        <v>253</v>
      </c>
      <c r="L1379" s="3" t="s">
        <v>253</v>
      </c>
      <c r="M1379" t="str">
        <f>IF(LEN(H1379),MATCH(H1379,'MPIO_SFIO Table'!$A$11:$A$65525,0)-1,"")</f>
        <v/>
      </c>
      <c r="N1379" t="str">
        <f>IF(LEN(I1379),MATCH(I1379,'MPIO_SFIO Table'!$A$11:$A$65525,0)-1,"")</f>
        <v/>
      </c>
      <c r="O1379" t="str">
        <f>IF(LEN(J1379),MATCH(J1379,'MPIO_SFIO Table'!$A$11:$A$65525,0)-1,"")</f>
        <v/>
      </c>
      <c r="P1379" t="str">
        <f>IF(LEN(K1379),MATCH(K1379,'MPIO_SFIO Table'!$A$11:$A$65525,0)-1,"")</f>
        <v/>
      </c>
      <c r="Q1379" t="str">
        <f>IF(LEN(L1379),MATCH(L1379,'MPIO_SFIO Table'!$A$11:$A$65525,0)-1,"")</f>
        <v/>
      </c>
      <c r="R1379" t="str">
        <f ca="1">IF(ISNUMBER(M1379),OFFSET('MPIO_SFIO Table'!$AJ$11,M1379,0),"")</f>
        <v/>
      </c>
      <c r="S1379" t="str">
        <f ca="1">IF(ISNUMBER(N1379),OFFSET('MPIO_SFIO Table'!$AJ$11,N1379,0),"")</f>
        <v/>
      </c>
      <c r="T1379" t="str">
        <f ca="1">IF(ISNUMBER(O1379),OFFSET('MPIO_SFIO Table'!$AJ$11,O1379,0),"")</f>
        <v/>
      </c>
      <c r="U1379" t="str">
        <f ca="1">IF(ISNUMBER(P1379),OFFSET('MPIO_SFIO Table'!$AJ$11,P1379,0),"")</f>
        <v/>
      </c>
      <c r="V1379" t="str">
        <f ca="1">IF(ISNUMBER(Q1379),OFFSET('MPIO_SFIO Table'!$AJ$11,Q1379,0),"")</f>
        <v/>
      </c>
      <c r="W1379">
        <f t="shared" ca="1" si="179"/>
        <v>0</v>
      </c>
      <c r="X1379">
        <f t="shared" ca="1" si="180"/>
        <v>0</v>
      </c>
      <c r="Y1379">
        <f t="shared" ca="1" si="181"/>
        <v>0</v>
      </c>
      <c r="Z1379">
        <f t="shared" ca="1" si="182"/>
        <v>0</v>
      </c>
      <c r="AA1379">
        <f t="shared" ca="1" si="183"/>
        <v>0</v>
      </c>
    </row>
    <row r="1380" spans="1:27" x14ac:dyDescent="0.25">
      <c r="A1380">
        <f t="shared" ca="1" si="176"/>
        <v>0</v>
      </c>
      <c r="B1380" t="str">
        <f t="shared" ca="1" si="177"/>
        <v/>
      </c>
      <c r="C1380" t="str">
        <f t="shared" si="178"/>
        <v/>
      </c>
      <c r="D1380" t="s">
        <v>253</v>
      </c>
      <c r="E1380" t="s">
        <v>253</v>
      </c>
      <c r="F1380" s="3" t="s">
        <v>253</v>
      </c>
      <c r="G1380" s="11" t="s">
        <v>253</v>
      </c>
      <c r="H1380" s="11" t="s">
        <v>253</v>
      </c>
      <c r="I1380" s="3" t="s">
        <v>253</v>
      </c>
      <c r="J1380" s="3" t="s">
        <v>253</v>
      </c>
      <c r="K1380" s="3" t="s">
        <v>253</v>
      </c>
      <c r="L1380" s="3" t="s">
        <v>253</v>
      </c>
      <c r="M1380" t="str">
        <f>IF(LEN(H1380),MATCH(H1380,'MPIO_SFIO Table'!$A$11:$A$65525,0)-1,"")</f>
        <v/>
      </c>
      <c r="N1380" t="str">
        <f>IF(LEN(I1380),MATCH(I1380,'MPIO_SFIO Table'!$A$11:$A$65525,0)-1,"")</f>
        <v/>
      </c>
      <c r="O1380" t="str">
        <f>IF(LEN(J1380),MATCH(J1380,'MPIO_SFIO Table'!$A$11:$A$65525,0)-1,"")</f>
        <v/>
      </c>
      <c r="P1380" t="str">
        <f>IF(LEN(K1380),MATCH(K1380,'MPIO_SFIO Table'!$A$11:$A$65525,0)-1,"")</f>
        <v/>
      </c>
      <c r="Q1380" t="str">
        <f>IF(LEN(L1380),MATCH(L1380,'MPIO_SFIO Table'!$A$11:$A$65525,0)-1,"")</f>
        <v/>
      </c>
      <c r="R1380" t="str">
        <f ca="1">IF(ISNUMBER(M1380),OFFSET('MPIO_SFIO Table'!$AJ$11,M1380,0),"")</f>
        <v/>
      </c>
      <c r="S1380" t="str">
        <f ca="1">IF(ISNUMBER(N1380),OFFSET('MPIO_SFIO Table'!$AJ$11,N1380,0),"")</f>
        <v/>
      </c>
      <c r="T1380" t="str">
        <f ca="1">IF(ISNUMBER(O1380),OFFSET('MPIO_SFIO Table'!$AJ$11,O1380,0),"")</f>
        <v/>
      </c>
      <c r="U1380" t="str">
        <f ca="1">IF(ISNUMBER(P1380),OFFSET('MPIO_SFIO Table'!$AJ$11,P1380,0),"")</f>
        <v/>
      </c>
      <c r="V1380" t="str">
        <f ca="1">IF(ISNUMBER(Q1380),OFFSET('MPIO_SFIO Table'!$AJ$11,Q1380,0),"")</f>
        <v/>
      </c>
      <c r="W1380">
        <f t="shared" ca="1" si="179"/>
        <v>0</v>
      </c>
      <c r="X1380">
        <f t="shared" ca="1" si="180"/>
        <v>0</v>
      </c>
      <c r="Y1380">
        <f t="shared" ca="1" si="181"/>
        <v>0</v>
      </c>
      <c r="Z1380">
        <f t="shared" ca="1" si="182"/>
        <v>0</v>
      </c>
      <c r="AA1380">
        <f t="shared" ca="1" si="183"/>
        <v>0</v>
      </c>
    </row>
    <row r="1381" spans="1:27" x14ac:dyDescent="0.25">
      <c r="A1381">
        <f t="shared" ca="1" si="176"/>
        <v>0</v>
      </c>
      <c r="B1381" t="str">
        <f t="shared" ca="1" si="177"/>
        <v/>
      </c>
      <c r="C1381" t="str">
        <f t="shared" si="178"/>
        <v/>
      </c>
      <c r="D1381" t="s">
        <v>253</v>
      </c>
      <c r="E1381" t="s">
        <v>253</v>
      </c>
      <c r="F1381" s="3" t="s">
        <v>253</v>
      </c>
      <c r="G1381" s="11" t="s">
        <v>253</v>
      </c>
      <c r="H1381" s="11" t="s">
        <v>253</v>
      </c>
      <c r="I1381" s="3" t="s">
        <v>253</v>
      </c>
      <c r="J1381" s="3" t="s">
        <v>253</v>
      </c>
      <c r="K1381" s="3" t="s">
        <v>253</v>
      </c>
      <c r="L1381" s="3" t="s">
        <v>253</v>
      </c>
      <c r="M1381" t="str">
        <f>IF(LEN(H1381),MATCH(H1381,'MPIO_SFIO Table'!$A$11:$A$65525,0)-1,"")</f>
        <v/>
      </c>
      <c r="N1381" t="str">
        <f>IF(LEN(I1381),MATCH(I1381,'MPIO_SFIO Table'!$A$11:$A$65525,0)-1,"")</f>
        <v/>
      </c>
      <c r="O1381" t="str">
        <f>IF(LEN(J1381),MATCH(J1381,'MPIO_SFIO Table'!$A$11:$A$65525,0)-1,"")</f>
        <v/>
      </c>
      <c r="P1381" t="str">
        <f>IF(LEN(K1381),MATCH(K1381,'MPIO_SFIO Table'!$A$11:$A$65525,0)-1,"")</f>
        <v/>
      </c>
      <c r="Q1381" t="str">
        <f>IF(LEN(L1381),MATCH(L1381,'MPIO_SFIO Table'!$A$11:$A$65525,0)-1,"")</f>
        <v/>
      </c>
      <c r="R1381" t="str">
        <f ca="1">IF(ISNUMBER(M1381),OFFSET('MPIO_SFIO Table'!$AJ$11,M1381,0),"")</f>
        <v/>
      </c>
      <c r="S1381" t="str">
        <f ca="1">IF(ISNUMBER(N1381),OFFSET('MPIO_SFIO Table'!$AJ$11,N1381,0),"")</f>
        <v/>
      </c>
      <c r="T1381" t="str">
        <f ca="1">IF(ISNUMBER(O1381),OFFSET('MPIO_SFIO Table'!$AJ$11,O1381,0),"")</f>
        <v/>
      </c>
      <c r="U1381" t="str">
        <f ca="1">IF(ISNUMBER(P1381),OFFSET('MPIO_SFIO Table'!$AJ$11,P1381,0),"")</f>
        <v/>
      </c>
      <c r="V1381" t="str">
        <f ca="1">IF(ISNUMBER(Q1381),OFFSET('MPIO_SFIO Table'!$AJ$11,Q1381,0),"")</f>
        <v/>
      </c>
      <c r="W1381">
        <f t="shared" ca="1" si="179"/>
        <v>0</v>
      </c>
      <c r="X1381">
        <f t="shared" ca="1" si="180"/>
        <v>0</v>
      </c>
      <c r="Y1381">
        <f t="shared" ca="1" si="181"/>
        <v>0</v>
      </c>
      <c r="Z1381">
        <f t="shared" ca="1" si="182"/>
        <v>0</v>
      </c>
      <c r="AA1381">
        <f t="shared" ca="1" si="183"/>
        <v>0</v>
      </c>
    </row>
    <row r="1382" spans="1:27" x14ac:dyDescent="0.25">
      <c r="A1382">
        <f t="shared" ca="1" si="176"/>
        <v>0</v>
      </c>
      <c r="B1382" t="str">
        <f t="shared" ca="1" si="177"/>
        <v/>
      </c>
      <c r="C1382" t="str">
        <f t="shared" si="178"/>
        <v/>
      </c>
      <c r="D1382" t="s">
        <v>253</v>
      </c>
      <c r="E1382" t="s">
        <v>253</v>
      </c>
      <c r="F1382" s="3" t="s">
        <v>253</v>
      </c>
      <c r="G1382" s="11" t="s">
        <v>253</v>
      </c>
      <c r="H1382" s="11" t="s">
        <v>253</v>
      </c>
      <c r="I1382" s="3" t="s">
        <v>253</v>
      </c>
      <c r="J1382" s="3" t="s">
        <v>253</v>
      </c>
      <c r="K1382" s="3" t="s">
        <v>253</v>
      </c>
      <c r="L1382" s="3" t="s">
        <v>253</v>
      </c>
      <c r="M1382" t="str">
        <f>IF(LEN(H1382),MATCH(H1382,'MPIO_SFIO Table'!$A$11:$A$65525,0)-1,"")</f>
        <v/>
      </c>
      <c r="N1382" t="str">
        <f>IF(LEN(I1382),MATCH(I1382,'MPIO_SFIO Table'!$A$11:$A$65525,0)-1,"")</f>
        <v/>
      </c>
      <c r="O1382" t="str">
        <f>IF(LEN(J1382),MATCH(J1382,'MPIO_SFIO Table'!$A$11:$A$65525,0)-1,"")</f>
        <v/>
      </c>
      <c r="P1382" t="str">
        <f>IF(LEN(K1382),MATCH(K1382,'MPIO_SFIO Table'!$A$11:$A$65525,0)-1,"")</f>
        <v/>
      </c>
      <c r="Q1382" t="str">
        <f>IF(LEN(L1382),MATCH(L1382,'MPIO_SFIO Table'!$A$11:$A$65525,0)-1,"")</f>
        <v/>
      </c>
      <c r="R1382" t="str">
        <f ca="1">IF(ISNUMBER(M1382),OFFSET('MPIO_SFIO Table'!$AJ$11,M1382,0),"")</f>
        <v/>
      </c>
      <c r="S1382" t="str">
        <f ca="1">IF(ISNUMBER(N1382),OFFSET('MPIO_SFIO Table'!$AJ$11,N1382,0),"")</f>
        <v/>
      </c>
      <c r="T1382" t="str">
        <f ca="1">IF(ISNUMBER(O1382),OFFSET('MPIO_SFIO Table'!$AJ$11,O1382,0),"")</f>
        <v/>
      </c>
      <c r="U1382" t="str">
        <f ca="1">IF(ISNUMBER(P1382),OFFSET('MPIO_SFIO Table'!$AJ$11,P1382,0),"")</f>
        <v/>
      </c>
      <c r="V1382" t="str">
        <f ca="1">IF(ISNUMBER(Q1382),OFFSET('MPIO_SFIO Table'!$AJ$11,Q1382,0),"")</f>
        <v/>
      </c>
      <c r="W1382">
        <f t="shared" ca="1" si="179"/>
        <v>0</v>
      </c>
      <c r="X1382">
        <f t="shared" ca="1" si="180"/>
        <v>0</v>
      </c>
      <c r="Y1382">
        <f t="shared" ca="1" si="181"/>
        <v>0</v>
      </c>
      <c r="Z1382">
        <f t="shared" ca="1" si="182"/>
        <v>0</v>
      </c>
      <c r="AA1382">
        <f t="shared" ca="1" si="183"/>
        <v>0</v>
      </c>
    </row>
    <row r="1383" spans="1:27" x14ac:dyDescent="0.25">
      <c r="A1383">
        <f t="shared" ca="1" si="176"/>
        <v>0</v>
      </c>
      <c r="B1383" t="str">
        <f t="shared" ca="1" si="177"/>
        <v/>
      </c>
      <c r="C1383" t="str">
        <f t="shared" si="178"/>
        <v/>
      </c>
      <c r="D1383" t="s">
        <v>253</v>
      </c>
      <c r="E1383" t="s">
        <v>253</v>
      </c>
      <c r="F1383" s="3" t="s">
        <v>253</v>
      </c>
      <c r="G1383" s="11" t="s">
        <v>253</v>
      </c>
      <c r="H1383" s="11" t="s">
        <v>253</v>
      </c>
      <c r="I1383" s="3" t="s">
        <v>253</v>
      </c>
      <c r="J1383" s="3" t="s">
        <v>253</v>
      </c>
      <c r="K1383" s="3" t="s">
        <v>253</v>
      </c>
      <c r="L1383" s="3" t="s">
        <v>253</v>
      </c>
      <c r="M1383" t="str">
        <f>IF(LEN(H1383),MATCH(H1383,'MPIO_SFIO Table'!$A$11:$A$65525,0)-1,"")</f>
        <v/>
      </c>
      <c r="N1383" t="str">
        <f>IF(LEN(I1383),MATCH(I1383,'MPIO_SFIO Table'!$A$11:$A$65525,0)-1,"")</f>
        <v/>
      </c>
      <c r="O1383" t="str">
        <f>IF(LEN(J1383),MATCH(J1383,'MPIO_SFIO Table'!$A$11:$A$65525,0)-1,"")</f>
        <v/>
      </c>
      <c r="P1383" t="str">
        <f>IF(LEN(K1383),MATCH(K1383,'MPIO_SFIO Table'!$A$11:$A$65525,0)-1,"")</f>
        <v/>
      </c>
      <c r="Q1383" t="str">
        <f>IF(LEN(L1383),MATCH(L1383,'MPIO_SFIO Table'!$A$11:$A$65525,0)-1,"")</f>
        <v/>
      </c>
      <c r="R1383" t="str">
        <f ca="1">IF(ISNUMBER(M1383),OFFSET('MPIO_SFIO Table'!$AJ$11,M1383,0),"")</f>
        <v/>
      </c>
      <c r="S1383" t="str">
        <f ca="1">IF(ISNUMBER(N1383),OFFSET('MPIO_SFIO Table'!$AJ$11,N1383,0),"")</f>
        <v/>
      </c>
      <c r="T1383" t="str">
        <f ca="1">IF(ISNUMBER(O1383),OFFSET('MPIO_SFIO Table'!$AJ$11,O1383,0),"")</f>
        <v/>
      </c>
      <c r="U1383" t="str">
        <f ca="1">IF(ISNUMBER(P1383),OFFSET('MPIO_SFIO Table'!$AJ$11,P1383,0),"")</f>
        <v/>
      </c>
      <c r="V1383" t="str">
        <f ca="1">IF(ISNUMBER(Q1383),OFFSET('MPIO_SFIO Table'!$AJ$11,Q1383,0),"")</f>
        <v/>
      </c>
      <c r="W1383">
        <f t="shared" ca="1" si="179"/>
        <v>0</v>
      </c>
      <c r="X1383">
        <f t="shared" ca="1" si="180"/>
        <v>0</v>
      </c>
      <c r="Y1383">
        <f t="shared" ca="1" si="181"/>
        <v>0</v>
      </c>
      <c r="Z1383">
        <f t="shared" ca="1" si="182"/>
        <v>0</v>
      </c>
      <c r="AA1383">
        <f t="shared" ca="1" si="183"/>
        <v>0</v>
      </c>
    </row>
    <row r="1384" spans="1:27" x14ac:dyDescent="0.25">
      <c r="A1384">
        <f t="shared" ca="1" si="176"/>
        <v>0</v>
      </c>
      <c r="B1384" t="str">
        <f t="shared" ca="1" si="177"/>
        <v/>
      </c>
      <c r="C1384" t="str">
        <f t="shared" si="178"/>
        <v/>
      </c>
      <c r="D1384" t="s">
        <v>253</v>
      </c>
      <c r="E1384" t="s">
        <v>253</v>
      </c>
      <c r="F1384" s="3" t="s">
        <v>253</v>
      </c>
      <c r="G1384" s="11" t="s">
        <v>253</v>
      </c>
      <c r="H1384" s="11" t="s">
        <v>253</v>
      </c>
      <c r="I1384" s="3" t="s">
        <v>253</v>
      </c>
      <c r="J1384" s="3" t="s">
        <v>253</v>
      </c>
      <c r="K1384" s="3" t="s">
        <v>253</v>
      </c>
      <c r="L1384" s="3" t="s">
        <v>253</v>
      </c>
      <c r="M1384" t="str">
        <f>IF(LEN(H1384),MATCH(H1384,'MPIO_SFIO Table'!$A$11:$A$65525,0)-1,"")</f>
        <v/>
      </c>
      <c r="N1384" t="str">
        <f>IF(LEN(I1384),MATCH(I1384,'MPIO_SFIO Table'!$A$11:$A$65525,0)-1,"")</f>
        <v/>
      </c>
      <c r="O1384" t="str">
        <f>IF(LEN(J1384),MATCH(J1384,'MPIO_SFIO Table'!$A$11:$A$65525,0)-1,"")</f>
        <v/>
      </c>
      <c r="P1384" t="str">
        <f>IF(LEN(K1384),MATCH(K1384,'MPIO_SFIO Table'!$A$11:$A$65525,0)-1,"")</f>
        <v/>
      </c>
      <c r="Q1384" t="str">
        <f>IF(LEN(L1384),MATCH(L1384,'MPIO_SFIO Table'!$A$11:$A$65525,0)-1,"")</f>
        <v/>
      </c>
      <c r="R1384" t="str">
        <f ca="1">IF(ISNUMBER(M1384),OFFSET('MPIO_SFIO Table'!$AJ$11,M1384,0),"")</f>
        <v/>
      </c>
      <c r="S1384" t="str">
        <f ca="1">IF(ISNUMBER(N1384),OFFSET('MPIO_SFIO Table'!$AJ$11,N1384,0),"")</f>
        <v/>
      </c>
      <c r="T1384" t="str">
        <f ca="1">IF(ISNUMBER(O1384),OFFSET('MPIO_SFIO Table'!$AJ$11,O1384,0),"")</f>
        <v/>
      </c>
      <c r="U1384" t="str">
        <f ca="1">IF(ISNUMBER(P1384),OFFSET('MPIO_SFIO Table'!$AJ$11,P1384,0),"")</f>
        <v/>
      </c>
      <c r="V1384" t="str">
        <f ca="1">IF(ISNUMBER(Q1384),OFFSET('MPIO_SFIO Table'!$AJ$11,Q1384,0),"")</f>
        <v/>
      </c>
      <c r="W1384">
        <f t="shared" ca="1" si="179"/>
        <v>0</v>
      </c>
      <c r="X1384">
        <f t="shared" ca="1" si="180"/>
        <v>0</v>
      </c>
      <c r="Y1384">
        <f t="shared" ca="1" si="181"/>
        <v>0</v>
      </c>
      <c r="Z1384">
        <f t="shared" ca="1" si="182"/>
        <v>0</v>
      </c>
      <c r="AA1384">
        <f t="shared" ca="1" si="183"/>
        <v>0</v>
      </c>
    </row>
    <row r="1385" spans="1:27" x14ac:dyDescent="0.25">
      <c r="A1385">
        <f t="shared" ca="1" si="176"/>
        <v>0</v>
      </c>
      <c r="B1385" t="str">
        <f t="shared" ca="1" si="177"/>
        <v/>
      </c>
      <c r="C1385" t="str">
        <f t="shared" si="178"/>
        <v/>
      </c>
      <c r="D1385" t="s">
        <v>253</v>
      </c>
      <c r="E1385" t="s">
        <v>253</v>
      </c>
      <c r="F1385" s="3" t="s">
        <v>253</v>
      </c>
      <c r="G1385" s="11" t="s">
        <v>253</v>
      </c>
      <c r="H1385" s="11" t="s">
        <v>253</v>
      </c>
      <c r="I1385" s="3" t="s">
        <v>253</v>
      </c>
      <c r="J1385" s="3" t="s">
        <v>253</v>
      </c>
      <c r="K1385" s="3" t="s">
        <v>253</v>
      </c>
      <c r="L1385" s="3" t="s">
        <v>253</v>
      </c>
      <c r="M1385" t="str">
        <f>IF(LEN(H1385),MATCH(H1385,'MPIO_SFIO Table'!$A$11:$A$65525,0)-1,"")</f>
        <v/>
      </c>
      <c r="N1385" t="str">
        <f>IF(LEN(I1385),MATCH(I1385,'MPIO_SFIO Table'!$A$11:$A$65525,0)-1,"")</f>
        <v/>
      </c>
      <c r="O1385" t="str">
        <f>IF(LEN(J1385),MATCH(J1385,'MPIO_SFIO Table'!$A$11:$A$65525,0)-1,"")</f>
        <v/>
      </c>
      <c r="P1385" t="str">
        <f>IF(LEN(K1385),MATCH(K1385,'MPIO_SFIO Table'!$A$11:$A$65525,0)-1,"")</f>
        <v/>
      </c>
      <c r="Q1385" t="str">
        <f>IF(LEN(L1385),MATCH(L1385,'MPIO_SFIO Table'!$A$11:$A$65525,0)-1,"")</f>
        <v/>
      </c>
      <c r="R1385" t="str">
        <f ca="1">IF(ISNUMBER(M1385),OFFSET('MPIO_SFIO Table'!$AJ$11,M1385,0),"")</f>
        <v/>
      </c>
      <c r="S1385" t="str">
        <f ca="1">IF(ISNUMBER(N1385),OFFSET('MPIO_SFIO Table'!$AJ$11,N1385,0),"")</f>
        <v/>
      </c>
      <c r="T1385" t="str">
        <f ca="1">IF(ISNUMBER(O1385),OFFSET('MPIO_SFIO Table'!$AJ$11,O1385,0),"")</f>
        <v/>
      </c>
      <c r="U1385" t="str">
        <f ca="1">IF(ISNUMBER(P1385),OFFSET('MPIO_SFIO Table'!$AJ$11,P1385,0),"")</f>
        <v/>
      </c>
      <c r="V1385" t="str">
        <f ca="1">IF(ISNUMBER(Q1385),OFFSET('MPIO_SFIO Table'!$AJ$11,Q1385,0),"")</f>
        <v/>
      </c>
      <c r="W1385">
        <f t="shared" ca="1" si="179"/>
        <v>0</v>
      </c>
      <c r="X1385">
        <f t="shared" ca="1" si="180"/>
        <v>0</v>
      </c>
      <c r="Y1385">
        <f t="shared" ca="1" si="181"/>
        <v>0</v>
      </c>
      <c r="Z1385">
        <f t="shared" ca="1" si="182"/>
        <v>0</v>
      </c>
      <c r="AA1385">
        <f t="shared" ca="1" si="183"/>
        <v>0</v>
      </c>
    </row>
    <row r="1386" spans="1:27" x14ac:dyDescent="0.25">
      <c r="A1386">
        <f t="shared" ca="1" si="176"/>
        <v>0</v>
      </c>
      <c r="B1386" t="str">
        <f t="shared" ca="1" si="177"/>
        <v/>
      </c>
      <c r="C1386" t="str">
        <f t="shared" si="178"/>
        <v/>
      </c>
      <c r="D1386" t="s">
        <v>253</v>
      </c>
      <c r="E1386" t="s">
        <v>253</v>
      </c>
      <c r="F1386" s="3" t="s">
        <v>253</v>
      </c>
      <c r="G1386" s="11" t="s">
        <v>253</v>
      </c>
      <c r="H1386" s="11" t="s">
        <v>253</v>
      </c>
      <c r="I1386" s="3" t="s">
        <v>253</v>
      </c>
      <c r="J1386" s="3" t="s">
        <v>253</v>
      </c>
      <c r="K1386" s="3" t="s">
        <v>253</v>
      </c>
      <c r="L1386" s="3" t="s">
        <v>253</v>
      </c>
      <c r="M1386" t="str">
        <f>IF(LEN(H1386),MATCH(H1386,'MPIO_SFIO Table'!$A$11:$A$65525,0)-1,"")</f>
        <v/>
      </c>
      <c r="N1386" t="str">
        <f>IF(LEN(I1386),MATCH(I1386,'MPIO_SFIO Table'!$A$11:$A$65525,0)-1,"")</f>
        <v/>
      </c>
      <c r="O1386" t="str">
        <f>IF(LEN(J1386),MATCH(J1386,'MPIO_SFIO Table'!$A$11:$A$65525,0)-1,"")</f>
        <v/>
      </c>
      <c r="P1386" t="str">
        <f>IF(LEN(K1386),MATCH(K1386,'MPIO_SFIO Table'!$A$11:$A$65525,0)-1,"")</f>
        <v/>
      </c>
      <c r="Q1386" t="str">
        <f>IF(LEN(L1386),MATCH(L1386,'MPIO_SFIO Table'!$A$11:$A$65525,0)-1,"")</f>
        <v/>
      </c>
      <c r="R1386" t="str">
        <f ca="1">IF(ISNUMBER(M1386),OFFSET('MPIO_SFIO Table'!$AJ$11,M1386,0),"")</f>
        <v/>
      </c>
      <c r="S1386" t="str">
        <f ca="1">IF(ISNUMBER(N1386),OFFSET('MPIO_SFIO Table'!$AJ$11,N1386,0),"")</f>
        <v/>
      </c>
      <c r="T1386" t="str">
        <f ca="1">IF(ISNUMBER(O1386),OFFSET('MPIO_SFIO Table'!$AJ$11,O1386,0),"")</f>
        <v/>
      </c>
      <c r="U1386" t="str">
        <f ca="1">IF(ISNUMBER(P1386),OFFSET('MPIO_SFIO Table'!$AJ$11,P1386,0),"")</f>
        <v/>
      </c>
      <c r="V1386" t="str">
        <f ca="1">IF(ISNUMBER(Q1386),OFFSET('MPIO_SFIO Table'!$AJ$11,Q1386,0),"")</f>
        <v/>
      </c>
      <c r="W1386">
        <f t="shared" ca="1" si="179"/>
        <v>0</v>
      </c>
      <c r="X1386">
        <f t="shared" ca="1" si="180"/>
        <v>0</v>
      </c>
      <c r="Y1386">
        <f t="shared" ca="1" si="181"/>
        <v>0</v>
      </c>
      <c r="Z1386">
        <f t="shared" ca="1" si="182"/>
        <v>0</v>
      </c>
      <c r="AA1386">
        <f t="shared" ca="1" si="183"/>
        <v>0</v>
      </c>
    </row>
    <row r="1387" spans="1:27" x14ac:dyDescent="0.25">
      <c r="A1387">
        <f t="shared" ca="1" si="176"/>
        <v>0</v>
      </c>
      <c r="B1387" t="str">
        <f t="shared" ca="1" si="177"/>
        <v/>
      </c>
      <c r="C1387" t="str">
        <f t="shared" si="178"/>
        <v/>
      </c>
      <c r="D1387" t="s">
        <v>253</v>
      </c>
      <c r="E1387" t="s">
        <v>253</v>
      </c>
      <c r="F1387" s="3" t="s">
        <v>253</v>
      </c>
      <c r="G1387" s="11" t="s">
        <v>253</v>
      </c>
      <c r="H1387" s="11" t="s">
        <v>253</v>
      </c>
      <c r="I1387" s="3" t="s">
        <v>253</v>
      </c>
      <c r="J1387" s="3" t="s">
        <v>253</v>
      </c>
      <c r="K1387" s="3" t="s">
        <v>253</v>
      </c>
      <c r="L1387" s="3" t="s">
        <v>253</v>
      </c>
      <c r="M1387" t="str">
        <f>IF(LEN(H1387),MATCH(H1387,'MPIO_SFIO Table'!$A$11:$A$65525,0)-1,"")</f>
        <v/>
      </c>
      <c r="N1387" t="str">
        <f>IF(LEN(I1387),MATCH(I1387,'MPIO_SFIO Table'!$A$11:$A$65525,0)-1,"")</f>
        <v/>
      </c>
      <c r="O1387" t="str">
        <f>IF(LEN(J1387),MATCH(J1387,'MPIO_SFIO Table'!$A$11:$A$65525,0)-1,"")</f>
        <v/>
      </c>
      <c r="P1387" t="str">
        <f>IF(LEN(K1387),MATCH(K1387,'MPIO_SFIO Table'!$A$11:$A$65525,0)-1,"")</f>
        <v/>
      </c>
      <c r="Q1387" t="str">
        <f>IF(LEN(L1387),MATCH(L1387,'MPIO_SFIO Table'!$A$11:$A$65525,0)-1,"")</f>
        <v/>
      </c>
      <c r="R1387" t="str">
        <f ca="1">IF(ISNUMBER(M1387),OFFSET('MPIO_SFIO Table'!$AJ$11,M1387,0),"")</f>
        <v/>
      </c>
      <c r="S1387" t="str">
        <f ca="1">IF(ISNUMBER(N1387),OFFSET('MPIO_SFIO Table'!$AJ$11,N1387,0),"")</f>
        <v/>
      </c>
      <c r="T1387" t="str">
        <f ca="1">IF(ISNUMBER(O1387),OFFSET('MPIO_SFIO Table'!$AJ$11,O1387,0),"")</f>
        <v/>
      </c>
      <c r="U1387" t="str">
        <f ca="1">IF(ISNUMBER(P1387),OFFSET('MPIO_SFIO Table'!$AJ$11,P1387,0),"")</f>
        <v/>
      </c>
      <c r="V1387" t="str">
        <f ca="1">IF(ISNUMBER(Q1387),OFFSET('MPIO_SFIO Table'!$AJ$11,Q1387,0),"")</f>
        <v/>
      </c>
      <c r="W1387">
        <f t="shared" ca="1" si="179"/>
        <v>0</v>
      </c>
      <c r="X1387">
        <f t="shared" ca="1" si="180"/>
        <v>0</v>
      </c>
      <c r="Y1387">
        <f t="shared" ca="1" si="181"/>
        <v>0</v>
      </c>
      <c r="Z1387">
        <f t="shared" ca="1" si="182"/>
        <v>0</v>
      </c>
      <c r="AA1387">
        <f t="shared" ca="1" si="183"/>
        <v>0</v>
      </c>
    </row>
    <row r="1388" spans="1:27" x14ac:dyDescent="0.25">
      <c r="A1388">
        <f t="shared" ca="1" si="176"/>
        <v>0</v>
      </c>
      <c r="B1388" t="str">
        <f t="shared" ca="1" si="177"/>
        <v/>
      </c>
      <c r="C1388" t="str">
        <f t="shared" si="178"/>
        <v/>
      </c>
      <c r="D1388" t="s">
        <v>253</v>
      </c>
      <c r="E1388" t="s">
        <v>253</v>
      </c>
      <c r="F1388" s="3" t="s">
        <v>253</v>
      </c>
      <c r="G1388" s="11" t="s">
        <v>253</v>
      </c>
      <c r="H1388" s="11" t="s">
        <v>253</v>
      </c>
      <c r="I1388" s="3" t="s">
        <v>253</v>
      </c>
      <c r="J1388" s="3" t="s">
        <v>253</v>
      </c>
      <c r="K1388" s="3" t="s">
        <v>253</v>
      </c>
      <c r="L1388" s="3" t="s">
        <v>253</v>
      </c>
      <c r="M1388" t="str">
        <f>IF(LEN(H1388),MATCH(H1388,'MPIO_SFIO Table'!$A$11:$A$65525,0)-1,"")</f>
        <v/>
      </c>
      <c r="N1388" t="str">
        <f>IF(LEN(I1388),MATCH(I1388,'MPIO_SFIO Table'!$A$11:$A$65525,0)-1,"")</f>
        <v/>
      </c>
      <c r="O1388" t="str">
        <f>IF(LEN(J1388),MATCH(J1388,'MPIO_SFIO Table'!$A$11:$A$65525,0)-1,"")</f>
        <v/>
      </c>
      <c r="P1388" t="str">
        <f>IF(LEN(K1388),MATCH(K1388,'MPIO_SFIO Table'!$A$11:$A$65525,0)-1,"")</f>
        <v/>
      </c>
      <c r="Q1388" t="str">
        <f>IF(LEN(L1388),MATCH(L1388,'MPIO_SFIO Table'!$A$11:$A$65525,0)-1,"")</f>
        <v/>
      </c>
      <c r="R1388" t="str">
        <f ca="1">IF(ISNUMBER(M1388),OFFSET('MPIO_SFIO Table'!$AJ$11,M1388,0),"")</f>
        <v/>
      </c>
      <c r="S1388" t="str">
        <f ca="1">IF(ISNUMBER(N1388),OFFSET('MPIO_SFIO Table'!$AJ$11,N1388,0),"")</f>
        <v/>
      </c>
      <c r="T1388" t="str">
        <f ca="1">IF(ISNUMBER(O1388),OFFSET('MPIO_SFIO Table'!$AJ$11,O1388,0),"")</f>
        <v/>
      </c>
      <c r="U1388" t="str">
        <f ca="1">IF(ISNUMBER(P1388),OFFSET('MPIO_SFIO Table'!$AJ$11,P1388,0),"")</f>
        <v/>
      </c>
      <c r="V1388" t="str">
        <f ca="1">IF(ISNUMBER(Q1388),OFFSET('MPIO_SFIO Table'!$AJ$11,Q1388,0),"")</f>
        <v/>
      </c>
      <c r="W1388">
        <f t="shared" ca="1" si="179"/>
        <v>0</v>
      </c>
      <c r="X1388">
        <f t="shared" ca="1" si="180"/>
        <v>0</v>
      </c>
      <c r="Y1388">
        <f t="shared" ca="1" si="181"/>
        <v>0</v>
      </c>
      <c r="Z1388">
        <f t="shared" ca="1" si="182"/>
        <v>0</v>
      </c>
      <c r="AA1388">
        <f t="shared" ca="1" si="183"/>
        <v>0</v>
      </c>
    </row>
    <row r="1389" spans="1:27" x14ac:dyDescent="0.25">
      <c r="A1389">
        <f t="shared" ca="1" si="176"/>
        <v>0</v>
      </c>
      <c r="B1389" t="str">
        <f t="shared" ca="1" si="177"/>
        <v/>
      </c>
      <c r="C1389" t="str">
        <f t="shared" si="178"/>
        <v/>
      </c>
      <c r="D1389" t="s">
        <v>253</v>
      </c>
      <c r="E1389" t="s">
        <v>253</v>
      </c>
      <c r="F1389" s="3" t="s">
        <v>253</v>
      </c>
      <c r="G1389" s="11" t="s">
        <v>253</v>
      </c>
      <c r="H1389" s="11" t="s">
        <v>253</v>
      </c>
      <c r="I1389" s="3" t="s">
        <v>253</v>
      </c>
      <c r="J1389" s="3" t="s">
        <v>253</v>
      </c>
      <c r="K1389" s="3" t="s">
        <v>253</v>
      </c>
      <c r="L1389" s="3" t="s">
        <v>253</v>
      </c>
      <c r="M1389" t="str">
        <f>IF(LEN(H1389),MATCH(H1389,'MPIO_SFIO Table'!$A$11:$A$65525,0)-1,"")</f>
        <v/>
      </c>
      <c r="N1389" t="str">
        <f>IF(LEN(I1389),MATCH(I1389,'MPIO_SFIO Table'!$A$11:$A$65525,0)-1,"")</f>
        <v/>
      </c>
      <c r="O1389" t="str">
        <f>IF(LEN(J1389),MATCH(J1389,'MPIO_SFIO Table'!$A$11:$A$65525,0)-1,"")</f>
        <v/>
      </c>
      <c r="P1389" t="str">
        <f>IF(LEN(K1389),MATCH(K1389,'MPIO_SFIO Table'!$A$11:$A$65525,0)-1,"")</f>
        <v/>
      </c>
      <c r="Q1389" t="str">
        <f>IF(LEN(L1389),MATCH(L1389,'MPIO_SFIO Table'!$A$11:$A$65525,0)-1,"")</f>
        <v/>
      </c>
      <c r="R1389" t="str">
        <f ca="1">IF(ISNUMBER(M1389),OFFSET('MPIO_SFIO Table'!$AJ$11,M1389,0),"")</f>
        <v/>
      </c>
      <c r="S1389" t="str">
        <f ca="1">IF(ISNUMBER(N1389),OFFSET('MPIO_SFIO Table'!$AJ$11,N1389,0),"")</f>
        <v/>
      </c>
      <c r="T1389" t="str">
        <f ca="1">IF(ISNUMBER(O1389),OFFSET('MPIO_SFIO Table'!$AJ$11,O1389,0),"")</f>
        <v/>
      </c>
      <c r="U1389" t="str">
        <f ca="1">IF(ISNUMBER(P1389),OFFSET('MPIO_SFIO Table'!$AJ$11,P1389,0),"")</f>
        <v/>
      </c>
      <c r="V1389" t="str">
        <f ca="1">IF(ISNUMBER(Q1389),OFFSET('MPIO_SFIO Table'!$AJ$11,Q1389,0),"")</f>
        <v/>
      </c>
      <c r="W1389">
        <f t="shared" ca="1" si="179"/>
        <v>0</v>
      </c>
      <c r="X1389">
        <f t="shared" ca="1" si="180"/>
        <v>0</v>
      </c>
      <c r="Y1389">
        <f t="shared" ca="1" si="181"/>
        <v>0</v>
      </c>
      <c r="Z1389">
        <f t="shared" ca="1" si="182"/>
        <v>0</v>
      </c>
      <c r="AA1389">
        <f t="shared" ca="1" si="183"/>
        <v>0</v>
      </c>
    </row>
    <row r="1390" spans="1:27" x14ac:dyDescent="0.25">
      <c r="A1390">
        <f t="shared" ca="1" si="176"/>
        <v>0</v>
      </c>
      <c r="B1390" t="str">
        <f t="shared" ca="1" si="177"/>
        <v/>
      </c>
      <c r="C1390" t="str">
        <f t="shared" si="178"/>
        <v/>
      </c>
      <c r="D1390" t="s">
        <v>253</v>
      </c>
      <c r="E1390" t="s">
        <v>253</v>
      </c>
      <c r="F1390" s="3" t="s">
        <v>253</v>
      </c>
      <c r="G1390" s="11" t="s">
        <v>253</v>
      </c>
      <c r="H1390" s="11" t="s">
        <v>253</v>
      </c>
      <c r="I1390" s="3" t="s">
        <v>253</v>
      </c>
      <c r="J1390" s="3" t="s">
        <v>253</v>
      </c>
      <c r="K1390" s="3" t="s">
        <v>253</v>
      </c>
      <c r="L1390" s="3" t="s">
        <v>253</v>
      </c>
      <c r="M1390" t="str">
        <f>IF(LEN(H1390),MATCH(H1390,'MPIO_SFIO Table'!$A$11:$A$65525,0)-1,"")</f>
        <v/>
      </c>
      <c r="N1390" t="str">
        <f>IF(LEN(I1390),MATCH(I1390,'MPIO_SFIO Table'!$A$11:$A$65525,0)-1,"")</f>
        <v/>
      </c>
      <c r="O1390" t="str">
        <f>IF(LEN(J1390),MATCH(J1390,'MPIO_SFIO Table'!$A$11:$A$65525,0)-1,"")</f>
        <v/>
      </c>
      <c r="P1390" t="str">
        <f>IF(LEN(K1390),MATCH(K1390,'MPIO_SFIO Table'!$A$11:$A$65525,0)-1,"")</f>
        <v/>
      </c>
      <c r="Q1390" t="str">
        <f>IF(LEN(L1390),MATCH(L1390,'MPIO_SFIO Table'!$A$11:$A$65525,0)-1,"")</f>
        <v/>
      </c>
      <c r="R1390" t="str">
        <f ca="1">IF(ISNUMBER(M1390),OFFSET('MPIO_SFIO Table'!$AJ$11,M1390,0),"")</f>
        <v/>
      </c>
      <c r="S1390" t="str">
        <f ca="1">IF(ISNUMBER(N1390),OFFSET('MPIO_SFIO Table'!$AJ$11,N1390,0),"")</f>
        <v/>
      </c>
      <c r="T1390" t="str">
        <f ca="1">IF(ISNUMBER(O1390),OFFSET('MPIO_SFIO Table'!$AJ$11,O1390,0),"")</f>
        <v/>
      </c>
      <c r="U1390" t="str">
        <f ca="1">IF(ISNUMBER(P1390),OFFSET('MPIO_SFIO Table'!$AJ$11,P1390,0),"")</f>
        <v/>
      </c>
      <c r="V1390" t="str">
        <f ca="1">IF(ISNUMBER(Q1390),OFFSET('MPIO_SFIO Table'!$AJ$11,Q1390,0),"")</f>
        <v/>
      </c>
      <c r="W1390">
        <f t="shared" ca="1" si="179"/>
        <v>0</v>
      </c>
      <c r="X1390">
        <f t="shared" ca="1" si="180"/>
        <v>0</v>
      </c>
      <c r="Y1390">
        <f t="shared" ca="1" si="181"/>
        <v>0</v>
      </c>
      <c r="Z1390">
        <f t="shared" ca="1" si="182"/>
        <v>0</v>
      </c>
      <c r="AA1390">
        <f t="shared" ca="1" si="183"/>
        <v>0</v>
      </c>
    </row>
    <row r="1391" spans="1:27" x14ac:dyDescent="0.25">
      <c r="A1391">
        <f t="shared" ca="1" si="176"/>
        <v>0</v>
      </c>
      <c r="B1391" t="str">
        <f t="shared" ca="1" si="177"/>
        <v/>
      </c>
      <c r="C1391" t="str">
        <f t="shared" si="178"/>
        <v/>
      </c>
      <c r="D1391" t="s">
        <v>253</v>
      </c>
      <c r="E1391" t="s">
        <v>253</v>
      </c>
      <c r="F1391" s="3" t="s">
        <v>253</v>
      </c>
      <c r="G1391" s="11" t="s">
        <v>253</v>
      </c>
      <c r="H1391" s="11" t="s">
        <v>253</v>
      </c>
      <c r="I1391" s="3" t="s">
        <v>253</v>
      </c>
      <c r="J1391" s="3" t="s">
        <v>253</v>
      </c>
      <c r="K1391" s="3" t="s">
        <v>253</v>
      </c>
      <c r="L1391" s="3" t="s">
        <v>253</v>
      </c>
      <c r="M1391" t="str">
        <f>IF(LEN(H1391),MATCH(H1391,'MPIO_SFIO Table'!$A$11:$A$65525,0)-1,"")</f>
        <v/>
      </c>
      <c r="N1391" t="str">
        <f>IF(LEN(I1391),MATCH(I1391,'MPIO_SFIO Table'!$A$11:$A$65525,0)-1,"")</f>
        <v/>
      </c>
      <c r="O1391" t="str">
        <f>IF(LEN(J1391),MATCH(J1391,'MPIO_SFIO Table'!$A$11:$A$65525,0)-1,"")</f>
        <v/>
      </c>
      <c r="P1391" t="str">
        <f>IF(LEN(K1391),MATCH(K1391,'MPIO_SFIO Table'!$A$11:$A$65525,0)-1,"")</f>
        <v/>
      </c>
      <c r="Q1391" t="str">
        <f>IF(LEN(L1391),MATCH(L1391,'MPIO_SFIO Table'!$A$11:$A$65525,0)-1,"")</f>
        <v/>
      </c>
      <c r="R1391" t="str">
        <f ca="1">IF(ISNUMBER(M1391),OFFSET('MPIO_SFIO Table'!$AJ$11,M1391,0),"")</f>
        <v/>
      </c>
      <c r="S1391" t="str">
        <f ca="1">IF(ISNUMBER(N1391),OFFSET('MPIO_SFIO Table'!$AJ$11,N1391,0),"")</f>
        <v/>
      </c>
      <c r="T1391" t="str">
        <f ca="1">IF(ISNUMBER(O1391),OFFSET('MPIO_SFIO Table'!$AJ$11,O1391,0),"")</f>
        <v/>
      </c>
      <c r="U1391" t="str">
        <f ca="1">IF(ISNUMBER(P1391),OFFSET('MPIO_SFIO Table'!$AJ$11,P1391,0),"")</f>
        <v/>
      </c>
      <c r="V1391" t="str">
        <f ca="1">IF(ISNUMBER(Q1391),OFFSET('MPIO_SFIO Table'!$AJ$11,Q1391,0),"")</f>
        <v/>
      </c>
      <c r="W1391">
        <f t="shared" ca="1" si="179"/>
        <v>0</v>
      </c>
      <c r="X1391">
        <f t="shared" ca="1" si="180"/>
        <v>0</v>
      </c>
      <c r="Y1391">
        <f t="shared" ca="1" si="181"/>
        <v>0</v>
      </c>
      <c r="Z1391">
        <f t="shared" ca="1" si="182"/>
        <v>0</v>
      </c>
      <c r="AA1391">
        <f t="shared" ca="1" si="183"/>
        <v>0</v>
      </c>
    </row>
    <row r="1392" spans="1:27" x14ac:dyDescent="0.25">
      <c r="A1392">
        <f t="shared" ca="1" si="176"/>
        <v>0</v>
      </c>
      <c r="B1392" t="str">
        <f t="shared" ca="1" si="177"/>
        <v/>
      </c>
      <c r="C1392" t="str">
        <f t="shared" si="178"/>
        <v/>
      </c>
      <c r="D1392" t="s">
        <v>253</v>
      </c>
      <c r="E1392" t="s">
        <v>253</v>
      </c>
      <c r="F1392" s="3" t="s">
        <v>253</v>
      </c>
      <c r="G1392" s="11" t="s">
        <v>253</v>
      </c>
      <c r="H1392" s="11" t="s">
        <v>253</v>
      </c>
      <c r="I1392" s="3" t="s">
        <v>253</v>
      </c>
      <c r="J1392" s="3" t="s">
        <v>253</v>
      </c>
      <c r="K1392" s="3" t="s">
        <v>253</v>
      </c>
      <c r="L1392" s="3" t="s">
        <v>253</v>
      </c>
      <c r="M1392" t="str">
        <f>IF(LEN(H1392),MATCH(H1392,'MPIO_SFIO Table'!$A$11:$A$65525,0)-1,"")</f>
        <v/>
      </c>
      <c r="N1392" t="str">
        <f>IF(LEN(I1392),MATCH(I1392,'MPIO_SFIO Table'!$A$11:$A$65525,0)-1,"")</f>
        <v/>
      </c>
      <c r="O1392" t="str">
        <f>IF(LEN(J1392),MATCH(J1392,'MPIO_SFIO Table'!$A$11:$A$65525,0)-1,"")</f>
        <v/>
      </c>
      <c r="P1392" t="str">
        <f>IF(LEN(K1392),MATCH(K1392,'MPIO_SFIO Table'!$A$11:$A$65525,0)-1,"")</f>
        <v/>
      </c>
      <c r="Q1392" t="str">
        <f>IF(LEN(L1392),MATCH(L1392,'MPIO_SFIO Table'!$A$11:$A$65525,0)-1,"")</f>
        <v/>
      </c>
      <c r="R1392" t="str">
        <f ca="1">IF(ISNUMBER(M1392),OFFSET('MPIO_SFIO Table'!$AJ$11,M1392,0),"")</f>
        <v/>
      </c>
      <c r="S1392" t="str">
        <f ca="1">IF(ISNUMBER(N1392),OFFSET('MPIO_SFIO Table'!$AJ$11,N1392,0),"")</f>
        <v/>
      </c>
      <c r="T1392" t="str">
        <f ca="1">IF(ISNUMBER(O1392),OFFSET('MPIO_SFIO Table'!$AJ$11,O1392,0),"")</f>
        <v/>
      </c>
      <c r="U1392" t="str">
        <f ca="1">IF(ISNUMBER(P1392),OFFSET('MPIO_SFIO Table'!$AJ$11,P1392,0),"")</f>
        <v/>
      </c>
      <c r="V1392" t="str">
        <f ca="1">IF(ISNUMBER(Q1392),OFFSET('MPIO_SFIO Table'!$AJ$11,Q1392,0),"")</f>
        <v/>
      </c>
      <c r="W1392">
        <f t="shared" ca="1" si="179"/>
        <v>0</v>
      </c>
      <c r="X1392">
        <f t="shared" ca="1" si="180"/>
        <v>0</v>
      </c>
      <c r="Y1392">
        <f t="shared" ca="1" si="181"/>
        <v>0</v>
      </c>
      <c r="Z1392">
        <f t="shared" ca="1" si="182"/>
        <v>0</v>
      </c>
      <c r="AA1392">
        <f t="shared" ca="1" si="183"/>
        <v>0</v>
      </c>
    </row>
    <row r="1393" spans="1:27" x14ac:dyDescent="0.25">
      <c r="A1393">
        <f t="shared" ca="1" si="176"/>
        <v>0</v>
      </c>
      <c r="B1393" t="str">
        <f t="shared" ca="1" si="177"/>
        <v/>
      </c>
      <c r="C1393" t="str">
        <f t="shared" si="178"/>
        <v/>
      </c>
      <c r="D1393" t="s">
        <v>253</v>
      </c>
      <c r="E1393" t="s">
        <v>253</v>
      </c>
      <c r="F1393" s="3" t="s">
        <v>253</v>
      </c>
      <c r="G1393" s="11" t="s">
        <v>253</v>
      </c>
      <c r="H1393" s="11" t="s">
        <v>253</v>
      </c>
      <c r="I1393" s="3" t="s">
        <v>253</v>
      </c>
      <c r="J1393" s="3" t="s">
        <v>253</v>
      </c>
      <c r="K1393" s="3" t="s">
        <v>253</v>
      </c>
      <c r="L1393" s="3" t="s">
        <v>253</v>
      </c>
      <c r="M1393" t="str">
        <f>IF(LEN(H1393),MATCH(H1393,'MPIO_SFIO Table'!$A$11:$A$65525,0)-1,"")</f>
        <v/>
      </c>
      <c r="N1393" t="str">
        <f>IF(LEN(I1393),MATCH(I1393,'MPIO_SFIO Table'!$A$11:$A$65525,0)-1,"")</f>
        <v/>
      </c>
      <c r="O1393" t="str">
        <f>IF(LEN(J1393),MATCH(J1393,'MPIO_SFIO Table'!$A$11:$A$65525,0)-1,"")</f>
        <v/>
      </c>
      <c r="P1393" t="str">
        <f>IF(LEN(K1393),MATCH(K1393,'MPIO_SFIO Table'!$A$11:$A$65525,0)-1,"")</f>
        <v/>
      </c>
      <c r="Q1393" t="str">
        <f>IF(LEN(L1393),MATCH(L1393,'MPIO_SFIO Table'!$A$11:$A$65525,0)-1,"")</f>
        <v/>
      </c>
      <c r="R1393" t="str">
        <f ca="1">IF(ISNUMBER(M1393),OFFSET('MPIO_SFIO Table'!$AJ$11,M1393,0),"")</f>
        <v/>
      </c>
      <c r="S1393" t="str">
        <f ca="1">IF(ISNUMBER(N1393),OFFSET('MPIO_SFIO Table'!$AJ$11,N1393,0),"")</f>
        <v/>
      </c>
      <c r="T1393" t="str">
        <f ca="1">IF(ISNUMBER(O1393),OFFSET('MPIO_SFIO Table'!$AJ$11,O1393,0),"")</f>
        <v/>
      </c>
      <c r="U1393" t="str">
        <f ca="1">IF(ISNUMBER(P1393),OFFSET('MPIO_SFIO Table'!$AJ$11,P1393,0),"")</f>
        <v/>
      </c>
      <c r="V1393" t="str">
        <f ca="1">IF(ISNUMBER(Q1393),OFFSET('MPIO_SFIO Table'!$AJ$11,Q1393,0),"")</f>
        <v/>
      </c>
      <c r="W1393">
        <f t="shared" ca="1" si="179"/>
        <v>0</v>
      </c>
      <c r="X1393">
        <f t="shared" ca="1" si="180"/>
        <v>0</v>
      </c>
      <c r="Y1393">
        <f t="shared" ca="1" si="181"/>
        <v>0</v>
      </c>
      <c r="Z1393">
        <f t="shared" ca="1" si="182"/>
        <v>0</v>
      </c>
      <c r="AA1393">
        <f t="shared" ca="1" si="183"/>
        <v>0</v>
      </c>
    </row>
    <row r="1394" spans="1:27" x14ac:dyDescent="0.25">
      <c r="A1394">
        <f t="shared" ca="1" si="176"/>
        <v>0</v>
      </c>
      <c r="B1394" t="str">
        <f t="shared" ca="1" si="177"/>
        <v/>
      </c>
      <c r="C1394" t="str">
        <f t="shared" si="178"/>
        <v/>
      </c>
      <c r="D1394" t="s">
        <v>253</v>
      </c>
      <c r="E1394" t="s">
        <v>253</v>
      </c>
      <c r="F1394" s="3" t="s">
        <v>253</v>
      </c>
      <c r="G1394" s="11" t="s">
        <v>253</v>
      </c>
      <c r="H1394" s="11" t="s">
        <v>253</v>
      </c>
      <c r="I1394" s="3" t="s">
        <v>253</v>
      </c>
      <c r="J1394" s="3" t="s">
        <v>253</v>
      </c>
      <c r="K1394" s="3" t="s">
        <v>253</v>
      </c>
      <c r="L1394" s="3" t="s">
        <v>253</v>
      </c>
      <c r="M1394" t="str">
        <f>IF(LEN(H1394),MATCH(H1394,'MPIO_SFIO Table'!$A$11:$A$65525,0)-1,"")</f>
        <v/>
      </c>
      <c r="N1394" t="str">
        <f>IF(LEN(I1394),MATCH(I1394,'MPIO_SFIO Table'!$A$11:$A$65525,0)-1,"")</f>
        <v/>
      </c>
      <c r="O1394" t="str">
        <f>IF(LEN(J1394),MATCH(J1394,'MPIO_SFIO Table'!$A$11:$A$65525,0)-1,"")</f>
        <v/>
      </c>
      <c r="P1394" t="str">
        <f>IF(LEN(K1394),MATCH(K1394,'MPIO_SFIO Table'!$A$11:$A$65525,0)-1,"")</f>
        <v/>
      </c>
      <c r="Q1394" t="str">
        <f>IF(LEN(L1394),MATCH(L1394,'MPIO_SFIO Table'!$A$11:$A$65525,0)-1,"")</f>
        <v/>
      </c>
      <c r="R1394" t="str">
        <f ca="1">IF(ISNUMBER(M1394),OFFSET('MPIO_SFIO Table'!$AJ$11,M1394,0),"")</f>
        <v/>
      </c>
      <c r="S1394" t="str">
        <f ca="1">IF(ISNUMBER(N1394),OFFSET('MPIO_SFIO Table'!$AJ$11,N1394,0),"")</f>
        <v/>
      </c>
      <c r="T1394" t="str">
        <f ca="1">IF(ISNUMBER(O1394),OFFSET('MPIO_SFIO Table'!$AJ$11,O1394,0),"")</f>
        <v/>
      </c>
      <c r="U1394" t="str">
        <f ca="1">IF(ISNUMBER(P1394),OFFSET('MPIO_SFIO Table'!$AJ$11,P1394,0),"")</f>
        <v/>
      </c>
      <c r="V1394" t="str">
        <f ca="1">IF(ISNUMBER(Q1394),OFFSET('MPIO_SFIO Table'!$AJ$11,Q1394,0),"")</f>
        <v/>
      </c>
      <c r="W1394">
        <f t="shared" ca="1" si="179"/>
        <v>0</v>
      </c>
      <c r="X1394">
        <f t="shared" ca="1" si="180"/>
        <v>0</v>
      </c>
      <c r="Y1394">
        <f t="shared" ca="1" si="181"/>
        <v>0</v>
      </c>
      <c r="Z1394">
        <f t="shared" ca="1" si="182"/>
        <v>0</v>
      </c>
      <c r="AA1394">
        <f t="shared" ca="1" si="183"/>
        <v>0</v>
      </c>
    </row>
    <row r="1395" spans="1:27" x14ac:dyDescent="0.25">
      <c r="A1395">
        <f t="shared" ca="1" si="176"/>
        <v>0</v>
      </c>
      <c r="B1395" t="str">
        <f t="shared" ca="1" si="177"/>
        <v/>
      </c>
      <c r="C1395" t="str">
        <f t="shared" si="178"/>
        <v/>
      </c>
      <c r="D1395" t="s">
        <v>253</v>
      </c>
      <c r="E1395" t="s">
        <v>253</v>
      </c>
      <c r="F1395" s="3" t="s">
        <v>253</v>
      </c>
      <c r="G1395" s="11" t="s">
        <v>253</v>
      </c>
      <c r="H1395" s="11" t="s">
        <v>253</v>
      </c>
      <c r="I1395" s="3" t="s">
        <v>253</v>
      </c>
      <c r="J1395" s="3" t="s">
        <v>253</v>
      </c>
      <c r="K1395" s="3" t="s">
        <v>253</v>
      </c>
      <c r="L1395" s="3" t="s">
        <v>253</v>
      </c>
      <c r="M1395" t="str">
        <f>IF(LEN(H1395),MATCH(H1395,'MPIO_SFIO Table'!$A$11:$A$65525,0)-1,"")</f>
        <v/>
      </c>
      <c r="N1395" t="str">
        <f>IF(LEN(I1395),MATCH(I1395,'MPIO_SFIO Table'!$A$11:$A$65525,0)-1,"")</f>
        <v/>
      </c>
      <c r="O1395" t="str">
        <f>IF(LEN(J1395),MATCH(J1395,'MPIO_SFIO Table'!$A$11:$A$65525,0)-1,"")</f>
        <v/>
      </c>
      <c r="P1395" t="str">
        <f>IF(LEN(K1395),MATCH(K1395,'MPIO_SFIO Table'!$A$11:$A$65525,0)-1,"")</f>
        <v/>
      </c>
      <c r="Q1395" t="str">
        <f>IF(LEN(L1395),MATCH(L1395,'MPIO_SFIO Table'!$A$11:$A$65525,0)-1,"")</f>
        <v/>
      </c>
      <c r="R1395" t="str">
        <f ca="1">IF(ISNUMBER(M1395),OFFSET('MPIO_SFIO Table'!$AJ$11,M1395,0),"")</f>
        <v/>
      </c>
      <c r="S1395" t="str">
        <f ca="1">IF(ISNUMBER(N1395),OFFSET('MPIO_SFIO Table'!$AJ$11,N1395,0),"")</f>
        <v/>
      </c>
      <c r="T1395" t="str">
        <f ca="1">IF(ISNUMBER(O1395),OFFSET('MPIO_SFIO Table'!$AJ$11,O1395,0),"")</f>
        <v/>
      </c>
      <c r="U1395" t="str">
        <f ca="1">IF(ISNUMBER(P1395),OFFSET('MPIO_SFIO Table'!$AJ$11,P1395,0),"")</f>
        <v/>
      </c>
      <c r="V1395" t="str">
        <f ca="1">IF(ISNUMBER(Q1395),OFFSET('MPIO_SFIO Table'!$AJ$11,Q1395,0),"")</f>
        <v/>
      </c>
      <c r="W1395">
        <f t="shared" ca="1" si="179"/>
        <v>0</v>
      </c>
      <c r="X1395">
        <f t="shared" ca="1" si="180"/>
        <v>0</v>
      </c>
      <c r="Y1395">
        <f t="shared" ca="1" si="181"/>
        <v>0</v>
      </c>
      <c r="Z1395">
        <f t="shared" ca="1" si="182"/>
        <v>0</v>
      </c>
      <c r="AA1395">
        <f t="shared" ca="1" si="183"/>
        <v>0</v>
      </c>
    </row>
    <row r="1396" spans="1:27" x14ac:dyDescent="0.25">
      <c r="A1396">
        <f t="shared" ca="1" si="176"/>
        <v>0</v>
      </c>
      <c r="B1396" t="str">
        <f t="shared" ca="1" si="177"/>
        <v/>
      </c>
      <c r="C1396" t="str">
        <f t="shared" si="178"/>
        <v/>
      </c>
      <c r="D1396" t="s">
        <v>253</v>
      </c>
      <c r="E1396" t="s">
        <v>253</v>
      </c>
      <c r="F1396" s="3" t="s">
        <v>253</v>
      </c>
      <c r="G1396" s="11" t="s">
        <v>253</v>
      </c>
      <c r="H1396" s="11" t="s">
        <v>253</v>
      </c>
      <c r="I1396" s="3" t="s">
        <v>253</v>
      </c>
      <c r="J1396" s="3" t="s">
        <v>253</v>
      </c>
      <c r="K1396" s="3" t="s">
        <v>253</v>
      </c>
      <c r="L1396" s="3" t="s">
        <v>253</v>
      </c>
      <c r="M1396" t="str">
        <f>IF(LEN(H1396),MATCH(H1396,'MPIO_SFIO Table'!$A$11:$A$65525,0)-1,"")</f>
        <v/>
      </c>
      <c r="N1396" t="str">
        <f>IF(LEN(I1396),MATCH(I1396,'MPIO_SFIO Table'!$A$11:$A$65525,0)-1,"")</f>
        <v/>
      </c>
      <c r="O1396" t="str">
        <f>IF(LEN(J1396),MATCH(J1396,'MPIO_SFIO Table'!$A$11:$A$65525,0)-1,"")</f>
        <v/>
      </c>
      <c r="P1396" t="str">
        <f>IF(LEN(K1396),MATCH(K1396,'MPIO_SFIO Table'!$A$11:$A$65525,0)-1,"")</f>
        <v/>
      </c>
      <c r="Q1396" t="str">
        <f>IF(LEN(L1396),MATCH(L1396,'MPIO_SFIO Table'!$A$11:$A$65525,0)-1,"")</f>
        <v/>
      </c>
      <c r="R1396" t="str">
        <f ca="1">IF(ISNUMBER(M1396),OFFSET('MPIO_SFIO Table'!$AJ$11,M1396,0),"")</f>
        <v/>
      </c>
      <c r="S1396" t="str">
        <f ca="1">IF(ISNUMBER(N1396),OFFSET('MPIO_SFIO Table'!$AJ$11,N1396,0),"")</f>
        <v/>
      </c>
      <c r="T1396" t="str">
        <f ca="1">IF(ISNUMBER(O1396),OFFSET('MPIO_SFIO Table'!$AJ$11,O1396,0),"")</f>
        <v/>
      </c>
      <c r="U1396" t="str">
        <f ca="1">IF(ISNUMBER(P1396),OFFSET('MPIO_SFIO Table'!$AJ$11,P1396,0),"")</f>
        <v/>
      </c>
      <c r="V1396" t="str">
        <f ca="1">IF(ISNUMBER(Q1396),OFFSET('MPIO_SFIO Table'!$AJ$11,Q1396,0),"")</f>
        <v/>
      </c>
      <c r="W1396">
        <f t="shared" ca="1" si="179"/>
        <v>0</v>
      </c>
      <c r="X1396">
        <f t="shared" ca="1" si="180"/>
        <v>0</v>
      </c>
      <c r="Y1396">
        <f t="shared" ca="1" si="181"/>
        <v>0</v>
      </c>
      <c r="Z1396">
        <f t="shared" ca="1" si="182"/>
        <v>0</v>
      </c>
      <c r="AA1396">
        <f t="shared" ca="1" si="183"/>
        <v>0</v>
      </c>
    </row>
    <row r="1397" spans="1:27" x14ac:dyDescent="0.25">
      <c r="A1397">
        <f t="shared" ca="1" si="176"/>
        <v>0</v>
      </c>
      <c r="B1397" t="str">
        <f t="shared" ca="1" si="177"/>
        <v/>
      </c>
      <c r="C1397" t="str">
        <f t="shared" si="178"/>
        <v/>
      </c>
      <c r="D1397" t="s">
        <v>253</v>
      </c>
      <c r="E1397" t="s">
        <v>253</v>
      </c>
      <c r="F1397" s="3" t="s">
        <v>253</v>
      </c>
      <c r="G1397" s="11" t="s">
        <v>253</v>
      </c>
      <c r="H1397" s="11" t="s">
        <v>253</v>
      </c>
      <c r="I1397" s="3" t="s">
        <v>253</v>
      </c>
      <c r="J1397" s="3" t="s">
        <v>253</v>
      </c>
      <c r="K1397" s="3" t="s">
        <v>253</v>
      </c>
      <c r="L1397" s="3" t="s">
        <v>253</v>
      </c>
      <c r="M1397" t="str">
        <f>IF(LEN(H1397),MATCH(H1397,'MPIO_SFIO Table'!$A$11:$A$65525,0)-1,"")</f>
        <v/>
      </c>
      <c r="N1397" t="str">
        <f>IF(LEN(I1397),MATCH(I1397,'MPIO_SFIO Table'!$A$11:$A$65525,0)-1,"")</f>
        <v/>
      </c>
      <c r="O1397" t="str">
        <f>IF(LEN(J1397),MATCH(J1397,'MPIO_SFIO Table'!$A$11:$A$65525,0)-1,"")</f>
        <v/>
      </c>
      <c r="P1397" t="str">
        <f>IF(LEN(K1397),MATCH(K1397,'MPIO_SFIO Table'!$A$11:$A$65525,0)-1,"")</f>
        <v/>
      </c>
      <c r="Q1397" t="str">
        <f>IF(LEN(L1397),MATCH(L1397,'MPIO_SFIO Table'!$A$11:$A$65525,0)-1,"")</f>
        <v/>
      </c>
      <c r="R1397" t="str">
        <f ca="1">IF(ISNUMBER(M1397),OFFSET('MPIO_SFIO Table'!$AJ$11,M1397,0),"")</f>
        <v/>
      </c>
      <c r="S1397" t="str">
        <f ca="1">IF(ISNUMBER(N1397),OFFSET('MPIO_SFIO Table'!$AJ$11,N1397,0),"")</f>
        <v/>
      </c>
      <c r="T1397" t="str">
        <f ca="1">IF(ISNUMBER(O1397),OFFSET('MPIO_SFIO Table'!$AJ$11,O1397,0),"")</f>
        <v/>
      </c>
      <c r="U1397" t="str">
        <f ca="1">IF(ISNUMBER(P1397),OFFSET('MPIO_SFIO Table'!$AJ$11,P1397,0),"")</f>
        <v/>
      </c>
      <c r="V1397" t="str">
        <f ca="1">IF(ISNUMBER(Q1397),OFFSET('MPIO_SFIO Table'!$AJ$11,Q1397,0),"")</f>
        <v/>
      </c>
      <c r="W1397">
        <f t="shared" ca="1" si="179"/>
        <v>0</v>
      </c>
      <c r="X1397">
        <f t="shared" ca="1" si="180"/>
        <v>0</v>
      </c>
      <c r="Y1397">
        <f t="shared" ca="1" si="181"/>
        <v>0</v>
      </c>
      <c r="Z1397">
        <f t="shared" ca="1" si="182"/>
        <v>0</v>
      </c>
      <c r="AA1397">
        <f t="shared" ca="1" si="183"/>
        <v>0</v>
      </c>
    </row>
    <row r="1398" spans="1:27" x14ac:dyDescent="0.25">
      <c r="A1398">
        <f t="shared" ca="1" si="176"/>
        <v>0</v>
      </c>
      <c r="B1398" t="str">
        <f t="shared" ca="1" si="177"/>
        <v/>
      </c>
      <c r="C1398" t="str">
        <f t="shared" si="178"/>
        <v/>
      </c>
      <c r="D1398" t="s">
        <v>253</v>
      </c>
      <c r="E1398" t="s">
        <v>253</v>
      </c>
      <c r="F1398" s="3" t="s">
        <v>253</v>
      </c>
      <c r="G1398" s="11" t="s">
        <v>253</v>
      </c>
      <c r="H1398" s="11" t="s">
        <v>253</v>
      </c>
      <c r="I1398" s="3" t="s">
        <v>253</v>
      </c>
      <c r="J1398" s="3" t="s">
        <v>253</v>
      </c>
      <c r="K1398" s="3" t="s">
        <v>253</v>
      </c>
      <c r="L1398" s="3" t="s">
        <v>253</v>
      </c>
      <c r="M1398" t="str">
        <f>IF(LEN(H1398),MATCH(H1398,'MPIO_SFIO Table'!$A$11:$A$65525,0)-1,"")</f>
        <v/>
      </c>
      <c r="N1398" t="str">
        <f>IF(LEN(I1398),MATCH(I1398,'MPIO_SFIO Table'!$A$11:$A$65525,0)-1,"")</f>
        <v/>
      </c>
      <c r="O1398" t="str">
        <f>IF(LEN(J1398),MATCH(J1398,'MPIO_SFIO Table'!$A$11:$A$65525,0)-1,"")</f>
        <v/>
      </c>
      <c r="P1398" t="str">
        <f>IF(LEN(K1398),MATCH(K1398,'MPIO_SFIO Table'!$A$11:$A$65525,0)-1,"")</f>
        <v/>
      </c>
      <c r="Q1398" t="str">
        <f>IF(LEN(L1398),MATCH(L1398,'MPIO_SFIO Table'!$A$11:$A$65525,0)-1,"")</f>
        <v/>
      </c>
      <c r="R1398" t="str">
        <f ca="1">IF(ISNUMBER(M1398),OFFSET('MPIO_SFIO Table'!$AJ$11,M1398,0),"")</f>
        <v/>
      </c>
      <c r="S1398" t="str">
        <f ca="1">IF(ISNUMBER(N1398),OFFSET('MPIO_SFIO Table'!$AJ$11,N1398,0),"")</f>
        <v/>
      </c>
      <c r="T1398" t="str">
        <f ca="1">IF(ISNUMBER(O1398),OFFSET('MPIO_SFIO Table'!$AJ$11,O1398,0),"")</f>
        <v/>
      </c>
      <c r="U1398" t="str">
        <f ca="1">IF(ISNUMBER(P1398),OFFSET('MPIO_SFIO Table'!$AJ$11,P1398,0),"")</f>
        <v/>
      </c>
      <c r="V1398" t="str">
        <f ca="1">IF(ISNUMBER(Q1398),OFFSET('MPIO_SFIO Table'!$AJ$11,Q1398,0),"")</f>
        <v/>
      </c>
      <c r="W1398">
        <f t="shared" ca="1" si="179"/>
        <v>0</v>
      </c>
      <c r="X1398">
        <f t="shared" ca="1" si="180"/>
        <v>0</v>
      </c>
      <c r="Y1398">
        <f t="shared" ca="1" si="181"/>
        <v>0</v>
      </c>
      <c r="Z1398">
        <f t="shared" ca="1" si="182"/>
        <v>0</v>
      </c>
      <c r="AA1398">
        <f t="shared" ca="1" si="183"/>
        <v>0</v>
      </c>
    </row>
    <row r="1399" spans="1:27" x14ac:dyDescent="0.25">
      <c r="A1399">
        <f t="shared" ca="1" si="176"/>
        <v>0</v>
      </c>
      <c r="B1399" t="str">
        <f t="shared" ca="1" si="177"/>
        <v/>
      </c>
      <c r="C1399" t="str">
        <f t="shared" si="178"/>
        <v/>
      </c>
      <c r="D1399" t="s">
        <v>253</v>
      </c>
      <c r="E1399" t="s">
        <v>253</v>
      </c>
      <c r="F1399" s="3" t="s">
        <v>253</v>
      </c>
      <c r="G1399" s="11" t="s">
        <v>253</v>
      </c>
      <c r="H1399" s="11" t="s">
        <v>253</v>
      </c>
      <c r="I1399" s="3" t="s">
        <v>253</v>
      </c>
      <c r="J1399" s="3" t="s">
        <v>253</v>
      </c>
      <c r="K1399" s="3" t="s">
        <v>253</v>
      </c>
      <c r="L1399" s="3" t="s">
        <v>253</v>
      </c>
      <c r="M1399" t="str">
        <f>IF(LEN(H1399),MATCH(H1399,'MPIO_SFIO Table'!$A$11:$A$65525,0)-1,"")</f>
        <v/>
      </c>
      <c r="N1399" t="str">
        <f>IF(LEN(I1399),MATCH(I1399,'MPIO_SFIO Table'!$A$11:$A$65525,0)-1,"")</f>
        <v/>
      </c>
      <c r="O1399" t="str">
        <f>IF(LEN(J1399),MATCH(J1399,'MPIO_SFIO Table'!$A$11:$A$65525,0)-1,"")</f>
        <v/>
      </c>
      <c r="P1399" t="str">
        <f>IF(LEN(K1399),MATCH(K1399,'MPIO_SFIO Table'!$A$11:$A$65525,0)-1,"")</f>
        <v/>
      </c>
      <c r="Q1399" t="str">
        <f>IF(LEN(L1399),MATCH(L1399,'MPIO_SFIO Table'!$A$11:$A$65525,0)-1,"")</f>
        <v/>
      </c>
      <c r="R1399" t="str">
        <f ca="1">IF(ISNUMBER(M1399),OFFSET('MPIO_SFIO Table'!$AJ$11,M1399,0),"")</f>
        <v/>
      </c>
      <c r="S1399" t="str">
        <f ca="1">IF(ISNUMBER(N1399),OFFSET('MPIO_SFIO Table'!$AJ$11,N1399,0),"")</f>
        <v/>
      </c>
      <c r="T1399" t="str">
        <f ca="1">IF(ISNUMBER(O1399),OFFSET('MPIO_SFIO Table'!$AJ$11,O1399,0),"")</f>
        <v/>
      </c>
      <c r="U1399" t="str">
        <f ca="1">IF(ISNUMBER(P1399),OFFSET('MPIO_SFIO Table'!$AJ$11,P1399,0),"")</f>
        <v/>
      </c>
      <c r="V1399" t="str">
        <f ca="1">IF(ISNUMBER(Q1399),OFFSET('MPIO_SFIO Table'!$AJ$11,Q1399,0),"")</f>
        <v/>
      </c>
      <c r="W1399">
        <f t="shared" ca="1" si="179"/>
        <v>0</v>
      </c>
      <c r="X1399">
        <f t="shared" ca="1" si="180"/>
        <v>0</v>
      </c>
      <c r="Y1399">
        <f t="shared" ca="1" si="181"/>
        <v>0</v>
      </c>
      <c r="Z1399">
        <f t="shared" ca="1" si="182"/>
        <v>0</v>
      </c>
      <c r="AA1399">
        <f t="shared" ca="1" si="183"/>
        <v>0</v>
      </c>
    </row>
    <row r="1400" spans="1:27" x14ac:dyDescent="0.25">
      <c r="A1400">
        <f t="shared" ca="1" si="176"/>
        <v>0</v>
      </c>
      <c r="B1400" t="str">
        <f t="shared" ca="1" si="177"/>
        <v/>
      </c>
      <c r="C1400" t="str">
        <f t="shared" si="178"/>
        <v/>
      </c>
      <c r="D1400" t="s">
        <v>253</v>
      </c>
      <c r="E1400" t="s">
        <v>253</v>
      </c>
      <c r="F1400" s="3" t="s">
        <v>253</v>
      </c>
      <c r="G1400" s="11" t="s">
        <v>253</v>
      </c>
      <c r="H1400" s="11" t="s">
        <v>253</v>
      </c>
      <c r="I1400" s="3" t="s">
        <v>253</v>
      </c>
      <c r="J1400" s="3" t="s">
        <v>253</v>
      </c>
      <c r="K1400" s="3" t="s">
        <v>253</v>
      </c>
      <c r="L1400" s="3" t="s">
        <v>253</v>
      </c>
      <c r="M1400" t="str">
        <f>IF(LEN(H1400),MATCH(H1400,'MPIO_SFIO Table'!$A$11:$A$65525,0)-1,"")</f>
        <v/>
      </c>
      <c r="N1400" t="str">
        <f>IF(LEN(I1400),MATCH(I1400,'MPIO_SFIO Table'!$A$11:$A$65525,0)-1,"")</f>
        <v/>
      </c>
      <c r="O1400" t="str">
        <f>IF(LEN(J1400),MATCH(J1400,'MPIO_SFIO Table'!$A$11:$A$65525,0)-1,"")</f>
        <v/>
      </c>
      <c r="P1400" t="str">
        <f>IF(LEN(K1400),MATCH(K1400,'MPIO_SFIO Table'!$A$11:$A$65525,0)-1,"")</f>
        <v/>
      </c>
      <c r="Q1400" t="str">
        <f>IF(LEN(L1400),MATCH(L1400,'MPIO_SFIO Table'!$A$11:$A$65525,0)-1,"")</f>
        <v/>
      </c>
      <c r="R1400" t="str">
        <f ca="1">IF(ISNUMBER(M1400),OFFSET('MPIO_SFIO Table'!$AJ$11,M1400,0),"")</f>
        <v/>
      </c>
      <c r="S1400" t="str">
        <f ca="1">IF(ISNUMBER(N1400),OFFSET('MPIO_SFIO Table'!$AJ$11,N1400,0),"")</f>
        <v/>
      </c>
      <c r="T1400" t="str">
        <f ca="1">IF(ISNUMBER(O1400),OFFSET('MPIO_SFIO Table'!$AJ$11,O1400,0),"")</f>
        <v/>
      </c>
      <c r="U1400" t="str">
        <f ca="1">IF(ISNUMBER(P1400),OFFSET('MPIO_SFIO Table'!$AJ$11,P1400,0),"")</f>
        <v/>
      </c>
      <c r="V1400" t="str">
        <f ca="1">IF(ISNUMBER(Q1400),OFFSET('MPIO_SFIO Table'!$AJ$11,Q1400,0),"")</f>
        <v/>
      </c>
      <c r="W1400">
        <f t="shared" ca="1" si="179"/>
        <v>0</v>
      </c>
      <c r="X1400">
        <f t="shared" ca="1" si="180"/>
        <v>0</v>
      </c>
      <c r="Y1400">
        <f t="shared" ca="1" si="181"/>
        <v>0</v>
      </c>
      <c r="Z1400">
        <f t="shared" ca="1" si="182"/>
        <v>0</v>
      </c>
      <c r="AA1400">
        <f t="shared" ca="1" si="183"/>
        <v>0</v>
      </c>
    </row>
    <row r="1401" spans="1:27" x14ac:dyDescent="0.25">
      <c r="A1401">
        <f t="shared" ca="1" si="176"/>
        <v>0</v>
      </c>
      <c r="B1401" t="str">
        <f t="shared" ca="1" si="177"/>
        <v/>
      </c>
      <c r="C1401" t="str">
        <f t="shared" si="178"/>
        <v/>
      </c>
      <c r="D1401" t="s">
        <v>253</v>
      </c>
      <c r="E1401" t="s">
        <v>253</v>
      </c>
      <c r="F1401" s="3" t="s">
        <v>253</v>
      </c>
      <c r="G1401" s="11" t="s">
        <v>253</v>
      </c>
      <c r="H1401" s="11" t="s">
        <v>253</v>
      </c>
      <c r="I1401" s="3" t="s">
        <v>253</v>
      </c>
      <c r="J1401" s="3" t="s">
        <v>253</v>
      </c>
      <c r="K1401" s="3" t="s">
        <v>253</v>
      </c>
      <c r="L1401" s="3" t="s">
        <v>253</v>
      </c>
      <c r="M1401" t="str">
        <f>IF(LEN(H1401),MATCH(H1401,'MPIO_SFIO Table'!$A$11:$A$65525,0)-1,"")</f>
        <v/>
      </c>
      <c r="N1401" t="str">
        <f>IF(LEN(I1401),MATCH(I1401,'MPIO_SFIO Table'!$A$11:$A$65525,0)-1,"")</f>
        <v/>
      </c>
      <c r="O1401" t="str">
        <f>IF(LEN(J1401),MATCH(J1401,'MPIO_SFIO Table'!$A$11:$A$65525,0)-1,"")</f>
        <v/>
      </c>
      <c r="P1401" t="str">
        <f>IF(LEN(K1401),MATCH(K1401,'MPIO_SFIO Table'!$A$11:$A$65525,0)-1,"")</f>
        <v/>
      </c>
      <c r="Q1401" t="str">
        <f>IF(LEN(L1401),MATCH(L1401,'MPIO_SFIO Table'!$A$11:$A$65525,0)-1,"")</f>
        <v/>
      </c>
      <c r="R1401" t="str">
        <f ca="1">IF(ISNUMBER(M1401),OFFSET('MPIO_SFIO Table'!$AJ$11,M1401,0),"")</f>
        <v/>
      </c>
      <c r="S1401" t="str">
        <f ca="1">IF(ISNUMBER(N1401),OFFSET('MPIO_SFIO Table'!$AJ$11,N1401,0),"")</f>
        <v/>
      </c>
      <c r="T1401" t="str">
        <f ca="1">IF(ISNUMBER(O1401),OFFSET('MPIO_SFIO Table'!$AJ$11,O1401,0),"")</f>
        <v/>
      </c>
      <c r="U1401" t="str">
        <f ca="1">IF(ISNUMBER(P1401),OFFSET('MPIO_SFIO Table'!$AJ$11,P1401,0),"")</f>
        <v/>
      </c>
      <c r="V1401" t="str">
        <f ca="1">IF(ISNUMBER(Q1401),OFFSET('MPIO_SFIO Table'!$AJ$11,Q1401,0),"")</f>
        <v/>
      </c>
      <c r="W1401">
        <f t="shared" ca="1" si="179"/>
        <v>0</v>
      </c>
      <c r="X1401">
        <f t="shared" ca="1" si="180"/>
        <v>0</v>
      </c>
      <c r="Y1401">
        <f t="shared" ca="1" si="181"/>
        <v>0</v>
      </c>
      <c r="Z1401">
        <f t="shared" ca="1" si="182"/>
        <v>0</v>
      </c>
      <c r="AA1401">
        <f t="shared" ca="1" si="183"/>
        <v>0</v>
      </c>
    </row>
    <row r="1402" spans="1:27" x14ac:dyDescent="0.25">
      <c r="A1402">
        <f t="shared" ca="1" si="176"/>
        <v>0</v>
      </c>
      <c r="B1402" t="str">
        <f t="shared" ca="1" si="177"/>
        <v/>
      </c>
      <c r="C1402" t="str">
        <f t="shared" si="178"/>
        <v/>
      </c>
      <c r="D1402" t="s">
        <v>253</v>
      </c>
      <c r="E1402" t="s">
        <v>253</v>
      </c>
      <c r="F1402" s="3" t="s">
        <v>253</v>
      </c>
      <c r="G1402" s="11" t="s">
        <v>253</v>
      </c>
      <c r="H1402" s="11" t="s">
        <v>253</v>
      </c>
      <c r="I1402" s="3" t="s">
        <v>253</v>
      </c>
      <c r="J1402" s="3" t="s">
        <v>253</v>
      </c>
      <c r="K1402" s="3" t="s">
        <v>253</v>
      </c>
      <c r="L1402" s="3" t="s">
        <v>253</v>
      </c>
      <c r="M1402" t="str">
        <f>IF(LEN(H1402),MATCH(H1402,'MPIO_SFIO Table'!$A$11:$A$65525,0)-1,"")</f>
        <v/>
      </c>
      <c r="N1402" t="str">
        <f>IF(LEN(I1402),MATCH(I1402,'MPIO_SFIO Table'!$A$11:$A$65525,0)-1,"")</f>
        <v/>
      </c>
      <c r="O1402" t="str">
        <f>IF(LEN(J1402),MATCH(J1402,'MPIO_SFIO Table'!$A$11:$A$65525,0)-1,"")</f>
        <v/>
      </c>
      <c r="P1402" t="str">
        <f>IF(LEN(K1402),MATCH(K1402,'MPIO_SFIO Table'!$A$11:$A$65525,0)-1,"")</f>
        <v/>
      </c>
      <c r="Q1402" t="str">
        <f>IF(LEN(L1402),MATCH(L1402,'MPIO_SFIO Table'!$A$11:$A$65525,0)-1,"")</f>
        <v/>
      </c>
      <c r="R1402" t="str">
        <f ca="1">IF(ISNUMBER(M1402),OFFSET('MPIO_SFIO Table'!$AJ$11,M1402,0),"")</f>
        <v/>
      </c>
      <c r="S1402" t="str">
        <f ca="1">IF(ISNUMBER(N1402),OFFSET('MPIO_SFIO Table'!$AJ$11,N1402,0),"")</f>
        <v/>
      </c>
      <c r="T1402" t="str">
        <f ca="1">IF(ISNUMBER(O1402),OFFSET('MPIO_SFIO Table'!$AJ$11,O1402,0),"")</f>
        <v/>
      </c>
      <c r="U1402" t="str">
        <f ca="1">IF(ISNUMBER(P1402),OFFSET('MPIO_SFIO Table'!$AJ$11,P1402,0),"")</f>
        <v/>
      </c>
      <c r="V1402" t="str">
        <f ca="1">IF(ISNUMBER(Q1402),OFFSET('MPIO_SFIO Table'!$AJ$11,Q1402,0),"")</f>
        <v/>
      </c>
      <c r="W1402">
        <f t="shared" ca="1" si="179"/>
        <v>0</v>
      </c>
      <c r="X1402">
        <f t="shared" ca="1" si="180"/>
        <v>0</v>
      </c>
      <c r="Y1402">
        <f t="shared" ca="1" si="181"/>
        <v>0</v>
      </c>
      <c r="Z1402">
        <f t="shared" ca="1" si="182"/>
        <v>0</v>
      </c>
      <c r="AA1402">
        <f t="shared" ca="1" si="183"/>
        <v>0</v>
      </c>
    </row>
    <row r="1403" spans="1:27" x14ac:dyDescent="0.25">
      <c r="A1403">
        <f t="shared" ca="1" si="176"/>
        <v>0</v>
      </c>
      <c r="B1403" t="str">
        <f t="shared" ca="1" si="177"/>
        <v/>
      </c>
      <c r="C1403" t="str">
        <f t="shared" si="178"/>
        <v/>
      </c>
      <c r="D1403" t="s">
        <v>253</v>
      </c>
      <c r="E1403" t="s">
        <v>253</v>
      </c>
      <c r="F1403" s="3" t="s">
        <v>253</v>
      </c>
      <c r="G1403" s="11" t="s">
        <v>253</v>
      </c>
      <c r="H1403" s="11" t="s">
        <v>253</v>
      </c>
      <c r="I1403" s="3" t="s">
        <v>253</v>
      </c>
      <c r="J1403" s="3" t="s">
        <v>253</v>
      </c>
      <c r="K1403" s="3" t="s">
        <v>253</v>
      </c>
      <c r="L1403" s="3" t="s">
        <v>253</v>
      </c>
      <c r="M1403" t="str">
        <f>IF(LEN(H1403),MATCH(H1403,'MPIO_SFIO Table'!$A$11:$A$65525,0)-1,"")</f>
        <v/>
      </c>
      <c r="N1403" t="str">
        <f>IF(LEN(I1403),MATCH(I1403,'MPIO_SFIO Table'!$A$11:$A$65525,0)-1,"")</f>
        <v/>
      </c>
      <c r="O1403" t="str">
        <f>IF(LEN(J1403),MATCH(J1403,'MPIO_SFIO Table'!$A$11:$A$65525,0)-1,"")</f>
        <v/>
      </c>
      <c r="P1403" t="str">
        <f>IF(LEN(K1403),MATCH(K1403,'MPIO_SFIO Table'!$A$11:$A$65525,0)-1,"")</f>
        <v/>
      </c>
      <c r="Q1403" t="str">
        <f>IF(LEN(L1403),MATCH(L1403,'MPIO_SFIO Table'!$A$11:$A$65525,0)-1,"")</f>
        <v/>
      </c>
      <c r="R1403" t="str">
        <f ca="1">IF(ISNUMBER(M1403),OFFSET('MPIO_SFIO Table'!$AJ$11,M1403,0),"")</f>
        <v/>
      </c>
      <c r="S1403" t="str">
        <f ca="1">IF(ISNUMBER(N1403),OFFSET('MPIO_SFIO Table'!$AJ$11,N1403,0),"")</f>
        <v/>
      </c>
      <c r="T1403" t="str">
        <f ca="1">IF(ISNUMBER(O1403),OFFSET('MPIO_SFIO Table'!$AJ$11,O1403,0),"")</f>
        <v/>
      </c>
      <c r="U1403" t="str">
        <f ca="1">IF(ISNUMBER(P1403),OFFSET('MPIO_SFIO Table'!$AJ$11,P1403,0),"")</f>
        <v/>
      </c>
      <c r="V1403" t="str">
        <f ca="1">IF(ISNUMBER(Q1403),OFFSET('MPIO_SFIO Table'!$AJ$11,Q1403,0),"")</f>
        <v/>
      </c>
      <c r="W1403">
        <f t="shared" ca="1" si="179"/>
        <v>0</v>
      </c>
      <c r="X1403">
        <f t="shared" ca="1" si="180"/>
        <v>0</v>
      </c>
      <c r="Y1403">
        <f t="shared" ca="1" si="181"/>
        <v>0</v>
      </c>
      <c r="Z1403">
        <f t="shared" ca="1" si="182"/>
        <v>0</v>
      </c>
      <c r="AA1403">
        <f t="shared" ca="1" si="183"/>
        <v>0</v>
      </c>
    </row>
    <row r="1404" spans="1:27" x14ac:dyDescent="0.25">
      <c r="A1404">
        <f t="shared" ca="1" si="176"/>
        <v>0</v>
      </c>
      <c r="B1404" t="str">
        <f t="shared" ca="1" si="177"/>
        <v/>
      </c>
      <c r="C1404" t="str">
        <f t="shared" si="178"/>
        <v/>
      </c>
      <c r="D1404" t="s">
        <v>253</v>
      </c>
      <c r="E1404" t="s">
        <v>253</v>
      </c>
      <c r="F1404" s="3" t="s">
        <v>253</v>
      </c>
      <c r="G1404" s="11" t="s">
        <v>253</v>
      </c>
      <c r="H1404" s="11" t="s">
        <v>253</v>
      </c>
      <c r="I1404" s="3" t="s">
        <v>253</v>
      </c>
      <c r="J1404" s="3" t="s">
        <v>253</v>
      </c>
      <c r="K1404" s="3" t="s">
        <v>253</v>
      </c>
      <c r="L1404" s="3" t="s">
        <v>253</v>
      </c>
      <c r="M1404" t="str">
        <f>IF(LEN(H1404),MATCH(H1404,'MPIO_SFIO Table'!$A$11:$A$65525,0)-1,"")</f>
        <v/>
      </c>
      <c r="N1404" t="str">
        <f>IF(LEN(I1404),MATCH(I1404,'MPIO_SFIO Table'!$A$11:$A$65525,0)-1,"")</f>
        <v/>
      </c>
      <c r="O1404" t="str">
        <f>IF(LEN(J1404),MATCH(J1404,'MPIO_SFIO Table'!$A$11:$A$65525,0)-1,"")</f>
        <v/>
      </c>
      <c r="P1404" t="str">
        <f>IF(LEN(K1404),MATCH(K1404,'MPIO_SFIO Table'!$A$11:$A$65525,0)-1,"")</f>
        <v/>
      </c>
      <c r="Q1404" t="str">
        <f>IF(LEN(L1404),MATCH(L1404,'MPIO_SFIO Table'!$A$11:$A$65525,0)-1,"")</f>
        <v/>
      </c>
      <c r="R1404" t="str">
        <f ca="1">IF(ISNUMBER(M1404),OFFSET('MPIO_SFIO Table'!$AJ$11,M1404,0),"")</f>
        <v/>
      </c>
      <c r="S1404" t="str">
        <f ca="1">IF(ISNUMBER(N1404),OFFSET('MPIO_SFIO Table'!$AJ$11,N1404,0),"")</f>
        <v/>
      </c>
      <c r="T1404" t="str">
        <f ca="1">IF(ISNUMBER(O1404),OFFSET('MPIO_SFIO Table'!$AJ$11,O1404,0),"")</f>
        <v/>
      </c>
      <c r="U1404" t="str">
        <f ca="1">IF(ISNUMBER(P1404),OFFSET('MPIO_SFIO Table'!$AJ$11,P1404,0),"")</f>
        <v/>
      </c>
      <c r="V1404" t="str">
        <f ca="1">IF(ISNUMBER(Q1404),OFFSET('MPIO_SFIO Table'!$AJ$11,Q1404,0),"")</f>
        <v/>
      </c>
      <c r="W1404">
        <f t="shared" ca="1" si="179"/>
        <v>0</v>
      </c>
      <c r="X1404">
        <f t="shared" ca="1" si="180"/>
        <v>0</v>
      </c>
      <c r="Y1404">
        <f t="shared" ca="1" si="181"/>
        <v>0</v>
      </c>
      <c r="Z1404">
        <f t="shared" ca="1" si="182"/>
        <v>0</v>
      </c>
      <c r="AA1404">
        <f t="shared" ca="1" si="183"/>
        <v>0</v>
      </c>
    </row>
    <row r="1405" spans="1:27" x14ac:dyDescent="0.25">
      <c r="A1405">
        <f t="shared" ca="1" si="176"/>
        <v>0</v>
      </c>
      <c r="B1405" t="str">
        <f t="shared" ca="1" si="177"/>
        <v/>
      </c>
      <c r="C1405" t="str">
        <f t="shared" si="178"/>
        <v/>
      </c>
      <c r="D1405" t="s">
        <v>253</v>
      </c>
      <c r="E1405" t="s">
        <v>253</v>
      </c>
      <c r="F1405" s="3" t="s">
        <v>253</v>
      </c>
      <c r="G1405" s="11" t="s">
        <v>253</v>
      </c>
      <c r="H1405" s="11" t="s">
        <v>253</v>
      </c>
      <c r="I1405" s="3" t="s">
        <v>253</v>
      </c>
      <c r="J1405" s="3" t="s">
        <v>253</v>
      </c>
      <c r="K1405" s="3" t="s">
        <v>253</v>
      </c>
      <c r="L1405" s="3" t="s">
        <v>253</v>
      </c>
      <c r="M1405" t="str">
        <f>IF(LEN(H1405),MATCH(H1405,'MPIO_SFIO Table'!$A$11:$A$65525,0)-1,"")</f>
        <v/>
      </c>
      <c r="N1405" t="str">
        <f>IF(LEN(I1405),MATCH(I1405,'MPIO_SFIO Table'!$A$11:$A$65525,0)-1,"")</f>
        <v/>
      </c>
      <c r="O1405" t="str">
        <f>IF(LEN(J1405),MATCH(J1405,'MPIO_SFIO Table'!$A$11:$A$65525,0)-1,"")</f>
        <v/>
      </c>
      <c r="P1405" t="str">
        <f>IF(LEN(K1405),MATCH(K1405,'MPIO_SFIO Table'!$A$11:$A$65525,0)-1,"")</f>
        <v/>
      </c>
      <c r="Q1405" t="str">
        <f>IF(LEN(L1405),MATCH(L1405,'MPIO_SFIO Table'!$A$11:$A$65525,0)-1,"")</f>
        <v/>
      </c>
      <c r="R1405" t="str">
        <f ca="1">IF(ISNUMBER(M1405),OFFSET('MPIO_SFIO Table'!$AJ$11,M1405,0),"")</f>
        <v/>
      </c>
      <c r="S1405" t="str">
        <f ca="1">IF(ISNUMBER(N1405),OFFSET('MPIO_SFIO Table'!$AJ$11,N1405,0),"")</f>
        <v/>
      </c>
      <c r="T1405" t="str">
        <f ca="1">IF(ISNUMBER(O1405),OFFSET('MPIO_SFIO Table'!$AJ$11,O1405,0),"")</f>
        <v/>
      </c>
      <c r="U1405" t="str">
        <f ca="1">IF(ISNUMBER(P1405),OFFSET('MPIO_SFIO Table'!$AJ$11,P1405,0),"")</f>
        <v/>
      </c>
      <c r="V1405" t="str">
        <f ca="1">IF(ISNUMBER(Q1405),OFFSET('MPIO_SFIO Table'!$AJ$11,Q1405,0),"")</f>
        <v/>
      </c>
      <c r="W1405">
        <f t="shared" ca="1" si="179"/>
        <v>0</v>
      </c>
      <c r="X1405">
        <f t="shared" ca="1" si="180"/>
        <v>0</v>
      </c>
      <c r="Y1405">
        <f t="shared" ca="1" si="181"/>
        <v>0</v>
      </c>
      <c r="Z1405">
        <f t="shared" ca="1" si="182"/>
        <v>0</v>
      </c>
      <c r="AA1405">
        <f t="shared" ca="1" si="183"/>
        <v>0</v>
      </c>
    </row>
    <row r="1406" spans="1:27" x14ac:dyDescent="0.25">
      <c r="A1406">
        <f t="shared" ca="1" si="176"/>
        <v>0</v>
      </c>
      <c r="B1406" t="str">
        <f t="shared" ca="1" si="177"/>
        <v/>
      </c>
      <c r="C1406" t="str">
        <f t="shared" si="178"/>
        <v/>
      </c>
      <c r="D1406" t="s">
        <v>253</v>
      </c>
      <c r="E1406" t="s">
        <v>253</v>
      </c>
      <c r="F1406" s="3" t="s">
        <v>253</v>
      </c>
      <c r="G1406" s="11" t="s">
        <v>253</v>
      </c>
      <c r="H1406" s="11" t="s">
        <v>253</v>
      </c>
      <c r="I1406" s="3" t="s">
        <v>253</v>
      </c>
      <c r="J1406" s="3" t="s">
        <v>253</v>
      </c>
      <c r="K1406" s="3" t="s">
        <v>253</v>
      </c>
      <c r="L1406" s="3" t="s">
        <v>253</v>
      </c>
      <c r="M1406" t="str">
        <f>IF(LEN(H1406),MATCH(H1406,'MPIO_SFIO Table'!$A$11:$A$65525,0)-1,"")</f>
        <v/>
      </c>
      <c r="N1406" t="str">
        <f>IF(LEN(I1406),MATCH(I1406,'MPIO_SFIO Table'!$A$11:$A$65525,0)-1,"")</f>
        <v/>
      </c>
      <c r="O1406" t="str">
        <f>IF(LEN(J1406),MATCH(J1406,'MPIO_SFIO Table'!$A$11:$A$65525,0)-1,"")</f>
        <v/>
      </c>
      <c r="P1406" t="str">
        <f>IF(LEN(K1406),MATCH(K1406,'MPIO_SFIO Table'!$A$11:$A$65525,0)-1,"")</f>
        <v/>
      </c>
      <c r="Q1406" t="str">
        <f>IF(LEN(L1406),MATCH(L1406,'MPIO_SFIO Table'!$A$11:$A$65525,0)-1,"")</f>
        <v/>
      </c>
      <c r="R1406" t="str">
        <f ca="1">IF(ISNUMBER(M1406),OFFSET('MPIO_SFIO Table'!$AJ$11,M1406,0),"")</f>
        <v/>
      </c>
      <c r="S1406" t="str">
        <f ca="1">IF(ISNUMBER(N1406),OFFSET('MPIO_SFIO Table'!$AJ$11,N1406,0),"")</f>
        <v/>
      </c>
      <c r="T1406" t="str">
        <f ca="1">IF(ISNUMBER(O1406),OFFSET('MPIO_SFIO Table'!$AJ$11,O1406,0),"")</f>
        <v/>
      </c>
      <c r="U1406" t="str">
        <f ca="1">IF(ISNUMBER(P1406),OFFSET('MPIO_SFIO Table'!$AJ$11,P1406,0),"")</f>
        <v/>
      </c>
      <c r="V1406" t="str">
        <f ca="1">IF(ISNUMBER(Q1406),OFFSET('MPIO_SFIO Table'!$AJ$11,Q1406,0),"")</f>
        <v/>
      </c>
      <c r="W1406">
        <f t="shared" ca="1" si="179"/>
        <v>0</v>
      </c>
      <c r="X1406">
        <f t="shared" ca="1" si="180"/>
        <v>0</v>
      </c>
      <c r="Y1406">
        <f t="shared" ca="1" si="181"/>
        <v>0</v>
      </c>
      <c r="Z1406">
        <f t="shared" ca="1" si="182"/>
        <v>0</v>
      </c>
      <c r="AA1406">
        <f t="shared" ca="1" si="183"/>
        <v>0</v>
      </c>
    </row>
    <row r="1407" spans="1:27" x14ac:dyDescent="0.25">
      <c r="A1407">
        <f t="shared" ca="1" si="176"/>
        <v>0</v>
      </c>
      <c r="B1407" t="str">
        <f t="shared" ca="1" si="177"/>
        <v/>
      </c>
      <c r="C1407" t="str">
        <f t="shared" si="178"/>
        <v/>
      </c>
      <c r="D1407" t="s">
        <v>253</v>
      </c>
      <c r="E1407" t="s">
        <v>253</v>
      </c>
      <c r="F1407" s="3" t="s">
        <v>253</v>
      </c>
      <c r="G1407" s="11" t="s">
        <v>253</v>
      </c>
      <c r="H1407" s="11" t="s">
        <v>253</v>
      </c>
      <c r="I1407" s="3" t="s">
        <v>253</v>
      </c>
      <c r="J1407" s="3" t="s">
        <v>253</v>
      </c>
      <c r="K1407" s="3" t="s">
        <v>253</v>
      </c>
      <c r="L1407" s="3" t="s">
        <v>253</v>
      </c>
      <c r="M1407" t="str">
        <f>IF(LEN(H1407),MATCH(H1407,'MPIO_SFIO Table'!$A$11:$A$65525,0)-1,"")</f>
        <v/>
      </c>
      <c r="N1407" t="str">
        <f>IF(LEN(I1407),MATCH(I1407,'MPIO_SFIO Table'!$A$11:$A$65525,0)-1,"")</f>
        <v/>
      </c>
      <c r="O1407" t="str">
        <f>IF(LEN(J1407),MATCH(J1407,'MPIO_SFIO Table'!$A$11:$A$65525,0)-1,"")</f>
        <v/>
      </c>
      <c r="P1407" t="str">
        <f>IF(LEN(K1407),MATCH(K1407,'MPIO_SFIO Table'!$A$11:$A$65525,0)-1,"")</f>
        <v/>
      </c>
      <c r="Q1407" t="str">
        <f>IF(LEN(L1407),MATCH(L1407,'MPIO_SFIO Table'!$A$11:$A$65525,0)-1,"")</f>
        <v/>
      </c>
      <c r="R1407" t="str">
        <f ca="1">IF(ISNUMBER(M1407),OFFSET('MPIO_SFIO Table'!$AJ$11,M1407,0),"")</f>
        <v/>
      </c>
      <c r="S1407" t="str">
        <f ca="1">IF(ISNUMBER(N1407),OFFSET('MPIO_SFIO Table'!$AJ$11,N1407,0),"")</f>
        <v/>
      </c>
      <c r="T1407" t="str">
        <f ca="1">IF(ISNUMBER(O1407),OFFSET('MPIO_SFIO Table'!$AJ$11,O1407,0),"")</f>
        <v/>
      </c>
      <c r="U1407" t="str">
        <f ca="1">IF(ISNUMBER(P1407),OFFSET('MPIO_SFIO Table'!$AJ$11,P1407,0),"")</f>
        <v/>
      </c>
      <c r="V1407" t="str">
        <f ca="1">IF(ISNUMBER(Q1407),OFFSET('MPIO_SFIO Table'!$AJ$11,Q1407,0),"")</f>
        <v/>
      </c>
      <c r="W1407">
        <f t="shared" ca="1" si="179"/>
        <v>0</v>
      </c>
      <c r="X1407">
        <f t="shared" ca="1" si="180"/>
        <v>0</v>
      </c>
      <c r="Y1407">
        <f t="shared" ca="1" si="181"/>
        <v>0</v>
      </c>
      <c r="Z1407">
        <f t="shared" ca="1" si="182"/>
        <v>0</v>
      </c>
      <c r="AA1407">
        <f t="shared" ca="1" si="183"/>
        <v>0</v>
      </c>
    </row>
    <row r="1408" spans="1:27" x14ac:dyDescent="0.25">
      <c r="A1408">
        <f t="shared" ca="1" si="176"/>
        <v>0</v>
      </c>
      <c r="B1408" t="str">
        <f t="shared" ca="1" si="177"/>
        <v/>
      </c>
      <c r="C1408" t="str">
        <f t="shared" si="178"/>
        <v/>
      </c>
      <c r="D1408" t="s">
        <v>253</v>
      </c>
      <c r="E1408" t="s">
        <v>253</v>
      </c>
      <c r="F1408" s="3" t="s">
        <v>253</v>
      </c>
      <c r="G1408" s="11" t="s">
        <v>253</v>
      </c>
      <c r="H1408" s="11" t="s">
        <v>253</v>
      </c>
      <c r="I1408" s="3" t="s">
        <v>253</v>
      </c>
      <c r="J1408" s="3" t="s">
        <v>253</v>
      </c>
      <c r="K1408" s="3" t="s">
        <v>253</v>
      </c>
      <c r="L1408" s="3" t="s">
        <v>253</v>
      </c>
      <c r="M1408" t="str">
        <f>IF(LEN(H1408),MATCH(H1408,'MPIO_SFIO Table'!$A$11:$A$65525,0)-1,"")</f>
        <v/>
      </c>
      <c r="N1408" t="str">
        <f>IF(LEN(I1408),MATCH(I1408,'MPIO_SFIO Table'!$A$11:$A$65525,0)-1,"")</f>
        <v/>
      </c>
      <c r="O1408" t="str">
        <f>IF(LEN(J1408),MATCH(J1408,'MPIO_SFIO Table'!$A$11:$A$65525,0)-1,"")</f>
        <v/>
      </c>
      <c r="P1408" t="str">
        <f>IF(LEN(K1408),MATCH(K1408,'MPIO_SFIO Table'!$A$11:$A$65525,0)-1,"")</f>
        <v/>
      </c>
      <c r="Q1408" t="str">
        <f>IF(LEN(L1408),MATCH(L1408,'MPIO_SFIO Table'!$A$11:$A$65525,0)-1,"")</f>
        <v/>
      </c>
      <c r="R1408" t="str">
        <f ca="1">IF(ISNUMBER(M1408),OFFSET('MPIO_SFIO Table'!$AJ$11,M1408,0),"")</f>
        <v/>
      </c>
      <c r="S1408" t="str">
        <f ca="1">IF(ISNUMBER(N1408),OFFSET('MPIO_SFIO Table'!$AJ$11,N1408,0),"")</f>
        <v/>
      </c>
      <c r="T1408" t="str">
        <f ca="1">IF(ISNUMBER(O1408),OFFSET('MPIO_SFIO Table'!$AJ$11,O1408,0),"")</f>
        <v/>
      </c>
      <c r="U1408" t="str">
        <f ca="1">IF(ISNUMBER(P1408),OFFSET('MPIO_SFIO Table'!$AJ$11,P1408,0),"")</f>
        <v/>
      </c>
      <c r="V1408" t="str">
        <f ca="1">IF(ISNUMBER(Q1408),OFFSET('MPIO_SFIO Table'!$AJ$11,Q1408,0),"")</f>
        <v/>
      </c>
      <c r="W1408">
        <f t="shared" ca="1" si="179"/>
        <v>0</v>
      </c>
      <c r="X1408">
        <f t="shared" ca="1" si="180"/>
        <v>0</v>
      </c>
      <c r="Y1408">
        <f t="shared" ca="1" si="181"/>
        <v>0</v>
      </c>
      <c r="Z1408">
        <f t="shared" ca="1" si="182"/>
        <v>0</v>
      </c>
      <c r="AA1408">
        <f t="shared" ca="1" si="183"/>
        <v>0</v>
      </c>
    </row>
    <row r="1409" spans="1:27" x14ac:dyDescent="0.25">
      <c r="A1409">
        <f t="shared" ca="1" si="176"/>
        <v>0</v>
      </c>
      <c r="B1409" t="str">
        <f t="shared" ca="1" si="177"/>
        <v/>
      </c>
      <c r="C1409" t="str">
        <f t="shared" si="178"/>
        <v/>
      </c>
      <c r="D1409" t="s">
        <v>253</v>
      </c>
      <c r="E1409" t="s">
        <v>253</v>
      </c>
      <c r="F1409" s="3" t="s">
        <v>253</v>
      </c>
      <c r="G1409" s="11" t="s">
        <v>253</v>
      </c>
      <c r="H1409" s="11" t="s">
        <v>253</v>
      </c>
      <c r="I1409" s="3" t="s">
        <v>253</v>
      </c>
      <c r="J1409" s="3" t="s">
        <v>253</v>
      </c>
      <c r="K1409" s="3" t="s">
        <v>253</v>
      </c>
      <c r="L1409" s="3" t="s">
        <v>253</v>
      </c>
      <c r="M1409" t="str">
        <f>IF(LEN(H1409),MATCH(H1409,'MPIO_SFIO Table'!$A$11:$A$65525,0)-1,"")</f>
        <v/>
      </c>
      <c r="N1409" t="str">
        <f>IF(LEN(I1409),MATCH(I1409,'MPIO_SFIO Table'!$A$11:$A$65525,0)-1,"")</f>
        <v/>
      </c>
      <c r="O1409" t="str">
        <f>IF(LEN(J1409),MATCH(J1409,'MPIO_SFIO Table'!$A$11:$A$65525,0)-1,"")</f>
        <v/>
      </c>
      <c r="P1409" t="str">
        <f>IF(LEN(K1409),MATCH(K1409,'MPIO_SFIO Table'!$A$11:$A$65525,0)-1,"")</f>
        <v/>
      </c>
      <c r="Q1409" t="str">
        <f>IF(LEN(L1409),MATCH(L1409,'MPIO_SFIO Table'!$A$11:$A$65525,0)-1,"")</f>
        <v/>
      </c>
      <c r="R1409" t="str">
        <f ca="1">IF(ISNUMBER(M1409),OFFSET('MPIO_SFIO Table'!$AJ$11,M1409,0),"")</f>
        <v/>
      </c>
      <c r="S1409" t="str">
        <f ca="1">IF(ISNUMBER(N1409),OFFSET('MPIO_SFIO Table'!$AJ$11,N1409,0),"")</f>
        <v/>
      </c>
      <c r="T1409" t="str">
        <f ca="1">IF(ISNUMBER(O1409),OFFSET('MPIO_SFIO Table'!$AJ$11,O1409,0),"")</f>
        <v/>
      </c>
      <c r="U1409" t="str">
        <f ca="1">IF(ISNUMBER(P1409),OFFSET('MPIO_SFIO Table'!$AJ$11,P1409,0),"")</f>
        <v/>
      </c>
      <c r="V1409" t="str">
        <f ca="1">IF(ISNUMBER(Q1409),OFFSET('MPIO_SFIO Table'!$AJ$11,Q1409,0),"")</f>
        <v/>
      </c>
      <c r="W1409">
        <f t="shared" ca="1" si="179"/>
        <v>0</v>
      </c>
      <c r="X1409">
        <f t="shared" ca="1" si="180"/>
        <v>0</v>
      </c>
      <c r="Y1409">
        <f t="shared" ca="1" si="181"/>
        <v>0</v>
      </c>
      <c r="Z1409">
        <f t="shared" ca="1" si="182"/>
        <v>0</v>
      </c>
      <c r="AA1409">
        <f t="shared" ca="1" si="183"/>
        <v>0</v>
      </c>
    </row>
    <row r="1410" spans="1:27" x14ac:dyDescent="0.25">
      <c r="A1410">
        <f t="shared" ca="1" si="176"/>
        <v>0</v>
      </c>
      <c r="B1410" t="str">
        <f t="shared" ca="1" si="177"/>
        <v/>
      </c>
      <c r="C1410" t="str">
        <f t="shared" si="178"/>
        <v/>
      </c>
      <c r="D1410" t="s">
        <v>253</v>
      </c>
      <c r="E1410" t="s">
        <v>253</v>
      </c>
      <c r="F1410" s="3" t="s">
        <v>253</v>
      </c>
      <c r="G1410" s="11" t="s">
        <v>253</v>
      </c>
      <c r="H1410" s="11" t="s">
        <v>253</v>
      </c>
      <c r="I1410" s="3" t="s">
        <v>253</v>
      </c>
      <c r="J1410" s="3" t="s">
        <v>253</v>
      </c>
      <c r="K1410" s="3" t="s">
        <v>253</v>
      </c>
      <c r="L1410" s="3" t="s">
        <v>253</v>
      </c>
      <c r="M1410" t="str">
        <f>IF(LEN(H1410),MATCH(H1410,'MPIO_SFIO Table'!$A$11:$A$65525,0)-1,"")</f>
        <v/>
      </c>
      <c r="N1410" t="str">
        <f>IF(LEN(I1410),MATCH(I1410,'MPIO_SFIO Table'!$A$11:$A$65525,0)-1,"")</f>
        <v/>
      </c>
      <c r="O1410" t="str">
        <f>IF(LEN(J1410),MATCH(J1410,'MPIO_SFIO Table'!$A$11:$A$65525,0)-1,"")</f>
        <v/>
      </c>
      <c r="P1410" t="str">
        <f>IF(LEN(K1410),MATCH(K1410,'MPIO_SFIO Table'!$A$11:$A$65525,0)-1,"")</f>
        <v/>
      </c>
      <c r="Q1410" t="str">
        <f>IF(LEN(L1410),MATCH(L1410,'MPIO_SFIO Table'!$A$11:$A$65525,0)-1,"")</f>
        <v/>
      </c>
      <c r="R1410" t="str">
        <f ca="1">IF(ISNUMBER(M1410),OFFSET('MPIO_SFIO Table'!$AJ$11,M1410,0),"")</f>
        <v/>
      </c>
      <c r="S1410" t="str">
        <f ca="1">IF(ISNUMBER(N1410),OFFSET('MPIO_SFIO Table'!$AJ$11,N1410,0),"")</f>
        <v/>
      </c>
      <c r="T1410" t="str">
        <f ca="1">IF(ISNUMBER(O1410),OFFSET('MPIO_SFIO Table'!$AJ$11,O1410,0),"")</f>
        <v/>
      </c>
      <c r="U1410" t="str">
        <f ca="1">IF(ISNUMBER(P1410),OFFSET('MPIO_SFIO Table'!$AJ$11,P1410,0),"")</f>
        <v/>
      </c>
      <c r="V1410" t="str">
        <f ca="1">IF(ISNUMBER(Q1410),OFFSET('MPIO_SFIO Table'!$AJ$11,Q1410,0),"")</f>
        <v/>
      </c>
      <c r="W1410">
        <f t="shared" ca="1" si="179"/>
        <v>0</v>
      </c>
      <c r="X1410">
        <f t="shared" ca="1" si="180"/>
        <v>0</v>
      </c>
      <c r="Y1410">
        <f t="shared" ca="1" si="181"/>
        <v>0</v>
      </c>
      <c r="Z1410">
        <f t="shared" ca="1" si="182"/>
        <v>0</v>
      </c>
      <c r="AA1410">
        <f t="shared" ca="1" si="183"/>
        <v>0</v>
      </c>
    </row>
    <row r="1411" spans="1:27" x14ac:dyDescent="0.25">
      <c r="A1411">
        <f t="shared" ca="1" si="176"/>
        <v>0</v>
      </c>
      <c r="B1411" t="str">
        <f t="shared" ca="1" si="177"/>
        <v/>
      </c>
      <c r="C1411" t="str">
        <f t="shared" si="178"/>
        <v/>
      </c>
      <c r="D1411" t="s">
        <v>253</v>
      </c>
      <c r="E1411" t="s">
        <v>253</v>
      </c>
      <c r="F1411" s="3" t="s">
        <v>253</v>
      </c>
      <c r="G1411" s="11" t="s">
        <v>253</v>
      </c>
      <c r="H1411" s="11" t="s">
        <v>253</v>
      </c>
      <c r="I1411" s="3" t="s">
        <v>253</v>
      </c>
      <c r="J1411" s="3" t="s">
        <v>253</v>
      </c>
      <c r="K1411" s="3" t="s">
        <v>253</v>
      </c>
      <c r="L1411" s="3" t="s">
        <v>253</v>
      </c>
      <c r="M1411" t="str">
        <f>IF(LEN(H1411),MATCH(H1411,'MPIO_SFIO Table'!$A$11:$A$65525,0)-1,"")</f>
        <v/>
      </c>
      <c r="N1411" t="str">
        <f>IF(LEN(I1411),MATCH(I1411,'MPIO_SFIO Table'!$A$11:$A$65525,0)-1,"")</f>
        <v/>
      </c>
      <c r="O1411" t="str">
        <f>IF(LEN(J1411),MATCH(J1411,'MPIO_SFIO Table'!$A$11:$A$65525,0)-1,"")</f>
        <v/>
      </c>
      <c r="P1411" t="str">
        <f>IF(LEN(K1411),MATCH(K1411,'MPIO_SFIO Table'!$A$11:$A$65525,0)-1,"")</f>
        <v/>
      </c>
      <c r="Q1411" t="str">
        <f>IF(LEN(L1411),MATCH(L1411,'MPIO_SFIO Table'!$A$11:$A$65525,0)-1,"")</f>
        <v/>
      </c>
      <c r="R1411" t="str">
        <f ca="1">IF(ISNUMBER(M1411),OFFSET('MPIO_SFIO Table'!$AJ$11,M1411,0),"")</f>
        <v/>
      </c>
      <c r="S1411" t="str">
        <f ca="1">IF(ISNUMBER(N1411),OFFSET('MPIO_SFIO Table'!$AJ$11,N1411,0),"")</f>
        <v/>
      </c>
      <c r="T1411" t="str">
        <f ca="1">IF(ISNUMBER(O1411),OFFSET('MPIO_SFIO Table'!$AJ$11,O1411,0),"")</f>
        <v/>
      </c>
      <c r="U1411" t="str">
        <f ca="1">IF(ISNUMBER(P1411),OFFSET('MPIO_SFIO Table'!$AJ$11,P1411,0),"")</f>
        <v/>
      </c>
      <c r="V1411" t="str">
        <f ca="1">IF(ISNUMBER(Q1411),OFFSET('MPIO_SFIO Table'!$AJ$11,Q1411,0),"")</f>
        <v/>
      </c>
      <c r="W1411">
        <f t="shared" ca="1" si="179"/>
        <v>0</v>
      </c>
      <c r="X1411">
        <f t="shared" ca="1" si="180"/>
        <v>0</v>
      </c>
      <c r="Y1411">
        <f t="shared" ca="1" si="181"/>
        <v>0</v>
      </c>
      <c r="Z1411">
        <f t="shared" ca="1" si="182"/>
        <v>0</v>
      </c>
      <c r="AA1411">
        <f t="shared" ca="1" si="183"/>
        <v>0</v>
      </c>
    </row>
    <row r="1412" spans="1:27" x14ac:dyDescent="0.25">
      <c r="A1412">
        <f t="shared" ca="1" si="176"/>
        <v>0</v>
      </c>
      <c r="B1412" t="str">
        <f t="shared" ca="1" si="177"/>
        <v/>
      </c>
      <c r="C1412" t="str">
        <f t="shared" si="178"/>
        <v/>
      </c>
      <c r="D1412" t="s">
        <v>253</v>
      </c>
      <c r="E1412" t="s">
        <v>253</v>
      </c>
      <c r="F1412" s="3" t="s">
        <v>253</v>
      </c>
      <c r="G1412" s="11" t="s">
        <v>253</v>
      </c>
      <c r="H1412" s="11" t="s">
        <v>253</v>
      </c>
      <c r="I1412" s="3" t="s">
        <v>253</v>
      </c>
      <c r="J1412" s="3" t="s">
        <v>253</v>
      </c>
      <c r="K1412" s="3" t="s">
        <v>253</v>
      </c>
      <c r="L1412" s="3" t="s">
        <v>253</v>
      </c>
      <c r="M1412" t="str">
        <f>IF(LEN(H1412),MATCH(H1412,'MPIO_SFIO Table'!$A$11:$A$65525,0)-1,"")</f>
        <v/>
      </c>
      <c r="N1412" t="str">
        <f>IF(LEN(I1412),MATCH(I1412,'MPIO_SFIO Table'!$A$11:$A$65525,0)-1,"")</f>
        <v/>
      </c>
      <c r="O1412" t="str">
        <f>IF(LEN(J1412),MATCH(J1412,'MPIO_SFIO Table'!$A$11:$A$65525,0)-1,"")</f>
        <v/>
      </c>
      <c r="P1412" t="str">
        <f>IF(LEN(K1412),MATCH(K1412,'MPIO_SFIO Table'!$A$11:$A$65525,0)-1,"")</f>
        <v/>
      </c>
      <c r="Q1412" t="str">
        <f>IF(LEN(L1412),MATCH(L1412,'MPIO_SFIO Table'!$A$11:$A$65525,0)-1,"")</f>
        <v/>
      </c>
      <c r="R1412" t="str">
        <f ca="1">IF(ISNUMBER(M1412),OFFSET('MPIO_SFIO Table'!$AJ$11,M1412,0),"")</f>
        <v/>
      </c>
      <c r="S1412" t="str">
        <f ca="1">IF(ISNUMBER(N1412),OFFSET('MPIO_SFIO Table'!$AJ$11,N1412,0),"")</f>
        <v/>
      </c>
      <c r="T1412" t="str">
        <f ca="1">IF(ISNUMBER(O1412),OFFSET('MPIO_SFIO Table'!$AJ$11,O1412,0),"")</f>
        <v/>
      </c>
      <c r="U1412" t="str">
        <f ca="1">IF(ISNUMBER(P1412),OFFSET('MPIO_SFIO Table'!$AJ$11,P1412,0),"")</f>
        <v/>
      </c>
      <c r="V1412" t="str">
        <f ca="1">IF(ISNUMBER(Q1412),OFFSET('MPIO_SFIO Table'!$AJ$11,Q1412,0),"")</f>
        <v/>
      </c>
      <c r="W1412">
        <f t="shared" ca="1" si="179"/>
        <v>0</v>
      </c>
      <c r="X1412">
        <f t="shared" ca="1" si="180"/>
        <v>0</v>
      </c>
      <c r="Y1412">
        <f t="shared" ca="1" si="181"/>
        <v>0</v>
      </c>
      <c r="Z1412">
        <f t="shared" ca="1" si="182"/>
        <v>0</v>
      </c>
      <c r="AA1412">
        <f t="shared" ca="1" si="183"/>
        <v>0</v>
      </c>
    </row>
    <row r="1413" spans="1:27" x14ac:dyDescent="0.25">
      <c r="A1413">
        <f t="shared" ca="1" si="176"/>
        <v>0</v>
      </c>
      <c r="B1413" t="str">
        <f t="shared" ca="1" si="177"/>
        <v/>
      </c>
      <c r="C1413" t="str">
        <f t="shared" si="178"/>
        <v/>
      </c>
      <c r="D1413" t="s">
        <v>253</v>
      </c>
      <c r="E1413" t="s">
        <v>253</v>
      </c>
      <c r="F1413" s="3" t="s">
        <v>253</v>
      </c>
      <c r="G1413" s="11" t="s">
        <v>253</v>
      </c>
      <c r="H1413" s="11" t="s">
        <v>253</v>
      </c>
      <c r="I1413" s="3" t="s">
        <v>253</v>
      </c>
      <c r="J1413" s="3" t="s">
        <v>253</v>
      </c>
      <c r="K1413" s="3" t="s">
        <v>253</v>
      </c>
      <c r="L1413" s="3" t="s">
        <v>253</v>
      </c>
      <c r="M1413" t="str">
        <f>IF(LEN(H1413),MATCH(H1413,'MPIO_SFIO Table'!$A$11:$A$65525,0)-1,"")</f>
        <v/>
      </c>
      <c r="N1413" t="str">
        <f>IF(LEN(I1413),MATCH(I1413,'MPIO_SFIO Table'!$A$11:$A$65525,0)-1,"")</f>
        <v/>
      </c>
      <c r="O1413" t="str">
        <f>IF(LEN(J1413),MATCH(J1413,'MPIO_SFIO Table'!$A$11:$A$65525,0)-1,"")</f>
        <v/>
      </c>
      <c r="P1413" t="str">
        <f>IF(LEN(K1413),MATCH(K1413,'MPIO_SFIO Table'!$A$11:$A$65525,0)-1,"")</f>
        <v/>
      </c>
      <c r="Q1413" t="str">
        <f>IF(LEN(L1413),MATCH(L1413,'MPIO_SFIO Table'!$A$11:$A$65525,0)-1,"")</f>
        <v/>
      </c>
      <c r="R1413" t="str">
        <f ca="1">IF(ISNUMBER(M1413),OFFSET('MPIO_SFIO Table'!$AJ$11,M1413,0),"")</f>
        <v/>
      </c>
      <c r="S1413" t="str">
        <f ca="1">IF(ISNUMBER(N1413),OFFSET('MPIO_SFIO Table'!$AJ$11,N1413,0),"")</f>
        <v/>
      </c>
      <c r="T1413" t="str">
        <f ca="1">IF(ISNUMBER(O1413),OFFSET('MPIO_SFIO Table'!$AJ$11,O1413,0),"")</f>
        <v/>
      </c>
      <c r="U1413" t="str">
        <f ca="1">IF(ISNUMBER(P1413),OFFSET('MPIO_SFIO Table'!$AJ$11,P1413,0),"")</f>
        <v/>
      </c>
      <c r="V1413" t="str">
        <f ca="1">IF(ISNUMBER(Q1413),OFFSET('MPIO_SFIO Table'!$AJ$11,Q1413,0),"")</f>
        <v/>
      </c>
      <c r="W1413">
        <f t="shared" ca="1" si="179"/>
        <v>0</v>
      </c>
      <c r="X1413">
        <f t="shared" ca="1" si="180"/>
        <v>0</v>
      </c>
      <c r="Y1413">
        <f t="shared" ca="1" si="181"/>
        <v>0</v>
      </c>
      <c r="Z1413">
        <f t="shared" ca="1" si="182"/>
        <v>0</v>
      </c>
      <c r="AA1413">
        <f t="shared" ca="1" si="183"/>
        <v>0</v>
      </c>
    </row>
    <row r="1414" spans="1:27" x14ac:dyDescent="0.25">
      <c r="A1414">
        <f t="shared" ca="1" si="176"/>
        <v>0</v>
      </c>
      <c r="B1414" t="str">
        <f t="shared" ca="1" si="177"/>
        <v/>
      </c>
      <c r="C1414" t="str">
        <f t="shared" si="178"/>
        <v/>
      </c>
      <c r="D1414" t="s">
        <v>253</v>
      </c>
      <c r="E1414" t="s">
        <v>253</v>
      </c>
      <c r="F1414" s="3" t="s">
        <v>253</v>
      </c>
      <c r="G1414" s="11" t="s">
        <v>253</v>
      </c>
      <c r="H1414" s="11" t="s">
        <v>253</v>
      </c>
      <c r="I1414" s="3" t="s">
        <v>253</v>
      </c>
      <c r="J1414" s="3" t="s">
        <v>253</v>
      </c>
      <c r="K1414" s="3" t="s">
        <v>253</v>
      </c>
      <c r="L1414" s="3" t="s">
        <v>253</v>
      </c>
      <c r="M1414" t="str">
        <f>IF(LEN(H1414),MATCH(H1414,'MPIO_SFIO Table'!$A$11:$A$65525,0)-1,"")</f>
        <v/>
      </c>
      <c r="N1414" t="str">
        <f>IF(LEN(I1414),MATCH(I1414,'MPIO_SFIO Table'!$A$11:$A$65525,0)-1,"")</f>
        <v/>
      </c>
      <c r="O1414" t="str">
        <f>IF(LEN(J1414),MATCH(J1414,'MPIO_SFIO Table'!$A$11:$A$65525,0)-1,"")</f>
        <v/>
      </c>
      <c r="P1414" t="str">
        <f>IF(LEN(K1414),MATCH(K1414,'MPIO_SFIO Table'!$A$11:$A$65525,0)-1,"")</f>
        <v/>
      </c>
      <c r="Q1414" t="str">
        <f>IF(LEN(L1414),MATCH(L1414,'MPIO_SFIO Table'!$A$11:$A$65525,0)-1,"")</f>
        <v/>
      </c>
      <c r="R1414" t="str">
        <f ca="1">IF(ISNUMBER(M1414),OFFSET('MPIO_SFIO Table'!$AJ$11,M1414,0),"")</f>
        <v/>
      </c>
      <c r="S1414" t="str">
        <f ca="1">IF(ISNUMBER(N1414),OFFSET('MPIO_SFIO Table'!$AJ$11,N1414,0),"")</f>
        <v/>
      </c>
      <c r="T1414" t="str">
        <f ca="1">IF(ISNUMBER(O1414),OFFSET('MPIO_SFIO Table'!$AJ$11,O1414,0),"")</f>
        <v/>
      </c>
      <c r="U1414" t="str">
        <f ca="1">IF(ISNUMBER(P1414),OFFSET('MPIO_SFIO Table'!$AJ$11,P1414,0),"")</f>
        <v/>
      </c>
      <c r="V1414" t="str">
        <f ca="1">IF(ISNUMBER(Q1414),OFFSET('MPIO_SFIO Table'!$AJ$11,Q1414,0),"")</f>
        <v/>
      </c>
      <c r="W1414">
        <f t="shared" ca="1" si="179"/>
        <v>0</v>
      </c>
      <c r="X1414">
        <f t="shared" ca="1" si="180"/>
        <v>0</v>
      </c>
      <c r="Y1414">
        <f t="shared" ca="1" si="181"/>
        <v>0</v>
      </c>
      <c r="Z1414">
        <f t="shared" ca="1" si="182"/>
        <v>0</v>
      </c>
      <c r="AA1414">
        <f t="shared" ca="1" si="183"/>
        <v>0</v>
      </c>
    </row>
    <row r="1415" spans="1:27" x14ac:dyDescent="0.25">
      <c r="A1415">
        <f t="shared" ca="1" si="176"/>
        <v>0</v>
      </c>
      <c r="B1415" t="str">
        <f t="shared" ca="1" si="177"/>
        <v/>
      </c>
      <c r="C1415" t="str">
        <f t="shared" si="178"/>
        <v/>
      </c>
      <c r="D1415" t="s">
        <v>253</v>
      </c>
      <c r="E1415" t="s">
        <v>253</v>
      </c>
      <c r="F1415" s="3" t="s">
        <v>253</v>
      </c>
      <c r="G1415" s="11" t="s">
        <v>253</v>
      </c>
      <c r="H1415" s="11" t="s">
        <v>253</v>
      </c>
      <c r="I1415" s="3" t="s">
        <v>253</v>
      </c>
      <c r="J1415" s="3" t="s">
        <v>253</v>
      </c>
      <c r="K1415" s="3" t="s">
        <v>253</v>
      </c>
      <c r="L1415" s="3" t="s">
        <v>253</v>
      </c>
      <c r="M1415" t="str">
        <f>IF(LEN(H1415),MATCH(H1415,'MPIO_SFIO Table'!$A$11:$A$65525,0)-1,"")</f>
        <v/>
      </c>
      <c r="N1415" t="str">
        <f>IF(LEN(I1415),MATCH(I1415,'MPIO_SFIO Table'!$A$11:$A$65525,0)-1,"")</f>
        <v/>
      </c>
      <c r="O1415" t="str">
        <f>IF(LEN(J1415),MATCH(J1415,'MPIO_SFIO Table'!$A$11:$A$65525,0)-1,"")</f>
        <v/>
      </c>
      <c r="P1415" t="str">
        <f>IF(LEN(K1415),MATCH(K1415,'MPIO_SFIO Table'!$A$11:$A$65525,0)-1,"")</f>
        <v/>
      </c>
      <c r="Q1415" t="str">
        <f>IF(LEN(L1415),MATCH(L1415,'MPIO_SFIO Table'!$A$11:$A$65525,0)-1,"")</f>
        <v/>
      </c>
      <c r="R1415" t="str">
        <f ca="1">IF(ISNUMBER(M1415),OFFSET('MPIO_SFIO Table'!$AJ$11,M1415,0),"")</f>
        <v/>
      </c>
      <c r="S1415" t="str">
        <f ca="1">IF(ISNUMBER(N1415),OFFSET('MPIO_SFIO Table'!$AJ$11,N1415,0),"")</f>
        <v/>
      </c>
      <c r="T1415" t="str">
        <f ca="1">IF(ISNUMBER(O1415),OFFSET('MPIO_SFIO Table'!$AJ$11,O1415,0),"")</f>
        <v/>
      </c>
      <c r="U1415" t="str">
        <f ca="1">IF(ISNUMBER(P1415),OFFSET('MPIO_SFIO Table'!$AJ$11,P1415,0),"")</f>
        <v/>
      </c>
      <c r="V1415" t="str">
        <f ca="1">IF(ISNUMBER(Q1415),OFFSET('MPIO_SFIO Table'!$AJ$11,Q1415,0),"")</f>
        <v/>
      </c>
      <c r="W1415">
        <f t="shared" ca="1" si="179"/>
        <v>0</v>
      </c>
      <c r="X1415">
        <f t="shared" ca="1" si="180"/>
        <v>0</v>
      </c>
      <c r="Y1415">
        <f t="shared" ca="1" si="181"/>
        <v>0</v>
      </c>
      <c r="Z1415">
        <f t="shared" ca="1" si="182"/>
        <v>0</v>
      </c>
      <c r="AA1415">
        <f t="shared" ca="1" si="183"/>
        <v>0</v>
      </c>
    </row>
    <row r="1416" spans="1:27" x14ac:dyDescent="0.25">
      <c r="A1416">
        <f t="shared" ref="A1416:A1462" ca="1" si="184">SUM($W1416:$AA1416)</f>
        <v>0</v>
      </c>
      <c r="B1416" t="str">
        <f t="shared" ref="B1416:B1462" ca="1" si="185">IF(A1416&lt;&gt;0,REPLACE(G1416,FIND("-",G1416),LEN(G1416),""),"")</f>
        <v/>
      </c>
      <c r="C1416" t="str">
        <f t="shared" si="178"/>
        <v/>
      </c>
      <c r="D1416" t="s">
        <v>253</v>
      </c>
      <c r="E1416" t="s">
        <v>253</v>
      </c>
      <c r="F1416" s="3" t="s">
        <v>253</v>
      </c>
      <c r="G1416" s="11" t="s">
        <v>253</v>
      </c>
      <c r="H1416" s="11" t="s">
        <v>253</v>
      </c>
      <c r="I1416" s="3" t="s">
        <v>253</v>
      </c>
      <c r="J1416" s="3" t="s">
        <v>253</v>
      </c>
      <c r="K1416" s="3" t="s">
        <v>253</v>
      </c>
      <c r="L1416" s="3" t="s">
        <v>253</v>
      </c>
      <c r="M1416" t="str">
        <f>IF(LEN(H1416),MATCH(H1416,'MPIO_SFIO Table'!$A$11:$A$65525,0)-1,"")</f>
        <v/>
      </c>
      <c r="N1416" t="str">
        <f>IF(LEN(I1416),MATCH(I1416,'MPIO_SFIO Table'!$A$11:$A$65525,0)-1,"")</f>
        <v/>
      </c>
      <c r="O1416" t="str">
        <f>IF(LEN(J1416),MATCH(J1416,'MPIO_SFIO Table'!$A$11:$A$65525,0)-1,"")</f>
        <v/>
      </c>
      <c r="P1416" t="str">
        <f>IF(LEN(K1416),MATCH(K1416,'MPIO_SFIO Table'!$A$11:$A$65525,0)-1,"")</f>
        <v/>
      </c>
      <c r="Q1416" t="str">
        <f>IF(LEN(L1416),MATCH(L1416,'MPIO_SFIO Table'!$A$11:$A$65525,0)-1,"")</f>
        <v/>
      </c>
      <c r="R1416" t="str">
        <f ca="1">IF(ISNUMBER(M1416),OFFSET('MPIO_SFIO Table'!$AJ$11,M1416,0),"")</f>
        <v/>
      </c>
      <c r="S1416" t="str">
        <f ca="1">IF(ISNUMBER(N1416),OFFSET('MPIO_SFIO Table'!$AJ$11,N1416,0),"")</f>
        <v/>
      </c>
      <c r="T1416" t="str">
        <f ca="1">IF(ISNUMBER(O1416),OFFSET('MPIO_SFIO Table'!$AJ$11,O1416,0),"")</f>
        <v/>
      </c>
      <c r="U1416" t="str">
        <f ca="1">IF(ISNUMBER(P1416),OFFSET('MPIO_SFIO Table'!$AJ$11,P1416,0),"")</f>
        <v/>
      </c>
      <c r="V1416" t="str">
        <f ca="1">IF(ISNUMBER(Q1416),OFFSET('MPIO_SFIO Table'!$AJ$11,Q1416,0),"")</f>
        <v/>
      </c>
      <c r="W1416">
        <f t="shared" ca="1" si="179"/>
        <v>0</v>
      </c>
      <c r="X1416">
        <f t="shared" ca="1" si="180"/>
        <v>0</v>
      </c>
      <c r="Y1416">
        <f t="shared" ca="1" si="181"/>
        <v>0</v>
      </c>
      <c r="Z1416">
        <f t="shared" ca="1" si="182"/>
        <v>0</v>
      </c>
      <c r="AA1416">
        <f t="shared" ca="1" si="183"/>
        <v>0</v>
      </c>
    </row>
    <row r="1417" spans="1:27" x14ac:dyDescent="0.25">
      <c r="A1417">
        <f t="shared" ca="1" si="184"/>
        <v>0</v>
      </c>
      <c r="B1417" t="str">
        <f t="shared" ca="1" si="185"/>
        <v/>
      </c>
      <c r="C1417" t="str">
        <f t="shared" ref="C1417:C1462" si="186">REPLACE(G1417,FIND(".",CONCATENATE(REPLACE(G1417,FIND("-",CONCATENATE(G1417,"-")),LEN(G1417),""),".")),LEN(G1417),"")</f>
        <v/>
      </c>
      <c r="D1417" t="s">
        <v>253</v>
      </c>
      <c r="E1417" t="s">
        <v>253</v>
      </c>
      <c r="F1417" s="3" t="s">
        <v>253</v>
      </c>
      <c r="G1417" s="11" t="s">
        <v>253</v>
      </c>
      <c r="H1417" s="11" t="s">
        <v>253</v>
      </c>
      <c r="I1417" s="3" t="s">
        <v>253</v>
      </c>
      <c r="J1417" s="3" t="s">
        <v>253</v>
      </c>
      <c r="K1417" s="3" t="s">
        <v>253</v>
      </c>
      <c r="L1417" s="3" t="s">
        <v>253</v>
      </c>
      <c r="M1417" t="str">
        <f>IF(LEN(H1417),MATCH(H1417,'MPIO_SFIO Table'!$A$11:$A$65525,0)-1,"")</f>
        <v/>
      </c>
      <c r="N1417" t="str">
        <f>IF(LEN(I1417),MATCH(I1417,'MPIO_SFIO Table'!$A$11:$A$65525,0)-1,"")</f>
        <v/>
      </c>
      <c r="O1417" t="str">
        <f>IF(LEN(J1417),MATCH(J1417,'MPIO_SFIO Table'!$A$11:$A$65525,0)-1,"")</f>
        <v/>
      </c>
      <c r="P1417" t="str">
        <f>IF(LEN(K1417),MATCH(K1417,'MPIO_SFIO Table'!$A$11:$A$65525,0)-1,"")</f>
        <v/>
      </c>
      <c r="Q1417" t="str">
        <f>IF(LEN(L1417),MATCH(L1417,'MPIO_SFIO Table'!$A$11:$A$65525,0)-1,"")</f>
        <v/>
      </c>
      <c r="R1417" t="str">
        <f ca="1">IF(ISNUMBER(M1417),OFFSET('MPIO_SFIO Table'!$AJ$11,M1417,0),"")</f>
        <v/>
      </c>
      <c r="S1417" t="str">
        <f ca="1">IF(ISNUMBER(N1417),OFFSET('MPIO_SFIO Table'!$AJ$11,N1417,0),"")</f>
        <v/>
      </c>
      <c r="T1417" t="str">
        <f ca="1">IF(ISNUMBER(O1417),OFFSET('MPIO_SFIO Table'!$AJ$11,O1417,0),"")</f>
        <v/>
      </c>
      <c r="U1417" t="str">
        <f ca="1">IF(ISNUMBER(P1417),OFFSET('MPIO_SFIO Table'!$AJ$11,P1417,0),"")</f>
        <v/>
      </c>
      <c r="V1417" t="str">
        <f ca="1">IF(ISNUMBER(Q1417),OFFSET('MPIO_SFIO Table'!$AJ$11,Q1417,0),"")</f>
        <v/>
      </c>
      <c r="W1417">
        <f t="shared" ref="W1417:W1462" ca="1" si="187">1*AND(ISTEXT(R1417),LEN(R1417),R1417=$G1417)</f>
        <v>0</v>
      </c>
      <c r="X1417">
        <f t="shared" ref="X1417:X1462" ca="1" si="188">1*AND(ISTEXT(S1417),LEN(S1417),S1417=$G1417)</f>
        <v>0</v>
      </c>
      <c r="Y1417">
        <f t="shared" ref="Y1417:Y1462" ca="1" si="189">1*AND(ISTEXT(T1417),LEN(T1417),T1417=$G1417)</f>
        <v>0</v>
      </c>
      <c r="Z1417">
        <f t="shared" ref="Z1417:Z1462" ca="1" si="190">1*AND(ISTEXT(U1417),LEN(U1417),U1417=$G1417)</f>
        <v>0</v>
      </c>
      <c r="AA1417">
        <f t="shared" ref="AA1417:AA1462" ca="1" si="191">1*AND(ISTEXT(V1417),LEN(V1417),V1417=$G1417)</f>
        <v>0</v>
      </c>
    </row>
    <row r="1418" spans="1:27" x14ac:dyDescent="0.25">
      <c r="A1418">
        <f t="shared" ca="1" si="184"/>
        <v>0</v>
      </c>
      <c r="B1418" t="str">
        <f t="shared" ca="1" si="185"/>
        <v/>
      </c>
      <c r="C1418" t="str">
        <f t="shared" si="186"/>
        <v/>
      </c>
      <c r="D1418" t="s">
        <v>253</v>
      </c>
      <c r="E1418" t="s">
        <v>253</v>
      </c>
      <c r="F1418" s="3" t="s">
        <v>253</v>
      </c>
      <c r="G1418" s="11" t="s">
        <v>253</v>
      </c>
      <c r="H1418" s="11" t="s">
        <v>253</v>
      </c>
      <c r="I1418" s="3" t="s">
        <v>253</v>
      </c>
      <c r="J1418" s="3" t="s">
        <v>253</v>
      </c>
      <c r="K1418" s="3" t="s">
        <v>253</v>
      </c>
      <c r="L1418" s="3" t="s">
        <v>253</v>
      </c>
      <c r="M1418" t="str">
        <f>IF(LEN(H1418),MATCH(H1418,'MPIO_SFIO Table'!$A$11:$A$65525,0)-1,"")</f>
        <v/>
      </c>
      <c r="N1418" t="str">
        <f>IF(LEN(I1418),MATCH(I1418,'MPIO_SFIO Table'!$A$11:$A$65525,0)-1,"")</f>
        <v/>
      </c>
      <c r="O1418" t="str">
        <f>IF(LEN(J1418),MATCH(J1418,'MPIO_SFIO Table'!$A$11:$A$65525,0)-1,"")</f>
        <v/>
      </c>
      <c r="P1418" t="str">
        <f>IF(LEN(K1418),MATCH(K1418,'MPIO_SFIO Table'!$A$11:$A$65525,0)-1,"")</f>
        <v/>
      </c>
      <c r="Q1418" t="str">
        <f>IF(LEN(L1418),MATCH(L1418,'MPIO_SFIO Table'!$A$11:$A$65525,0)-1,"")</f>
        <v/>
      </c>
      <c r="R1418" t="str">
        <f ca="1">IF(ISNUMBER(M1418),OFFSET('MPIO_SFIO Table'!$AJ$11,M1418,0),"")</f>
        <v/>
      </c>
      <c r="S1418" t="str">
        <f ca="1">IF(ISNUMBER(N1418),OFFSET('MPIO_SFIO Table'!$AJ$11,N1418,0),"")</f>
        <v/>
      </c>
      <c r="T1418" t="str">
        <f ca="1">IF(ISNUMBER(O1418),OFFSET('MPIO_SFIO Table'!$AJ$11,O1418,0),"")</f>
        <v/>
      </c>
      <c r="U1418" t="str">
        <f ca="1">IF(ISNUMBER(P1418),OFFSET('MPIO_SFIO Table'!$AJ$11,P1418,0),"")</f>
        <v/>
      </c>
      <c r="V1418" t="str">
        <f ca="1">IF(ISNUMBER(Q1418),OFFSET('MPIO_SFIO Table'!$AJ$11,Q1418,0),"")</f>
        <v/>
      </c>
      <c r="W1418">
        <f t="shared" ca="1" si="187"/>
        <v>0</v>
      </c>
      <c r="X1418">
        <f t="shared" ca="1" si="188"/>
        <v>0</v>
      </c>
      <c r="Y1418">
        <f t="shared" ca="1" si="189"/>
        <v>0</v>
      </c>
      <c r="Z1418">
        <f t="shared" ca="1" si="190"/>
        <v>0</v>
      </c>
      <c r="AA1418">
        <f t="shared" ca="1" si="191"/>
        <v>0</v>
      </c>
    </row>
    <row r="1419" spans="1:27" x14ac:dyDescent="0.25">
      <c r="A1419">
        <f t="shared" ca="1" si="184"/>
        <v>0</v>
      </c>
      <c r="B1419" t="str">
        <f t="shared" ca="1" si="185"/>
        <v/>
      </c>
      <c r="C1419" t="str">
        <f t="shared" si="186"/>
        <v/>
      </c>
      <c r="D1419" t="s">
        <v>253</v>
      </c>
      <c r="E1419" t="s">
        <v>253</v>
      </c>
      <c r="F1419" s="3" t="s">
        <v>253</v>
      </c>
      <c r="G1419" s="11" t="s">
        <v>253</v>
      </c>
      <c r="H1419" s="11" t="s">
        <v>253</v>
      </c>
      <c r="I1419" s="3" t="s">
        <v>253</v>
      </c>
      <c r="J1419" s="3" t="s">
        <v>253</v>
      </c>
      <c r="K1419" s="3" t="s">
        <v>253</v>
      </c>
      <c r="L1419" s="3" t="s">
        <v>253</v>
      </c>
      <c r="M1419" t="str">
        <f>IF(LEN(H1419),MATCH(H1419,'MPIO_SFIO Table'!$A$11:$A$65525,0)-1,"")</f>
        <v/>
      </c>
      <c r="N1419" t="str">
        <f>IF(LEN(I1419),MATCH(I1419,'MPIO_SFIO Table'!$A$11:$A$65525,0)-1,"")</f>
        <v/>
      </c>
      <c r="O1419" t="str">
        <f>IF(LEN(J1419),MATCH(J1419,'MPIO_SFIO Table'!$A$11:$A$65525,0)-1,"")</f>
        <v/>
      </c>
      <c r="P1419" t="str">
        <f>IF(LEN(K1419),MATCH(K1419,'MPIO_SFIO Table'!$A$11:$A$65525,0)-1,"")</f>
        <v/>
      </c>
      <c r="Q1419" t="str">
        <f>IF(LEN(L1419),MATCH(L1419,'MPIO_SFIO Table'!$A$11:$A$65525,0)-1,"")</f>
        <v/>
      </c>
      <c r="R1419" t="str">
        <f ca="1">IF(ISNUMBER(M1419),OFFSET('MPIO_SFIO Table'!$AJ$11,M1419,0),"")</f>
        <v/>
      </c>
      <c r="S1419" t="str">
        <f ca="1">IF(ISNUMBER(N1419),OFFSET('MPIO_SFIO Table'!$AJ$11,N1419,0),"")</f>
        <v/>
      </c>
      <c r="T1419" t="str">
        <f ca="1">IF(ISNUMBER(O1419),OFFSET('MPIO_SFIO Table'!$AJ$11,O1419,0),"")</f>
        <v/>
      </c>
      <c r="U1419" t="str">
        <f ca="1">IF(ISNUMBER(P1419),OFFSET('MPIO_SFIO Table'!$AJ$11,P1419,0),"")</f>
        <v/>
      </c>
      <c r="V1419" t="str">
        <f ca="1">IF(ISNUMBER(Q1419),OFFSET('MPIO_SFIO Table'!$AJ$11,Q1419,0),"")</f>
        <v/>
      </c>
      <c r="W1419">
        <f t="shared" ca="1" si="187"/>
        <v>0</v>
      </c>
      <c r="X1419">
        <f t="shared" ca="1" si="188"/>
        <v>0</v>
      </c>
      <c r="Y1419">
        <f t="shared" ca="1" si="189"/>
        <v>0</v>
      </c>
      <c r="Z1419">
        <f t="shared" ca="1" si="190"/>
        <v>0</v>
      </c>
      <c r="AA1419">
        <f t="shared" ca="1" si="191"/>
        <v>0</v>
      </c>
    </row>
    <row r="1420" spans="1:27" x14ac:dyDescent="0.25">
      <c r="A1420">
        <f t="shared" ca="1" si="184"/>
        <v>0</v>
      </c>
      <c r="B1420" t="str">
        <f t="shared" ca="1" si="185"/>
        <v/>
      </c>
      <c r="C1420" t="str">
        <f t="shared" si="186"/>
        <v/>
      </c>
      <c r="D1420" t="s">
        <v>253</v>
      </c>
      <c r="E1420" t="s">
        <v>253</v>
      </c>
      <c r="F1420" s="3" t="s">
        <v>253</v>
      </c>
      <c r="G1420" s="11" t="s">
        <v>253</v>
      </c>
      <c r="H1420" s="11" t="s">
        <v>253</v>
      </c>
      <c r="I1420" s="3" t="s">
        <v>253</v>
      </c>
      <c r="J1420" s="3" t="s">
        <v>253</v>
      </c>
      <c r="K1420" s="3" t="s">
        <v>253</v>
      </c>
      <c r="L1420" s="3" t="s">
        <v>253</v>
      </c>
      <c r="M1420" t="str">
        <f>IF(LEN(H1420),MATCH(H1420,'MPIO_SFIO Table'!$A$11:$A$65525,0)-1,"")</f>
        <v/>
      </c>
      <c r="N1420" t="str">
        <f>IF(LEN(I1420),MATCH(I1420,'MPIO_SFIO Table'!$A$11:$A$65525,0)-1,"")</f>
        <v/>
      </c>
      <c r="O1420" t="str">
        <f>IF(LEN(J1420),MATCH(J1420,'MPIO_SFIO Table'!$A$11:$A$65525,0)-1,"")</f>
        <v/>
      </c>
      <c r="P1420" t="str">
        <f>IF(LEN(K1420),MATCH(K1420,'MPIO_SFIO Table'!$A$11:$A$65525,0)-1,"")</f>
        <v/>
      </c>
      <c r="Q1420" t="str">
        <f>IF(LEN(L1420),MATCH(L1420,'MPIO_SFIO Table'!$A$11:$A$65525,0)-1,"")</f>
        <v/>
      </c>
      <c r="R1420" t="str">
        <f ca="1">IF(ISNUMBER(M1420),OFFSET('MPIO_SFIO Table'!$AJ$11,M1420,0),"")</f>
        <v/>
      </c>
      <c r="S1420" t="str">
        <f ca="1">IF(ISNUMBER(N1420),OFFSET('MPIO_SFIO Table'!$AJ$11,N1420,0),"")</f>
        <v/>
      </c>
      <c r="T1420" t="str">
        <f ca="1">IF(ISNUMBER(O1420),OFFSET('MPIO_SFIO Table'!$AJ$11,O1420,0),"")</f>
        <v/>
      </c>
      <c r="U1420" t="str">
        <f ca="1">IF(ISNUMBER(P1420),OFFSET('MPIO_SFIO Table'!$AJ$11,P1420,0),"")</f>
        <v/>
      </c>
      <c r="V1420" t="str">
        <f ca="1">IF(ISNUMBER(Q1420),OFFSET('MPIO_SFIO Table'!$AJ$11,Q1420,0),"")</f>
        <v/>
      </c>
      <c r="W1420">
        <f t="shared" ca="1" si="187"/>
        <v>0</v>
      </c>
      <c r="X1420">
        <f t="shared" ca="1" si="188"/>
        <v>0</v>
      </c>
      <c r="Y1420">
        <f t="shared" ca="1" si="189"/>
        <v>0</v>
      </c>
      <c r="Z1420">
        <f t="shared" ca="1" si="190"/>
        <v>0</v>
      </c>
      <c r="AA1420">
        <f t="shared" ca="1" si="191"/>
        <v>0</v>
      </c>
    </row>
    <row r="1421" spans="1:27" x14ac:dyDescent="0.25">
      <c r="A1421">
        <f t="shared" ca="1" si="184"/>
        <v>0</v>
      </c>
      <c r="B1421" t="str">
        <f t="shared" ca="1" si="185"/>
        <v/>
      </c>
      <c r="C1421" t="str">
        <f t="shared" si="186"/>
        <v/>
      </c>
      <c r="D1421" t="s">
        <v>253</v>
      </c>
      <c r="E1421" t="s">
        <v>253</v>
      </c>
      <c r="F1421" s="3" t="s">
        <v>253</v>
      </c>
      <c r="G1421" s="11" t="s">
        <v>253</v>
      </c>
      <c r="H1421" s="11" t="s">
        <v>253</v>
      </c>
      <c r="I1421" s="3" t="s">
        <v>253</v>
      </c>
      <c r="J1421" s="3" t="s">
        <v>253</v>
      </c>
      <c r="K1421" s="3" t="s">
        <v>253</v>
      </c>
      <c r="L1421" s="3" t="s">
        <v>253</v>
      </c>
      <c r="M1421" t="str">
        <f>IF(LEN(H1421),MATCH(H1421,'MPIO_SFIO Table'!$A$11:$A$65525,0)-1,"")</f>
        <v/>
      </c>
      <c r="N1421" t="str">
        <f>IF(LEN(I1421),MATCH(I1421,'MPIO_SFIO Table'!$A$11:$A$65525,0)-1,"")</f>
        <v/>
      </c>
      <c r="O1421" t="str">
        <f>IF(LEN(J1421),MATCH(J1421,'MPIO_SFIO Table'!$A$11:$A$65525,0)-1,"")</f>
        <v/>
      </c>
      <c r="P1421" t="str">
        <f>IF(LEN(K1421),MATCH(K1421,'MPIO_SFIO Table'!$A$11:$A$65525,0)-1,"")</f>
        <v/>
      </c>
      <c r="Q1421" t="str">
        <f>IF(LEN(L1421),MATCH(L1421,'MPIO_SFIO Table'!$A$11:$A$65525,0)-1,"")</f>
        <v/>
      </c>
      <c r="R1421" t="str">
        <f ca="1">IF(ISNUMBER(M1421),OFFSET('MPIO_SFIO Table'!$AJ$11,M1421,0),"")</f>
        <v/>
      </c>
      <c r="S1421" t="str">
        <f ca="1">IF(ISNUMBER(N1421),OFFSET('MPIO_SFIO Table'!$AJ$11,N1421,0),"")</f>
        <v/>
      </c>
      <c r="T1421" t="str">
        <f ca="1">IF(ISNUMBER(O1421),OFFSET('MPIO_SFIO Table'!$AJ$11,O1421,0),"")</f>
        <v/>
      </c>
      <c r="U1421" t="str">
        <f ca="1">IF(ISNUMBER(P1421),OFFSET('MPIO_SFIO Table'!$AJ$11,P1421,0),"")</f>
        <v/>
      </c>
      <c r="V1421" t="str">
        <f ca="1">IF(ISNUMBER(Q1421),OFFSET('MPIO_SFIO Table'!$AJ$11,Q1421,0),"")</f>
        <v/>
      </c>
      <c r="W1421">
        <f t="shared" ca="1" si="187"/>
        <v>0</v>
      </c>
      <c r="X1421">
        <f t="shared" ca="1" si="188"/>
        <v>0</v>
      </c>
      <c r="Y1421">
        <f t="shared" ca="1" si="189"/>
        <v>0</v>
      </c>
      <c r="Z1421">
        <f t="shared" ca="1" si="190"/>
        <v>0</v>
      </c>
      <c r="AA1421">
        <f t="shared" ca="1" si="191"/>
        <v>0</v>
      </c>
    </row>
    <row r="1422" spans="1:27" x14ac:dyDescent="0.25">
      <c r="A1422">
        <f t="shared" ca="1" si="184"/>
        <v>0</v>
      </c>
      <c r="B1422" t="str">
        <f t="shared" ca="1" si="185"/>
        <v/>
      </c>
      <c r="C1422" t="str">
        <f t="shared" si="186"/>
        <v/>
      </c>
      <c r="D1422" t="s">
        <v>253</v>
      </c>
      <c r="E1422" t="s">
        <v>253</v>
      </c>
      <c r="F1422" s="3" t="s">
        <v>253</v>
      </c>
      <c r="G1422" s="11" t="s">
        <v>253</v>
      </c>
      <c r="H1422" s="11" t="s">
        <v>253</v>
      </c>
      <c r="I1422" s="3" t="s">
        <v>253</v>
      </c>
      <c r="J1422" s="3" t="s">
        <v>253</v>
      </c>
      <c r="K1422" s="3" t="s">
        <v>253</v>
      </c>
      <c r="L1422" s="3" t="s">
        <v>253</v>
      </c>
      <c r="M1422" t="str">
        <f>IF(LEN(H1422),MATCH(H1422,'MPIO_SFIO Table'!$A$11:$A$65525,0)-1,"")</f>
        <v/>
      </c>
      <c r="N1422" t="str">
        <f>IF(LEN(I1422),MATCH(I1422,'MPIO_SFIO Table'!$A$11:$A$65525,0)-1,"")</f>
        <v/>
      </c>
      <c r="O1422" t="str">
        <f>IF(LEN(J1422),MATCH(J1422,'MPIO_SFIO Table'!$A$11:$A$65525,0)-1,"")</f>
        <v/>
      </c>
      <c r="P1422" t="str">
        <f>IF(LEN(K1422),MATCH(K1422,'MPIO_SFIO Table'!$A$11:$A$65525,0)-1,"")</f>
        <v/>
      </c>
      <c r="Q1422" t="str">
        <f>IF(LEN(L1422),MATCH(L1422,'MPIO_SFIO Table'!$A$11:$A$65525,0)-1,"")</f>
        <v/>
      </c>
      <c r="R1422" t="str">
        <f ca="1">IF(ISNUMBER(M1422),OFFSET('MPIO_SFIO Table'!$AJ$11,M1422,0),"")</f>
        <v/>
      </c>
      <c r="S1422" t="str">
        <f ca="1">IF(ISNUMBER(N1422),OFFSET('MPIO_SFIO Table'!$AJ$11,N1422,0),"")</f>
        <v/>
      </c>
      <c r="T1422" t="str">
        <f ca="1">IF(ISNUMBER(O1422),OFFSET('MPIO_SFIO Table'!$AJ$11,O1422,0),"")</f>
        <v/>
      </c>
      <c r="U1422" t="str">
        <f ca="1">IF(ISNUMBER(P1422),OFFSET('MPIO_SFIO Table'!$AJ$11,P1422,0),"")</f>
        <v/>
      </c>
      <c r="V1422" t="str">
        <f ca="1">IF(ISNUMBER(Q1422),OFFSET('MPIO_SFIO Table'!$AJ$11,Q1422,0),"")</f>
        <v/>
      </c>
      <c r="W1422">
        <f t="shared" ca="1" si="187"/>
        <v>0</v>
      </c>
      <c r="X1422">
        <f t="shared" ca="1" si="188"/>
        <v>0</v>
      </c>
      <c r="Y1422">
        <f t="shared" ca="1" si="189"/>
        <v>0</v>
      </c>
      <c r="Z1422">
        <f t="shared" ca="1" si="190"/>
        <v>0</v>
      </c>
      <c r="AA1422">
        <f t="shared" ca="1" si="191"/>
        <v>0</v>
      </c>
    </row>
    <row r="1423" spans="1:27" x14ac:dyDescent="0.25">
      <c r="A1423">
        <f t="shared" ca="1" si="184"/>
        <v>0</v>
      </c>
      <c r="B1423" t="str">
        <f t="shared" ca="1" si="185"/>
        <v/>
      </c>
      <c r="C1423" t="str">
        <f t="shared" si="186"/>
        <v/>
      </c>
      <c r="D1423" t="s">
        <v>253</v>
      </c>
      <c r="E1423" t="s">
        <v>253</v>
      </c>
      <c r="F1423" s="3" t="s">
        <v>253</v>
      </c>
      <c r="G1423" s="11" t="s">
        <v>253</v>
      </c>
      <c r="H1423" s="11" t="s">
        <v>253</v>
      </c>
      <c r="I1423" s="3" t="s">
        <v>253</v>
      </c>
      <c r="J1423" s="3" t="s">
        <v>253</v>
      </c>
      <c r="K1423" s="3" t="s">
        <v>253</v>
      </c>
      <c r="L1423" s="3" t="s">
        <v>253</v>
      </c>
      <c r="M1423" t="str">
        <f>IF(LEN(H1423),MATCH(H1423,'MPIO_SFIO Table'!$A$11:$A$65525,0)-1,"")</f>
        <v/>
      </c>
      <c r="N1423" t="str">
        <f>IF(LEN(I1423),MATCH(I1423,'MPIO_SFIO Table'!$A$11:$A$65525,0)-1,"")</f>
        <v/>
      </c>
      <c r="O1423" t="str">
        <f>IF(LEN(J1423),MATCH(J1423,'MPIO_SFIO Table'!$A$11:$A$65525,0)-1,"")</f>
        <v/>
      </c>
      <c r="P1423" t="str">
        <f>IF(LEN(K1423),MATCH(K1423,'MPIO_SFIO Table'!$A$11:$A$65525,0)-1,"")</f>
        <v/>
      </c>
      <c r="Q1423" t="str">
        <f>IF(LEN(L1423),MATCH(L1423,'MPIO_SFIO Table'!$A$11:$A$65525,0)-1,"")</f>
        <v/>
      </c>
      <c r="R1423" t="str">
        <f ca="1">IF(ISNUMBER(M1423),OFFSET('MPIO_SFIO Table'!$AJ$11,M1423,0),"")</f>
        <v/>
      </c>
      <c r="S1423" t="str">
        <f ca="1">IF(ISNUMBER(N1423),OFFSET('MPIO_SFIO Table'!$AJ$11,N1423,0),"")</f>
        <v/>
      </c>
      <c r="T1423" t="str">
        <f ca="1">IF(ISNUMBER(O1423),OFFSET('MPIO_SFIO Table'!$AJ$11,O1423,0),"")</f>
        <v/>
      </c>
      <c r="U1423" t="str">
        <f ca="1">IF(ISNUMBER(P1423),OFFSET('MPIO_SFIO Table'!$AJ$11,P1423,0),"")</f>
        <v/>
      </c>
      <c r="V1423" t="str">
        <f ca="1">IF(ISNUMBER(Q1423),OFFSET('MPIO_SFIO Table'!$AJ$11,Q1423,0),"")</f>
        <v/>
      </c>
      <c r="W1423">
        <f t="shared" ca="1" si="187"/>
        <v>0</v>
      </c>
      <c r="X1423">
        <f t="shared" ca="1" si="188"/>
        <v>0</v>
      </c>
      <c r="Y1423">
        <f t="shared" ca="1" si="189"/>
        <v>0</v>
      </c>
      <c r="Z1423">
        <f t="shared" ca="1" si="190"/>
        <v>0</v>
      </c>
      <c r="AA1423">
        <f t="shared" ca="1" si="191"/>
        <v>0</v>
      </c>
    </row>
    <row r="1424" spans="1:27" x14ac:dyDescent="0.25">
      <c r="A1424">
        <f t="shared" ca="1" si="184"/>
        <v>0</v>
      </c>
      <c r="B1424" t="str">
        <f t="shared" ca="1" si="185"/>
        <v/>
      </c>
      <c r="C1424" t="str">
        <f t="shared" si="186"/>
        <v/>
      </c>
      <c r="D1424" t="s">
        <v>253</v>
      </c>
      <c r="E1424" t="s">
        <v>253</v>
      </c>
      <c r="F1424" s="3" t="s">
        <v>253</v>
      </c>
      <c r="G1424" s="11" t="s">
        <v>253</v>
      </c>
      <c r="H1424" s="11" t="s">
        <v>253</v>
      </c>
      <c r="I1424" s="3" t="s">
        <v>253</v>
      </c>
      <c r="J1424" s="3" t="s">
        <v>253</v>
      </c>
      <c r="K1424" s="3" t="s">
        <v>253</v>
      </c>
      <c r="L1424" s="3" t="s">
        <v>253</v>
      </c>
      <c r="M1424" t="str">
        <f>IF(LEN(H1424),MATCH(H1424,'MPIO_SFIO Table'!$A$11:$A$65525,0)-1,"")</f>
        <v/>
      </c>
      <c r="N1424" t="str">
        <f>IF(LEN(I1424),MATCH(I1424,'MPIO_SFIO Table'!$A$11:$A$65525,0)-1,"")</f>
        <v/>
      </c>
      <c r="O1424" t="str">
        <f>IF(LEN(J1424),MATCH(J1424,'MPIO_SFIO Table'!$A$11:$A$65525,0)-1,"")</f>
        <v/>
      </c>
      <c r="P1424" t="str">
        <f>IF(LEN(K1424),MATCH(K1424,'MPIO_SFIO Table'!$A$11:$A$65525,0)-1,"")</f>
        <v/>
      </c>
      <c r="Q1424" t="str">
        <f>IF(LEN(L1424),MATCH(L1424,'MPIO_SFIO Table'!$A$11:$A$65525,0)-1,"")</f>
        <v/>
      </c>
      <c r="R1424" t="str">
        <f ca="1">IF(ISNUMBER(M1424),OFFSET('MPIO_SFIO Table'!$AJ$11,M1424,0),"")</f>
        <v/>
      </c>
      <c r="S1424" t="str">
        <f ca="1">IF(ISNUMBER(N1424),OFFSET('MPIO_SFIO Table'!$AJ$11,N1424,0),"")</f>
        <v/>
      </c>
      <c r="T1424" t="str">
        <f ca="1">IF(ISNUMBER(O1424),OFFSET('MPIO_SFIO Table'!$AJ$11,O1424,0),"")</f>
        <v/>
      </c>
      <c r="U1424" t="str">
        <f ca="1">IF(ISNUMBER(P1424),OFFSET('MPIO_SFIO Table'!$AJ$11,P1424,0),"")</f>
        <v/>
      </c>
      <c r="V1424" t="str">
        <f ca="1">IF(ISNUMBER(Q1424),OFFSET('MPIO_SFIO Table'!$AJ$11,Q1424,0),"")</f>
        <v/>
      </c>
      <c r="W1424">
        <f t="shared" ca="1" si="187"/>
        <v>0</v>
      </c>
      <c r="X1424">
        <f t="shared" ca="1" si="188"/>
        <v>0</v>
      </c>
      <c r="Y1424">
        <f t="shared" ca="1" si="189"/>
        <v>0</v>
      </c>
      <c r="Z1424">
        <f t="shared" ca="1" si="190"/>
        <v>0</v>
      </c>
      <c r="AA1424">
        <f t="shared" ca="1" si="191"/>
        <v>0</v>
      </c>
    </row>
    <row r="1425" spans="1:27" x14ac:dyDescent="0.25">
      <c r="A1425">
        <f t="shared" ca="1" si="184"/>
        <v>0</v>
      </c>
      <c r="B1425" t="str">
        <f t="shared" ca="1" si="185"/>
        <v/>
      </c>
      <c r="C1425" t="str">
        <f t="shared" si="186"/>
        <v/>
      </c>
      <c r="D1425" t="s">
        <v>253</v>
      </c>
      <c r="E1425" t="s">
        <v>253</v>
      </c>
      <c r="F1425" s="3" t="s">
        <v>253</v>
      </c>
      <c r="G1425" s="11" t="s">
        <v>253</v>
      </c>
      <c r="H1425" s="11" t="s">
        <v>253</v>
      </c>
      <c r="I1425" s="3" t="s">
        <v>253</v>
      </c>
      <c r="J1425" s="3" t="s">
        <v>253</v>
      </c>
      <c r="K1425" s="3" t="s">
        <v>253</v>
      </c>
      <c r="L1425" s="3" t="s">
        <v>253</v>
      </c>
      <c r="M1425" t="str">
        <f>IF(LEN(H1425),MATCH(H1425,'MPIO_SFIO Table'!$A$11:$A$65525,0)-1,"")</f>
        <v/>
      </c>
      <c r="N1425" t="str">
        <f>IF(LEN(I1425),MATCH(I1425,'MPIO_SFIO Table'!$A$11:$A$65525,0)-1,"")</f>
        <v/>
      </c>
      <c r="O1425" t="str">
        <f>IF(LEN(J1425),MATCH(J1425,'MPIO_SFIO Table'!$A$11:$A$65525,0)-1,"")</f>
        <v/>
      </c>
      <c r="P1425" t="str">
        <f>IF(LEN(K1425),MATCH(K1425,'MPIO_SFIO Table'!$A$11:$A$65525,0)-1,"")</f>
        <v/>
      </c>
      <c r="Q1425" t="str">
        <f>IF(LEN(L1425),MATCH(L1425,'MPIO_SFIO Table'!$A$11:$A$65525,0)-1,"")</f>
        <v/>
      </c>
      <c r="R1425" t="str">
        <f ca="1">IF(ISNUMBER(M1425),OFFSET('MPIO_SFIO Table'!$AJ$11,M1425,0),"")</f>
        <v/>
      </c>
      <c r="S1425" t="str">
        <f ca="1">IF(ISNUMBER(N1425),OFFSET('MPIO_SFIO Table'!$AJ$11,N1425,0),"")</f>
        <v/>
      </c>
      <c r="T1425" t="str">
        <f ca="1">IF(ISNUMBER(O1425),OFFSET('MPIO_SFIO Table'!$AJ$11,O1425,0),"")</f>
        <v/>
      </c>
      <c r="U1425" t="str">
        <f ca="1">IF(ISNUMBER(P1425),OFFSET('MPIO_SFIO Table'!$AJ$11,P1425,0),"")</f>
        <v/>
      </c>
      <c r="V1425" t="str">
        <f ca="1">IF(ISNUMBER(Q1425),OFFSET('MPIO_SFIO Table'!$AJ$11,Q1425,0),"")</f>
        <v/>
      </c>
      <c r="W1425">
        <f t="shared" ca="1" si="187"/>
        <v>0</v>
      </c>
      <c r="X1425">
        <f t="shared" ca="1" si="188"/>
        <v>0</v>
      </c>
      <c r="Y1425">
        <f t="shared" ca="1" si="189"/>
        <v>0</v>
      </c>
      <c r="Z1425">
        <f t="shared" ca="1" si="190"/>
        <v>0</v>
      </c>
      <c r="AA1425">
        <f t="shared" ca="1" si="191"/>
        <v>0</v>
      </c>
    </row>
    <row r="1426" spans="1:27" x14ac:dyDescent="0.25">
      <c r="A1426">
        <f t="shared" ca="1" si="184"/>
        <v>0</v>
      </c>
      <c r="B1426" t="str">
        <f t="shared" ca="1" si="185"/>
        <v/>
      </c>
      <c r="C1426" t="str">
        <f t="shared" si="186"/>
        <v/>
      </c>
      <c r="D1426" t="s">
        <v>253</v>
      </c>
      <c r="E1426" t="s">
        <v>253</v>
      </c>
      <c r="F1426" s="3" t="s">
        <v>253</v>
      </c>
      <c r="G1426" s="11" t="s">
        <v>253</v>
      </c>
      <c r="H1426" s="11" t="s">
        <v>253</v>
      </c>
      <c r="I1426" s="3" t="s">
        <v>253</v>
      </c>
      <c r="J1426" s="3" t="s">
        <v>253</v>
      </c>
      <c r="K1426" s="3" t="s">
        <v>253</v>
      </c>
      <c r="L1426" s="3" t="s">
        <v>253</v>
      </c>
      <c r="M1426" t="str">
        <f>IF(LEN(H1426),MATCH(H1426,'MPIO_SFIO Table'!$A$11:$A$65525,0)-1,"")</f>
        <v/>
      </c>
      <c r="N1426" t="str">
        <f>IF(LEN(I1426),MATCH(I1426,'MPIO_SFIO Table'!$A$11:$A$65525,0)-1,"")</f>
        <v/>
      </c>
      <c r="O1426" t="str">
        <f>IF(LEN(J1426),MATCH(J1426,'MPIO_SFIO Table'!$A$11:$A$65525,0)-1,"")</f>
        <v/>
      </c>
      <c r="P1426" t="str">
        <f>IF(LEN(K1426),MATCH(K1426,'MPIO_SFIO Table'!$A$11:$A$65525,0)-1,"")</f>
        <v/>
      </c>
      <c r="Q1426" t="str">
        <f>IF(LEN(L1426),MATCH(L1426,'MPIO_SFIO Table'!$A$11:$A$65525,0)-1,"")</f>
        <v/>
      </c>
      <c r="R1426" t="str">
        <f ca="1">IF(ISNUMBER(M1426),OFFSET('MPIO_SFIO Table'!$AJ$11,M1426,0),"")</f>
        <v/>
      </c>
      <c r="S1426" t="str">
        <f ca="1">IF(ISNUMBER(N1426),OFFSET('MPIO_SFIO Table'!$AJ$11,N1426,0),"")</f>
        <v/>
      </c>
      <c r="T1426" t="str">
        <f ca="1">IF(ISNUMBER(O1426),OFFSET('MPIO_SFIO Table'!$AJ$11,O1426,0),"")</f>
        <v/>
      </c>
      <c r="U1426" t="str">
        <f ca="1">IF(ISNUMBER(P1426),OFFSET('MPIO_SFIO Table'!$AJ$11,P1426,0),"")</f>
        <v/>
      </c>
      <c r="V1426" t="str">
        <f ca="1">IF(ISNUMBER(Q1426),OFFSET('MPIO_SFIO Table'!$AJ$11,Q1426,0),"")</f>
        <v/>
      </c>
      <c r="W1426">
        <f t="shared" ca="1" si="187"/>
        <v>0</v>
      </c>
      <c r="X1426">
        <f t="shared" ca="1" si="188"/>
        <v>0</v>
      </c>
      <c r="Y1426">
        <f t="shared" ca="1" si="189"/>
        <v>0</v>
      </c>
      <c r="Z1426">
        <f t="shared" ca="1" si="190"/>
        <v>0</v>
      </c>
      <c r="AA1426">
        <f t="shared" ca="1" si="191"/>
        <v>0</v>
      </c>
    </row>
    <row r="1427" spans="1:27" x14ac:dyDescent="0.25">
      <c r="A1427">
        <f t="shared" ca="1" si="184"/>
        <v>0</v>
      </c>
      <c r="B1427" t="str">
        <f t="shared" ca="1" si="185"/>
        <v/>
      </c>
      <c r="C1427" t="str">
        <f t="shared" si="186"/>
        <v/>
      </c>
      <c r="D1427" t="s">
        <v>253</v>
      </c>
      <c r="E1427" t="s">
        <v>253</v>
      </c>
      <c r="F1427" s="3" t="s">
        <v>253</v>
      </c>
      <c r="G1427" s="11" t="s">
        <v>253</v>
      </c>
      <c r="H1427" s="11" t="s">
        <v>253</v>
      </c>
      <c r="I1427" s="3" t="s">
        <v>253</v>
      </c>
      <c r="J1427" s="3" t="s">
        <v>253</v>
      </c>
      <c r="K1427" s="3" t="s">
        <v>253</v>
      </c>
      <c r="L1427" s="3" t="s">
        <v>253</v>
      </c>
      <c r="M1427" t="str">
        <f>IF(LEN(H1427),MATCH(H1427,'MPIO_SFIO Table'!$A$11:$A$65525,0)-1,"")</f>
        <v/>
      </c>
      <c r="N1427" t="str">
        <f>IF(LEN(I1427),MATCH(I1427,'MPIO_SFIO Table'!$A$11:$A$65525,0)-1,"")</f>
        <v/>
      </c>
      <c r="O1427" t="str">
        <f>IF(LEN(J1427),MATCH(J1427,'MPIO_SFIO Table'!$A$11:$A$65525,0)-1,"")</f>
        <v/>
      </c>
      <c r="P1427" t="str">
        <f>IF(LEN(K1427),MATCH(K1427,'MPIO_SFIO Table'!$A$11:$A$65525,0)-1,"")</f>
        <v/>
      </c>
      <c r="Q1427" t="str">
        <f>IF(LEN(L1427),MATCH(L1427,'MPIO_SFIO Table'!$A$11:$A$65525,0)-1,"")</f>
        <v/>
      </c>
      <c r="R1427" t="str">
        <f ca="1">IF(ISNUMBER(M1427),OFFSET('MPIO_SFIO Table'!$AJ$11,M1427,0),"")</f>
        <v/>
      </c>
      <c r="S1427" t="str">
        <f ca="1">IF(ISNUMBER(N1427),OFFSET('MPIO_SFIO Table'!$AJ$11,N1427,0),"")</f>
        <v/>
      </c>
      <c r="T1427" t="str">
        <f ca="1">IF(ISNUMBER(O1427),OFFSET('MPIO_SFIO Table'!$AJ$11,O1427,0),"")</f>
        <v/>
      </c>
      <c r="U1427" t="str">
        <f ca="1">IF(ISNUMBER(P1427),OFFSET('MPIO_SFIO Table'!$AJ$11,P1427,0),"")</f>
        <v/>
      </c>
      <c r="V1427" t="str">
        <f ca="1">IF(ISNUMBER(Q1427),OFFSET('MPIO_SFIO Table'!$AJ$11,Q1427,0),"")</f>
        <v/>
      </c>
      <c r="W1427">
        <f t="shared" ca="1" si="187"/>
        <v>0</v>
      </c>
      <c r="X1427">
        <f t="shared" ca="1" si="188"/>
        <v>0</v>
      </c>
      <c r="Y1427">
        <f t="shared" ca="1" si="189"/>
        <v>0</v>
      </c>
      <c r="Z1427">
        <f t="shared" ca="1" si="190"/>
        <v>0</v>
      </c>
      <c r="AA1427">
        <f t="shared" ca="1" si="191"/>
        <v>0</v>
      </c>
    </row>
    <row r="1428" spans="1:27" x14ac:dyDescent="0.25">
      <c r="A1428">
        <f t="shared" ca="1" si="184"/>
        <v>0</v>
      </c>
      <c r="B1428" t="str">
        <f t="shared" ca="1" si="185"/>
        <v/>
      </c>
      <c r="C1428" t="str">
        <f t="shared" si="186"/>
        <v/>
      </c>
      <c r="D1428" t="s">
        <v>253</v>
      </c>
      <c r="E1428" t="s">
        <v>253</v>
      </c>
      <c r="F1428" s="3" t="s">
        <v>253</v>
      </c>
      <c r="G1428" s="11" t="s">
        <v>253</v>
      </c>
      <c r="H1428" s="11" t="s">
        <v>253</v>
      </c>
      <c r="I1428" s="3" t="s">
        <v>253</v>
      </c>
      <c r="J1428" s="3" t="s">
        <v>253</v>
      </c>
      <c r="K1428" s="3" t="s">
        <v>253</v>
      </c>
      <c r="L1428" s="3" t="s">
        <v>253</v>
      </c>
      <c r="M1428" t="str">
        <f>IF(LEN(H1428),MATCH(H1428,'MPIO_SFIO Table'!$A$11:$A$65525,0)-1,"")</f>
        <v/>
      </c>
      <c r="N1428" t="str">
        <f>IF(LEN(I1428),MATCH(I1428,'MPIO_SFIO Table'!$A$11:$A$65525,0)-1,"")</f>
        <v/>
      </c>
      <c r="O1428" t="str">
        <f>IF(LEN(J1428),MATCH(J1428,'MPIO_SFIO Table'!$A$11:$A$65525,0)-1,"")</f>
        <v/>
      </c>
      <c r="P1428" t="str">
        <f>IF(LEN(K1428),MATCH(K1428,'MPIO_SFIO Table'!$A$11:$A$65525,0)-1,"")</f>
        <v/>
      </c>
      <c r="Q1428" t="str">
        <f>IF(LEN(L1428),MATCH(L1428,'MPIO_SFIO Table'!$A$11:$A$65525,0)-1,"")</f>
        <v/>
      </c>
      <c r="R1428" t="str">
        <f ca="1">IF(ISNUMBER(M1428),OFFSET('MPIO_SFIO Table'!$AJ$11,M1428,0),"")</f>
        <v/>
      </c>
      <c r="S1428" t="str">
        <f ca="1">IF(ISNUMBER(N1428),OFFSET('MPIO_SFIO Table'!$AJ$11,N1428,0),"")</f>
        <v/>
      </c>
      <c r="T1428" t="str">
        <f ca="1">IF(ISNUMBER(O1428),OFFSET('MPIO_SFIO Table'!$AJ$11,O1428,0),"")</f>
        <v/>
      </c>
      <c r="U1428" t="str">
        <f ca="1">IF(ISNUMBER(P1428),OFFSET('MPIO_SFIO Table'!$AJ$11,P1428,0),"")</f>
        <v/>
      </c>
      <c r="V1428" t="str">
        <f ca="1">IF(ISNUMBER(Q1428),OFFSET('MPIO_SFIO Table'!$AJ$11,Q1428,0),"")</f>
        <v/>
      </c>
      <c r="W1428">
        <f t="shared" ca="1" si="187"/>
        <v>0</v>
      </c>
      <c r="X1428">
        <f t="shared" ca="1" si="188"/>
        <v>0</v>
      </c>
      <c r="Y1428">
        <f t="shared" ca="1" si="189"/>
        <v>0</v>
      </c>
      <c r="Z1428">
        <f t="shared" ca="1" si="190"/>
        <v>0</v>
      </c>
      <c r="AA1428">
        <f t="shared" ca="1" si="191"/>
        <v>0</v>
      </c>
    </row>
    <row r="1429" spans="1:27" x14ac:dyDescent="0.25">
      <c r="A1429">
        <f t="shared" ca="1" si="184"/>
        <v>0</v>
      </c>
      <c r="B1429" t="str">
        <f t="shared" ca="1" si="185"/>
        <v/>
      </c>
      <c r="C1429" t="str">
        <f t="shared" si="186"/>
        <v/>
      </c>
      <c r="D1429" t="s">
        <v>253</v>
      </c>
      <c r="E1429" t="s">
        <v>253</v>
      </c>
      <c r="F1429" s="3" t="s">
        <v>253</v>
      </c>
      <c r="G1429" s="11" t="s">
        <v>253</v>
      </c>
      <c r="H1429" s="11" t="s">
        <v>253</v>
      </c>
      <c r="I1429" s="3" t="s">
        <v>253</v>
      </c>
      <c r="J1429" s="3" t="s">
        <v>253</v>
      </c>
      <c r="K1429" s="3" t="s">
        <v>253</v>
      </c>
      <c r="L1429" s="3" t="s">
        <v>253</v>
      </c>
      <c r="M1429" t="str">
        <f>IF(LEN(H1429),MATCH(H1429,'MPIO_SFIO Table'!$A$11:$A$65525,0)-1,"")</f>
        <v/>
      </c>
      <c r="N1429" t="str">
        <f>IF(LEN(I1429),MATCH(I1429,'MPIO_SFIO Table'!$A$11:$A$65525,0)-1,"")</f>
        <v/>
      </c>
      <c r="O1429" t="str">
        <f>IF(LEN(J1429),MATCH(J1429,'MPIO_SFIO Table'!$A$11:$A$65525,0)-1,"")</f>
        <v/>
      </c>
      <c r="P1429" t="str">
        <f>IF(LEN(K1429),MATCH(K1429,'MPIO_SFIO Table'!$A$11:$A$65525,0)-1,"")</f>
        <v/>
      </c>
      <c r="Q1429" t="str">
        <f>IF(LEN(L1429),MATCH(L1429,'MPIO_SFIO Table'!$A$11:$A$65525,0)-1,"")</f>
        <v/>
      </c>
      <c r="R1429" t="str">
        <f ca="1">IF(ISNUMBER(M1429),OFFSET('MPIO_SFIO Table'!$AJ$11,M1429,0),"")</f>
        <v/>
      </c>
      <c r="S1429" t="str">
        <f ca="1">IF(ISNUMBER(N1429),OFFSET('MPIO_SFIO Table'!$AJ$11,N1429,0),"")</f>
        <v/>
      </c>
      <c r="T1429" t="str">
        <f ca="1">IF(ISNUMBER(O1429),OFFSET('MPIO_SFIO Table'!$AJ$11,O1429,0),"")</f>
        <v/>
      </c>
      <c r="U1429" t="str">
        <f ca="1">IF(ISNUMBER(P1429),OFFSET('MPIO_SFIO Table'!$AJ$11,P1429,0),"")</f>
        <v/>
      </c>
      <c r="V1429" t="str">
        <f ca="1">IF(ISNUMBER(Q1429),OFFSET('MPIO_SFIO Table'!$AJ$11,Q1429,0),"")</f>
        <v/>
      </c>
      <c r="W1429">
        <f t="shared" ca="1" si="187"/>
        <v>0</v>
      </c>
      <c r="X1429">
        <f t="shared" ca="1" si="188"/>
        <v>0</v>
      </c>
      <c r="Y1429">
        <f t="shared" ca="1" si="189"/>
        <v>0</v>
      </c>
      <c r="Z1429">
        <f t="shared" ca="1" si="190"/>
        <v>0</v>
      </c>
      <c r="AA1429">
        <f t="shared" ca="1" si="191"/>
        <v>0</v>
      </c>
    </row>
    <row r="1430" spans="1:27" x14ac:dyDescent="0.25">
      <c r="A1430">
        <f t="shared" ca="1" si="184"/>
        <v>0</v>
      </c>
      <c r="B1430" t="str">
        <f t="shared" ca="1" si="185"/>
        <v/>
      </c>
      <c r="C1430" t="str">
        <f t="shared" si="186"/>
        <v/>
      </c>
      <c r="D1430" t="s">
        <v>253</v>
      </c>
      <c r="E1430" t="s">
        <v>253</v>
      </c>
      <c r="F1430" s="3" t="s">
        <v>253</v>
      </c>
      <c r="G1430" s="11" t="s">
        <v>253</v>
      </c>
      <c r="H1430" s="11" t="s">
        <v>253</v>
      </c>
      <c r="I1430" s="3" t="s">
        <v>253</v>
      </c>
      <c r="J1430" s="3" t="s">
        <v>253</v>
      </c>
      <c r="K1430" s="3" t="s">
        <v>253</v>
      </c>
      <c r="L1430" s="3" t="s">
        <v>253</v>
      </c>
      <c r="M1430" t="str">
        <f>IF(LEN(H1430),MATCH(H1430,'MPIO_SFIO Table'!$A$11:$A$65525,0)-1,"")</f>
        <v/>
      </c>
      <c r="N1430" t="str">
        <f>IF(LEN(I1430),MATCH(I1430,'MPIO_SFIO Table'!$A$11:$A$65525,0)-1,"")</f>
        <v/>
      </c>
      <c r="O1430" t="str">
        <f>IF(LEN(J1430),MATCH(J1430,'MPIO_SFIO Table'!$A$11:$A$65525,0)-1,"")</f>
        <v/>
      </c>
      <c r="P1430" t="str">
        <f>IF(LEN(K1430),MATCH(K1430,'MPIO_SFIO Table'!$A$11:$A$65525,0)-1,"")</f>
        <v/>
      </c>
      <c r="Q1430" t="str">
        <f>IF(LEN(L1430),MATCH(L1430,'MPIO_SFIO Table'!$A$11:$A$65525,0)-1,"")</f>
        <v/>
      </c>
      <c r="R1430" t="str">
        <f ca="1">IF(ISNUMBER(M1430),OFFSET('MPIO_SFIO Table'!$AJ$11,M1430,0),"")</f>
        <v/>
      </c>
      <c r="S1430" t="str">
        <f ca="1">IF(ISNUMBER(N1430),OFFSET('MPIO_SFIO Table'!$AJ$11,N1430,0),"")</f>
        <v/>
      </c>
      <c r="T1430" t="str">
        <f ca="1">IF(ISNUMBER(O1430),OFFSET('MPIO_SFIO Table'!$AJ$11,O1430,0),"")</f>
        <v/>
      </c>
      <c r="U1430" t="str">
        <f ca="1">IF(ISNUMBER(P1430),OFFSET('MPIO_SFIO Table'!$AJ$11,P1430,0),"")</f>
        <v/>
      </c>
      <c r="V1430" t="str">
        <f ca="1">IF(ISNUMBER(Q1430),OFFSET('MPIO_SFIO Table'!$AJ$11,Q1430,0),"")</f>
        <v/>
      </c>
      <c r="W1430">
        <f t="shared" ca="1" si="187"/>
        <v>0</v>
      </c>
      <c r="X1430">
        <f t="shared" ca="1" si="188"/>
        <v>0</v>
      </c>
      <c r="Y1430">
        <f t="shared" ca="1" si="189"/>
        <v>0</v>
      </c>
      <c r="Z1430">
        <f t="shared" ca="1" si="190"/>
        <v>0</v>
      </c>
      <c r="AA1430">
        <f t="shared" ca="1" si="191"/>
        <v>0</v>
      </c>
    </row>
    <row r="1431" spans="1:27" x14ac:dyDescent="0.25">
      <c r="A1431">
        <f t="shared" ca="1" si="184"/>
        <v>0</v>
      </c>
      <c r="B1431" t="str">
        <f t="shared" ca="1" si="185"/>
        <v/>
      </c>
      <c r="C1431" t="str">
        <f t="shared" si="186"/>
        <v/>
      </c>
      <c r="D1431" t="s">
        <v>253</v>
      </c>
      <c r="E1431" t="s">
        <v>253</v>
      </c>
      <c r="F1431" s="3" t="s">
        <v>253</v>
      </c>
      <c r="G1431" s="11" t="s">
        <v>253</v>
      </c>
      <c r="H1431" s="11" t="s">
        <v>253</v>
      </c>
      <c r="I1431" s="3" t="s">
        <v>253</v>
      </c>
      <c r="J1431" s="3" t="s">
        <v>253</v>
      </c>
      <c r="K1431" s="3" t="s">
        <v>253</v>
      </c>
      <c r="L1431" s="3" t="s">
        <v>253</v>
      </c>
      <c r="M1431" t="str">
        <f>IF(LEN(H1431),MATCH(H1431,'MPIO_SFIO Table'!$A$11:$A$65525,0)-1,"")</f>
        <v/>
      </c>
      <c r="N1431" t="str">
        <f>IF(LEN(I1431),MATCH(I1431,'MPIO_SFIO Table'!$A$11:$A$65525,0)-1,"")</f>
        <v/>
      </c>
      <c r="O1431" t="str">
        <f>IF(LEN(J1431),MATCH(J1431,'MPIO_SFIO Table'!$A$11:$A$65525,0)-1,"")</f>
        <v/>
      </c>
      <c r="P1431" t="str">
        <f>IF(LEN(K1431),MATCH(K1431,'MPIO_SFIO Table'!$A$11:$A$65525,0)-1,"")</f>
        <v/>
      </c>
      <c r="Q1431" t="str">
        <f>IF(LEN(L1431),MATCH(L1431,'MPIO_SFIO Table'!$A$11:$A$65525,0)-1,"")</f>
        <v/>
      </c>
      <c r="R1431" t="str">
        <f ca="1">IF(ISNUMBER(M1431),OFFSET('MPIO_SFIO Table'!$AJ$11,M1431,0),"")</f>
        <v/>
      </c>
      <c r="S1431" t="str">
        <f ca="1">IF(ISNUMBER(N1431),OFFSET('MPIO_SFIO Table'!$AJ$11,N1431,0),"")</f>
        <v/>
      </c>
      <c r="T1431" t="str">
        <f ca="1">IF(ISNUMBER(O1431),OFFSET('MPIO_SFIO Table'!$AJ$11,O1431,0),"")</f>
        <v/>
      </c>
      <c r="U1431" t="str">
        <f ca="1">IF(ISNUMBER(P1431),OFFSET('MPIO_SFIO Table'!$AJ$11,P1431,0),"")</f>
        <v/>
      </c>
      <c r="V1431" t="str">
        <f ca="1">IF(ISNUMBER(Q1431),OFFSET('MPIO_SFIO Table'!$AJ$11,Q1431,0),"")</f>
        <v/>
      </c>
      <c r="W1431">
        <f t="shared" ca="1" si="187"/>
        <v>0</v>
      </c>
      <c r="X1431">
        <f t="shared" ca="1" si="188"/>
        <v>0</v>
      </c>
      <c r="Y1431">
        <f t="shared" ca="1" si="189"/>
        <v>0</v>
      </c>
      <c r="Z1431">
        <f t="shared" ca="1" si="190"/>
        <v>0</v>
      </c>
      <c r="AA1431">
        <f t="shared" ca="1" si="191"/>
        <v>0</v>
      </c>
    </row>
    <row r="1432" spans="1:27" x14ac:dyDescent="0.25">
      <c r="A1432">
        <f t="shared" ca="1" si="184"/>
        <v>0</v>
      </c>
      <c r="B1432" t="str">
        <f t="shared" ca="1" si="185"/>
        <v/>
      </c>
      <c r="C1432" t="str">
        <f t="shared" si="186"/>
        <v/>
      </c>
      <c r="D1432" t="s">
        <v>253</v>
      </c>
      <c r="E1432" t="s">
        <v>253</v>
      </c>
      <c r="F1432" s="3" t="s">
        <v>253</v>
      </c>
      <c r="G1432" s="11" t="s">
        <v>253</v>
      </c>
      <c r="H1432" s="11" t="s">
        <v>253</v>
      </c>
      <c r="I1432" s="3" t="s">
        <v>253</v>
      </c>
      <c r="J1432" s="3" t="s">
        <v>253</v>
      </c>
      <c r="K1432" s="3" t="s">
        <v>253</v>
      </c>
      <c r="L1432" s="3" t="s">
        <v>253</v>
      </c>
      <c r="M1432" t="str">
        <f>IF(LEN(H1432),MATCH(H1432,'MPIO_SFIO Table'!$A$11:$A$65525,0)-1,"")</f>
        <v/>
      </c>
      <c r="N1432" t="str">
        <f>IF(LEN(I1432),MATCH(I1432,'MPIO_SFIO Table'!$A$11:$A$65525,0)-1,"")</f>
        <v/>
      </c>
      <c r="O1432" t="str">
        <f>IF(LEN(J1432),MATCH(J1432,'MPIO_SFIO Table'!$A$11:$A$65525,0)-1,"")</f>
        <v/>
      </c>
      <c r="P1432" t="str">
        <f>IF(LEN(K1432),MATCH(K1432,'MPIO_SFIO Table'!$A$11:$A$65525,0)-1,"")</f>
        <v/>
      </c>
      <c r="Q1432" t="str">
        <f>IF(LEN(L1432),MATCH(L1432,'MPIO_SFIO Table'!$A$11:$A$65525,0)-1,"")</f>
        <v/>
      </c>
      <c r="R1432" t="str">
        <f ca="1">IF(ISNUMBER(M1432),OFFSET('MPIO_SFIO Table'!$AJ$11,M1432,0),"")</f>
        <v/>
      </c>
      <c r="S1432" t="str">
        <f ca="1">IF(ISNUMBER(N1432),OFFSET('MPIO_SFIO Table'!$AJ$11,N1432,0),"")</f>
        <v/>
      </c>
      <c r="T1432" t="str">
        <f ca="1">IF(ISNUMBER(O1432),OFFSET('MPIO_SFIO Table'!$AJ$11,O1432,0),"")</f>
        <v/>
      </c>
      <c r="U1432" t="str">
        <f ca="1">IF(ISNUMBER(P1432),OFFSET('MPIO_SFIO Table'!$AJ$11,P1432,0),"")</f>
        <v/>
      </c>
      <c r="V1432" t="str">
        <f ca="1">IF(ISNUMBER(Q1432),OFFSET('MPIO_SFIO Table'!$AJ$11,Q1432,0),"")</f>
        <v/>
      </c>
      <c r="W1432">
        <f t="shared" ca="1" si="187"/>
        <v>0</v>
      </c>
      <c r="X1432">
        <f t="shared" ca="1" si="188"/>
        <v>0</v>
      </c>
      <c r="Y1432">
        <f t="shared" ca="1" si="189"/>
        <v>0</v>
      </c>
      <c r="Z1432">
        <f t="shared" ca="1" si="190"/>
        <v>0</v>
      </c>
      <c r="AA1432">
        <f t="shared" ca="1" si="191"/>
        <v>0</v>
      </c>
    </row>
    <row r="1433" spans="1:27" x14ac:dyDescent="0.25">
      <c r="A1433">
        <f t="shared" ca="1" si="184"/>
        <v>0</v>
      </c>
      <c r="B1433" t="str">
        <f t="shared" ca="1" si="185"/>
        <v/>
      </c>
      <c r="C1433" t="str">
        <f t="shared" si="186"/>
        <v/>
      </c>
      <c r="D1433" t="s">
        <v>253</v>
      </c>
      <c r="E1433" t="s">
        <v>253</v>
      </c>
      <c r="F1433" s="3" t="s">
        <v>253</v>
      </c>
      <c r="G1433" s="11" t="s">
        <v>253</v>
      </c>
      <c r="H1433" s="11" t="s">
        <v>253</v>
      </c>
      <c r="I1433" s="3" t="s">
        <v>253</v>
      </c>
      <c r="J1433" s="3" t="s">
        <v>253</v>
      </c>
      <c r="K1433" s="3" t="s">
        <v>253</v>
      </c>
      <c r="L1433" s="3" t="s">
        <v>253</v>
      </c>
      <c r="M1433" t="str">
        <f>IF(LEN(H1433),MATCH(H1433,'MPIO_SFIO Table'!$A$11:$A$65525,0)-1,"")</f>
        <v/>
      </c>
      <c r="N1433" t="str">
        <f>IF(LEN(I1433),MATCH(I1433,'MPIO_SFIO Table'!$A$11:$A$65525,0)-1,"")</f>
        <v/>
      </c>
      <c r="O1433" t="str">
        <f>IF(LEN(J1433),MATCH(J1433,'MPIO_SFIO Table'!$A$11:$A$65525,0)-1,"")</f>
        <v/>
      </c>
      <c r="P1433" t="str">
        <f>IF(LEN(K1433),MATCH(K1433,'MPIO_SFIO Table'!$A$11:$A$65525,0)-1,"")</f>
        <v/>
      </c>
      <c r="Q1433" t="str">
        <f>IF(LEN(L1433),MATCH(L1433,'MPIO_SFIO Table'!$A$11:$A$65525,0)-1,"")</f>
        <v/>
      </c>
      <c r="R1433" t="str">
        <f ca="1">IF(ISNUMBER(M1433),OFFSET('MPIO_SFIO Table'!$AJ$11,M1433,0),"")</f>
        <v/>
      </c>
      <c r="S1433" t="str">
        <f ca="1">IF(ISNUMBER(N1433),OFFSET('MPIO_SFIO Table'!$AJ$11,N1433,0),"")</f>
        <v/>
      </c>
      <c r="T1433" t="str">
        <f ca="1">IF(ISNUMBER(O1433),OFFSET('MPIO_SFIO Table'!$AJ$11,O1433,0),"")</f>
        <v/>
      </c>
      <c r="U1433" t="str">
        <f ca="1">IF(ISNUMBER(P1433),OFFSET('MPIO_SFIO Table'!$AJ$11,P1433,0),"")</f>
        <v/>
      </c>
      <c r="V1433" t="str">
        <f ca="1">IF(ISNUMBER(Q1433),OFFSET('MPIO_SFIO Table'!$AJ$11,Q1433,0),"")</f>
        <v/>
      </c>
      <c r="W1433">
        <f t="shared" ca="1" si="187"/>
        <v>0</v>
      </c>
      <c r="X1433">
        <f t="shared" ca="1" si="188"/>
        <v>0</v>
      </c>
      <c r="Y1433">
        <f t="shared" ca="1" si="189"/>
        <v>0</v>
      </c>
      <c r="Z1433">
        <f t="shared" ca="1" si="190"/>
        <v>0</v>
      </c>
      <c r="AA1433">
        <f t="shared" ca="1" si="191"/>
        <v>0</v>
      </c>
    </row>
    <row r="1434" spans="1:27" x14ac:dyDescent="0.25">
      <c r="A1434">
        <f t="shared" ca="1" si="184"/>
        <v>0</v>
      </c>
      <c r="B1434" t="str">
        <f t="shared" ca="1" si="185"/>
        <v/>
      </c>
      <c r="C1434" t="str">
        <f t="shared" si="186"/>
        <v/>
      </c>
      <c r="D1434" t="s">
        <v>253</v>
      </c>
      <c r="E1434" t="s">
        <v>253</v>
      </c>
      <c r="F1434" s="3" t="s">
        <v>253</v>
      </c>
      <c r="G1434" s="11" t="s">
        <v>253</v>
      </c>
      <c r="H1434" s="11" t="s">
        <v>253</v>
      </c>
      <c r="I1434" s="3" t="s">
        <v>253</v>
      </c>
      <c r="J1434" s="3" t="s">
        <v>253</v>
      </c>
      <c r="K1434" s="3" t="s">
        <v>253</v>
      </c>
      <c r="L1434" s="3" t="s">
        <v>253</v>
      </c>
      <c r="M1434" t="str">
        <f>IF(LEN(H1434),MATCH(H1434,'MPIO_SFIO Table'!$A$11:$A$65525,0)-1,"")</f>
        <v/>
      </c>
      <c r="N1434" t="str">
        <f>IF(LEN(I1434),MATCH(I1434,'MPIO_SFIO Table'!$A$11:$A$65525,0)-1,"")</f>
        <v/>
      </c>
      <c r="O1434" t="str">
        <f>IF(LEN(J1434),MATCH(J1434,'MPIO_SFIO Table'!$A$11:$A$65525,0)-1,"")</f>
        <v/>
      </c>
      <c r="P1434" t="str">
        <f>IF(LEN(K1434),MATCH(K1434,'MPIO_SFIO Table'!$A$11:$A$65525,0)-1,"")</f>
        <v/>
      </c>
      <c r="Q1434" t="str">
        <f>IF(LEN(L1434),MATCH(L1434,'MPIO_SFIO Table'!$A$11:$A$65525,0)-1,"")</f>
        <v/>
      </c>
      <c r="R1434" t="str">
        <f ca="1">IF(ISNUMBER(M1434),OFFSET('MPIO_SFIO Table'!$AJ$11,M1434,0),"")</f>
        <v/>
      </c>
      <c r="S1434" t="str">
        <f ca="1">IF(ISNUMBER(N1434),OFFSET('MPIO_SFIO Table'!$AJ$11,N1434,0),"")</f>
        <v/>
      </c>
      <c r="T1434" t="str">
        <f ca="1">IF(ISNUMBER(O1434),OFFSET('MPIO_SFIO Table'!$AJ$11,O1434,0),"")</f>
        <v/>
      </c>
      <c r="U1434" t="str">
        <f ca="1">IF(ISNUMBER(P1434),OFFSET('MPIO_SFIO Table'!$AJ$11,P1434,0),"")</f>
        <v/>
      </c>
      <c r="V1434" t="str">
        <f ca="1">IF(ISNUMBER(Q1434),OFFSET('MPIO_SFIO Table'!$AJ$11,Q1434,0),"")</f>
        <v/>
      </c>
      <c r="W1434">
        <f t="shared" ca="1" si="187"/>
        <v>0</v>
      </c>
      <c r="X1434">
        <f t="shared" ca="1" si="188"/>
        <v>0</v>
      </c>
      <c r="Y1434">
        <f t="shared" ca="1" si="189"/>
        <v>0</v>
      </c>
      <c r="Z1434">
        <f t="shared" ca="1" si="190"/>
        <v>0</v>
      </c>
      <c r="AA1434">
        <f t="shared" ca="1" si="191"/>
        <v>0</v>
      </c>
    </row>
    <row r="1435" spans="1:27" x14ac:dyDescent="0.25">
      <c r="A1435">
        <f t="shared" ca="1" si="184"/>
        <v>0</v>
      </c>
      <c r="B1435" t="str">
        <f t="shared" ca="1" si="185"/>
        <v/>
      </c>
      <c r="C1435" t="str">
        <f t="shared" si="186"/>
        <v/>
      </c>
      <c r="D1435" t="s">
        <v>253</v>
      </c>
      <c r="E1435" t="s">
        <v>253</v>
      </c>
      <c r="F1435" s="3" t="s">
        <v>253</v>
      </c>
      <c r="G1435" s="11" t="s">
        <v>253</v>
      </c>
      <c r="H1435" s="11" t="s">
        <v>253</v>
      </c>
      <c r="I1435" s="3" t="s">
        <v>253</v>
      </c>
      <c r="J1435" s="3" t="s">
        <v>253</v>
      </c>
      <c r="K1435" s="3" t="s">
        <v>253</v>
      </c>
      <c r="L1435" s="3" t="s">
        <v>253</v>
      </c>
      <c r="M1435" t="str">
        <f>IF(LEN(H1435),MATCH(H1435,'MPIO_SFIO Table'!$A$11:$A$65525,0)-1,"")</f>
        <v/>
      </c>
      <c r="N1435" t="str">
        <f>IF(LEN(I1435),MATCH(I1435,'MPIO_SFIO Table'!$A$11:$A$65525,0)-1,"")</f>
        <v/>
      </c>
      <c r="O1435" t="str">
        <f>IF(LEN(J1435),MATCH(J1435,'MPIO_SFIO Table'!$A$11:$A$65525,0)-1,"")</f>
        <v/>
      </c>
      <c r="P1435" t="str">
        <f>IF(LEN(K1435),MATCH(K1435,'MPIO_SFIO Table'!$A$11:$A$65525,0)-1,"")</f>
        <v/>
      </c>
      <c r="Q1435" t="str">
        <f>IF(LEN(L1435),MATCH(L1435,'MPIO_SFIO Table'!$A$11:$A$65525,0)-1,"")</f>
        <v/>
      </c>
      <c r="R1435" t="str">
        <f ca="1">IF(ISNUMBER(M1435),OFFSET('MPIO_SFIO Table'!$AJ$11,M1435,0),"")</f>
        <v/>
      </c>
      <c r="S1435" t="str">
        <f ca="1">IF(ISNUMBER(N1435),OFFSET('MPIO_SFIO Table'!$AJ$11,N1435,0),"")</f>
        <v/>
      </c>
      <c r="T1435" t="str">
        <f ca="1">IF(ISNUMBER(O1435),OFFSET('MPIO_SFIO Table'!$AJ$11,O1435,0),"")</f>
        <v/>
      </c>
      <c r="U1435" t="str">
        <f ca="1">IF(ISNUMBER(P1435),OFFSET('MPIO_SFIO Table'!$AJ$11,P1435,0),"")</f>
        <v/>
      </c>
      <c r="V1435" t="str">
        <f ca="1">IF(ISNUMBER(Q1435),OFFSET('MPIO_SFIO Table'!$AJ$11,Q1435,0),"")</f>
        <v/>
      </c>
      <c r="W1435">
        <f t="shared" ca="1" si="187"/>
        <v>0</v>
      </c>
      <c r="X1435">
        <f t="shared" ca="1" si="188"/>
        <v>0</v>
      </c>
      <c r="Y1435">
        <f t="shared" ca="1" si="189"/>
        <v>0</v>
      </c>
      <c r="Z1435">
        <f t="shared" ca="1" si="190"/>
        <v>0</v>
      </c>
      <c r="AA1435">
        <f t="shared" ca="1" si="191"/>
        <v>0</v>
      </c>
    </row>
    <row r="1436" spans="1:27" x14ac:dyDescent="0.25">
      <c r="A1436">
        <f t="shared" ca="1" si="184"/>
        <v>0</v>
      </c>
      <c r="B1436" t="str">
        <f t="shared" ca="1" si="185"/>
        <v/>
      </c>
      <c r="C1436" t="str">
        <f t="shared" si="186"/>
        <v/>
      </c>
      <c r="D1436" t="s">
        <v>253</v>
      </c>
      <c r="E1436" t="s">
        <v>253</v>
      </c>
      <c r="F1436" s="3" t="s">
        <v>253</v>
      </c>
      <c r="G1436" s="11" t="s">
        <v>253</v>
      </c>
      <c r="H1436" s="11" t="s">
        <v>253</v>
      </c>
      <c r="I1436" s="3" t="s">
        <v>253</v>
      </c>
      <c r="J1436" s="3" t="s">
        <v>253</v>
      </c>
      <c r="K1436" s="3" t="s">
        <v>253</v>
      </c>
      <c r="L1436" s="3" t="s">
        <v>253</v>
      </c>
      <c r="M1436" t="str">
        <f>IF(LEN(H1436),MATCH(H1436,'MPIO_SFIO Table'!$A$11:$A$65525,0)-1,"")</f>
        <v/>
      </c>
      <c r="N1436" t="str">
        <f>IF(LEN(I1436),MATCH(I1436,'MPIO_SFIO Table'!$A$11:$A$65525,0)-1,"")</f>
        <v/>
      </c>
      <c r="O1436" t="str">
        <f>IF(LEN(J1436),MATCH(J1436,'MPIO_SFIO Table'!$A$11:$A$65525,0)-1,"")</f>
        <v/>
      </c>
      <c r="P1436" t="str">
        <f>IF(LEN(K1436),MATCH(K1436,'MPIO_SFIO Table'!$A$11:$A$65525,0)-1,"")</f>
        <v/>
      </c>
      <c r="Q1436" t="str">
        <f>IF(LEN(L1436),MATCH(L1436,'MPIO_SFIO Table'!$A$11:$A$65525,0)-1,"")</f>
        <v/>
      </c>
      <c r="R1436" t="str">
        <f ca="1">IF(ISNUMBER(M1436),OFFSET('MPIO_SFIO Table'!$AJ$11,M1436,0),"")</f>
        <v/>
      </c>
      <c r="S1436" t="str">
        <f ca="1">IF(ISNUMBER(N1436),OFFSET('MPIO_SFIO Table'!$AJ$11,N1436,0),"")</f>
        <v/>
      </c>
      <c r="T1436" t="str">
        <f ca="1">IF(ISNUMBER(O1436),OFFSET('MPIO_SFIO Table'!$AJ$11,O1436,0),"")</f>
        <v/>
      </c>
      <c r="U1436" t="str">
        <f ca="1">IF(ISNUMBER(P1436),OFFSET('MPIO_SFIO Table'!$AJ$11,P1436,0),"")</f>
        <v/>
      </c>
      <c r="V1436" t="str">
        <f ca="1">IF(ISNUMBER(Q1436),OFFSET('MPIO_SFIO Table'!$AJ$11,Q1436,0),"")</f>
        <v/>
      </c>
      <c r="W1436">
        <f t="shared" ca="1" si="187"/>
        <v>0</v>
      </c>
      <c r="X1436">
        <f t="shared" ca="1" si="188"/>
        <v>0</v>
      </c>
      <c r="Y1436">
        <f t="shared" ca="1" si="189"/>
        <v>0</v>
      </c>
      <c r="Z1436">
        <f t="shared" ca="1" si="190"/>
        <v>0</v>
      </c>
      <c r="AA1436">
        <f t="shared" ca="1" si="191"/>
        <v>0</v>
      </c>
    </row>
    <row r="1437" spans="1:27" x14ac:dyDescent="0.25">
      <c r="A1437">
        <f t="shared" ca="1" si="184"/>
        <v>0</v>
      </c>
      <c r="B1437" t="str">
        <f t="shared" ca="1" si="185"/>
        <v/>
      </c>
      <c r="C1437" t="str">
        <f t="shared" si="186"/>
        <v/>
      </c>
      <c r="D1437" t="s">
        <v>253</v>
      </c>
      <c r="E1437" t="s">
        <v>253</v>
      </c>
      <c r="F1437" s="3" t="s">
        <v>253</v>
      </c>
      <c r="G1437" s="11" t="s">
        <v>253</v>
      </c>
      <c r="H1437" s="11" t="s">
        <v>253</v>
      </c>
      <c r="I1437" s="3" t="s">
        <v>253</v>
      </c>
      <c r="J1437" s="3" t="s">
        <v>253</v>
      </c>
      <c r="K1437" s="3" t="s">
        <v>253</v>
      </c>
      <c r="L1437" s="3" t="s">
        <v>253</v>
      </c>
      <c r="M1437" t="str">
        <f>IF(LEN(H1437),MATCH(H1437,'MPIO_SFIO Table'!$A$11:$A$65525,0)-1,"")</f>
        <v/>
      </c>
      <c r="N1437" t="str">
        <f>IF(LEN(I1437),MATCH(I1437,'MPIO_SFIO Table'!$A$11:$A$65525,0)-1,"")</f>
        <v/>
      </c>
      <c r="O1437" t="str">
        <f>IF(LEN(J1437),MATCH(J1437,'MPIO_SFIO Table'!$A$11:$A$65525,0)-1,"")</f>
        <v/>
      </c>
      <c r="P1437" t="str">
        <f>IF(LEN(K1437),MATCH(K1437,'MPIO_SFIO Table'!$A$11:$A$65525,0)-1,"")</f>
        <v/>
      </c>
      <c r="Q1437" t="str">
        <f>IF(LEN(L1437),MATCH(L1437,'MPIO_SFIO Table'!$A$11:$A$65525,0)-1,"")</f>
        <v/>
      </c>
      <c r="R1437" t="str">
        <f ca="1">IF(ISNUMBER(M1437),OFFSET('MPIO_SFIO Table'!$AJ$11,M1437,0),"")</f>
        <v/>
      </c>
      <c r="S1437" t="str">
        <f ca="1">IF(ISNUMBER(N1437),OFFSET('MPIO_SFIO Table'!$AJ$11,N1437,0),"")</f>
        <v/>
      </c>
      <c r="T1437" t="str">
        <f ca="1">IF(ISNUMBER(O1437),OFFSET('MPIO_SFIO Table'!$AJ$11,O1437,0),"")</f>
        <v/>
      </c>
      <c r="U1437" t="str">
        <f ca="1">IF(ISNUMBER(P1437),OFFSET('MPIO_SFIO Table'!$AJ$11,P1437,0),"")</f>
        <v/>
      </c>
      <c r="V1437" t="str">
        <f ca="1">IF(ISNUMBER(Q1437),OFFSET('MPIO_SFIO Table'!$AJ$11,Q1437,0),"")</f>
        <v/>
      </c>
      <c r="W1437">
        <f t="shared" ca="1" si="187"/>
        <v>0</v>
      </c>
      <c r="X1437">
        <f t="shared" ca="1" si="188"/>
        <v>0</v>
      </c>
      <c r="Y1437">
        <f t="shared" ca="1" si="189"/>
        <v>0</v>
      </c>
      <c r="Z1437">
        <f t="shared" ca="1" si="190"/>
        <v>0</v>
      </c>
      <c r="AA1437">
        <f t="shared" ca="1" si="191"/>
        <v>0</v>
      </c>
    </row>
    <row r="1438" spans="1:27" x14ac:dyDescent="0.25">
      <c r="A1438">
        <f t="shared" ca="1" si="184"/>
        <v>0</v>
      </c>
      <c r="B1438" t="str">
        <f t="shared" ca="1" si="185"/>
        <v/>
      </c>
      <c r="C1438" t="str">
        <f t="shared" si="186"/>
        <v/>
      </c>
      <c r="D1438" t="s">
        <v>253</v>
      </c>
      <c r="E1438" t="s">
        <v>253</v>
      </c>
      <c r="F1438" s="3" t="s">
        <v>253</v>
      </c>
      <c r="G1438" s="11" t="s">
        <v>253</v>
      </c>
      <c r="H1438" s="11" t="s">
        <v>253</v>
      </c>
      <c r="I1438" s="3" t="s">
        <v>253</v>
      </c>
      <c r="J1438" s="3" t="s">
        <v>253</v>
      </c>
      <c r="K1438" s="3" t="s">
        <v>253</v>
      </c>
      <c r="L1438" s="3" t="s">
        <v>253</v>
      </c>
      <c r="M1438" t="str">
        <f>IF(LEN(H1438),MATCH(H1438,'MPIO_SFIO Table'!$A$11:$A$65525,0)-1,"")</f>
        <v/>
      </c>
      <c r="N1438" t="str">
        <f>IF(LEN(I1438),MATCH(I1438,'MPIO_SFIO Table'!$A$11:$A$65525,0)-1,"")</f>
        <v/>
      </c>
      <c r="O1438" t="str">
        <f>IF(LEN(J1438),MATCH(J1438,'MPIO_SFIO Table'!$A$11:$A$65525,0)-1,"")</f>
        <v/>
      </c>
      <c r="P1438" t="str">
        <f>IF(LEN(K1438),MATCH(K1438,'MPIO_SFIO Table'!$A$11:$A$65525,0)-1,"")</f>
        <v/>
      </c>
      <c r="Q1438" t="str">
        <f>IF(LEN(L1438),MATCH(L1438,'MPIO_SFIO Table'!$A$11:$A$65525,0)-1,"")</f>
        <v/>
      </c>
      <c r="R1438" t="str">
        <f ca="1">IF(ISNUMBER(M1438),OFFSET('MPIO_SFIO Table'!$AJ$11,M1438,0),"")</f>
        <v/>
      </c>
      <c r="S1438" t="str">
        <f ca="1">IF(ISNUMBER(N1438),OFFSET('MPIO_SFIO Table'!$AJ$11,N1438,0),"")</f>
        <v/>
      </c>
      <c r="T1438" t="str">
        <f ca="1">IF(ISNUMBER(O1438),OFFSET('MPIO_SFIO Table'!$AJ$11,O1438,0),"")</f>
        <v/>
      </c>
      <c r="U1438" t="str">
        <f ca="1">IF(ISNUMBER(P1438),OFFSET('MPIO_SFIO Table'!$AJ$11,P1438,0),"")</f>
        <v/>
      </c>
      <c r="V1438" t="str">
        <f ca="1">IF(ISNUMBER(Q1438),OFFSET('MPIO_SFIO Table'!$AJ$11,Q1438,0),"")</f>
        <v/>
      </c>
      <c r="W1438">
        <f t="shared" ca="1" si="187"/>
        <v>0</v>
      </c>
      <c r="X1438">
        <f t="shared" ca="1" si="188"/>
        <v>0</v>
      </c>
      <c r="Y1438">
        <f t="shared" ca="1" si="189"/>
        <v>0</v>
      </c>
      <c r="Z1438">
        <f t="shared" ca="1" si="190"/>
        <v>0</v>
      </c>
      <c r="AA1438">
        <f t="shared" ca="1" si="191"/>
        <v>0</v>
      </c>
    </row>
    <row r="1439" spans="1:27" x14ac:dyDescent="0.25">
      <c r="A1439">
        <f t="shared" ca="1" si="184"/>
        <v>0</v>
      </c>
      <c r="B1439" t="str">
        <f t="shared" ca="1" si="185"/>
        <v/>
      </c>
      <c r="C1439" t="str">
        <f t="shared" si="186"/>
        <v/>
      </c>
      <c r="D1439" t="s">
        <v>253</v>
      </c>
      <c r="E1439" t="s">
        <v>253</v>
      </c>
      <c r="F1439" s="3" t="s">
        <v>253</v>
      </c>
      <c r="G1439" s="11" t="s">
        <v>253</v>
      </c>
      <c r="H1439" s="11" t="s">
        <v>253</v>
      </c>
      <c r="I1439" s="3" t="s">
        <v>253</v>
      </c>
      <c r="J1439" s="3" t="s">
        <v>253</v>
      </c>
      <c r="K1439" s="3" t="s">
        <v>253</v>
      </c>
      <c r="L1439" s="3" t="s">
        <v>253</v>
      </c>
      <c r="M1439" t="str">
        <f>IF(LEN(H1439),MATCH(H1439,'MPIO_SFIO Table'!$A$11:$A$65525,0)-1,"")</f>
        <v/>
      </c>
      <c r="N1439" t="str">
        <f>IF(LEN(I1439),MATCH(I1439,'MPIO_SFIO Table'!$A$11:$A$65525,0)-1,"")</f>
        <v/>
      </c>
      <c r="O1439" t="str">
        <f>IF(LEN(J1439),MATCH(J1439,'MPIO_SFIO Table'!$A$11:$A$65525,0)-1,"")</f>
        <v/>
      </c>
      <c r="P1439" t="str">
        <f>IF(LEN(K1439),MATCH(K1439,'MPIO_SFIO Table'!$A$11:$A$65525,0)-1,"")</f>
        <v/>
      </c>
      <c r="Q1439" t="str">
        <f>IF(LEN(L1439),MATCH(L1439,'MPIO_SFIO Table'!$A$11:$A$65525,0)-1,"")</f>
        <v/>
      </c>
      <c r="R1439" t="str">
        <f ca="1">IF(ISNUMBER(M1439),OFFSET('MPIO_SFIO Table'!$AJ$11,M1439,0),"")</f>
        <v/>
      </c>
      <c r="S1439" t="str">
        <f ca="1">IF(ISNUMBER(N1439),OFFSET('MPIO_SFIO Table'!$AJ$11,N1439,0),"")</f>
        <v/>
      </c>
      <c r="T1439" t="str">
        <f ca="1">IF(ISNUMBER(O1439),OFFSET('MPIO_SFIO Table'!$AJ$11,O1439,0),"")</f>
        <v/>
      </c>
      <c r="U1439" t="str">
        <f ca="1">IF(ISNUMBER(P1439),OFFSET('MPIO_SFIO Table'!$AJ$11,P1439,0),"")</f>
        <v/>
      </c>
      <c r="V1439" t="str">
        <f ca="1">IF(ISNUMBER(Q1439),OFFSET('MPIO_SFIO Table'!$AJ$11,Q1439,0),"")</f>
        <v/>
      </c>
      <c r="W1439">
        <f t="shared" ca="1" si="187"/>
        <v>0</v>
      </c>
      <c r="X1439">
        <f t="shared" ca="1" si="188"/>
        <v>0</v>
      </c>
      <c r="Y1439">
        <f t="shared" ca="1" si="189"/>
        <v>0</v>
      </c>
      <c r="Z1439">
        <f t="shared" ca="1" si="190"/>
        <v>0</v>
      </c>
      <c r="AA1439">
        <f t="shared" ca="1" si="191"/>
        <v>0</v>
      </c>
    </row>
    <row r="1440" spans="1:27" x14ac:dyDescent="0.25">
      <c r="A1440">
        <f t="shared" ca="1" si="184"/>
        <v>0</v>
      </c>
      <c r="B1440" t="str">
        <f t="shared" ca="1" si="185"/>
        <v/>
      </c>
      <c r="C1440" t="str">
        <f t="shared" si="186"/>
        <v/>
      </c>
      <c r="D1440" t="s">
        <v>253</v>
      </c>
      <c r="E1440" t="s">
        <v>253</v>
      </c>
      <c r="F1440" s="3" t="s">
        <v>253</v>
      </c>
      <c r="G1440" s="11" t="s">
        <v>253</v>
      </c>
      <c r="H1440" s="11" t="s">
        <v>253</v>
      </c>
      <c r="I1440" s="3" t="s">
        <v>253</v>
      </c>
      <c r="J1440" s="3" t="s">
        <v>253</v>
      </c>
      <c r="K1440" s="3" t="s">
        <v>253</v>
      </c>
      <c r="L1440" s="3" t="s">
        <v>253</v>
      </c>
      <c r="M1440" t="str">
        <f>IF(LEN(H1440),MATCH(H1440,'MPIO_SFIO Table'!$A$11:$A$65525,0)-1,"")</f>
        <v/>
      </c>
      <c r="N1440" t="str">
        <f>IF(LEN(I1440),MATCH(I1440,'MPIO_SFIO Table'!$A$11:$A$65525,0)-1,"")</f>
        <v/>
      </c>
      <c r="O1440" t="str">
        <f>IF(LEN(J1440),MATCH(J1440,'MPIO_SFIO Table'!$A$11:$A$65525,0)-1,"")</f>
        <v/>
      </c>
      <c r="P1440" t="str">
        <f>IF(LEN(K1440),MATCH(K1440,'MPIO_SFIO Table'!$A$11:$A$65525,0)-1,"")</f>
        <v/>
      </c>
      <c r="Q1440" t="str">
        <f>IF(LEN(L1440),MATCH(L1440,'MPIO_SFIO Table'!$A$11:$A$65525,0)-1,"")</f>
        <v/>
      </c>
      <c r="R1440" t="str">
        <f ca="1">IF(ISNUMBER(M1440),OFFSET('MPIO_SFIO Table'!$AJ$11,M1440,0),"")</f>
        <v/>
      </c>
      <c r="S1440" t="str">
        <f ca="1">IF(ISNUMBER(N1440),OFFSET('MPIO_SFIO Table'!$AJ$11,N1440,0),"")</f>
        <v/>
      </c>
      <c r="T1440" t="str">
        <f ca="1">IF(ISNUMBER(O1440),OFFSET('MPIO_SFIO Table'!$AJ$11,O1440,0),"")</f>
        <v/>
      </c>
      <c r="U1440" t="str">
        <f ca="1">IF(ISNUMBER(P1440),OFFSET('MPIO_SFIO Table'!$AJ$11,P1440,0),"")</f>
        <v/>
      </c>
      <c r="V1440" t="str">
        <f ca="1">IF(ISNUMBER(Q1440),OFFSET('MPIO_SFIO Table'!$AJ$11,Q1440,0),"")</f>
        <v/>
      </c>
      <c r="W1440">
        <f t="shared" ca="1" si="187"/>
        <v>0</v>
      </c>
      <c r="X1440">
        <f t="shared" ca="1" si="188"/>
        <v>0</v>
      </c>
      <c r="Y1440">
        <f t="shared" ca="1" si="189"/>
        <v>0</v>
      </c>
      <c r="Z1440">
        <f t="shared" ca="1" si="190"/>
        <v>0</v>
      </c>
      <c r="AA1440">
        <f t="shared" ca="1" si="191"/>
        <v>0</v>
      </c>
    </row>
    <row r="1441" spans="1:27" x14ac:dyDescent="0.25">
      <c r="A1441">
        <f t="shared" ca="1" si="184"/>
        <v>0</v>
      </c>
      <c r="B1441" t="str">
        <f t="shared" ca="1" si="185"/>
        <v/>
      </c>
      <c r="C1441" t="str">
        <f t="shared" si="186"/>
        <v/>
      </c>
      <c r="D1441" t="s">
        <v>253</v>
      </c>
      <c r="E1441" t="s">
        <v>253</v>
      </c>
      <c r="F1441" s="3" t="s">
        <v>253</v>
      </c>
      <c r="G1441" s="11" t="s">
        <v>253</v>
      </c>
      <c r="H1441" s="11" t="s">
        <v>253</v>
      </c>
      <c r="I1441" s="3" t="s">
        <v>253</v>
      </c>
      <c r="J1441" s="3" t="s">
        <v>253</v>
      </c>
      <c r="K1441" s="3" t="s">
        <v>253</v>
      </c>
      <c r="L1441" s="3" t="s">
        <v>253</v>
      </c>
      <c r="M1441" t="str">
        <f>IF(LEN(H1441),MATCH(H1441,'MPIO_SFIO Table'!$A$11:$A$65525,0)-1,"")</f>
        <v/>
      </c>
      <c r="N1441" t="str">
        <f>IF(LEN(I1441),MATCH(I1441,'MPIO_SFIO Table'!$A$11:$A$65525,0)-1,"")</f>
        <v/>
      </c>
      <c r="O1441" t="str">
        <f>IF(LEN(J1441),MATCH(J1441,'MPIO_SFIO Table'!$A$11:$A$65525,0)-1,"")</f>
        <v/>
      </c>
      <c r="P1441" t="str">
        <f>IF(LEN(K1441),MATCH(K1441,'MPIO_SFIO Table'!$A$11:$A$65525,0)-1,"")</f>
        <v/>
      </c>
      <c r="Q1441" t="str">
        <f>IF(LEN(L1441),MATCH(L1441,'MPIO_SFIO Table'!$A$11:$A$65525,0)-1,"")</f>
        <v/>
      </c>
      <c r="R1441" t="str">
        <f ca="1">IF(ISNUMBER(M1441),OFFSET('MPIO_SFIO Table'!$AJ$11,M1441,0),"")</f>
        <v/>
      </c>
      <c r="S1441" t="str">
        <f ca="1">IF(ISNUMBER(N1441),OFFSET('MPIO_SFIO Table'!$AJ$11,N1441,0),"")</f>
        <v/>
      </c>
      <c r="T1441" t="str">
        <f ca="1">IF(ISNUMBER(O1441),OFFSET('MPIO_SFIO Table'!$AJ$11,O1441,0),"")</f>
        <v/>
      </c>
      <c r="U1441" t="str">
        <f ca="1">IF(ISNUMBER(P1441),OFFSET('MPIO_SFIO Table'!$AJ$11,P1441,0),"")</f>
        <v/>
      </c>
      <c r="V1441" t="str">
        <f ca="1">IF(ISNUMBER(Q1441),OFFSET('MPIO_SFIO Table'!$AJ$11,Q1441,0),"")</f>
        <v/>
      </c>
      <c r="W1441">
        <f t="shared" ca="1" si="187"/>
        <v>0</v>
      </c>
      <c r="X1441">
        <f t="shared" ca="1" si="188"/>
        <v>0</v>
      </c>
      <c r="Y1441">
        <f t="shared" ca="1" si="189"/>
        <v>0</v>
      </c>
      <c r="Z1441">
        <f t="shared" ca="1" si="190"/>
        <v>0</v>
      </c>
      <c r="AA1441">
        <f t="shared" ca="1" si="191"/>
        <v>0</v>
      </c>
    </row>
    <row r="1442" spans="1:27" x14ac:dyDescent="0.25">
      <c r="A1442">
        <f t="shared" ca="1" si="184"/>
        <v>0</v>
      </c>
      <c r="B1442" t="str">
        <f t="shared" ca="1" si="185"/>
        <v/>
      </c>
      <c r="C1442" t="str">
        <f t="shared" si="186"/>
        <v/>
      </c>
      <c r="D1442" t="s">
        <v>253</v>
      </c>
      <c r="E1442" t="s">
        <v>253</v>
      </c>
      <c r="F1442" s="3" t="s">
        <v>253</v>
      </c>
      <c r="G1442" s="11" t="s">
        <v>253</v>
      </c>
      <c r="H1442" s="11" t="s">
        <v>253</v>
      </c>
      <c r="I1442" s="3" t="s">
        <v>253</v>
      </c>
      <c r="J1442" s="3" t="s">
        <v>253</v>
      </c>
      <c r="K1442" s="3" t="s">
        <v>253</v>
      </c>
      <c r="L1442" s="3" t="s">
        <v>253</v>
      </c>
      <c r="M1442" t="str">
        <f>IF(LEN(H1442),MATCH(H1442,'MPIO_SFIO Table'!$A$11:$A$65525,0)-1,"")</f>
        <v/>
      </c>
      <c r="N1442" t="str">
        <f>IF(LEN(I1442),MATCH(I1442,'MPIO_SFIO Table'!$A$11:$A$65525,0)-1,"")</f>
        <v/>
      </c>
      <c r="O1442" t="str">
        <f>IF(LEN(J1442),MATCH(J1442,'MPIO_SFIO Table'!$A$11:$A$65525,0)-1,"")</f>
        <v/>
      </c>
      <c r="P1442" t="str">
        <f>IF(LEN(K1442),MATCH(K1442,'MPIO_SFIO Table'!$A$11:$A$65525,0)-1,"")</f>
        <v/>
      </c>
      <c r="Q1442" t="str">
        <f>IF(LEN(L1442),MATCH(L1442,'MPIO_SFIO Table'!$A$11:$A$65525,0)-1,"")</f>
        <v/>
      </c>
      <c r="R1442" t="str">
        <f ca="1">IF(ISNUMBER(M1442),OFFSET('MPIO_SFIO Table'!$AJ$11,M1442,0),"")</f>
        <v/>
      </c>
      <c r="S1442" t="str">
        <f ca="1">IF(ISNUMBER(N1442),OFFSET('MPIO_SFIO Table'!$AJ$11,N1442,0),"")</f>
        <v/>
      </c>
      <c r="T1442" t="str">
        <f ca="1">IF(ISNUMBER(O1442),OFFSET('MPIO_SFIO Table'!$AJ$11,O1442,0),"")</f>
        <v/>
      </c>
      <c r="U1442" t="str">
        <f ca="1">IF(ISNUMBER(P1442),OFFSET('MPIO_SFIO Table'!$AJ$11,P1442,0),"")</f>
        <v/>
      </c>
      <c r="V1442" t="str">
        <f ca="1">IF(ISNUMBER(Q1442),OFFSET('MPIO_SFIO Table'!$AJ$11,Q1442,0),"")</f>
        <v/>
      </c>
      <c r="W1442">
        <f t="shared" ca="1" si="187"/>
        <v>0</v>
      </c>
      <c r="X1442">
        <f t="shared" ca="1" si="188"/>
        <v>0</v>
      </c>
      <c r="Y1442">
        <f t="shared" ca="1" si="189"/>
        <v>0</v>
      </c>
      <c r="Z1442">
        <f t="shared" ca="1" si="190"/>
        <v>0</v>
      </c>
      <c r="AA1442">
        <f t="shared" ca="1" si="191"/>
        <v>0</v>
      </c>
    </row>
    <row r="1443" spans="1:27" x14ac:dyDescent="0.25">
      <c r="A1443">
        <f t="shared" ca="1" si="184"/>
        <v>0</v>
      </c>
      <c r="B1443" t="str">
        <f t="shared" ca="1" si="185"/>
        <v/>
      </c>
      <c r="C1443" t="str">
        <f t="shared" si="186"/>
        <v/>
      </c>
      <c r="D1443" t="s">
        <v>253</v>
      </c>
      <c r="E1443" t="s">
        <v>253</v>
      </c>
      <c r="F1443" s="3" t="s">
        <v>253</v>
      </c>
      <c r="G1443" s="11" t="s">
        <v>253</v>
      </c>
      <c r="H1443" s="11" t="s">
        <v>253</v>
      </c>
      <c r="I1443" s="3" t="s">
        <v>253</v>
      </c>
      <c r="J1443" s="3" t="s">
        <v>253</v>
      </c>
      <c r="K1443" s="3" t="s">
        <v>253</v>
      </c>
      <c r="L1443" s="3" t="s">
        <v>253</v>
      </c>
      <c r="M1443" t="str">
        <f>IF(LEN(H1443),MATCH(H1443,'MPIO_SFIO Table'!$A$11:$A$65525,0)-1,"")</f>
        <v/>
      </c>
      <c r="N1443" t="str">
        <f>IF(LEN(I1443),MATCH(I1443,'MPIO_SFIO Table'!$A$11:$A$65525,0)-1,"")</f>
        <v/>
      </c>
      <c r="O1443" t="str">
        <f>IF(LEN(J1443),MATCH(J1443,'MPIO_SFIO Table'!$A$11:$A$65525,0)-1,"")</f>
        <v/>
      </c>
      <c r="P1443" t="str">
        <f>IF(LEN(K1443),MATCH(K1443,'MPIO_SFIO Table'!$A$11:$A$65525,0)-1,"")</f>
        <v/>
      </c>
      <c r="Q1443" t="str">
        <f>IF(LEN(L1443),MATCH(L1443,'MPIO_SFIO Table'!$A$11:$A$65525,0)-1,"")</f>
        <v/>
      </c>
      <c r="R1443" t="str">
        <f ca="1">IF(ISNUMBER(M1443),OFFSET('MPIO_SFIO Table'!$AJ$11,M1443,0),"")</f>
        <v/>
      </c>
      <c r="S1443" t="str">
        <f ca="1">IF(ISNUMBER(N1443),OFFSET('MPIO_SFIO Table'!$AJ$11,N1443,0),"")</f>
        <v/>
      </c>
      <c r="T1443" t="str">
        <f ca="1">IF(ISNUMBER(O1443),OFFSET('MPIO_SFIO Table'!$AJ$11,O1443,0),"")</f>
        <v/>
      </c>
      <c r="U1443" t="str">
        <f ca="1">IF(ISNUMBER(P1443),OFFSET('MPIO_SFIO Table'!$AJ$11,P1443,0),"")</f>
        <v/>
      </c>
      <c r="V1443" t="str">
        <f ca="1">IF(ISNUMBER(Q1443),OFFSET('MPIO_SFIO Table'!$AJ$11,Q1443,0),"")</f>
        <v/>
      </c>
      <c r="W1443">
        <f t="shared" ca="1" si="187"/>
        <v>0</v>
      </c>
      <c r="X1443">
        <f t="shared" ca="1" si="188"/>
        <v>0</v>
      </c>
      <c r="Y1443">
        <f t="shared" ca="1" si="189"/>
        <v>0</v>
      </c>
      <c r="Z1443">
        <f t="shared" ca="1" si="190"/>
        <v>0</v>
      </c>
      <c r="AA1443">
        <f t="shared" ca="1" si="191"/>
        <v>0</v>
      </c>
    </row>
    <row r="1444" spans="1:27" x14ac:dyDescent="0.25">
      <c r="A1444">
        <f t="shared" ca="1" si="184"/>
        <v>0</v>
      </c>
      <c r="B1444" t="str">
        <f t="shared" ca="1" si="185"/>
        <v/>
      </c>
      <c r="C1444" t="str">
        <f t="shared" si="186"/>
        <v/>
      </c>
      <c r="D1444" t="s">
        <v>253</v>
      </c>
      <c r="E1444" t="s">
        <v>253</v>
      </c>
      <c r="F1444" s="3" t="s">
        <v>253</v>
      </c>
      <c r="G1444" s="11" t="s">
        <v>253</v>
      </c>
      <c r="H1444" s="11" t="s">
        <v>253</v>
      </c>
      <c r="I1444" s="3" t="s">
        <v>253</v>
      </c>
      <c r="J1444" s="3" t="s">
        <v>253</v>
      </c>
      <c r="K1444" s="3" t="s">
        <v>253</v>
      </c>
      <c r="L1444" s="3" t="s">
        <v>253</v>
      </c>
      <c r="M1444" t="str">
        <f>IF(LEN(H1444),MATCH(H1444,'MPIO_SFIO Table'!$A$11:$A$65525,0)-1,"")</f>
        <v/>
      </c>
      <c r="N1444" t="str">
        <f>IF(LEN(I1444),MATCH(I1444,'MPIO_SFIO Table'!$A$11:$A$65525,0)-1,"")</f>
        <v/>
      </c>
      <c r="O1444" t="str">
        <f>IF(LEN(J1444),MATCH(J1444,'MPIO_SFIO Table'!$A$11:$A$65525,0)-1,"")</f>
        <v/>
      </c>
      <c r="P1444" t="str">
        <f>IF(LEN(K1444),MATCH(K1444,'MPIO_SFIO Table'!$A$11:$A$65525,0)-1,"")</f>
        <v/>
      </c>
      <c r="Q1444" t="str">
        <f>IF(LEN(L1444),MATCH(L1444,'MPIO_SFIO Table'!$A$11:$A$65525,0)-1,"")</f>
        <v/>
      </c>
      <c r="R1444" t="str">
        <f ca="1">IF(ISNUMBER(M1444),OFFSET('MPIO_SFIO Table'!$AJ$11,M1444,0),"")</f>
        <v/>
      </c>
      <c r="S1444" t="str">
        <f ca="1">IF(ISNUMBER(N1444),OFFSET('MPIO_SFIO Table'!$AJ$11,N1444,0),"")</f>
        <v/>
      </c>
      <c r="T1444" t="str">
        <f ca="1">IF(ISNUMBER(O1444),OFFSET('MPIO_SFIO Table'!$AJ$11,O1444,0),"")</f>
        <v/>
      </c>
      <c r="U1444" t="str">
        <f ca="1">IF(ISNUMBER(P1444),OFFSET('MPIO_SFIO Table'!$AJ$11,P1444,0),"")</f>
        <v/>
      </c>
      <c r="V1444" t="str">
        <f ca="1">IF(ISNUMBER(Q1444),OFFSET('MPIO_SFIO Table'!$AJ$11,Q1444,0),"")</f>
        <v/>
      </c>
      <c r="W1444">
        <f t="shared" ca="1" si="187"/>
        <v>0</v>
      </c>
      <c r="X1444">
        <f t="shared" ca="1" si="188"/>
        <v>0</v>
      </c>
      <c r="Y1444">
        <f t="shared" ca="1" si="189"/>
        <v>0</v>
      </c>
      <c r="Z1444">
        <f t="shared" ca="1" si="190"/>
        <v>0</v>
      </c>
      <c r="AA1444">
        <f t="shared" ca="1" si="191"/>
        <v>0</v>
      </c>
    </row>
    <row r="1445" spans="1:27" x14ac:dyDescent="0.25">
      <c r="A1445">
        <f t="shared" ca="1" si="184"/>
        <v>0</v>
      </c>
      <c r="B1445" t="str">
        <f t="shared" ca="1" si="185"/>
        <v/>
      </c>
      <c r="C1445" t="str">
        <f t="shared" si="186"/>
        <v/>
      </c>
      <c r="D1445" t="s">
        <v>253</v>
      </c>
      <c r="E1445" t="s">
        <v>253</v>
      </c>
      <c r="F1445" s="3" t="s">
        <v>253</v>
      </c>
      <c r="G1445" s="11" t="s">
        <v>253</v>
      </c>
      <c r="H1445" s="11" t="s">
        <v>253</v>
      </c>
      <c r="I1445" s="3" t="s">
        <v>253</v>
      </c>
      <c r="J1445" s="3" t="s">
        <v>253</v>
      </c>
      <c r="K1445" s="3" t="s">
        <v>253</v>
      </c>
      <c r="L1445" s="3" t="s">
        <v>253</v>
      </c>
      <c r="M1445" t="str">
        <f>IF(LEN(H1445),MATCH(H1445,'MPIO_SFIO Table'!$A$11:$A$65525,0)-1,"")</f>
        <v/>
      </c>
      <c r="N1445" t="str">
        <f>IF(LEN(I1445),MATCH(I1445,'MPIO_SFIO Table'!$A$11:$A$65525,0)-1,"")</f>
        <v/>
      </c>
      <c r="O1445" t="str">
        <f>IF(LEN(J1445),MATCH(J1445,'MPIO_SFIO Table'!$A$11:$A$65525,0)-1,"")</f>
        <v/>
      </c>
      <c r="P1445" t="str">
        <f>IF(LEN(K1445),MATCH(K1445,'MPIO_SFIO Table'!$A$11:$A$65525,0)-1,"")</f>
        <v/>
      </c>
      <c r="Q1445" t="str">
        <f>IF(LEN(L1445),MATCH(L1445,'MPIO_SFIO Table'!$A$11:$A$65525,0)-1,"")</f>
        <v/>
      </c>
      <c r="R1445" t="str">
        <f ca="1">IF(ISNUMBER(M1445),OFFSET('MPIO_SFIO Table'!$AJ$11,M1445,0),"")</f>
        <v/>
      </c>
      <c r="S1445" t="str">
        <f ca="1">IF(ISNUMBER(N1445),OFFSET('MPIO_SFIO Table'!$AJ$11,N1445,0),"")</f>
        <v/>
      </c>
      <c r="T1445" t="str">
        <f ca="1">IF(ISNUMBER(O1445),OFFSET('MPIO_SFIO Table'!$AJ$11,O1445,0),"")</f>
        <v/>
      </c>
      <c r="U1445" t="str">
        <f ca="1">IF(ISNUMBER(P1445),OFFSET('MPIO_SFIO Table'!$AJ$11,P1445,0),"")</f>
        <v/>
      </c>
      <c r="V1445" t="str">
        <f ca="1">IF(ISNUMBER(Q1445),OFFSET('MPIO_SFIO Table'!$AJ$11,Q1445,0),"")</f>
        <v/>
      </c>
      <c r="W1445">
        <f t="shared" ca="1" si="187"/>
        <v>0</v>
      </c>
      <c r="X1445">
        <f t="shared" ca="1" si="188"/>
        <v>0</v>
      </c>
      <c r="Y1445">
        <f t="shared" ca="1" si="189"/>
        <v>0</v>
      </c>
      <c r="Z1445">
        <f t="shared" ca="1" si="190"/>
        <v>0</v>
      </c>
      <c r="AA1445">
        <f t="shared" ca="1" si="191"/>
        <v>0</v>
      </c>
    </row>
    <row r="1446" spans="1:27" x14ac:dyDescent="0.25">
      <c r="A1446">
        <f t="shared" ca="1" si="184"/>
        <v>0</v>
      </c>
      <c r="B1446" t="str">
        <f t="shared" ca="1" si="185"/>
        <v/>
      </c>
      <c r="C1446" t="str">
        <f t="shared" si="186"/>
        <v/>
      </c>
      <c r="D1446" t="s">
        <v>253</v>
      </c>
      <c r="E1446" t="s">
        <v>253</v>
      </c>
      <c r="F1446" s="3" t="s">
        <v>253</v>
      </c>
      <c r="G1446" s="11" t="s">
        <v>253</v>
      </c>
      <c r="H1446" s="11" t="s">
        <v>253</v>
      </c>
      <c r="I1446" s="3" t="s">
        <v>253</v>
      </c>
      <c r="J1446" s="3" t="s">
        <v>253</v>
      </c>
      <c r="K1446" s="3" t="s">
        <v>253</v>
      </c>
      <c r="L1446" s="3" t="s">
        <v>253</v>
      </c>
      <c r="M1446" t="str">
        <f>IF(LEN(H1446),MATCH(H1446,'MPIO_SFIO Table'!$A$11:$A$65525,0)-1,"")</f>
        <v/>
      </c>
      <c r="N1446" t="str">
        <f>IF(LEN(I1446),MATCH(I1446,'MPIO_SFIO Table'!$A$11:$A$65525,0)-1,"")</f>
        <v/>
      </c>
      <c r="O1446" t="str">
        <f>IF(LEN(J1446),MATCH(J1446,'MPIO_SFIO Table'!$A$11:$A$65525,0)-1,"")</f>
        <v/>
      </c>
      <c r="P1446" t="str">
        <f>IF(LEN(K1446),MATCH(K1446,'MPIO_SFIO Table'!$A$11:$A$65525,0)-1,"")</f>
        <v/>
      </c>
      <c r="Q1446" t="str">
        <f>IF(LEN(L1446),MATCH(L1446,'MPIO_SFIO Table'!$A$11:$A$65525,0)-1,"")</f>
        <v/>
      </c>
      <c r="R1446" t="str">
        <f ca="1">IF(ISNUMBER(M1446),OFFSET('MPIO_SFIO Table'!$AJ$11,M1446,0),"")</f>
        <v/>
      </c>
      <c r="S1446" t="str">
        <f ca="1">IF(ISNUMBER(N1446),OFFSET('MPIO_SFIO Table'!$AJ$11,N1446,0),"")</f>
        <v/>
      </c>
      <c r="T1446" t="str">
        <f ca="1">IF(ISNUMBER(O1446),OFFSET('MPIO_SFIO Table'!$AJ$11,O1446,0),"")</f>
        <v/>
      </c>
      <c r="U1446" t="str">
        <f ca="1">IF(ISNUMBER(P1446),OFFSET('MPIO_SFIO Table'!$AJ$11,P1446,0),"")</f>
        <v/>
      </c>
      <c r="V1446" t="str">
        <f ca="1">IF(ISNUMBER(Q1446),OFFSET('MPIO_SFIO Table'!$AJ$11,Q1446,0),"")</f>
        <v/>
      </c>
      <c r="W1446">
        <f t="shared" ca="1" si="187"/>
        <v>0</v>
      </c>
      <c r="X1446">
        <f t="shared" ca="1" si="188"/>
        <v>0</v>
      </c>
      <c r="Y1446">
        <f t="shared" ca="1" si="189"/>
        <v>0</v>
      </c>
      <c r="Z1446">
        <f t="shared" ca="1" si="190"/>
        <v>0</v>
      </c>
      <c r="AA1446">
        <f t="shared" ca="1" si="191"/>
        <v>0</v>
      </c>
    </row>
    <row r="1447" spans="1:27" x14ac:dyDescent="0.25">
      <c r="A1447">
        <f t="shared" ca="1" si="184"/>
        <v>0</v>
      </c>
      <c r="B1447" t="str">
        <f t="shared" ca="1" si="185"/>
        <v/>
      </c>
      <c r="C1447" t="str">
        <f t="shared" si="186"/>
        <v/>
      </c>
      <c r="D1447" t="s">
        <v>253</v>
      </c>
      <c r="E1447" t="s">
        <v>253</v>
      </c>
      <c r="F1447" s="3" t="s">
        <v>253</v>
      </c>
      <c r="G1447" s="11" t="s">
        <v>253</v>
      </c>
      <c r="H1447" s="11" t="s">
        <v>253</v>
      </c>
      <c r="I1447" s="3" t="s">
        <v>253</v>
      </c>
      <c r="J1447" s="3"/>
      <c r="K1447" s="3" t="s">
        <v>253</v>
      </c>
      <c r="L1447" s="3" t="s">
        <v>253</v>
      </c>
      <c r="M1447" t="str">
        <f>IF(LEN(H1447),MATCH(H1447,'MPIO_SFIO Table'!$A$11:$A$65525,0)-1,"")</f>
        <v/>
      </c>
      <c r="N1447" t="str">
        <f>IF(LEN(I1447),MATCH(I1447,'MPIO_SFIO Table'!$A$11:$A$65525,0)-1,"")</f>
        <v/>
      </c>
      <c r="O1447" t="str">
        <f>IF(LEN(J1447),MATCH(J1447,'MPIO_SFIO Table'!$A$11:$A$65525,0)-1,"")</f>
        <v/>
      </c>
      <c r="P1447" t="str">
        <f>IF(LEN(K1447),MATCH(K1447,'MPIO_SFIO Table'!$A$11:$A$65525,0)-1,"")</f>
        <v/>
      </c>
      <c r="Q1447" t="str">
        <f>IF(LEN(L1447),MATCH(L1447,'MPIO_SFIO Table'!$A$11:$A$65525,0)-1,"")</f>
        <v/>
      </c>
      <c r="R1447" t="str">
        <f ca="1">IF(ISNUMBER(M1447),OFFSET('MPIO_SFIO Table'!$AJ$11,M1447,0),"")</f>
        <v/>
      </c>
      <c r="S1447" t="str">
        <f ca="1">IF(ISNUMBER(N1447),OFFSET('MPIO_SFIO Table'!$AJ$11,N1447,0),"")</f>
        <v/>
      </c>
      <c r="T1447" t="str">
        <f ca="1">IF(ISNUMBER(O1447),OFFSET('MPIO_SFIO Table'!$AJ$11,O1447,0),"")</f>
        <v/>
      </c>
      <c r="U1447" t="str">
        <f ca="1">IF(ISNUMBER(P1447),OFFSET('MPIO_SFIO Table'!$AJ$11,P1447,0),"")</f>
        <v/>
      </c>
      <c r="V1447" t="str">
        <f ca="1">IF(ISNUMBER(Q1447),OFFSET('MPIO_SFIO Table'!$AJ$11,Q1447,0),"")</f>
        <v/>
      </c>
      <c r="W1447">
        <f t="shared" ca="1" si="187"/>
        <v>0</v>
      </c>
      <c r="X1447">
        <f t="shared" ca="1" si="188"/>
        <v>0</v>
      </c>
      <c r="Y1447">
        <f t="shared" ca="1" si="189"/>
        <v>0</v>
      </c>
      <c r="Z1447">
        <f t="shared" ca="1" si="190"/>
        <v>0</v>
      </c>
      <c r="AA1447">
        <f t="shared" ca="1" si="191"/>
        <v>0</v>
      </c>
    </row>
    <row r="1448" spans="1:27" x14ac:dyDescent="0.25">
      <c r="A1448">
        <f t="shared" ca="1" si="184"/>
        <v>0</v>
      </c>
      <c r="B1448" t="str">
        <f t="shared" ca="1" si="185"/>
        <v/>
      </c>
      <c r="C1448" t="str">
        <f t="shared" si="186"/>
        <v/>
      </c>
      <c r="D1448" t="s">
        <v>253</v>
      </c>
      <c r="E1448" t="s">
        <v>253</v>
      </c>
      <c r="F1448" s="3" t="s">
        <v>253</v>
      </c>
      <c r="G1448" s="11" t="s">
        <v>253</v>
      </c>
      <c r="H1448" s="11" t="s">
        <v>253</v>
      </c>
      <c r="I1448" s="3" t="s">
        <v>253</v>
      </c>
      <c r="J1448" s="3" t="s">
        <v>253</v>
      </c>
      <c r="K1448" s="3" t="s">
        <v>253</v>
      </c>
      <c r="L1448" s="3" t="s">
        <v>253</v>
      </c>
      <c r="M1448" t="str">
        <f>IF(LEN(H1448),MATCH(H1448,'MPIO_SFIO Table'!$A$11:$A$65525,0)-1,"")</f>
        <v/>
      </c>
      <c r="N1448" t="str">
        <f>IF(LEN(I1448),MATCH(I1448,'MPIO_SFIO Table'!$A$11:$A$65525,0)-1,"")</f>
        <v/>
      </c>
      <c r="O1448" t="str">
        <f>IF(LEN(J1448),MATCH(J1448,'MPIO_SFIO Table'!$A$11:$A$65525,0)-1,"")</f>
        <v/>
      </c>
      <c r="P1448" t="str">
        <f>IF(LEN(K1448),MATCH(K1448,'MPIO_SFIO Table'!$A$11:$A$65525,0)-1,"")</f>
        <v/>
      </c>
      <c r="Q1448" t="str">
        <f>IF(LEN(L1448),MATCH(L1448,'MPIO_SFIO Table'!$A$11:$A$65525,0)-1,"")</f>
        <v/>
      </c>
      <c r="R1448" t="str">
        <f ca="1">IF(ISNUMBER(M1448),OFFSET('MPIO_SFIO Table'!$AJ$11,M1448,0),"")</f>
        <v/>
      </c>
      <c r="S1448" t="str">
        <f ca="1">IF(ISNUMBER(N1448),OFFSET('MPIO_SFIO Table'!$AJ$11,N1448,0),"")</f>
        <v/>
      </c>
      <c r="T1448" t="str">
        <f ca="1">IF(ISNUMBER(O1448),OFFSET('MPIO_SFIO Table'!$AJ$11,O1448,0),"")</f>
        <v/>
      </c>
      <c r="U1448" t="str">
        <f ca="1">IF(ISNUMBER(P1448),OFFSET('MPIO_SFIO Table'!$AJ$11,P1448,0),"")</f>
        <v/>
      </c>
      <c r="V1448" t="str">
        <f ca="1">IF(ISNUMBER(Q1448),OFFSET('MPIO_SFIO Table'!$AJ$11,Q1448,0),"")</f>
        <v/>
      </c>
      <c r="W1448">
        <f t="shared" ca="1" si="187"/>
        <v>0</v>
      </c>
      <c r="X1448">
        <f t="shared" ca="1" si="188"/>
        <v>0</v>
      </c>
      <c r="Y1448">
        <f t="shared" ca="1" si="189"/>
        <v>0</v>
      </c>
      <c r="Z1448">
        <f t="shared" ca="1" si="190"/>
        <v>0</v>
      </c>
      <c r="AA1448">
        <f t="shared" ca="1" si="191"/>
        <v>0</v>
      </c>
    </row>
    <row r="1449" spans="1:27" x14ac:dyDescent="0.25">
      <c r="A1449">
        <f t="shared" ca="1" si="184"/>
        <v>0</v>
      </c>
      <c r="B1449" t="str">
        <f t="shared" ca="1" si="185"/>
        <v/>
      </c>
      <c r="C1449" t="str">
        <f t="shared" si="186"/>
        <v/>
      </c>
      <c r="D1449" t="s">
        <v>253</v>
      </c>
      <c r="E1449" t="s">
        <v>253</v>
      </c>
      <c r="F1449" s="3" t="s">
        <v>253</v>
      </c>
      <c r="G1449" s="11" t="s">
        <v>253</v>
      </c>
      <c r="H1449" s="11" t="s">
        <v>253</v>
      </c>
      <c r="I1449" s="3" t="s">
        <v>253</v>
      </c>
      <c r="J1449" s="3" t="s">
        <v>253</v>
      </c>
      <c r="K1449" s="3" t="s">
        <v>253</v>
      </c>
      <c r="L1449" s="3" t="s">
        <v>253</v>
      </c>
      <c r="M1449" t="str">
        <f>IF(LEN(H1449),MATCH(H1449,'MPIO_SFIO Table'!$A$11:$A$65525,0)-1,"")</f>
        <v/>
      </c>
      <c r="N1449" t="str">
        <f>IF(LEN(I1449),MATCH(I1449,'MPIO_SFIO Table'!$A$11:$A$65525,0)-1,"")</f>
        <v/>
      </c>
      <c r="O1449" t="str">
        <f>IF(LEN(J1449),MATCH(J1449,'MPIO_SFIO Table'!$A$11:$A$65525,0)-1,"")</f>
        <v/>
      </c>
      <c r="P1449" t="str">
        <f>IF(LEN(K1449),MATCH(K1449,'MPIO_SFIO Table'!$A$11:$A$65525,0)-1,"")</f>
        <v/>
      </c>
      <c r="Q1449" t="str">
        <f>IF(LEN(L1449),MATCH(L1449,'MPIO_SFIO Table'!$A$11:$A$65525,0)-1,"")</f>
        <v/>
      </c>
      <c r="R1449" t="str">
        <f ca="1">IF(ISNUMBER(M1449),OFFSET('MPIO_SFIO Table'!$AJ$11,M1449,0),"")</f>
        <v/>
      </c>
      <c r="S1449" t="str">
        <f ca="1">IF(ISNUMBER(N1449),OFFSET('MPIO_SFIO Table'!$AJ$11,N1449,0),"")</f>
        <v/>
      </c>
      <c r="T1449" t="str">
        <f ca="1">IF(ISNUMBER(O1449),OFFSET('MPIO_SFIO Table'!$AJ$11,O1449,0),"")</f>
        <v/>
      </c>
      <c r="U1449" t="str">
        <f ca="1">IF(ISNUMBER(P1449),OFFSET('MPIO_SFIO Table'!$AJ$11,P1449,0),"")</f>
        <v/>
      </c>
      <c r="V1449" t="str">
        <f ca="1">IF(ISNUMBER(Q1449),OFFSET('MPIO_SFIO Table'!$AJ$11,Q1449,0),"")</f>
        <v/>
      </c>
      <c r="W1449">
        <f t="shared" ca="1" si="187"/>
        <v>0</v>
      </c>
      <c r="X1449">
        <f t="shared" ca="1" si="188"/>
        <v>0</v>
      </c>
      <c r="Y1449">
        <f t="shared" ca="1" si="189"/>
        <v>0</v>
      </c>
      <c r="Z1449">
        <f t="shared" ca="1" si="190"/>
        <v>0</v>
      </c>
      <c r="AA1449">
        <f t="shared" ca="1" si="191"/>
        <v>0</v>
      </c>
    </row>
    <row r="1450" spans="1:27" x14ac:dyDescent="0.25">
      <c r="A1450">
        <f t="shared" ca="1" si="184"/>
        <v>0</v>
      </c>
      <c r="B1450" t="str">
        <f t="shared" ca="1" si="185"/>
        <v/>
      </c>
      <c r="C1450" t="str">
        <f t="shared" si="186"/>
        <v/>
      </c>
      <c r="D1450" t="s">
        <v>253</v>
      </c>
      <c r="E1450" t="s">
        <v>253</v>
      </c>
      <c r="F1450" s="3" t="s">
        <v>253</v>
      </c>
      <c r="G1450" s="11" t="s">
        <v>253</v>
      </c>
      <c r="H1450" s="11" t="s">
        <v>253</v>
      </c>
      <c r="I1450" s="3" t="s">
        <v>253</v>
      </c>
      <c r="J1450" s="3" t="s">
        <v>253</v>
      </c>
      <c r="K1450" s="3" t="s">
        <v>253</v>
      </c>
      <c r="L1450" s="3" t="s">
        <v>253</v>
      </c>
      <c r="M1450" t="str">
        <f>IF(LEN(H1450),MATCH(H1450,'MPIO_SFIO Table'!$A$11:$A$65525,0)-1,"")</f>
        <v/>
      </c>
      <c r="N1450" t="str">
        <f>IF(LEN(I1450),MATCH(I1450,'MPIO_SFIO Table'!$A$11:$A$65525,0)-1,"")</f>
        <v/>
      </c>
      <c r="O1450" t="str">
        <f>IF(LEN(J1450),MATCH(J1450,'MPIO_SFIO Table'!$A$11:$A$65525,0)-1,"")</f>
        <v/>
      </c>
      <c r="P1450" t="str">
        <f>IF(LEN(K1450),MATCH(K1450,'MPIO_SFIO Table'!$A$11:$A$65525,0)-1,"")</f>
        <v/>
      </c>
      <c r="Q1450" t="str">
        <f>IF(LEN(L1450),MATCH(L1450,'MPIO_SFIO Table'!$A$11:$A$65525,0)-1,"")</f>
        <v/>
      </c>
      <c r="R1450" t="str">
        <f ca="1">IF(ISNUMBER(M1450),OFFSET('MPIO_SFIO Table'!$AJ$11,M1450,0),"")</f>
        <v/>
      </c>
      <c r="S1450" t="str">
        <f ca="1">IF(ISNUMBER(N1450),OFFSET('MPIO_SFIO Table'!$AJ$11,N1450,0),"")</f>
        <v/>
      </c>
      <c r="T1450" t="str">
        <f ca="1">IF(ISNUMBER(O1450),OFFSET('MPIO_SFIO Table'!$AJ$11,O1450,0),"")</f>
        <v/>
      </c>
      <c r="U1450" t="str">
        <f ca="1">IF(ISNUMBER(P1450),OFFSET('MPIO_SFIO Table'!$AJ$11,P1450,0),"")</f>
        <v/>
      </c>
      <c r="V1450" t="str">
        <f ca="1">IF(ISNUMBER(Q1450),OFFSET('MPIO_SFIO Table'!$AJ$11,Q1450,0),"")</f>
        <v/>
      </c>
      <c r="W1450">
        <f t="shared" ca="1" si="187"/>
        <v>0</v>
      </c>
      <c r="X1450">
        <f t="shared" ca="1" si="188"/>
        <v>0</v>
      </c>
      <c r="Y1450">
        <f t="shared" ca="1" si="189"/>
        <v>0</v>
      </c>
      <c r="Z1450">
        <f t="shared" ca="1" si="190"/>
        <v>0</v>
      </c>
      <c r="AA1450">
        <f t="shared" ca="1" si="191"/>
        <v>0</v>
      </c>
    </row>
    <row r="1451" spans="1:27" x14ac:dyDescent="0.25">
      <c r="A1451">
        <f t="shared" ca="1" si="184"/>
        <v>0</v>
      </c>
      <c r="B1451" t="str">
        <f t="shared" ca="1" si="185"/>
        <v/>
      </c>
      <c r="C1451" t="str">
        <f t="shared" si="186"/>
        <v/>
      </c>
      <c r="D1451" t="s">
        <v>253</v>
      </c>
      <c r="E1451" t="s">
        <v>253</v>
      </c>
      <c r="F1451" s="3" t="s">
        <v>253</v>
      </c>
      <c r="G1451" s="11" t="s">
        <v>253</v>
      </c>
      <c r="H1451" s="11" t="s">
        <v>253</v>
      </c>
      <c r="I1451" s="3" t="s">
        <v>253</v>
      </c>
      <c r="J1451" s="3" t="s">
        <v>253</v>
      </c>
      <c r="K1451" s="3" t="s">
        <v>253</v>
      </c>
      <c r="L1451" s="3" t="s">
        <v>253</v>
      </c>
      <c r="M1451" t="str">
        <f>IF(LEN(H1451),MATCH(H1451,'MPIO_SFIO Table'!$A$11:$A$65525,0)-1,"")</f>
        <v/>
      </c>
      <c r="N1451" t="str">
        <f>IF(LEN(I1451),MATCH(I1451,'MPIO_SFIO Table'!$A$11:$A$65525,0)-1,"")</f>
        <v/>
      </c>
      <c r="O1451" t="str">
        <f>IF(LEN(J1451),MATCH(J1451,'MPIO_SFIO Table'!$A$11:$A$65525,0)-1,"")</f>
        <v/>
      </c>
      <c r="P1451" t="str">
        <f>IF(LEN(K1451),MATCH(K1451,'MPIO_SFIO Table'!$A$11:$A$65525,0)-1,"")</f>
        <v/>
      </c>
      <c r="Q1451" t="str">
        <f>IF(LEN(L1451),MATCH(L1451,'MPIO_SFIO Table'!$A$11:$A$65525,0)-1,"")</f>
        <v/>
      </c>
      <c r="R1451" t="str">
        <f ca="1">IF(ISNUMBER(M1451),OFFSET('MPIO_SFIO Table'!$AJ$11,M1451,0),"")</f>
        <v/>
      </c>
      <c r="S1451" t="str">
        <f ca="1">IF(ISNUMBER(N1451),OFFSET('MPIO_SFIO Table'!$AJ$11,N1451,0),"")</f>
        <v/>
      </c>
      <c r="T1451" t="str">
        <f ca="1">IF(ISNUMBER(O1451),OFFSET('MPIO_SFIO Table'!$AJ$11,O1451,0),"")</f>
        <v/>
      </c>
      <c r="U1451" t="str">
        <f ca="1">IF(ISNUMBER(P1451),OFFSET('MPIO_SFIO Table'!$AJ$11,P1451,0),"")</f>
        <v/>
      </c>
      <c r="V1451" t="str">
        <f ca="1">IF(ISNUMBER(Q1451),OFFSET('MPIO_SFIO Table'!$AJ$11,Q1451,0),"")</f>
        <v/>
      </c>
      <c r="W1451">
        <f t="shared" ca="1" si="187"/>
        <v>0</v>
      </c>
      <c r="X1451">
        <f t="shared" ca="1" si="188"/>
        <v>0</v>
      </c>
      <c r="Y1451">
        <f t="shared" ca="1" si="189"/>
        <v>0</v>
      </c>
      <c r="Z1451">
        <f t="shared" ca="1" si="190"/>
        <v>0</v>
      </c>
      <c r="AA1451">
        <f t="shared" ca="1" si="191"/>
        <v>0</v>
      </c>
    </row>
    <row r="1452" spans="1:27" x14ac:dyDescent="0.25">
      <c r="A1452">
        <f t="shared" ca="1" si="184"/>
        <v>0</v>
      </c>
      <c r="B1452" t="str">
        <f t="shared" ca="1" si="185"/>
        <v/>
      </c>
      <c r="C1452" t="str">
        <f t="shared" si="186"/>
        <v/>
      </c>
      <c r="D1452" t="s">
        <v>253</v>
      </c>
      <c r="E1452" t="s">
        <v>253</v>
      </c>
      <c r="F1452" s="3" t="s">
        <v>253</v>
      </c>
      <c r="G1452" s="11" t="s">
        <v>253</v>
      </c>
      <c r="H1452" s="11" t="s">
        <v>253</v>
      </c>
      <c r="I1452" s="3" t="s">
        <v>253</v>
      </c>
      <c r="J1452" s="3" t="s">
        <v>253</v>
      </c>
      <c r="K1452" s="3" t="s">
        <v>253</v>
      </c>
      <c r="L1452" s="3" t="s">
        <v>253</v>
      </c>
      <c r="M1452" t="str">
        <f>IF(LEN(H1452),MATCH(H1452,'MPIO_SFIO Table'!$A$11:$A$65525,0)-1,"")</f>
        <v/>
      </c>
      <c r="N1452" t="str">
        <f>IF(LEN(I1452),MATCH(I1452,'MPIO_SFIO Table'!$A$11:$A$65525,0)-1,"")</f>
        <v/>
      </c>
      <c r="O1452" t="str">
        <f>IF(LEN(J1452),MATCH(J1452,'MPIO_SFIO Table'!$A$11:$A$65525,0)-1,"")</f>
        <v/>
      </c>
      <c r="P1452" t="str">
        <f>IF(LEN(K1452),MATCH(K1452,'MPIO_SFIO Table'!$A$11:$A$65525,0)-1,"")</f>
        <v/>
      </c>
      <c r="Q1452" t="str">
        <f>IF(LEN(L1452),MATCH(L1452,'MPIO_SFIO Table'!$A$11:$A$65525,0)-1,"")</f>
        <v/>
      </c>
      <c r="R1452" t="str">
        <f ca="1">IF(ISNUMBER(M1452),OFFSET('MPIO_SFIO Table'!$AJ$11,M1452,0),"")</f>
        <v/>
      </c>
      <c r="S1452" t="str">
        <f ca="1">IF(ISNUMBER(N1452),OFFSET('MPIO_SFIO Table'!$AJ$11,N1452,0),"")</f>
        <v/>
      </c>
      <c r="T1452" t="str">
        <f ca="1">IF(ISNUMBER(O1452),OFFSET('MPIO_SFIO Table'!$AJ$11,O1452,0),"")</f>
        <v/>
      </c>
      <c r="U1452" t="str">
        <f ca="1">IF(ISNUMBER(P1452),OFFSET('MPIO_SFIO Table'!$AJ$11,P1452,0),"")</f>
        <v/>
      </c>
      <c r="V1452" t="str">
        <f ca="1">IF(ISNUMBER(Q1452),OFFSET('MPIO_SFIO Table'!$AJ$11,Q1452,0),"")</f>
        <v/>
      </c>
      <c r="W1452">
        <f t="shared" ca="1" si="187"/>
        <v>0</v>
      </c>
      <c r="X1452">
        <f t="shared" ca="1" si="188"/>
        <v>0</v>
      </c>
      <c r="Y1452">
        <f t="shared" ca="1" si="189"/>
        <v>0</v>
      </c>
      <c r="Z1452">
        <f t="shared" ca="1" si="190"/>
        <v>0</v>
      </c>
      <c r="AA1452">
        <f t="shared" ca="1" si="191"/>
        <v>0</v>
      </c>
    </row>
    <row r="1453" spans="1:27" x14ac:dyDescent="0.25">
      <c r="A1453">
        <f t="shared" ca="1" si="184"/>
        <v>0</v>
      </c>
      <c r="B1453" t="str">
        <f t="shared" ca="1" si="185"/>
        <v/>
      </c>
      <c r="C1453" t="str">
        <f t="shared" si="186"/>
        <v/>
      </c>
      <c r="D1453" t="s">
        <v>253</v>
      </c>
      <c r="E1453" t="s">
        <v>253</v>
      </c>
      <c r="F1453" s="3" t="s">
        <v>253</v>
      </c>
      <c r="G1453" s="11" t="s">
        <v>253</v>
      </c>
      <c r="H1453" s="11" t="s">
        <v>253</v>
      </c>
      <c r="I1453" s="3" t="s">
        <v>253</v>
      </c>
      <c r="J1453" s="3" t="s">
        <v>253</v>
      </c>
      <c r="K1453" s="3" t="s">
        <v>253</v>
      </c>
      <c r="L1453" s="3" t="s">
        <v>253</v>
      </c>
      <c r="M1453" t="str">
        <f>IF(LEN(H1453),MATCH(H1453,'MPIO_SFIO Table'!$A$11:$A$65525,0)-1,"")</f>
        <v/>
      </c>
      <c r="N1453" t="str">
        <f>IF(LEN(I1453),MATCH(I1453,'MPIO_SFIO Table'!$A$11:$A$65525,0)-1,"")</f>
        <v/>
      </c>
      <c r="O1453" t="str">
        <f>IF(LEN(J1453),MATCH(J1453,'MPIO_SFIO Table'!$A$11:$A$65525,0)-1,"")</f>
        <v/>
      </c>
      <c r="P1453" t="str">
        <f>IF(LEN(K1453),MATCH(K1453,'MPIO_SFIO Table'!$A$11:$A$65525,0)-1,"")</f>
        <v/>
      </c>
      <c r="Q1453" t="str">
        <f>IF(LEN(L1453),MATCH(L1453,'MPIO_SFIO Table'!$A$11:$A$65525,0)-1,"")</f>
        <v/>
      </c>
      <c r="R1453" t="str">
        <f ca="1">IF(ISNUMBER(M1453),OFFSET('MPIO_SFIO Table'!$AJ$11,M1453,0),"")</f>
        <v/>
      </c>
      <c r="S1453" t="str">
        <f ca="1">IF(ISNUMBER(N1453),OFFSET('MPIO_SFIO Table'!$AJ$11,N1453,0),"")</f>
        <v/>
      </c>
      <c r="T1453" t="str">
        <f ca="1">IF(ISNUMBER(O1453),OFFSET('MPIO_SFIO Table'!$AJ$11,O1453,0),"")</f>
        <v/>
      </c>
      <c r="U1453" t="str">
        <f ca="1">IF(ISNUMBER(P1453),OFFSET('MPIO_SFIO Table'!$AJ$11,P1453,0),"")</f>
        <v/>
      </c>
      <c r="V1453" t="str">
        <f ca="1">IF(ISNUMBER(Q1453),OFFSET('MPIO_SFIO Table'!$AJ$11,Q1453,0),"")</f>
        <v/>
      </c>
      <c r="W1453">
        <f t="shared" ca="1" si="187"/>
        <v>0</v>
      </c>
      <c r="X1453">
        <f t="shared" ca="1" si="188"/>
        <v>0</v>
      </c>
      <c r="Y1453">
        <f t="shared" ca="1" si="189"/>
        <v>0</v>
      </c>
      <c r="Z1453">
        <f t="shared" ca="1" si="190"/>
        <v>0</v>
      </c>
      <c r="AA1453">
        <f t="shared" ca="1" si="191"/>
        <v>0</v>
      </c>
    </row>
    <row r="1454" spans="1:27" x14ac:dyDescent="0.25">
      <c r="A1454">
        <f t="shared" ca="1" si="184"/>
        <v>0</v>
      </c>
      <c r="B1454" t="str">
        <f t="shared" ca="1" si="185"/>
        <v/>
      </c>
      <c r="C1454" t="str">
        <f t="shared" si="186"/>
        <v/>
      </c>
      <c r="D1454" t="s">
        <v>253</v>
      </c>
      <c r="E1454" t="s">
        <v>253</v>
      </c>
      <c r="F1454" s="3" t="s">
        <v>253</v>
      </c>
      <c r="G1454" s="11" t="s">
        <v>253</v>
      </c>
      <c r="H1454" s="11" t="s">
        <v>253</v>
      </c>
      <c r="I1454" s="3" t="s">
        <v>253</v>
      </c>
      <c r="J1454" s="3" t="s">
        <v>253</v>
      </c>
      <c r="K1454" s="3" t="s">
        <v>253</v>
      </c>
      <c r="L1454" s="3" t="s">
        <v>253</v>
      </c>
      <c r="M1454" t="str">
        <f>IF(LEN(H1454),MATCH(H1454,'MPIO_SFIO Table'!$A$11:$A$65525,0)-1,"")</f>
        <v/>
      </c>
      <c r="N1454" t="str">
        <f>IF(LEN(I1454),MATCH(I1454,'MPIO_SFIO Table'!$A$11:$A$65525,0)-1,"")</f>
        <v/>
      </c>
      <c r="O1454" t="str">
        <f>IF(LEN(J1454),MATCH(J1454,'MPIO_SFIO Table'!$A$11:$A$65525,0)-1,"")</f>
        <v/>
      </c>
      <c r="P1454" t="str">
        <f>IF(LEN(K1454),MATCH(K1454,'MPIO_SFIO Table'!$A$11:$A$65525,0)-1,"")</f>
        <v/>
      </c>
      <c r="Q1454" t="str">
        <f>IF(LEN(L1454),MATCH(L1454,'MPIO_SFIO Table'!$A$11:$A$65525,0)-1,"")</f>
        <v/>
      </c>
      <c r="R1454" t="str">
        <f ca="1">IF(ISNUMBER(M1454),OFFSET('MPIO_SFIO Table'!$AJ$11,M1454,0),"")</f>
        <v/>
      </c>
      <c r="S1454" t="str">
        <f ca="1">IF(ISNUMBER(N1454),OFFSET('MPIO_SFIO Table'!$AJ$11,N1454,0),"")</f>
        <v/>
      </c>
      <c r="T1454" t="str">
        <f ca="1">IF(ISNUMBER(O1454),OFFSET('MPIO_SFIO Table'!$AJ$11,O1454,0),"")</f>
        <v/>
      </c>
      <c r="U1454" t="str">
        <f ca="1">IF(ISNUMBER(P1454),OFFSET('MPIO_SFIO Table'!$AJ$11,P1454,0),"")</f>
        <v/>
      </c>
      <c r="V1454" t="str">
        <f ca="1">IF(ISNUMBER(Q1454),OFFSET('MPIO_SFIO Table'!$AJ$11,Q1454,0),"")</f>
        <v/>
      </c>
      <c r="W1454">
        <f t="shared" ca="1" si="187"/>
        <v>0</v>
      </c>
      <c r="X1454">
        <f t="shared" ca="1" si="188"/>
        <v>0</v>
      </c>
      <c r="Y1454">
        <f t="shared" ca="1" si="189"/>
        <v>0</v>
      </c>
      <c r="Z1454">
        <f t="shared" ca="1" si="190"/>
        <v>0</v>
      </c>
      <c r="AA1454">
        <f t="shared" ca="1" si="191"/>
        <v>0</v>
      </c>
    </row>
    <row r="1455" spans="1:27" x14ac:dyDescent="0.25">
      <c r="A1455">
        <f t="shared" ca="1" si="184"/>
        <v>0</v>
      </c>
      <c r="B1455" t="str">
        <f t="shared" ca="1" si="185"/>
        <v/>
      </c>
      <c r="C1455" t="str">
        <f t="shared" si="186"/>
        <v/>
      </c>
      <c r="D1455" t="s">
        <v>253</v>
      </c>
      <c r="E1455" t="s">
        <v>253</v>
      </c>
      <c r="F1455" s="3" t="s">
        <v>253</v>
      </c>
      <c r="G1455" s="11" t="s">
        <v>253</v>
      </c>
      <c r="H1455" s="11" t="s">
        <v>253</v>
      </c>
      <c r="I1455" s="3" t="s">
        <v>253</v>
      </c>
      <c r="J1455" s="3" t="s">
        <v>253</v>
      </c>
      <c r="K1455" s="3" t="s">
        <v>253</v>
      </c>
      <c r="L1455" s="3" t="s">
        <v>253</v>
      </c>
      <c r="M1455" t="str">
        <f>IF(LEN(H1455),MATCH(H1455,'MPIO_SFIO Table'!$A$11:$A$65525,0)-1,"")</f>
        <v/>
      </c>
      <c r="N1455" t="str">
        <f>IF(LEN(I1455),MATCH(I1455,'MPIO_SFIO Table'!$A$11:$A$65525,0)-1,"")</f>
        <v/>
      </c>
      <c r="O1455" t="str">
        <f>IF(LEN(J1455),MATCH(J1455,'MPIO_SFIO Table'!$A$11:$A$65525,0)-1,"")</f>
        <v/>
      </c>
      <c r="P1455" t="str">
        <f>IF(LEN(K1455),MATCH(K1455,'MPIO_SFIO Table'!$A$11:$A$65525,0)-1,"")</f>
        <v/>
      </c>
      <c r="Q1455" t="str">
        <f>IF(LEN(L1455),MATCH(L1455,'MPIO_SFIO Table'!$A$11:$A$65525,0)-1,"")</f>
        <v/>
      </c>
      <c r="R1455" t="str">
        <f ca="1">IF(ISNUMBER(M1455),OFFSET('MPIO_SFIO Table'!$AJ$11,M1455,0),"")</f>
        <v/>
      </c>
      <c r="S1455" t="str">
        <f ca="1">IF(ISNUMBER(N1455),OFFSET('MPIO_SFIO Table'!$AJ$11,N1455,0),"")</f>
        <v/>
      </c>
      <c r="T1455" t="str">
        <f ca="1">IF(ISNUMBER(O1455),OFFSET('MPIO_SFIO Table'!$AJ$11,O1455,0),"")</f>
        <v/>
      </c>
      <c r="U1455" t="str">
        <f ca="1">IF(ISNUMBER(P1455),OFFSET('MPIO_SFIO Table'!$AJ$11,P1455,0),"")</f>
        <v/>
      </c>
      <c r="V1455" t="str">
        <f ca="1">IF(ISNUMBER(Q1455),OFFSET('MPIO_SFIO Table'!$AJ$11,Q1455,0),"")</f>
        <v/>
      </c>
      <c r="W1455">
        <f t="shared" ca="1" si="187"/>
        <v>0</v>
      </c>
      <c r="X1455">
        <f t="shared" ca="1" si="188"/>
        <v>0</v>
      </c>
      <c r="Y1455">
        <f t="shared" ca="1" si="189"/>
        <v>0</v>
      </c>
      <c r="Z1455">
        <f t="shared" ca="1" si="190"/>
        <v>0</v>
      </c>
      <c r="AA1455">
        <f t="shared" ca="1" si="191"/>
        <v>0</v>
      </c>
    </row>
    <row r="1456" spans="1:27" x14ac:dyDescent="0.25">
      <c r="A1456">
        <f t="shared" ca="1" si="184"/>
        <v>0</v>
      </c>
      <c r="B1456" t="str">
        <f t="shared" ca="1" si="185"/>
        <v/>
      </c>
      <c r="C1456" t="str">
        <f t="shared" si="186"/>
        <v/>
      </c>
      <c r="D1456" t="s">
        <v>253</v>
      </c>
      <c r="E1456" t="s">
        <v>253</v>
      </c>
      <c r="F1456" s="3" t="s">
        <v>253</v>
      </c>
      <c r="G1456" s="11" t="s">
        <v>253</v>
      </c>
      <c r="H1456" s="11" t="s">
        <v>253</v>
      </c>
      <c r="I1456" s="3" t="s">
        <v>253</v>
      </c>
      <c r="J1456" s="3" t="s">
        <v>253</v>
      </c>
      <c r="K1456" s="3" t="s">
        <v>253</v>
      </c>
      <c r="L1456" s="3" t="s">
        <v>253</v>
      </c>
      <c r="M1456" t="str">
        <f>IF(LEN(H1456),MATCH(H1456,'MPIO_SFIO Table'!$A$11:$A$65525,0)-1,"")</f>
        <v/>
      </c>
      <c r="N1456" t="str">
        <f>IF(LEN(I1456),MATCH(I1456,'MPIO_SFIO Table'!$A$11:$A$65525,0)-1,"")</f>
        <v/>
      </c>
      <c r="O1456" t="str">
        <f>IF(LEN(J1456),MATCH(J1456,'MPIO_SFIO Table'!$A$11:$A$65525,0)-1,"")</f>
        <v/>
      </c>
      <c r="P1456" t="str">
        <f>IF(LEN(K1456),MATCH(K1456,'MPIO_SFIO Table'!$A$11:$A$65525,0)-1,"")</f>
        <v/>
      </c>
      <c r="Q1456" t="str">
        <f>IF(LEN(L1456),MATCH(L1456,'MPIO_SFIO Table'!$A$11:$A$65525,0)-1,"")</f>
        <v/>
      </c>
      <c r="R1456" t="str">
        <f ca="1">IF(ISNUMBER(M1456),OFFSET('MPIO_SFIO Table'!$AJ$11,M1456,0),"")</f>
        <v/>
      </c>
      <c r="S1456" t="str">
        <f ca="1">IF(ISNUMBER(N1456),OFFSET('MPIO_SFIO Table'!$AJ$11,N1456,0),"")</f>
        <v/>
      </c>
      <c r="T1456" t="str">
        <f ca="1">IF(ISNUMBER(O1456),OFFSET('MPIO_SFIO Table'!$AJ$11,O1456,0),"")</f>
        <v/>
      </c>
      <c r="U1456" t="str">
        <f ca="1">IF(ISNUMBER(P1456),OFFSET('MPIO_SFIO Table'!$AJ$11,P1456,0),"")</f>
        <v/>
      </c>
      <c r="V1456" t="str">
        <f ca="1">IF(ISNUMBER(Q1456),OFFSET('MPIO_SFIO Table'!$AJ$11,Q1456,0),"")</f>
        <v/>
      </c>
      <c r="W1456">
        <f t="shared" ca="1" si="187"/>
        <v>0</v>
      </c>
      <c r="X1456">
        <f t="shared" ca="1" si="188"/>
        <v>0</v>
      </c>
      <c r="Y1456">
        <f t="shared" ca="1" si="189"/>
        <v>0</v>
      </c>
      <c r="Z1456">
        <f t="shared" ca="1" si="190"/>
        <v>0</v>
      </c>
      <c r="AA1456">
        <f t="shared" ca="1" si="191"/>
        <v>0</v>
      </c>
    </row>
    <row r="1457" spans="1:27" x14ac:dyDescent="0.25">
      <c r="A1457">
        <f t="shared" ca="1" si="184"/>
        <v>0</v>
      </c>
      <c r="B1457" t="str">
        <f t="shared" ca="1" si="185"/>
        <v/>
      </c>
      <c r="C1457" t="str">
        <f t="shared" si="186"/>
        <v/>
      </c>
      <c r="D1457" t="s">
        <v>253</v>
      </c>
      <c r="E1457" t="s">
        <v>253</v>
      </c>
      <c r="F1457" s="3" t="s">
        <v>253</v>
      </c>
      <c r="G1457" s="11" t="s">
        <v>253</v>
      </c>
      <c r="H1457" s="11" t="s">
        <v>253</v>
      </c>
      <c r="I1457" s="3" t="s">
        <v>253</v>
      </c>
      <c r="J1457" s="3" t="s">
        <v>253</v>
      </c>
      <c r="K1457" s="3" t="s">
        <v>253</v>
      </c>
      <c r="L1457" s="3" t="s">
        <v>253</v>
      </c>
      <c r="M1457" t="str">
        <f>IF(LEN(H1457),MATCH(H1457,'MPIO_SFIO Table'!$A$11:$A$65525,0)-1,"")</f>
        <v/>
      </c>
      <c r="N1457" t="str">
        <f>IF(LEN(I1457),MATCH(I1457,'MPIO_SFIO Table'!$A$11:$A$65525,0)-1,"")</f>
        <v/>
      </c>
      <c r="O1457" t="str">
        <f>IF(LEN(J1457),MATCH(J1457,'MPIO_SFIO Table'!$A$11:$A$65525,0)-1,"")</f>
        <v/>
      </c>
      <c r="P1457" t="str">
        <f>IF(LEN(K1457),MATCH(K1457,'MPIO_SFIO Table'!$A$11:$A$65525,0)-1,"")</f>
        <v/>
      </c>
      <c r="Q1457" t="str">
        <f>IF(LEN(L1457),MATCH(L1457,'MPIO_SFIO Table'!$A$11:$A$65525,0)-1,"")</f>
        <v/>
      </c>
      <c r="R1457" t="str">
        <f ca="1">IF(ISNUMBER(M1457),OFFSET('MPIO_SFIO Table'!$AJ$11,M1457,0),"")</f>
        <v/>
      </c>
      <c r="S1457" t="str">
        <f ca="1">IF(ISNUMBER(N1457),OFFSET('MPIO_SFIO Table'!$AJ$11,N1457,0),"")</f>
        <v/>
      </c>
      <c r="T1457" t="str">
        <f ca="1">IF(ISNUMBER(O1457),OFFSET('MPIO_SFIO Table'!$AJ$11,O1457,0),"")</f>
        <v/>
      </c>
      <c r="U1457" t="str">
        <f ca="1">IF(ISNUMBER(P1457),OFFSET('MPIO_SFIO Table'!$AJ$11,P1457,0),"")</f>
        <v/>
      </c>
      <c r="V1457" t="str">
        <f ca="1">IF(ISNUMBER(Q1457),OFFSET('MPIO_SFIO Table'!$AJ$11,Q1457,0),"")</f>
        <v/>
      </c>
      <c r="W1457">
        <f t="shared" ca="1" si="187"/>
        <v>0</v>
      </c>
      <c r="X1457">
        <f t="shared" ca="1" si="188"/>
        <v>0</v>
      </c>
      <c r="Y1457">
        <f t="shared" ca="1" si="189"/>
        <v>0</v>
      </c>
      <c r="Z1457">
        <f t="shared" ca="1" si="190"/>
        <v>0</v>
      </c>
      <c r="AA1457">
        <f t="shared" ca="1" si="191"/>
        <v>0</v>
      </c>
    </row>
    <row r="1458" spans="1:27" x14ac:dyDescent="0.25">
      <c r="A1458">
        <f t="shared" ca="1" si="184"/>
        <v>0</v>
      </c>
      <c r="B1458" t="str">
        <f t="shared" ca="1" si="185"/>
        <v/>
      </c>
      <c r="C1458" t="str">
        <f t="shared" si="186"/>
        <v/>
      </c>
      <c r="D1458" t="s">
        <v>253</v>
      </c>
      <c r="E1458" t="s">
        <v>253</v>
      </c>
      <c r="F1458" s="3" t="s">
        <v>253</v>
      </c>
      <c r="G1458" s="11" t="s">
        <v>253</v>
      </c>
      <c r="H1458" s="11" t="s">
        <v>253</v>
      </c>
      <c r="I1458" s="3" t="s">
        <v>253</v>
      </c>
      <c r="J1458" s="3" t="s">
        <v>253</v>
      </c>
      <c r="K1458" s="3" t="s">
        <v>253</v>
      </c>
      <c r="L1458" s="3" t="s">
        <v>253</v>
      </c>
      <c r="M1458" t="str">
        <f>IF(LEN(H1458),MATCH(H1458,'MPIO_SFIO Table'!$A$11:$A$65525,0)-1,"")</f>
        <v/>
      </c>
      <c r="N1458" t="str">
        <f>IF(LEN(I1458),MATCH(I1458,'MPIO_SFIO Table'!$A$11:$A$65525,0)-1,"")</f>
        <v/>
      </c>
      <c r="O1458" t="str">
        <f>IF(LEN(J1458),MATCH(J1458,'MPIO_SFIO Table'!$A$11:$A$65525,0)-1,"")</f>
        <v/>
      </c>
      <c r="P1458" t="str">
        <f>IF(LEN(K1458),MATCH(K1458,'MPIO_SFIO Table'!$A$11:$A$65525,0)-1,"")</f>
        <v/>
      </c>
      <c r="Q1458" t="str">
        <f>IF(LEN(L1458),MATCH(L1458,'MPIO_SFIO Table'!$A$11:$A$65525,0)-1,"")</f>
        <v/>
      </c>
      <c r="R1458" t="str">
        <f ca="1">IF(ISNUMBER(M1458),OFFSET('MPIO_SFIO Table'!$AJ$11,M1458,0),"")</f>
        <v/>
      </c>
      <c r="S1458" t="str">
        <f ca="1">IF(ISNUMBER(N1458),OFFSET('MPIO_SFIO Table'!$AJ$11,N1458,0),"")</f>
        <v/>
      </c>
      <c r="T1458" t="str">
        <f ca="1">IF(ISNUMBER(O1458),OFFSET('MPIO_SFIO Table'!$AJ$11,O1458,0),"")</f>
        <v/>
      </c>
      <c r="U1458" t="str">
        <f ca="1">IF(ISNUMBER(P1458),OFFSET('MPIO_SFIO Table'!$AJ$11,P1458,0),"")</f>
        <v/>
      </c>
      <c r="V1458" t="str">
        <f ca="1">IF(ISNUMBER(Q1458),OFFSET('MPIO_SFIO Table'!$AJ$11,Q1458,0),"")</f>
        <v/>
      </c>
      <c r="W1458">
        <f t="shared" ca="1" si="187"/>
        <v>0</v>
      </c>
      <c r="X1458">
        <f t="shared" ca="1" si="188"/>
        <v>0</v>
      </c>
      <c r="Y1458">
        <f t="shared" ca="1" si="189"/>
        <v>0</v>
      </c>
      <c r="Z1458">
        <f t="shared" ca="1" si="190"/>
        <v>0</v>
      </c>
      <c r="AA1458">
        <f t="shared" ca="1" si="191"/>
        <v>0</v>
      </c>
    </row>
    <row r="1459" spans="1:27" x14ac:dyDescent="0.25">
      <c r="A1459">
        <f t="shared" ca="1" si="184"/>
        <v>0</v>
      </c>
      <c r="B1459" t="str">
        <f t="shared" ca="1" si="185"/>
        <v/>
      </c>
      <c r="C1459" t="str">
        <f t="shared" si="186"/>
        <v/>
      </c>
      <c r="D1459" t="s">
        <v>253</v>
      </c>
      <c r="E1459" t="s">
        <v>253</v>
      </c>
      <c r="F1459" s="3" t="s">
        <v>253</v>
      </c>
      <c r="G1459" s="11" t="s">
        <v>253</v>
      </c>
      <c r="H1459" s="11" t="s">
        <v>253</v>
      </c>
      <c r="I1459" s="3" t="s">
        <v>253</v>
      </c>
      <c r="J1459" s="3" t="s">
        <v>253</v>
      </c>
      <c r="K1459" s="3" t="s">
        <v>253</v>
      </c>
      <c r="L1459" s="3" t="s">
        <v>253</v>
      </c>
      <c r="M1459" t="str">
        <f>IF(LEN(H1459),MATCH(H1459,'MPIO_SFIO Table'!$A$11:$A$65525,0)-1,"")</f>
        <v/>
      </c>
      <c r="N1459" t="str">
        <f>IF(LEN(I1459),MATCH(I1459,'MPIO_SFIO Table'!$A$11:$A$65525,0)-1,"")</f>
        <v/>
      </c>
      <c r="O1459" t="str">
        <f>IF(LEN(J1459),MATCH(J1459,'MPIO_SFIO Table'!$A$11:$A$65525,0)-1,"")</f>
        <v/>
      </c>
      <c r="P1459" t="str">
        <f>IF(LEN(K1459),MATCH(K1459,'MPIO_SFIO Table'!$A$11:$A$65525,0)-1,"")</f>
        <v/>
      </c>
      <c r="Q1459" t="str">
        <f>IF(LEN(L1459),MATCH(L1459,'MPIO_SFIO Table'!$A$11:$A$65525,0)-1,"")</f>
        <v/>
      </c>
      <c r="R1459" t="str">
        <f ca="1">IF(ISNUMBER(M1459),OFFSET('MPIO_SFIO Table'!$AJ$11,M1459,0),"")</f>
        <v/>
      </c>
      <c r="S1459" t="str">
        <f ca="1">IF(ISNUMBER(N1459),OFFSET('MPIO_SFIO Table'!$AJ$11,N1459,0),"")</f>
        <v/>
      </c>
      <c r="T1459" t="str">
        <f ca="1">IF(ISNUMBER(O1459),OFFSET('MPIO_SFIO Table'!$AJ$11,O1459,0),"")</f>
        <v/>
      </c>
      <c r="U1459" t="str">
        <f ca="1">IF(ISNUMBER(P1459),OFFSET('MPIO_SFIO Table'!$AJ$11,P1459,0),"")</f>
        <v/>
      </c>
      <c r="V1459" t="str">
        <f ca="1">IF(ISNUMBER(Q1459),OFFSET('MPIO_SFIO Table'!$AJ$11,Q1459,0),"")</f>
        <v/>
      </c>
      <c r="W1459">
        <f t="shared" ca="1" si="187"/>
        <v>0</v>
      </c>
      <c r="X1459">
        <f t="shared" ca="1" si="188"/>
        <v>0</v>
      </c>
      <c r="Y1459">
        <f t="shared" ca="1" si="189"/>
        <v>0</v>
      </c>
      <c r="Z1459">
        <f t="shared" ca="1" si="190"/>
        <v>0</v>
      </c>
      <c r="AA1459">
        <f t="shared" ca="1" si="191"/>
        <v>0</v>
      </c>
    </row>
    <row r="1460" spans="1:27" x14ac:dyDescent="0.25">
      <c r="A1460">
        <f t="shared" ca="1" si="184"/>
        <v>0</v>
      </c>
      <c r="B1460" t="str">
        <f t="shared" ca="1" si="185"/>
        <v/>
      </c>
      <c r="C1460" t="str">
        <f t="shared" si="186"/>
        <v/>
      </c>
      <c r="D1460" t="s">
        <v>253</v>
      </c>
      <c r="E1460" t="s">
        <v>253</v>
      </c>
      <c r="F1460" s="3" t="s">
        <v>253</v>
      </c>
      <c r="G1460" s="11" t="s">
        <v>253</v>
      </c>
      <c r="H1460" s="11" t="s">
        <v>253</v>
      </c>
      <c r="I1460" s="3" t="s">
        <v>253</v>
      </c>
      <c r="J1460" s="3" t="s">
        <v>253</v>
      </c>
      <c r="K1460" s="3" t="s">
        <v>253</v>
      </c>
      <c r="L1460" s="3" t="s">
        <v>253</v>
      </c>
      <c r="M1460" t="str">
        <f>IF(LEN(H1460),MATCH(H1460,'MPIO_SFIO Table'!$A$11:$A$65525,0)-1,"")</f>
        <v/>
      </c>
      <c r="N1460" t="str">
        <f>IF(LEN(I1460),MATCH(I1460,'MPIO_SFIO Table'!$A$11:$A$65525,0)-1,"")</f>
        <v/>
      </c>
      <c r="O1460" t="str">
        <f>IF(LEN(J1460),MATCH(J1460,'MPIO_SFIO Table'!$A$11:$A$65525,0)-1,"")</f>
        <v/>
      </c>
      <c r="P1460" t="str">
        <f>IF(LEN(K1460),MATCH(K1460,'MPIO_SFIO Table'!$A$11:$A$65525,0)-1,"")</f>
        <v/>
      </c>
      <c r="Q1460" t="str">
        <f>IF(LEN(L1460),MATCH(L1460,'MPIO_SFIO Table'!$A$11:$A$65525,0)-1,"")</f>
        <v/>
      </c>
      <c r="R1460" t="str">
        <f ca="1">IF(ISNUMBER(M1460),OFFSET('MPIO_SFIO Table'!$AJ$11,M1460,0),"")</f>
        <v/>
      </c>
      <c r="S1460" t="str">
        <f ca="1">IF(ISNUMBER(N1460),OFFSET('MPIO_SFIO Table'!$AJ$11,N1460,0),"")</f>
        <v/>
      </c>
      <c r="T1460" t="str">
        <f ca="1">IF(ISNUMBER(O1460),OFFSET('MPIO_SFIO Table'!$AJ$11,O1460,0),"")</f>
        <v/>
      </c>
      <c r="U1460" t="str">
        <f ca="1">IF(ISNUMBER(P1460),OFFSET('MPIO_SFIO Table'!$AJ$11,P1460,0),"")</f>
        <v/>
      </c>
      <c r="V1460" t="str">
        <f ca="1">IF(ISNUMBER(Q1460),OFFSET('MPIO_SFIO Table'!$AJ$11,Q1460,0),"")</f>
        <v/>
      </c>
      <c r="W1460">
        <f t="shared" ca="1" si="187"/>
        <v>0</v>
      </c>
      <c r="X1460">
        <f t="shared" ca="1" si="188"/>
        <v>0</v>
      </c>
      <c r="Y1460">
        <f t="shared" ca="1" si="189"/>
        <v>0</v>
      </c>
      <c r="Z1460">
        <f t="shared" ca="1" si="190"/>
        <v>0</v>
      </c>
      <c r="AA1460">
        <f t="shared" ca="1" si="191"/>
        <v>0</v>
      </c>
    </row>
    <row r="1461" spans="1:27" x14ac:dyDescent="0.25">
      <c r="A1461">
        <f t="shared" ca="1" si="184"/>
        <v>0</v>
      </c>
      <c r="B1461" t="str">
        <f t="shared" ca="1" si="185"/>
        <v/>
      </c>
      <c r="C1461" t="str">
        <f t="shared" si="186"/>
        <v/>
      </c>
      <c r="D1461" t="s">
        <v>253</v>
      </c>
      <c r="E1461" t="s">
        <v>253</v>
      </c>
      <c r="F1461" s="3" t="s">
        <v>253</v>
      </c>
      <c r="G1461" s="11" t="s">
        <v>253</v>
      </c>
      <c r="H1461" s="11" t="s">
        <v>253</v>
      </c>
      <c r="I1461" s="3" t="s">
        <v>253</v>
      </c>
      <c r="J1461" s="3" t="s">
        <v>253</v>
      </c>
      <c r="K1461" s="3" t="s">
        <v>253</v>
      </c>
      <c r="L1461" s="3" t="s">
        <v>253</v>
      </c>
      <c r="M1461" t="str">
        <f>IF(LEN(H1461),MATCH(H1461,'MPIO_SFIO Table'!$A$11:$A$65525,0)-1,"")</f>
        <v/>
      </c>
      <c r="N1461" t="str">
        <f>IF(LEN(I1461),MATCH(I1461,'MPIO_SFIO Table'!$A$11:$A$65525,0)-1,"")</f>
        <v/>
      </c>
      <c r="O1461" t="str">
        <f>IF(LEN(J1461),MATCH(J1461,'MPIO_SFIO Table'!$A$11:$A$65525,0)-1,"")</f>
        <v/>
      </c>
      <c r="P1461" t="str">
        <f>IF(LEN(K1461),MATCH(K1461,'MPIO_SFIO Table'!$A$11:$A$65525,0)-1,"")</f>
        <v/>
      </c>
      <c r="Q1461" t="str">
        <f>IF(LEN(L1461),MATCH(L1461,'MPIO_SFIO Table'!$A$11:$A$65525,0)-1,"")</f>
        <v/>
      </c>
      <c r="R1461" t="str">
        <f ca="1">IF(ISNUMBER(M1461),OFFSET('MPIO_SFIO Table'!$AJ$11,M1461,0),"")</f>
        <v/>
      </c>
      <c r="S1461" t="str">
        <f ca="1">IF(ISNUMBER(N1461),OFFSET('MPIO_SFIO Table'!$AJ$11,N1461,0),"")</f>
        <v/>
      </c>
      <c r="T1461" t="str">
        <f ca="1">IF(ISNUMBER(O1461),OFFSET('MPIO_SFIO Table'!$AJ$11,O1461,0),"")</f>
        <v/>
      </c>
      <c r="U1461" t="str">
        <f ca="1">IF(ISNUMBER(P1461),OFFSET('MPIO_SFIO Table'!$AJ$11,P1461,0),"")</f>
        <v/>
      </c>
      <c r="V1461" t="str">
        <f ca="1">IF(ISNUMBER(Q1461),OFFSET('MPIO_SFIO Table'!$AJ$11,Q1461,0),"")</f>
        <v/>
      </c>
      <c r="W1461">
        <f t="shared" ca="1" si="187"/>
        <v>0</v>
      </c>
      <c r="X1461">
        <f t="shared" ca="1" si="188"/>
        <v>0</v>
      </c>
      <c r="Y1461">
        <f t="shared" ca="1" si="189"/>
        <v>0</v>
      </c>
      <c r="Z1461">
        <f t="shared" ca="1" si="190"/>
        <v>0</v>
      </c>
      <c r="AA1461">
        <f t="shared" ca="1" si="191"/>
        <v>0</v>
      </c>
    </row>
    <row r="1462" spans="1:27" x14ac:dyDescent="0.25">
      <c r="A1462">
        <f t="shared" ca="1" si="184"/>
        <v>0</v>
      </c>
      <c r="B1462" t="str">
        <f t="shared" ca="1" si="185"/>
        <v/>
      </c>
      <c r="C1462" t="str">
        <f t="shared" si="186"/>
        <v/>
      </c>
      <c r="D1462" t="s">
        <v>253</v>
      </c>
      <c r="E1462" t="s">
        <v>253</v>
      </c>
      <c r="F1462" s="3" t="s">
        <v>253</v>
      </c>
      <c r="G1462" s="11" t="s">
        <v>253</v>
      </c>
      <c r="H1462" s="11" t="s">
        <v>253</v>
      </c>
      <c r="I1462" s="3" t="s">
        <v>253</v>
      </c>
      <c r="J1462" s="3" t="s">
        <v>253</v>
      </c>
      <c r="K1462" s="3" t="s">
        <v>253</v>
      </c>
      <c r="L1462" s="3" t="s">
        <v>253</v>
      </c>
      <c r="M1462" t="str">
        <f>IF(LEN(H1462),MATCH(H1462,'MPIO_SFIO Table'!$A$11:$A$65525,0)-1,"")</f>
        <v/>
      </c>
      <c r="N1462" t="str">
        <f>IF(LEN(I1462),MATCH(I1462,'MPIO_SFIO Table'!$A$11:$A$65525,0)-1,"")</f>
        <v/>
      </c>
      <c r="O1462" t="str">
        <f>IF(LEN(J1462),MATCH(J1462,'MPIO_SFIO Table'!$A$11:$A$65525,0)-1,"")</f>
        <v/>
      </c>
      <c r="P1462" t="str">
        <f>IF(LEN(K1462),MATCH(K1462,'MPIO_SFIO Table'!$A$11:$A$65525,0)-1,"")</f>
        <v/>
      </c>
      <c r="Q1462" t="str">
        <f>IF(LEN(L1462),MATCH(L1462,'MPIO_SFIO Table'!$A$11:$A$65525,0)-1,"")</f>
        <v/>
      </c>
      <c r="R1462" t="str">
        <f ca="1">IF(ISNUMBER(M1462),OFFSET('MPIO_SFIO Table'!$AJ$11,M1462,0),"")</f>
        <v/>
      </c>
      <c r="S1462" t="str">
        <f ca="1">IF(ISNUMBER(N1462),OFFSET('MPIO_SFIO Table'!$AJ$11,N1462,0),"")</f>
        <v/>
      </c>
      <c r="T1462" t="str">
        <f ca="1">IF(ISNUMBER(O1462),OFFSET('MPIO_SFIO Table'!$AJ$11,O1462,0),"")</f>
        <v/>
      </c>
      <c r="U1462" t="str">
        <f ca="1">IF(ISNUMBER(P1462),OFFSET('MPIO_SFIO Table'!$AJ$11,P1462,0),"")</f>
        <v/>
      </c>
      <c r="V1462" t="str">
        <f ca="1">IF(ISNUMBER(Q1462),OFFSET('MPIO_SFIO Table'!$AJ$11,Q1462,0),"")</f>
        <v/>
      </c>
      <c r="W1462">
        <f t="shared" ca="1" si="187"/>
        <v>0</v>
      </c>
      <c r="X1462">
        <f t="shared" ca="1" si="188"/>
        <v>0</v>
      </c>
      <c r="Y1462">
        <f t="shared" ca="1" si="189"/>
        <v>0</v>
      </c>
      <c r="Z1462">
        <f t="shared" ca="1" si="190"/>
        <v>0</v>
      </c>
      <c r="AA1462">
        <f t="shared" ca="1" si="191"/>
        <v>0</v>
      </c>
    </row>
  </sheetData>
  <mergeCells count="3">
    <mergeCell ref="M1:Q1"/>
    <mergeCell ref="R1:V1"/>
    <mergeCell ref="W1:AA1"/>
  </mergeCells>
  <conditionalFormatting sqref="H2:L1462">
    <cfRule type="expression" dxfId="14" priority="3" stopIfTrue="1">
      <formula>OR($D2&lt;&gt;"",$E2&lt;&gt;"")</formula>
    </cfRule>
    <cfRule type="expression" dxfId="13" priority="15" stopIfTrue="1">
      <formula>W2</formula>
    </cfRule>
  </conditionalFormatting>
  <conditionalFormatting sqref="D2:D1462">
    <cfRule type="expression" dxfId="12" priority="12" stopIfTrue="1">
      <formula>$D2&lt;&gt;""</formula>
    </cfRule>
    <cfRule type="expression" dxfId="11" priority="16" stopIfTrue="1">
      <formula>SUM($W2:$AA2)&gt;1</formula>
    </cfRule>
  </conditionalFormatting>
  <conditionalFormatting sqref="F2:G1462">
    <cfRule type="expression" dxfId="10" priority="18" stopIfTrue="1">
      <formula>OR($D2&lt;&gt;"",$E2&lt;&gt;"")</formula>
    </cfRule>
    <cfRule type="expression" dxfId="9" priority="19" stopIfTrue="1">
      <formula>SUM($W2:$AA2)&gt;1</formula>
    </cfRule>
    <cfRule type="expression" dxfId="8" priority="20" stopIfTrue="1">
      <formula>SUM(V2:Z2)=1</formula>
    </cfRule>
  </conditionalFormatting>
  <conditionalFormatting sqref="E2:E1462">
    <cfRule type="expression" dxfId="7" priority="1" stopIfTrue="1">
      <formula>SUM($W2:$AA2)&gt;1</formula>
    </cfRule>
    <cfRule type="expression" dxfId="6" priority="2" stopIfTrue="1">
      <formula>OR($D2&lt;&gt;"",$E2&lt;&gt;"")</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52"/>
  <sheetViews>
    <sheetView workbookViewId="0">
      <pane ySplit="2" topLeftCell="A3" activePane="bottomLeft" state="frozenSplit"/>
      <selection pane="bottomLeft" sqref="A1:A2"/>
    </sheetView>
  </sheetViews>
  <sheetFormatPr defaultRowHeight="15" x14ac:dyDescent="0.25"/>
  <cols>
    <col min="1" max="1" width="22.7109375" customWidth="1"/>
    <col min="2" max="2" width="22.5703125" hidden="1" customWidth="1"/>
    <col min="3" max="3" width="13.85546875" style="28" customWidth="1"/>
    <col min="4" max="8" width="9.140625" style="28"/>
    <col min="9" max="12" width="35.7109375" customWidth="1"/>
  </cols>
  <sheetData>
    <row r="1" spans="1:12" ht="20.25" thickBot="1" x14ac:dyDescent="0.35">
      <c r="A1" s="456" t="s">
        <v>1022</v>
      </c>
      <c r="B1" s="8"/>
      <c r="C1" s="456" t="s">
        <v>1118</v>
      </c>
      <c r="D1" s="456"/>
      <c r="E1" s="456"/>
      <c r="F1" s="456"/>
      <c r="G1" s="456"/>
      <c r="H1" s="456"/>
      <c r="I1" s="456" t="s">
        <v>1045</v>
      </c>
      <c r="J1" s="456" t="s">
        <v>2941</v>
      </c>
      <c r="K1" s="456" t="s">
        <v>2942</v>
      </c>
      <c r="L1" s="456" t="s">
        <v>2943</v>
      </c>
    </row>
    <row r="2" spans="1:12" ht="21" thickTop="1" thickBot="1" x14ac:dyDescent="0.35">
      <c r="A2" s="456"/>
      <c r="B2" s="8" t="s">
        <v>1031</v>
      </c>
      <c r="C2" s="18" t="s">
        <v>1046</v>
      </c>
      <c r="D2" s="18" t="s">
        <v>1026</v>
      </c>
      <c r="E2" s="18" t="s">
        <v>1027</v>
      </c>
      <c r="F2" s="18" t="s">
        <v>1028</v>
      </c>
      <c r="G2" s="18" t="s">
        <v>1029</v>
      </c>
      <c r="H2" s="18" t="s">
        <v>1030</v>
      </c>
      <c r="I2" s="456"/>
      <c r="J2" s="456"/>
      <c r="K2" s="456"/>
      <c r="L2" s="456"/>
    </row>
    <row r="3" spans="1:12" ht="15.75" thickTop="1" x14ac:dyDescent="0.25">
      <c r="A3" s="3" t="s">
        <v>2478</v>
      </c>
      <c r="B3">
        <f t="shared" ref="B3:B52" ca="1" si="0">COUNTIF(D3:H3,"&gt;0")</f>
        <v>0</v>
      </c>
      <c r="C3" s="28">
        <f ca="1">IF(ISTEXT($A3),COUNTIF(Signals!$B$2:$B$1462,$A3),"")</f>
        <v>0</v>
      </c>
      <c r="D3" s="28">
        <f ca="1">IF(ISTEXT($A3),COUNTIF(Signals!$B$2:$B$1462,CONCATENATE($A3,".",D$2)),"")</f>
        <v>0</v>
      </c>
      <c r="E3" s="28">
        <f ca="1">IF(ISTEXT($A3),COUNTIF(Signals!$B$2:$B$1462,CONCATENATE($A3,".",E$2)),"")</f>
        <v>0</v>
      </c>
      <c r="F3" s="28">
        <f ca="1">IF(ISTEXT($A3),COUNTIF(Signals!$B$2:$B$1462,CONCATENATE($A3,".",F$2)),"")</f>
        <v>0</v>
      </c>
      <c r="G3" s="28">
        <f ca="1">IF(ISTEXT($A3),COUNTIF(Signals!$B$2:$B$1462,CONCATENATE($A3,".",G$2)),"")</f>
        <v>0</v>
      </c>
      <c r="H3" s="28">
        <f ca="1">IF(ISTEXT($A3),COUNTIF(Signals!$B$2:$B$1462,CONCATENATE($A3,".",H$2)),"")</f>
        <v>0</v>
      </c>
    </row>
    <row r="4" spans="1:12" x14ac:dyDescent="0.25">
      <c r="A4" s="3" t="s">
        <v>2479</v>
      </c>
      <c r="B4">
        <f t="shared" ca="1" si="0"/>
        <v>0</v>
      </c>
      <c r="C4" s="28">
        <f ca="1">IF(ISTEXT($A4),COUNTIF(Signals!$B$2:$B$1462,$A4),"")</f>
        <v>0</v>
      </c>
      <c r="D4" s="28">
        <f ca="1">IF(ISTEXT($A4),COUNTIF(Signals!$B$2:$B$1462,CONCATENATE($A4,".",D$2)),"")</f>
        <v>0</v>
      </c>
      <c r="E4" s="28">
        <f ca="1">IF(ISTEXT($A4),COUNTIF(Signals!$B$2:$B$1462,CONCATENATE($A4,".",E$2)),"")</f>
        <v>0</v>
      </c>
      <c r="F4" s="28">
        <f ca="1">IF(ISTEXT($A4),COUNTIF(Signals!$B$2:$B$1462,CONCATENATE($A4,".",F$2)),"")</f>
        <v>0</v>
      </c>
      <c r="G4" s="28">
        <f ca="1">IF(ISTEXT($A4),COUNTIF(Signals!$B$2:$B$1462,CONCATENATE($A4,".",G$2)),"")</f>
        <v>0</v>
      </c>
      <c r="H4" s="28">
        <f ca="1">IF(ISTEXT($A4),COUNTIF(Signals!$B$2:$B$1462,CONCATENATE($A4,".",H$2)),"")</f>
        <v>0</v>
      </c>
    </row>
    <row r="5" spans="1:12" x14ac:dyDescent="0.25">
      <c r="A5" s="3" t="s">
        <v>1233</v>
      </c>
      <c r="B5">
        <f t="shared" ca="1" si="0"/>
        <v>0</v>
      </c>
      <c r="C5" s="28">
        <f ca="1">IF(ISTEXT($A5),COUNTIF(Signals!$B$2:$B$1462,$A5),"")</f>
        <v>0</v>
      </c>
      <c r="D5" s="28">
        <f ca="1">IF(ISTEXT($A5),COUNTIF(Signals!$B$2:$B$1462,CONCATENATE($A5,".",D$2)),"")</f>
        <v>0</v>
      </c>
      <c r="E5" s="28">
        <f ca="1">IF(ISTEXT($A5),COUNTIF(Signals!$B$2:$B$1462,CONCATENATE($A5,".",E$2)),"")</f>
        <v>0</v>
      </c>
      <c r="F5" s="28">
        <f ca="1">IF(ISTEXT($A5),COUNTIF(Signals!$B$2:$B$1462,CONCATENATE($A5,".",F$2)),"")</f>
        <v>0</v>
      </c>
      <c r="G5" s="28">
        <f ca="1">IF(ISTEXT($A5),COUNTIF(Signals!$B$2:$B$1462,CONCATENATE($A5,".",G$2)),"")</f>
        <v>0</v>
      </c>
      <c r="H5" s="28">
        <f ca="1">IF(ISTEXT($A5),COUNTIF(Signals!$B$2:$B$1462,CONCATENATE($A5,".",H$2)),"")</f>
        <v>0</v>
      </c>
    </row>
    <row r="6" spans="1:12" x14ac:dyDescent="0.25">
      <c r="A6" s="3" t="s">
        <v>3</v>
      </c>
      <c r="B6">
        <f t="shared" ca="1" si="0"/>
        <v>0</v>
      </c>
      <c r="C6" s="28">
        <f ca="1">IF(ISTEXT($A6),COUNTIF(Signals!$B$2:$B$1462,$A6),"")</f>
        <v>0</v>
      </c>
      <c r="D6" s="28">
        <f ca="1">IF(ISTEXT($A6),COUNTIF(Signals!$B$2:$B$1462,CONCATENATE($A6,".",D$2)),"")</f>
        <v>0</v>
      </c>
      <c r="E6" s="28">
        <f ca="1">IF(ISTEXT($A6),COUNTIF(Signals!$B$2:$B$1462,CONCATENATE($A6,".",E$2)),"")</f>
        <v>0</v>
      </c>
      <c r="F6" s="28">
        <f ca="1">IF(ISTEXT($A6),COUNTIF(Signals!$B$2:$B$1462,CONCATENATE($A6,".",F$2)),"")</f>
        <v>0</v>
      </c>
      <c r="G6" s="28">
        <f ca="1">IF(ISTEXT($A6),COUNTIF(Signals!$B$2:$B$1462,CONCATENATE($A6,".",G$2)),"")</f>
        <v>0</v>
      </c>
      <c r="H6" s="28">
        <f ca="1">IF(ISTEXT($A6),COUNTIF(Signals!$B$2:$B$1462,CONCATENATE($A6,".",H$2)),"")</f>
        <v>0</v>
      </c>
    </row>
    <row r="7" spans="1:12" x14ac:dyDescent="0.25">
      <c r="A7" s="3" t="s">
        <v>2480</v>
      </c>
      <c r="B7">
        <f ca="1">COUNTIF(D7:H7,"&gt;0")</f>
        <v>0</v>
      </c>
      <c r="C7" s="28">
        <f ca="1">IF(ISTEXT($A7),COUNTIF(Signals!$B$2:$B$1462,$A7),"")</f>
        <v>0</v>
      </c>
      <c r="D7" s="28">
        <f ca="1">IF(ISTEXT($A7),COUNTIF(Signals!$B$2:$B$1462,CONCATENATE($A7,".",D$2)),"")</f>
        <v>0</v>
      </c>
      <c r="E7" s="28">
        <f ca="1">IF(ISTEXT($A7),COUNTIF(Signals!$B$2:$B$1462,CONCATENATE($A7,".",E$2)),"")</f>
        <v>0</v>
      </c>
      <c r="F7" s="28">
        <f ca="1">IF(ISTEXT($A7),COUNTIF(Signals!$B$2:$B$1462,CONCATENATE($A7,".",F$2)),"")</f>
        <v>0</v>
      </c>
      <c r="G7" s="28">
        <f ca="1">IF(ISTEXT($A7),COUNTIF(Signals!$B$2:$B$1462,CONCATENATE($A7,".",G$2)),"")</f>
        <v>0</v>
      </c>
      <c r="H7" s="28">
        <f ca="1">IF(ISTEXT($A7),COUNTIF(Signals!$B$2:$B$1462,CONCATENATE($A7,".",H$2)),"")</f>
        <v>0</v>
      </c>
    </row>
    <row r="8" spans="1:12" x14ac:dyDescent="0.25">
      <c r="A8" s="3" t="s">
        <v>2481</v>
      </c>
      <c r="B8">
        <f t="shared" ca="1" si="0"/>
        <v>0</v>
      </c>
      <c r="C8" s="28">
        <f ca="1">IF(ISTEXT($A8),COUNTIF(Signals!$B$2:$B$1462,$A8),"")</f>
        <v>0</v>
      </c>
      <c r="D8" s="28">
        <f ca="1">IF(ISTEXT($A8),COUNTIF(Signals!$B$2:$B$1462,CONCATENATE($A8,".",D$2)),"")</f>
        <v>0</v>
      </c>
      <c r="E8" s="28">
        <f ca="1">IF(ISTEXT($A8),COUNTIF(Signals!$B$2:$B$1462,CONCATENATE($A8,".",E$2)),"")</f>
        <v>0</v>
      </c>
      <c r="F8" s="28">
        <f ca="1">IF(ISTEXT($A8),COUNTIF(Signals!$B$2:$B$1462,CONCATENATE($A8,".",F$2)),"")</f>
        <v>0</v>
      </c>
      <c r="G8" s="28">
        <f ca="1">IF(ISTEXT($A8),COUNTIF(Signals!$B$2:$B$1462,CONCATENATE($A8,".",G$2)),"")</f>
        <v>0</v>
      </c>
      <c r="H8" s="28">
        <f ca="1">IF(ISTEXT($A8),COUNTIF(Signals!$B$2:$B$1462,CONCATENATE($A8,".",H$2)),"")</f>
        <v>0</v>
      </c>
    </row>
    <row r="9" spans="1:12" x14ac:dyDescent="0.25">
      <c r="A9" s="3" t="s">
        <v>2482</v>
      </c>
      <c r="B9">
        <f t="shared" ca="1" si="0"/>
        <v>0</v>
      </c>
      <c r="C9" s="28">
        <f ca="1">IF(ISTEXT($A9),COUNTIF(Signals!$B$2:$B$1462,$A9),"")</f>
        <v>0</v>
      </c>
      <c r="D9" s="28">
        <f ca="1">IF(ISTEXT($A9),COUNTIF(Signals!$B$2:$B$1462,CONCATENATE($A9,".",D$2)),"")</f>
        <v>0</v>
      </c>
      <c r="E9" s="28">
        <f ca="1">IF(ISTEXT($A9),COUNTIF(Signals!$B$2:$B$1462,CONCATENATE($A9,".",E$2)),"")</f>
        <v>0</v>
      </c>
      <c r="F9" s="28">
        <f ca="1">IF(ISTEXT($A9),COUNTIF(Signals!$B$2:$B$1462,CONCATENATE($A9,".",F$2)),"")</f>
        <v>0</v>
      </c>
      <c r="G9" s="28">
        <f ca="1">IF(ISTEXT($A9),COUNTIF(Signals!$B$2:$B$1462,CONCATENATE($A9,".",G$2)),"")</f>
        <v>0</v>
      </c>
      <c r="H9" s="28">
        <f ca="1">IF(ISTEXT($A9),COUNTIF(Signals!$B$2:$B$1462,CONCATENATE($A9,".",H$2)),"")</f>
        <v>0</v>
      </c>
    </row>
    <row r="10" spans="1:12" x14ac:dyDescent="0.25">
      <c r="A10" s="3" t="s">
        <v>2483</v>
      </c>
      <c r="B10">
        <f t="shared" ca="1" si="0"/>
        <v>0</v>
      </c>
      <c r="C10" s="28">
        <f ca="1">IF(ISTEXT($A10),COUNTIF(Signals!$B$2:$B$1462,$A10),"")</f>
        <v>0</v>
      </c>
      <c r="D10" s="28">
        <f ca="1">IF(ISTEXT($A10),COUNTIF(Signals!$B$2:$B$1462,CONCATENATE($A10,".",D$2)),"")</f>
        <v>0</v>
      </c>
      <c r="E10" s="28">
        <f ca="1">IF(ISTEXT($A10),COUNTIF(Signals!$B$2:$B$1462,CONCATENATE($A10,".",E$2)),"")</f>
        <v>0</v>
      </c>
      <c r="F10" s="28">
        <f ca="1">IF(ISTEXT($A10),COUNTIF(Signals!$B$2:$B$1462,CONCATENATE($A10,".",F$2)),"")</f>
        <v>0</v>
      </c>
      <c r="G10" s="28">
        <f ca="1">IF(ISTEXT($A10),COUNTIF(Signals!$B$2:$B$1462,CONCATENATE($A10,".",G$2)),"")</f>
        <v>0</v>
      </c>
      <c r="H10" s="28">
        <f ca="1">IF(ISTEXT($A10),COUNTIF(Signals!$B$2:$B$1462,CONCATENATE($A10,".",H$2)),"")</f>
        <v>0</v>
      </c>
    </row>
    <row r="11" spans="1:12" x14ac:dyDescent="0.25">
      <c r="A11" s="3" t="s">
        <v>2484</v>
      </c>
      <c r="B11">
        <f t="shared" ca="1" si="0"/>
        <v>0</v>
      </c>
      <c r="C11" s="28">
        <f ca="1">IF(ISTEXT($A11),COUNTIF(Signals!$B$2:$B$1462,$A11),"")</f>
        <v>0</v>
      </c>
      <c r="D11" s="28">
        <f ca="1">IF(ISTEXT($A11),COUNTIF(Signals!$B$2:$B$1462,CONCATENATE($A11,".",D$2)),"")</f>
        <v>0</v>
      </c>
      <c r="E11" s="28">
        <f ca="1">IF(ISTEXT($A11),COUNTIF(Signals!$B$2:$B$1462,CONCATENATE($A11,".",E$2)),"")</f>
        <v>0</v>
      </c>
      <c r="F11" s="28">
        <f ca="1">IF(ISTEXT($A11),COUNTIF(Signals!$B$2:$B$1462,CONCATENATE($A11,".",F$2)),"")</f>
        <v>0</v>
      </c>
      <c r="G11" s="28">
        <f ca="1">IF(ISTEXT($A11),COUNTIF(Signals!$B$2:$B$1462,CONCATENATE($A11,".",G$2)),"")</f>
        <v>0</v>
      </c>
      <c r="H11" s="28">
        <f ca="1">IF(ISTEXT($A11),COUNTIF(Signals!$B$2:$B$1462,CONCATENATE($A11,".",H$2)),"")</f>
        <v>0</v>
      </c>
    </row>
    <row r="12" spans="1:12" x14ac:dyDescent="0.25">
      <c r="A12" s="3" t="s">
        <v>2485</v>
      </c>
      <c r="B12">
        <f t="shared" ca="1" si="0"/>
        <v>0</v>
      </c>
      <c r="C12" s="28">
        <f ca="1">IF(ISTEXT($A12),COUNTIF(Signals!$B$2:$B$1462,$A12),"")</f>
        <v>0</v>
      </c>
      <c r="D12" s="28">
        <f ca="1">IF(ISTEXT($A12),COUNTIF(Signals!$B$2:$B$1462,CONCATENATE($A12,".",D$2)),"")</f>
        <v>0</v>
      </c>
      <c r="E12" s="28">
        <f ca="1">IF(ISTEXT($A12),COUNTIF(Signals!$B$2:$B$1462,CONCATENATE($A12,".",E$2)),"")</f>
        <v>0</v>
      </c>
      <c r="F12" s="28">
        <f ca="1">IF(ISTEXT($A12),COUNTIF(Signals!$B$2:$B$1462,CONCATENATE($A12,".",F$2)),"")</f>
        <v>0</v>
      </c>
      <c r="G12" s="28">
        <f ca="1">IF(ISTEXT($A12),COUNTIF(Signals!$B$2:$B$1462,CONCATENATE($A12,".",G$2)),"")</f>
        <v>0</v>
      </c>
      <c r="H12" s="28">
        <f ca="1">IF(ISTEXT($A12),COUNTIF(Signals!$B$2:$B$1462,CONCATENATE($A12,".",H$2)),"")</f>
        <v>0</v>
      </c>
    </row>
    <row r="13" spans="1:12" x14ac:dyDescent="0.25">
      <c r="A13" s="3" t="s">
        <v>2486</v>
      </c>
      <c r="B13">
        <f t="shared" ca="1" si="0"/>
        <v>0</v>
      </c>
      <c r="C13" s="28">
        <f ca="1">IF(ISTEXT($A13),COUNTIF(Signals!$B$2:$B$1462,$A13),"")</f>
        <v>0</v>
      </c>
      <c r="D13" s="28">
        <f ca="1">IF(ISTEXT($A13),COUNTIF(Signals!$B$2:$B$1462,CONCATENATE($A13,".",D$2)),"")</f>
        <v>0</v>
      </c>
      <c r="E13" s="28">
        <f ca="1">IF(ISTEXT($A13),COUNTIF(Signals!$B$2:$B$1462,CONCATENATE($A13,".",E$2)),"")</f>
        <v>0</v>
      </c>
      <c r="F13" s="28">
        <f ca="1">IF(ISTEXT($A13),COUNTIF(Signals!$B$2:$B$1462,CONCATENATE($A13,".",F$2)),"")</f>
        <v>0</v>
      </c>
      <c r="G13" s="28">
        <f ca="1">IF(ISTEXT($A13),COUNTIF(Signals!$B$2:$B$1462,CONCATENATE($A13,".",G$2)),"")</f>
        <v>0</v>
      </c>
      <c r="H13" s="28">
        <f ca="1">IF(ISTEXT($A13),COUNTIF(Signals!$B$2:$B$1462,CONCATENATE($A13,".",H$2)),"")</f>
        <v>0</v>
      </c>
    </row>
    <row r="14" spans="1:12" x14ac:dyDescent="0.25">
      <c r="A14" s="3" t="s">
        <v>2487</v>
      </c>
      <c r="B14">
        <f t="shared" ca="1" si="0"/>
        <v>0</v>
      </c>
      <c r="C14" s="28">
        <f ca="1">IF(ISTEXT($A14),COUNTIF(Signals!$B$2:$B$1462,$A14),"")</f>
        <v>0</v>
      </c>
      <c r="D14" s="28">
        <f ca="1">IF(ISTEXT($A14),COUNTIF(Signals!$B$2:$B$1462,CONCATENATE($A14,".",D$2)),"")</f>
        <v>0</v>
      </c>
      <c r="E14" s="28">
        <f ca="1">IF(ISTEXT($A14),COUNTIF(Signals!$B$2:$B$1462,CONCATENATE($A14,".",E$2)),"")</f>
        <v>0</v>
      </c>
      <c r="F14" s="28">
        <f ca="1">IF(ISTEXT($A14),COUNTIF(Signals!$B$2:$B$1462,CONCATENATE($A14,".",F$2)),"")</f>
        <v>0</v>
      </c>
      <c r="G14" s="28">
        <f ca="1">IF(ISTEXT($A14),COUNTIF(Signals!$B$2:$B$1462,CONCATENATE($A14,".",G$2)),"")</f>
        <v>0</v>
      </c>
      <c r="H14" s="28">
        <f ca="1">IF(ISTEXT($A14),COUNTIF(Signals!$B$2:$B$1462,CONCATENATE($A14,".",H$2)),"")</f>
        <v>0</v>
      </c>
    </row>
    <row r="15" spans="1:12" x14ac:dyDescent="0.25">
      <c r="A15" s="3" t="s">
        <v>2488</v>
      </c>
      <c r="B15">
        <f t="shared" ca="1" si="0"/>
        <v>0</v>
      </c>
      <c r="C15" s="28">
        <f ca="1">IF(ISTEXT($A15),COUNTIF(Signals!$B$2:$B$1462,$A15),"")</f>
        <v>0</v>
      </c>
      <c r="D15" s="28">
        <f ca="1">IF(ISTEXT($A15),COUNTIF(Signals!$B$2:$B$1462,CONCATENATE($A15,".",D$2)),"")</f>
        <v>0</v>
      </c>
      <c r="E15" s="28">
        <f ca="1">IF(ISTEXT($A15),COUNTIF(Signals!$B$2:$B$1462,CONCATENATE($A15,".",E$2)),"")</f>
        <v>0</v>
      </c>
      <c r="F15" s="28">
        <f ca="1">IF(ISTEXT($A15),COUNTIF(Signals!$B$2:$B$1462,CONCATENATE($A15,".",F$2)),"")</f>
        <v>0</v>
      </c>
      <c r="G15" s="28">
        <f ca="1">IF(ISTEXT($A15),COUNTIF(Signals!$B$2:$B$1462,CONCATENATE($A15,".",G$2)),"")</f>
        <v>0</v>
      </c>
      <c r="H15" s="28">
        <f ca="1">IF(ISTEXT($A15),COUNTIF(Signals!$B$2:$B$1462,CONCATENATE($A15,".",H$2)),"")</f>
        <v>0</v>
      </c>
    </row>
    <row r="16" spans="1:12" x14ac:dyDescent="0.25">
      <c r="A16" s="3" t="s">
        <v>2489</v>
      </c>
      <c r="B16">
        <f t="shared" ca="1" si="0"/>
        <v>0</v>
      </c>
      <c r="C16" s="28">
        <f ca="1">IF(ISTEXT($A16),COUNTIF(Signals!$B$2:$B$1462,$A16),"")</f>
        <v>0</v>
      </c>
      <c r="D16" s="28">
        <f ca="1">IF(ISTEXT($A16),COUNTIF(Signals!$B$2:$B$1462,CONCATENATE($A16,".",D$2)),"")</f>
        <v>0</v>
      </c>
      <c r="E16" s="28">
        <f ca="1">IF(ISTEXT($A16),COUNTIF(Signals!$B$2:$B$1462,CONCATENATE($A16,".",E$2)),"")</f>
        <v>0</v>
      </c>
      <c r="F16" s="28">
        <f ca="1">IF(ISTEXT($A16),COUNTIF(Signals!$B$2:$B$1462,CONCATENATE($A16,".",F$2)),"")</f>
        <v>0</v>
      </c>
      <c r="G16" s="28">
        <f ca="1">IF(ISTEXT($A16),COUNTIF(Signals!$B$2:$B$1462,CONCATENATE($A16,".",G$2)),"")</f>
        <v>0</v>
      </c>
      <c r="H16" s="28">
        <f ca="1">IF(ISTEXT($A16),COUNTIF(Signals!$B$2:$B$1462,CONCATENATE($A16,".",H$2)),"")</f>
        <v>0</v>
      </c>
    </row>
    <row r="17" spans="1:8" x14ac:dyDescent="0.25">
      <c r="A17" s="3" t="s">
        <v>2490</v>
      </c>
      <c r="B17">
        <f t="shared" ca="1" si="0"/>
        <v>0</v>
      </c>
      <c r="C17" s="28">
        <f ca="1">IF(ISTEXT($A17),COUNTIF(Signals!$B$2:$B$1462,$A17),"")</f>
        <v>0</v>
      </c>
      <c r="D17" s="28">
        <f ca="1">IF(ISTEXT($A17),COUNTIF(Signals!$B$2:$B$1462,CONCATENATE($A17,".",D$2)),"")</f>
        <v>0</v>
      </c>
      <c r="E17" s="28">
        <f ca="1">IF(ISTEXT($A17),COUNTIF(Signals!$B$2:$B$1462,CONCATENATE($A17,".",E$2)),"")</f>
        <v>0</v>
      </c>
      <c r="F17" s="28">
        <f ca="1">IF(ISTEXT($A17),COUNTIF(Signals!$B$2:$B$1462,CONCATENATE($A17,".",F$2)),"")</f>
        <v>0</v>
      </c>
      <c r="G17" s="28">
        <f ca="1">IF(ISTEXT($A17),COUNTIF(Signals!$B$2:$B$1462,CONCATENATE($A17,".",G$2)),"")</f>
        <v>0</v>
      </c>
      <c r="H17" s="28">
        <f ca="1">IF(ISTEXT($A17),COUNTIF(Signals!$B$2:$B$1462,CONCATENATE($A17,".",H$2)),"")</f>
        <v>0</v>
      </c>
    </row>
    <row r="18" spans="1:8" x14ac:dyDescent="0.25">
      <c r="A18" s="3" t="s">
        <v>2491</v>
      </c>
      <c r="B18">
        <f t="shared" ca="1" si="0"/>
        <v>0</v>
      </c>
      <c r="C18" s="28">
        <f ca="1">IF(ISTEXT($A18),COUNTIF(Signals!$B$2:$B$1462,$A18),"")</f>
        <v>0</v>
      </c>
      <c r="D18" s="28">
        <f ca="1">IF(ISTEXT($A18),COUNTIF(Signals!$B$2:$B$1462,CONCATENATE($A18,".",D$2)),"")</f>
        <v>0</v>
      </c>
      <c r="E18" s="28">
        <f ca="1">IF(ISTEXT($A18),COUNTIF(Signals!$B$2:$B$1462,CONCATENATE($A18,".",E$2)),"")</f>
        <v>0</v>
      </c>
      <c r="F18" s="28">
        <f ca="1">IF(ISTEXT($A18),COUNTIF(Signals!$B$2:$B$1462,CONCATENATE($A18,".",F$2)),"")</f>
        <v>0</v>
      </c>
      <c r="G18" s="28">
        <f ca="1">IF(ISTEXT($A18),COUNTIF(Signals!$B$2:$B$1462,CONCATENATE($A18,".",G$2)),"")</f>
        <v>0</v>
      </c>
      <c r="H18" s="28">
        <f ca="1">IF(ISTEXT($A18),COUNTIF(Signals!$B$2:$B$1462,CONCATENATE($A18,".",H$2)),"")</f>
        <v>0</v>
      </c>
    </row>
    <row r="19" spans="1:8" x14ac:dyDescent="0.25">
      <c r="A19" s="3" t="s">
        <v>2492</v>
      </c>
      <c r="B19">
        <f t="shared" ca="1" si="0"/>
        <v>0</v>
      </c>
      <c r="C19" s="28">
        <f ca="1">IF(ISTEXT($A19),COUNTIF(Signals!$B$2:$B$1462,$A19),"")</f>
        <v>0</v>
      </c>
      <c r="D19" s="28">
        <f ca="1">IF(ISTEXT($A19),COUNTIF(Signals!$B$2:$B$1462,CONCATENATE($A19,".",D$2)),"")</f>
        <v>0</v>
      </c>
      <c r="E19" s="28">
        <f ca="1">IF(ISTEXT($A19),COUNTIF(Signals!$B$2:$B$1462,CONCATENATE($A19,".",E$2)),"")</f>
        <v>0</v>
      </c>
      <c r="F19" s="28">
        <f ca="1">IF(ISTEXT($A19),COUNTIF(Signals!$B$2:$B$1462,CONCATENATE($A19,".",F$2)),"")</f>
        <v>0</v>
      </c>
      <c r="G19" s="28">
        <f ca="1">IF(ISTEXT($A19),COUNTIF(Signals!$B$2:$B$1462,CONCATENATE($A19,".",G$2)),"")</f>
        <v>0</v>
      </c>
      <c r="H19" s="28">
        <f ca="1">IF(ISTEXT($A19),COUNTIF(Signals!$B$2:$B$1462,CONCATENATE($A19,".",H$2)),"")</f>
        <v>0</v>
      </c>
    </row>
    <row r="20" spans="1:8" x14ac:dyDescent="0.25">
      <c r="A20" s="3" t="s">
        <v>2493</v>
      </c>
      <c r="B20">
        <f t="shared" ca="1" si="0"/>
        <v>0</v>
      </c>
      <c r="C20" s="28">
        <f ca="1">IF(ISTEXT($A20),COUNTIF(Signals!$B$2:$B$1462,$A20),"")</f>
        <v>0</v>
      </c>
      <c r="D20" s="28">
        <f ca="1">IF(ISTEXT($A20),COUNTIF(Signals!$B$2:$B$1462,CONCATENATE($A20,".",D$2)),"")</f>
        <v>0</v>
      </c>
      <c r="E20" s="28">
        <f ca="1">IF(ISTEXT($A20),COUNTIF(Signals!$B$2:$B$1462,CONCATENATE($A20,".",E$2)),"")</f>
        <v>0</v>
      </c>
      <c r="F20" s="28">
        <f ca="1">IF(ISTEXT($A20),COUNTIF(Signals!$B$2:$B$1462,CONCATENATE($A20,".",F$2)),"")</f>
        <v>0</v>
      </c>
      <c r="G20" s="28">
        <f ca="1">IF(ISTEXT($A20),COUNTIF(Signals!$B$2:$B$1462,CONCATENATE($A20,".",G$2)),"")</f>
        <v>0</v>
      </c>
      <c r="H20" s="28">
        <f ca="1">IF(ISTEXT($A20),COUNTIF(Signals!$B$2:$B$1462,CONCATENATE($A20,".",H$2)),"")</f>
        <v>0</v>
      </c>
    </row>
    <row r="21" spans="1:8" x14ac:dyDescent="0.25">
      <c r="A21" s="3" t="s">
        <v>2494</v>
      </c>
      <c r="B21">
        <f t="shared" ca="1" si="0"/>
        <v>0</v>
      </c>
      <c r="C21" s="28">
        <f ca="1">IF(ISTEXT($A21),COUNTIF(Signals!$B$2:$B$1462,$A21),"")</f>
        <v>0</v>
      </c>
      <c r="D21" s="28">
        <f ca="1">IF(ISTEXT($A21),COUNTIF(Signals!$B$2:$B$1462,CONCATENATE($A21,".",D$2)),"")</f>
        <v>0</v>
      </c>
      <c r="E21" s="28">
        <f ca="1">IF(ISTEXT($A21),COUNTIF(Signals!$B$2:$B$1462,CONCATENATE($A21,".",E$2)),"")</f>
        <v>0</v>
      </c>
      <c r="F21" s="28">
        <f ca="1">IF(ISTEXT($A21),COUNTIF(Signals!$B$2:$B$1462,CONCATENATE($A21,".",F$2)),"")</f>
        <v>0</v>
      </c>
      <c r="G21" s="28">
        <f ca="1">IF(ISTEXT($A21),COUNTIF(Signals!$B$2:$B$1462,CONCATENATE($A21,".",G$2)),"")</f>
        <v>0</v>
      </c>
      <c r="H21" s="28">
        <f ca="1">IF(ISTEXT($A21),COUNTIF(Signals!$B$2:$B$1462,CONCATENATE($A21,".",H$2)),"")</f>
        <v>0</v>
      </c>
    </row>
    <row r="22" spans="1:8" x14ac:dyDescent="0.25">
      <c r="A22" s="3" t="s">
        <v>209</v>
      </c>
      <c r="B22">
        <f t="shared" ca="1" si="0"/>
        <v>0</v>
      </c>
      <c r="C22" s="28">
        <f ca="1">IF(ISTEXT($A22),COUNTIF(Signals!$B$2:$B$1462,$A22),"")</f>
        <v>0</v>
      </c>
      <c r="D22" s="28">
        <f ca="1">IF(ISTEXT($A22),COUNTIF(Signals!$B$2:$B$1462,CONCATENATE($A22,".",D$2)),"")</f>
        <v>0</v>
      </c>
      <c r="E22" s="28">
        <f ca="1">IF(ISTEXT($A22),COUNTIF(Signals!$B$2:$B$1462,CONCATENATE($A22,".",E$2)),"")</f>
        <v>0</v>
      </c>
      <c r="F22" s="28">
        <f ca="1">IF(ISTEXT($A22),COUNTIF(Signals!$B$2:$B$1462,CONCATENATE($A22,".",F$2)),"")</f>
        <v>0</v>
      </c>
      <c r="G22" s="28">
        <f ca="1">IF(ISTEXT($A22),COUNTIF(Signals!$B$2:$B$1462,CONCATENATE($A22,".",G$2)),"")</f>
        <v>0</v>
      </c>
      <c r="H22" s="28">
        <f ca="1">IF(ISTEXT($A22),COUNTIF(Signals!$B$2:$B$1462,CONCATENATE($A22,".",H$2)),"")</f>
        <v>0</v>
      </c>
    </row>
    <row r="23" spans="1:8" x14ac:dyDescent="0.25">
      <c r="A23" s="3" t="s">
        <v>2113</v>
      </c>
      <c r="B23">
        <f t="shared" ca="1" si="0"/>
        <v>0</v>
      </c>
      <c r="C23" s="28">
        <f ca="1">IF(ISTEXT($A23),COUNTIF(Signals!$B$2:$B$1462,$A23),"")</f>
        <v>0</v>
      </c>
      <c r="D23" s="28">
        <f ca="1">IF(ISTEXT($A23),COUNTIF(Signals!$B$2:$B$1462,CONCATENATE($A23,".",D$2)),"")</f>
        <v>0</v>
      </c>
      <c r="E23" s="28">
        <f ca="1">IF(ISTEXT($A23),COUNTIF(Signals!$B$2:$B$1462,CONCATENATE($A23,".",E$2)),"")</f>
        <v>0</v>
      </c>
      <c r="F23" s="28">
        <f ca="1">IF(ISTEXT($A23),COUNTIF(Signals!$B$2:$B$1462,CONCATENATE($A23,".",F$2)),"")</f>
        <v>0</v>
      </c>
      <c r="G23" s="28">
        <f ca="1">IF(ISTEXT($A23),COUNTIF(Signals!$B$2:$B$1462,CONCATENATE($A23,".",G$2)),"")</f>
        <v>0</v>
      </c>
      <c r="H23" s="28">
        <f ca="1">IF(ISTEXT($A23),COUNTIF(Signals!$B$2:$B$1462,CONCATENATE($A23,".",H$2)),"")</f>
        <v>0</v>
      </c>
    </row>
    <row r="24" spans="1:8" x14ac:dyDescent="0.25">
      <c r="A24" s="3" t="s">
        <v>2495</v>
      </c>
      <c r="B24">
        <f t="shared" ca="1" si="0"/>
        <v>0</v>
      </c>
      <c r="C24" s="28">
        <f ca="1">IF(ISTEXT($A24),COUNTIF(Signals!$B$2:$B$1462,$A24),"")</f>
        <v>0</v>
      </c>
      <c r="D24" s="28">
        <f ca="1">IF(ISTEXT($A24),COUNTIF(Signals!$B$2:$B$1462,CONCATENATE($A24,".",D$2)),"")</f>
        <v>0</v>
      </c>
      <c r="E24" s="28">
        <f ca="1">IF(ISTEXT($A24),COUNTIF(Signals!$B$2:$B$1462,CONCATENATE($A24,".",E$2)),"")</f>
        <v>0</v>
      </c>
      <c r="F24" s="28">
        <f ca="1">IF(ISTEXT($A24),COUNTIF(Signals!$B$2:$B$1462,CONCATENATE($A24,".",F$2)),"")</f>
        <v>0</v>
      </c>
      <c r="G24" s="28">
        <f ca="1">IF(ISTEXT($A24),COUNTIF(Signals!$B$2:$B$1462,CONCATENATE($A24,".",G$2)),"")</f>
        <v>0</v>
      </c>
      <c r="H24" s="28">
        <f ca="1">IF(ISTEXT($A24),COUNTIF(Signals!$B$2:$B$1462,CONCATENATE($A24,".",H$2)),"")</f>
        <v>0</v>
      </c>
    </row>
    <row r="25" spans="1:8" x14ac:dyDescent="0.25">
      <c r="A25" s="3" t="s">
        <v>2496</v>
      </c>
      <c r="B25">
        <f t="shared" ca="1" si="0"/>
        <v>0</v>
      </c>
      <c r="C25" s="28">
        <f ca="1">IF(ISTEXT($A25),COUNTIF(Signals!$B$2:$B$1462,$A25),"")</f>
        <v>0</v>
      </c>
      <c r="D25" s="28">
        <f ca="1">IF(ISTEXT($A25),COUNTIF(Signals!$B$2:$B$1462,CONCATENATE($A25,".",D$2)),"")</f>
        <v>0</v>
      </c>
      <c r="E25" s="28">
        <f ca="1">IF(ISTEXT($A25),COUNTIF(Signals!$B$2:$B$1462,CONCATENATE($A25,".",E$2)),"")</f>
        <v>0</v>
      </c>
      <c r="F25" s="28">
        <f ca="1">IF(ISTEXT($A25),COUNTIF(Signals!$B$2:$B$1462,CONCATENATE($A25,".",F$2)),"")</f>
        <v>0</v>
      </c>
      <c r="G25" s="28">
        <f ca="1">IF(ISTEXT($A25),COUNTIF(Signals!$B$2:$B$1462,CONCATENATE($A25,".",G$2)),"")</f>
        <v>0</v>
      </c>
      <c r="H25" s="28">
        <f ca="1">IF(ISTEXT($A25),COUNTIF(Signals!$B$2:$B$1462,CONCATENATE($A25,".",H$2)),"")</f>
        <v>0</v>
      </c>
    </row>
    <row r="26" spans="1:8" x14ac:dyDescent="0.25">
      <c r="A26" s="3" t="s">
        <v>2497</v>
      </c>
      <c r="B26">
        <f t="shared" ca="1" si="0"/>
        <v>0</v>
      </c>
      <c r="C26" s="28">
        <f ca="1">IF(ISTEXT($A26),COUNTIF(Signals!$B$2:$B$1462,$A26),"")</f>
        <v>0</v>
      </c>
      <c r="D26" s="28">
        <f ca="1">IF(ISTEXT($A26),COUNTIF(Signals!$B$2:$B$1462,CONCATENATE($A26,".",D$2)),"")</f>
        <v>0</v>
      </c>
      <c r="E26" s="28">
        <f ca="1">IF(ISTEXT($A26),COUNTIF(Signals!$B$2:$B$1462,CONCATENATE($A26,".",E$2)),"")</f>
        <v>0</v>
      </c>
      <c r="F26" s="28">
        <f ca="1">IF(ISTEXT($A26),COUNTIF(Signals!$B$2:$B$1462,CONCATENATE($A26,".",F$2)),"")</f>
        <v>0</v>
      </c>
      <c r="G26" s="28">
        <f ca="1">IF(ISTEXT($A26),COUNTIF(Signals!$B$2:$B$1462,CONCATENATE($A26,".",G$2)),"")</f>
        <v>0</v>
      </c>
      <c r="H26" s="28">
        <f ca="1">IF(ISTEXT($A26),COUNTIF(Signals!$B$2:$B$1462,CONCATENATE($A26,".",H$2)),"")</f>
        <v>0</v>
      </c>
    </row>
    <row r="27" spans="1:8" x14ac:dyDescent="0.25">
      <c r="A27" s="3" t="s">
        <v>2498</v>
      </c>
      <c r="B27">
        <f t="shared" ca="1" si="0"/>
        <v>0</v>
      </c>
      <c r="C27" s="28">
        <f ca="1">IF(ISTEXT($A27),COUNTIF(Signals!$B$2:$B$1462,$A27),"")</f>
        <v>0</v>
      </c>
      <c r="D27" s="28">
        <f ca="1">IF(ISTEXT($A27),COUNTIF(Signals!$B$2:$B$1462,CONCATENATE($A27,".",D$2)),"")</f>
        <v>0</v>
      </c>
      <c r="E27" s="28">
        <f ca="1">IF(ISTEXT($A27),COUNTIF(Signals!$B$2:$B$1462,CONCATENATE($A27,".",E$2)),"")</f>
        <v>0</v>
      </c>
      <c r="F27" s="28">
        <f ca="1">IF(ISTEXT($A27),COUNTIF(Signals!$B$2:$B$1462,CONCATENATE($A27,".",F$2)),"")</f>
        <v>0</v>
      </c>
      <c r="G27" s="28">
        <f ca="1">IF(ISTEXT($A27),COUNTIF(Signals!$B$2:$B$1462,CONCATENATE($A27,".",G$2)),"")</f>
        <v>0</v>
      </c>
      <c r="H27" s="28">
        <f ca="1">IF(ISTEXT($A27),COUNTIF(Signals!$B$2:$B$1462,CONCATENATE($A27,".",H$2)),"")</f>
        <v>0</v>
      </c>
    </row>
    <row r="28" spans="1:8" x14ac:dyDescent="0.25">
      <c r="A28" s="3" t="s">
        <v>2499</v>
      </c>
      <c r="B28">
        <f t="shared" ca="1" si="0"/>
        <v>0</v>
      </c>
      <c r="C28" s="28">
        <f ca="1">IF(ISTEXT($A28),COUNTIF(Signals!$B$2:$B$1462,$A28),"")</f>
        <v>0</v>
      </c>
      <c r="D28" s="28">
        <f ca="1">IF(ISTEXT($A28),COUNTIF(Signals!$B$2:$B$1462,CONCATENATE($A28,".",D$2)),"")</f>
        <v>0</v>
      </c>
      <c r="E28" s="28">
        <f ca="1">IF(ISTEXT($A28),COUNTIF(Signals!$B$2:$B$1462,CONCATENATE($A28,".",E$2)),"")</f>
        <v>0</v>
      </c>
      <c r="F28" s="28">
        <f ca="1">IF(ISTEXT($A28),COUNTIF(Signals!$B$2:$B$1462,CONCATENATE($A28,".",F$2)),"")</f>
        <v>0</v>
      </c>
      <c r="G28" s="28">
        <f ca="1">IF(ISTEXT($A28),COUNTIF(Signals!$B$2:$B$1462,CONCATENATE($A28,".",G$2)),"")</f>
        <v>0</v>
      </c>
      <c r="H28" s="28">
        <f ca="1">IF(ISTEXT($A28),COUNTIF(Signals!$B$2:$B$1462,CONCATENATE($A28,".",H$2)),"")</f>
        <v>0</v>
      </c>
    </row>
    <row r="29" spans="1:8" x14ac:dyDescent="0.25">
      <c r="A29" s="3" t="s">
        <v>2500</v>
      </c>
      <c r="B29">
        <f t="shared" ca="1" si="0"/>
        <v>0</v>
      </c>
      <c r="C29" s="28">
        <f ca="1">IF(ISTEXT($A29),COUNTIF(Signals!$B$2:$B$1462,$A29),"")</f>
        <v>0</v>
      </c>
      <c r="D29" s="28">
        <f ca="1">IF(ISTEXT($A29),COUNTIF(Signals!$B$2:$B$1462,CONCATENATE($A29,".",D$2)),"")</f>
        <v>0</v>
      </c>
      <c r="E29" s="28">
        <f ca="1">IF(ISTEXT($A29),COUNTIF(Signals!$B$2:$B$1462,CONCATENATE($A29,".",E$2)),"")</f>
        <v>0</v>
      </c>
      <c r="F29" s="28">
        <f ca="1">IF(ISTEXT($A29),COUNTIF(Signals!$B$2:$B$1462,CONCATENATE($A29,".",F$2)),"")</f>
        <v>0</v>
      </c>
      <c r="G29" s="28">
        <f ca="1">IF(ISTEXT($A29),COUNTIF(Signals!$B$2:$B$1462,CONCATENATE($A29,".",G$2)),"")</f>
        <v>0</v>
      </c>
      <c r="H29" s="28">
        <f ca="1">IF(ISTEXT($A29),COUNTIF(Signals!$B$2:$B$1462,CONCATENATE($A29,".",H$2)),"")</f>
        <v>0</v>
      </c>
    </row>
    <row r="30" spans="1:8" x14ac:dyDescent="0.25">
      <c r="A30" s="3" t="s">
        <v>2501</v>
      </c>
      <c r="B30">
        <f t="shared" ca="1" si="0"/>
        <v>0</v>
      </c>
      <c r="C30" s="28">
        <f ca="1">IF(ISTEXT($A30),COUNTIF(Signals!$B$2:$B$1462,$A30),"")</f>
        <v>0</v>
      </c>
      <c r="D30" s="28">
        <f ca="1">IF(ISTEXT($A30),COUNTIF(Signals!$B$2:$B$1462,CONCATENATE($A30,".",D$2)),"")</f>
        <v>0</v>
      </c>
      <c r="E30" s="28">
        <f ca="1">IF(ISTEXT($A30),COUNTIF(Signals!$B$2:$B$1462,CONCATENATE($A30,".",E$2)),"")</f>
        <v>0</v>
      </c>
      <c r="F30" s="28">
        <f ca="1">IF(ISTEXT($A30),COUNTIF(Signals!$B$2:$B$1462,CONCATENATE($A30,".",F$2)),"")</f>
        <v>0</v>
      </c>
      <c r="G30" s="28">
        <f ca="1">IF(ISTEXT($A30),COUNTIF(Signals!$B$2:$B$1462,CONCATENATE($A30,".",G$2)),"")</f>
        <v>0</v>
      </c>
      <c r="H30" s="28">
        <f ca="1">IF(ISTEXT($A30),COUNTIF(Signals!$B$2:$B$1462,CONCATENATE($A30,".",H$2)),"")</f>
        <v>0</v>
      </c>
    </row>
    <row r="31" spans="1:8" x14ac:dyDescent="0.25">
      <c r="A31" s="3" t="s">
        <v>2502</v>
      </c>
      <c r="B31">
        <f t="shared" ca="1" si="0"/>
        <v>0</v>
      </c>
      <c r="C31" s="28">
        <f ca="1">IF(ISTEXT($A31),COUNTIF(Signals!$B$2:$B$1462,$A31),"")</f>
        <v>0</v>
      </c>
      <c r="D31" s="28">
        <f ca="1">IF(ISTEXT($A31),COUNTIF(Signals!$B$2:$B$1462,CONCATENATE($A31,".",D$2)),"")</f>
        <v>0</v>
      </c>
      <c r="E31" s="28">
        <f ca="1">IF(ISTEXT($A31),COUNTIF(Signals!$B$2:$B$1462,CONCATENATE($A31,".",E$2)),"")</f>
        <v>0</v>
      </c>
      <c r="F31" s="28">
        <f ca="1">IF(ISTEXT($A31),COUNTIF(Signals!$B$2:$B$1462,CONCATENATE($A31,".",F$2)),"")</f>
        <v>0</v>
      </c>
      <c r="G31" s="28">
        <f ca="1">IF(ISTEXT($A31),COUNTIF(Signals!$B$2:$B$1462,CONCATENATE($A31,".",G$2)),"")</f>
        <v>0</v>
      </c>
      <c r="H31" s="28">
        <f ca="1">IF(ISTEXT($A31),COUNTIF(Signals!$B$2:$B$1462,CONCATENATE($A31,".",H$2)),"")</f>
        <v>0</v>
      </c>
    </row>
    <row r="32" spans="1:8" x14ac:dyDescent="0.25">
      <c r="A32" s="3" t="s">
        <v>1260</v>
      </c>
      <c r="B32">
        <f t="shared" ca="1" si="0"/>
        <v>0</v>
      </c>
      <c r="C32" s="28">
        <f ca="1">IF(ISTEXT($A32),COUNTIF(Signals!$B$2:$B$1462,$A32),"")</f>
        <v>0</v>
      </c>
      <c r="D32" s="28">
        <f ca="1">IF(ISTEXT($A32),COUNTIF(Signals!$B$2:$B$1462,CONCATENATE($A32,".",D$2)),"")</f>
        <v>0</v>
      </c>
      <c r="E32" s="28">
        <f ca="1">IF(ISTEXT($A32),COUNTIF(Signals!$B$2:$B$1462,CONCATENATE($A32,".",E$2)),"")</f>
        <v>0</v>
      </c>
      <c r="F32" s="28">
        <f ca="1">IF(ISTEXT($A32),COUNTIF(Signals!$B$2:$B$1462,CONCATENATE($A32,".",F$2)),"")</f>
        <v>0</v>
      </c>
      <c r="G32" s="28">
        <f ca="1">IF(ISTEXT($A32),COUNTIF(Signals!$B$2:$B$1462,CONCATENATE($A32,".",G$2)),"")</f>
        <v>0</v>
      </c>
      <c r="H32" s="28">
        <f ca="1">IF(ISTEXT($A32),COUNTIF(Signals!$B$2:$B$1462,CONCATENATE($A32,".",H$2)),"")</f>
        <v>0</v>
      </c>
    </row>
    <row r="33" spans="1:8" x14ac:dyDescent="0.25">
      <c r="A33" s="3" t="s">
        <v>1236</v>
      </c>
      <c r="B33">
        <f t="shared" ca="1" si="0"/>
        <v>0</v>
      </c>
      <c r="C33" s="28">
        <f ca="1">IF(ISTEXT($A33),COUNTIF(Signals!$B$2:$B$1462,$A33),"")</f>
        <v>0</v>
      </c>
      <c r="D33" s="28">
        <f ca="1">IF(ISTEXT($A33),COUNTIF(Signals!$B$2:$B$1462,CONCATENATE($A33,".",D$2)),"")</f>
        <v>0</v>
      </c>
      <c r="E33" s="28">
        <f ca="1">IF(ISTEXT($A33),COUNTIF(Signals!$B$2:$B$1462,CONCATENATE($A33,".",E$2)),"")</f>
        <v>0</v>
      </c>
      <c r="F33" s="28">
        <f ca="1">IF(ISTEXT($A33),COUNTIF(Signals!$B$2:$B$1462,CONCATENATE($A33,".",F$2)),"")</f>
        <v>0</v>
      </c>
      <c r="G33" s="28">
        <f ca="1">IF(ISTEXT($A33),COUNTIF(Signals!$B$2:$B$1462,CONCATENATE($A33,".",G$2)),"")</f>
        <v>0</v>
      </c>
      <c r="H33" s="28">
        <f ca="1">IF(ISTEXT($A33),COUNTIF(Signals!$B$2:$B$1462,CONCATENATE($A33,".",H$2)),"")</f>
        <v>0</v>
      </c>
    </row>
    <row r="34" spans="1:8" x14ac:dyDescent="0.25">
      <c r="A34" s="3" t="s">
        <v>2503</v>
      </c>
      <c r="B34">
        <f t="shared" ca="1" si="0"/>
        <v>0</v>
      </c>
      <c r="C34" s="28">
        <f ca="1">IF(ISTEXT($A34),COUNTIF(Signals!$B$2:$B$1462,$A34),"")</f>
        <v>0</v>
      </c>
      <c r="D34" s="28">
        <f ca="1">IF(ISTEXT($A34),COUNTIF(Signals!$B$2:$B$1462,CONCATENATE($A34,".",D$2)),"")</f>
        <v>0</v>
      </c>
      <c r="E34" s="28">
        <f ca="1">IF(ISTEXT($A34),COUNTIF(Signals!$B$2:$B$1462,CONCATENATE($A34,".",E$2)),"")</f>
        <v>0</v>
      </c>
      <c r="F34" s="28">
        <f ca="1">IF(ISTEXT($A34),COUNTIF(Signals!$B$2:$B$1462,CONCATENATE($A34,".",F$2)),"")</f>
        <v>0</v>
      </c>
      <c r="G34" s="28">
        <f ca="1">IF(ISTEXT($A34),COUNTIF(Signals!$B$2:$B$1462,CONCATENATE($A34,".",G$2)),"")</f>
        <v>0</v>
      </c>
      <c r="H34" s="28">
        <f ca="1">IF(ISTEXT($A34),COUNTIF(Signals!$B$2:$B$1462,CONCATENATE($A34,".",H$2)),"")</f>
        <v>0</v>
      </c>
    </row>
    <row r="35" spans="1:8" x14ac:dyDescent="0.25">
      <c r="A35" s="3" t="s">
        <v>1237</v>
      </c>
      <c r="B35">
        <f t="shared" ca="1" si="0"/>
        <v>0</v>
      </c>
      <c r="C35" s="28">
        <f ca="1">IF(ISTEXT($A35),COUNTIF(Signals!$B$2:$B$1462,$A35),"")</f>
        <v>0</v>
      </c>
      <c r="D35" s="28">
        <f ca="1">IF(ISTEXT($A35),COUNTIF(Signals!$B$2:$B$1462,CONCATENATE($A35,".",D$2)),"")</f>
        <v>0</v>
      </c>
      <c r="E35" s="28">
        <f ca="1">IF(ISTEXT($A35),COUNTIF(Signals!$B$2:$B$1462,CONCATENATE($A35,".",E$2)),"")</f>
        <v>0</v>
      </c>
      <c r="F35" s="28">
        <f ca="1">IF(ISTEXT($A35),COUNTIF(Signals!$B$2:$B$1462,CONCATENATE($A35,".",F$2)),"")</f>
        <v>0</v>
      </c>
      <c r="G35" s="28">
        <f ca="1">IF(ISTEXT($A35),COUNTIF(Signals!$B$2:$B$1462,CONCATENATE($A35,".",G$2)),"")</f>
        <v>0</v>
      </c>
      <c r="H35" s="28">
        <f ca="1">IF(ISTEXT($A35),COUNTIF(Signals!$B$2:$B$1462,CONCATENATE($A35,".",H$2)),"")</f>
        <v>0</v>
      </c>
    </row>
    <row r="36" spans="1:8" x14ac:dyDescent="0.25">
      <c r="A36" s="3" t="s">
        <v>1238</v>
      </c>
      <c r="B36">
        <f t="shared" ca="1" si="0"/>
        <v>0</v>
      </c>
      <c r="C36" s="28">
        <f ca="1">IF(ISTEXT($A36),COUNTIF(Signals!$B$2:$B$1462,$A36),"")</f>
        <v>0</v>
      </c>
      <c r="D36" s="28">
        <f ca="1">IF(ISTEXT($A36),COUNTIF(Signals!$B$2:$B$1462,CONCATENATE($A36,".",D$2)),"")</f>
        <v>0</v>
      </c>
      <c r="E36" s="28">
        <f ca="1">IF(ISTEXT($A36),COUNTIF(Signals!$B$2:$B$1462,CONCATENATE($A36,".",E$2)),"")</f>
        <v>0</v>
      </c>
      <c r="F36" s="28">
        <f ca="1">IF(ISTEXT($A36),COUNTIF(Signals!$B$2:$B$1462,CONCATENATE($A36,".",F$2)),"")</f>
        <v>0</v>
      </c>
      <c r="G36" s="28">
        <f ca="1">IF(ISTEXT($A36),COUNTIF(Signals!$B$2:$B$1462,CONCATENATE($A36,".",G$2)),"")</f>
        <v>0</v>
      </c>
      <c r="H36" s="28">
        <f ca="1">IF(ISTEXT($A36),COUNTIF(Signals!$B$2:$B$1462,CONCATENATE($A36,".",H$2)),"")</f>
        <v>0</v>
      </c>
    </row>
    <row r="37" spans="1:8" x14ac:dyDescent="0.25">
      <c r="A37" s="3" t="s">
        <v>2504</v>
      </c>
      <c r="B37">
        <f t="shared" ca="1" si="0"/>
        <v>0</v>
      </c>
      <c r="C37" s="28">
        <f ca="1">IF(ISTEXT($A37),COUNTIF(Signals!$B$2:$B$1462,$A37),"")</f>
        <v>0</v>
      </c>
      <c r="D37" s="28">
        <f ca="1">IF(ISTEXT($A37),COUNTIF(Signals!$B$2:$B$1462,CONCATENATE($A37,".",D$2)),"")</f>
        <v>0</v>
      </c>
      <c r="E37" s="28">
        <f ca="1">IF(ISTEXT($A37),COUNTIF(Signals!$B$2:$B$1462,CONCATENATE($A37,".",E$2)),"")</f>
        <v>0</v>
      </c>
      <c r="F37" s="28">
        <f ca="1">IF(ISTEXT($A37),COUNTIF(Signals!$B$2:$B$1462,CONCATENATE($A37,".",F$2)),"")</f>
        <v>0</v>
      </c>
      <c r="G37" s="28">
        <f ca="1">IF(ISTEXT($A37),COUNTIF(Signals!$B$2:$B$1462,CONCATENATE($A37,".",G$2)),"")</f>
        <v>0</v>
      </c>
      <c r="H37" s="28">
        <f ca="1">IF(ISTEXT($A37),COUNTIF(Signals!$B$2:$B$1462,CONCATENATE($A37,".",H$2)),"")</f>
        <v>0</v>
      </c>
    </row>
    <row r="38" spans="1:8" x14ac:dyDescent="0.25">
      <c r="A38" s="3" t="s">
        <v>2505</v>
      </c>
      <c r="B38">
        <f t="shared" ca="1" si="0"/>
        <v>0</v>
      </c>
      <c r="C38" s="28">
        <f ca="1">IF(ISTEXT($A38),COUNTIF(Signals!$B$2:$B$1462,$A38),"")</f>
        <v>0</v>
      </c>
      <c r="D38" s="28">
        <f ca="1">IF(ISTEXT($A38),COUNTIF(Signals!$B$2:$B$1462,CONCATENATE($A38,".",D$2)),"")</f>
        <v>0</v>
      </c>
      <c r="E38" s="28">
        <f ca="1">IF(ISTEXT($A38),COUNTIF(Signals!$B$2:$B$1462,CONCATENATE($A38,".",E$2)),"")</f>
        <v>0</v>
      </c>
      <c r="F38" s="28">
        <f ca="1">IF(ISTEXT($A38),COUNTIF(Signals!$B$2:$B$1462,CONCATENATE($A38,".",F$2)),"")</f>
        <v>0</v>
      </c>
      <c r="G38" s="28">
        <f ca="1">IF(ISTEXT($A38),COUNTIF(Signals!$B$2:$B$1462,CONCATENATE($A38,".",G$2)),"")</f>
        <v>0</v>
      </c>
      <c r="H38" s="28">
        <f ca="1">IF(ISTEXT($A38),COUNTIF(Signals!$B$2:$B$1462,CONCATENATE($A38,".",H$2)),"")</f>
        <v>0</v>
      </c>
    </row>
    <row r="39" spans="1:8" x14ac:dyDescent="0.25">
      <c r="A39" s="3" t="s">
        <v>2506</v>
      </c>
      <c r="B39">
        <f t="shared" ca="1" si="0"/>
        <v>0</v>
      </c>
      <c r="C39" s="28">
        <f ca="1">IF(ISTEXT($A39),COUNTIF(Signals!$B$2:$B$1462,$A39),"")</f>
        <v>0</v>
      </c>
      <c r="D39" s="28">
        <f ca="1">IF(ISTEXT($A39),COUNTIF(Signals!$B$2:$B$1462,CONCATENATE($A39,".",D$2)),"")</f>
        <v>0</v>
      </c>
      <c r="E39" s="28">
        <f ca="1">IF(ISTEXT($A39),COUNTIF(Signals!$B$2:$B$1462,CONCATENATE($A39,".",E$2)),"")</f>
        <v>0</v>
      </c>
      <c r="F39" s="28">
        <f ca="1">IF(ISTEXT($A39),COUNTIF(Signals!$B$2:$B$1462,CONCATENATE($A39,".",F$2)),"")</f>
        <v>0</v>
      </c>
      <c r="G39" s="28">
        <f ca="1">IF(ISTEXT($A39),COUNTIF(Signals!$B$2:$B$1462,CONCATENATE($A39,".",G$2)),"")</f>
        <v>0</v>
      </c>
      <c r="H39" s="28">
        <f ca="1">IF(ISTEXT($A39),COUNTIF(Signals!$B$2:$B$1462,CONCATENATE($A39,".",H$2)),"")</f>
        <v>0</v>
      </c>
    </row>
    <row r="40" spans="1:8" x14ac:dyDescent="0.25">
      <c r="A40" s="3" t="s">
        <v>2507</v>
      </c>
      <c r="B40">
        <f t="shared" ca="1" si="0"/>
        <v>0</v>
      </c>
      <c r="C40" s="28">
        <f ca="1">IF(ISTEXT($A40),COUNTIF(Signals!$B$2:$B$1462,$A40),"")</f>
        <v>0</v>
      </c>
      <c r="D40" s="28">
        <f ca="1">IF(ISTEXT($A40),COUNTIF(Signals!$B$2:$B$1462,CONCATENATE($A40,".",D$2)),"")</f>
        <v>0</v>
      </c>
      <c r="E40" s="28">
        <f ca="1">IF(ISTEXT($A40),COUNTIF(Signals!$B$2:$B$1462,CONCATENATE($A40,".",E$2)),"")</f>
        <v>0</v>
      </c>
      <c r="F40" s="28">
        <f ca="1">IF(ISTEXT($A40),COUNTIF(Signals!$B$2:$B$1462,CONCATENATE($A40,".",F$2)),"")</f>
        <v>0</v>
      </c>
      <c r="G40" s="28">
        <f ca="1">IF(ISTEXT($A40),COUNTIF(Signals!$B$2:$B$1462,CONCATENATE($A40,".",G$2)),"")</f>
        <v>0</v>
      </c>
      <c r="H40" s="28">
        <f ca="1">IF(ISTEXT($A40),COUNTIF(Signals!$B$2:$B$1462,CONCATENATE($A40,".",H$2)),"")</f>
        <v>0</v>
      </c>
    </row>
    <row r="41" spans="1:8" x14ac:dyDescent="0.25">
      <c r="A41" s="3" t="s">
        <v>2508</v>
      </c>
      <c r="B41">
        <f t="shared" ca="1" si="0"/>
        <v>0</v>
      </c>
      <c r="C41" s="28">
        <f ca="1">IF(ISTEXT($A41),COUNTIF(Signals!$B$2:$B$1462,$A41),"")</f>
        <v>0</v>
      </c>
      <c r="D41" s="28">
        <f ca="1">IF(ISTEXT($A41),COUNTIF(Signals!$B$2:$B$1462,CONCATENATE($A41,".",D$2)),"")</f>
        <v>0</v>
      </c>
      <c r="E41" s="28">
        <f ca="1">IF(ISTEXT($A41),COUNTIF(Signals!$B$2:$B$1462,CONCATENATE($A41,".",E$2)),"")</f>
        <v>0</v>
      </c>
      <c r="F41" s="28">
        <f ca="1">IF(ISTEXT($A41),COUNTIF(Signals!$B$2:$B$1462,CONCATENATE($A41,".",F$2)),"")</f>
        <v>0</v>
      </c>
      <c r="G41" s="28">
        <f ca="1">IF(ISTEXT($A41),COUNTIF(Signals!$B$2:$B$1462,CONCATENATE($A41,".",G$2)),"")</f>
        <v>0</v>
      </c>
      <c r="H41" s="28">
        <f ca="1">IF(ISTEXT($A41),COUNTIF(Signals!$B$2:$B$1462,CONCATENATE($A41,".",H$2)),"")</f>
        <v>0</v>
      </c>
    </row>
    <row r="42" spans="1:8" x14ac:dyDescent="0.25">
      <c r="A42" s="3" t="s">
        <v>2509</v>
      </c>
      <c r="B42">
        <f t="shared" ca="1" si="0"/>
        <v>0</v>
      </c>
      <c r="C42" s="28">
        <f ca="1">IF(ISTEXT($A42),COUNTIF(Signals!$B$2:$B$1462,$A42),"")</f>
        <v>0</v>
      </c>
      <c r="D42" s="28">
        <f ca="1">IF(ISTEXT($A42),COUNTIF(Signals!$B$2:$B$1462,CONCATENATE($A42,".",D$2)),"")</f>
        <v>0</v>
      </c>
      <c r="E42" s="28">
        <f ca="1">IF(ISTEXT($A42),COUNTIF(Signals!$B$2:$B$1462,CONCATENATE($A42,".",E$2)),"")</f>
        <v>0</v>
      </c>
      <c r="F42" s="28">
        <f ca="1">IF(ISTEXT($A42),COUNTIF(Signals!$B$2:$B$1462,CONCATENATE($A42,".",F$2)),"")</f>
        <v>0</v>
      </c>
      <c r="G42" s="28">
        <f ca="1">IF(ISTEXT($A42),COUNTIF(Signals!$B$2:$B$1462,CONCATENATE($A42,".",G$2)),"")</f>
        <v>0</v>
      </c>
      <c r="H42" s="28">
        <f ca="1">IF(ISTEXT($A42),COUNTIF(Signals!$B$2:$B$1462,CONCATENATE($A42,".",H$2)),"")</f>
        <v>0</v>
      </c>
    </row>
    <row r="43" spans="1:8" x14ac:dyDescent="0.25">
      <c r="A43" s="3" t="s">
        <v>2510</v>
      </c>
      <c r="B43">
        <f t="shared" ca="1" si="0"/>
        <v>0</v>
      </c>
      <c r="C43" s="28">
        <f ca="1">IF(ISTEXT($A43),COUNTIF(Signals!$B$2:$B$1462,$A43),"")</f>
        <v>0</v>
      </c>
      <c r="D43" s="28">
        <f ca="1">IF(ISTEXT($A43),COUNTIF(Signals!$B$2:$B$1462,CONCATENATE($A43,".",D$2)),"")</f>
        <v>0</v>
      </c>
      <c r="E43" s="28">
        <f ca="1">IF(ISTEXT($A43),COUNTIF(Signals!$B$2:$B$1462,CONCATENATE($A43,".",E$2)),"")</f>
        <v>0</v>
      </c>
      <c r="F43" s="28">
        <f ca="1">IF(ISTEXT($A43),COUNTIF(Signals!$B$2:$B$1462,CONCATENATE($A43,".",F$2)),"")</f>
        <v>0</v>
      </c>
      <c r="G43" s="28">
        <f ca="1">IF(ISTEXT($A43),COUNTIF(Signals!$B$2:$B$1462,CONCATENATE($A43,".",G$2)),"")</f>
        <v>0</v>
      </c>
      <c r="H43" s="28">
        <f ca="1">IF(ISTEXT($A43),COUNTIF(Signals!$B$2:$B$1462,CONCATENATE($A43,".",H$2)),"")</f>
        <v>0</v>
      </c>
    </row>
    <row r="44" spans="1:8" x14ac:dyDescent="0.25">
      <c r="A44" s="3" t="s">
        <v>2511</v>
      </c>
      <c r="B44">
        <f t="shared" ca="1" si="0"/>
        <v>0</v>
      </c>
      <c r="C44" s="28">
        <f ca="1">IF(ISTEXT($A44),COUNTIF(Signals!$B$2:$B$1462,$A44),"")</f>
        <v>0</v>
      </c>
      <c r="D44" s="28">
        <f ca="1">IF(ISTEXT($A44),COUNTIF(Signals!$B$2:$B$1462,CONCATENATE($A44,".",D$2)),"")</f>
        <v>0</v>
      </c>
      <c r="E44" s="28">
        <f ca="1">IF(ISTEXT($A44),COUNTIF(Signals!$B$2:$B$1462,CONCATENATE($A44,".",E$2)),"")</f>
        <v>0</v>
      </c>
      <c r="F44" s="28">
        <f ca="1">IF(ISTEXT($A44),COUNTIF(Signals!$B$2:$B$1462,CONCATENATE($A44,".",F$2)),"")</f>
        <v>0</v>
      </c>
      <c r="G44" s="28">
        <f ca="1">IF(ISTEXT($A44),COUNTIF(Signals!$B$2:$B$1462,CONCATENATE($A44,".",G$2)),"")</f>
        <v>0</v>
      </c>
      <c r="H44" s="28">
        <f ca="1">IF(ISTEXT($A44),COUNTIF(Signals!$B$2:$B$1462,CONCATENATE($A44,".",H$2)),"")</f>
        <v>0</v>
      </c>
    </row>
    <row r="45" spans="1:8" x14ac:dyDescent="0.25">
      <c r="A45" s="3" t="s">
        <v>2512</v>
      </c>
      <c r="B45">
        <f t="shared" ca="1" si="0"/>
        <v>0</v>
      </c>
      <c r="C45" s="28">
        <f ca="1">IF(ISTEXT($A45),COUNTIF(Signals!$B$2:$B$1462,$A45),"")</f>
        <v>0</v>
      </c>
      <c r="D45" s="28">
        <f ca="1">IF(ISTEXT($A45),COUNTIF(Signals!$B$2:$B$1462,CONCATENATE($A45,".",D$2)),"")</f>
        <v>0</v>
      </c>
      <c r="E45" s="28">
        <f ca="1">IF(ISTEXT($A45),COUNTIF(Signals!$B$2:$B$1462,CONCATENATE($A45,".",E$2)),"")</f>
        <v>0</v>
      </c>
      <c r="F45" s="28">
        <f ca="1">IF(ISTEXT($A45),COUNTIF(Signals!$B$2:$B$1462,CONCATENATE($A45,".",F$2)),"")</f>
        <v>0</v>
      </c>
      <c r="G45" s="28">
        <f ca="1">IF(ISTEXT($A45),COUNTIF(Signals!$B$2:$B$1462,CONCATENATE($A45,".",G$2)),"")</f>
        <v>0</v>
      </c>
      <c r="H45" s="28">
        <f ca="1">IF(ISTEXT($A45),COUNTIF(Signals!$B$2:$B$1462,CONCATENATE($A45,".",H$2)),"")</f>
        <v>0</v>
      </c>
    </row>
    <row r="46" spans="1:8" x14ac:dyDescent="0.25">
      <c r="A46" s="3" t="s">
        <v>2513</v>
      </c>
      <c r="B46">
        <f t="shared" ca="1" si="0"/>
        <v>0</v>
      </c>
      <c r="C46" s="28">
        <f ca="1">IF(ISTEXT($A46),COUNTIF(Signals!$B$2:$B$1462,$A46),"")</f>
        <v>0</v>
      </c>
      <c r="D46" s="28">
        <f ca="1">IF(ISTEXT($A46),COUNTIF(Signals!$B$2:$B$1462,CONCATENATE($A46,".",D$2)),"")</f>
        <v>0</v>
      </c>
      <c r="E46" s="28">
        <f ca="1">IF(ISTEXT($A46),COUNTIF(Signals!$B$2:$B$1462,CONCATENATE($A46,".",E$2)),"")</f>
        <v>0</v>
      </c>
      <c r="F46" s="28">
        <f ca="1">IF(ISTEXT($A46),COUNTIF(Signals!$B$2:$B$1462,CONCATENATE($A46,".",F$2)),"")</f>
        <v>0</v>
      </c>
      <c r="G46" s="28">
        <f ca="1">IF(ISTEXT($A46),COUNTIF(Signals!$B$2:$B$1462,CONCATENATE($A46,".",G$2)),"")</f>
        <v>0</v>
      </c>
      <c r="H46" s="28">
        <f ca="1">IF(ISTEXT($A46),COUNTIF(Signals!$B$2:$B$1462,CONCATENATE($A46,".",H$2)),"")</f>
        <v>0</v>
      </c>
    </row>
    <row r="47" spans="1:8" x14ac:dyDescent="0.25">
      <c r="A47" s="3" t="s">
        <v>2514</v>
      </c>
      <c r="B47">
        <f t="shared" ca="1" si="0"/>
        <v>0</v>
      </c>
      <c r="C47" s="28">
        <f ca="1">IF(ISTEXT($A47),COUNTIF(Signals!$B$2:$B$1462,$A47),"")</f>
        <v>0</v>
      </c>
      <c r="D47" s="28">
        <f ca="1">IF(ISTEXT($A47),COUNTIF(Signals!$B$2:$B$1462,CONCATENATE($A47,".",D$2)),"")</f>
        <v>0</v>
      </c>
      <c r="E47" s="28">
        <f ca="1">IF(ISTEXT($A47),COUNTIF(Signals!$B$2:$B$1462,CONCATENATE($A47,".",E$2)),"")</f>
        <v>0</v>
      </c>
      <c r="F47" s="28">
        <f ca="1">IF(ISTEXT($A47),COUNTIF(Signals!$B$2:$B$1462,CONCATENATE($A47,".",F$2)),"")</f>
        <v>0</v>
      </c>
      <c r="G47" s="28">
        <f ca="1">IF(ISTEXT($A47),COUNTIF(Signals!$B$2:$B$1462,CONCATENATE($A47,".",G$2)),"")</f>
        <v>0</v>
      </c>
      <c r="H47" s="28">
        <f ca="1">IF(ISTEXT($A47),COUNTIF(Signals!$B$2:$B$1462,CONCATENATE($A47,".",H$2)),"")</f>
        <v>0</v>
      </c>
    </row>
    <row r="48" spans="1:8" x14ac:dyDescent="0.25">
      <c r="A48" s="3" t="s">
        <v>2515</v>
      </c>
      <c r="B48">
        <f t="shared" ca="1" si="0"/>
        <v>0</v>
      </c>
      <c r="C48" s="28">
        <f ca="1">IF(ISTEXT($A48),COUNTIF(Signals!$B$2:$B$1462,$A48),"")</f>
        <v>0</v>
      </c>
      <c r="D48" s="28">
        <f ca="1">IF(ISTEXT($A48),COUNTIF(Signals!$B$2:$B$1462,CONCATENATE($A48,".",D$2)),"")</f>
        <v>0</v>
      </c>
      <c r="E48" s="28">
        <f ca="1">IF(ISTEXT($A48),COUNTIF(Signals!$B$2:$B$1462,CONCATENATE($A48,".",E$2)),"")</f>
        <v>0</v>
      </c>
      <c r="F48" s="28">
        <f ca="1">IF(ISTEXT($A48),COUNTIF(Signals!$B$2:$B$1462,CONCATENATE($A48,".",F$2)),"")</f>
        <v>0</v>
      </c>
      <c r="G48" s="28">
        <f ca="1">IF(ISTEXT($A48),COUNTIF(Signals!$B$2:$B$1462,CONCATENATE($A48,".",G$2)),"")</f>
        <v>0</v>
      </c>
      <c r="H48" s="28">
        <f ca="1">IF(ISTEXT($A48),COUNTIF(Signals!$B$2:$B$1462,CONCATENATE($A48,".",H$2)),"")</f>
        <v>0</v>
      </c>
    </row>
    <row r="49" spans="1:8" x14ac:dyDescent="0.25">
      <c r="A49" s="3" t="s">
        <v>2516</v>
      </c>
      <c r="B49">
        <f t="shared" ca="1" si="0"/>
        <v>0</v>
      </c>
      <c r="C49" s="28">
        <f ca="1">IF(ISTEXT($A49),COUNTIF(Signals!$B$2:$B$1462,$A49),"")</f>
        <v>0</v>
      </c>
      <c r="D49" s="28">
        <f ca="1">IF(ISTEXT($A49),COUNTIF(Signals!$B$2:$B$1462,CONCATENATE($A49,".",D$2)),"")</f>
        <v>0</v>
      </c>
      <c r="E49" s="28">
        <f ca="1">IF(ISTEXT($A49),COUNTIF(Signals!$B$2:$B$1462,CONCATENATE($A49,".",E$2)),"")</f>
        <v>0</v>
      </c>
      <c r="F49" s="28">
        <f ca="1">IF(ISTEXT($A49),COUNTIF(Signals!$B$2:$B$1462,CONCATENATE($A49,".",F$2)),"")</f>
        <v>0</v>
      </c>
      <c r="G49" s="28">
        <f ca="1">IF(ISTEXT($A49),COUNTIF(Signals!$B$2:$B$1462,CONCATENATE($A49,".",G$2)),"")</f>
        <v>0</v>
      </c>
      <c r="H49" s="28">
        <f ca="1">IF(ISTEXT($A49),COUNTIF(Signals!$B$2:$B$1462,CONCATENATE($A49,".",H$2)),"")</f>
        <v>0</v>
      </c>
    </row>
    <row r="50" spans="1:8" x14ac:dyDescent="0.25">
      <c r="A50" s="3" t="s">
        <v>2517</v>
      </c>
      <c r="B50">
        <f t="shared" ca="1" si="0"/>
        <v>0</v>
      </c>
      <c r="C50" s="28">
        <f ca="1">IF(ISTEXT($A50),COUNTIF(Signals!$B$2:$B$1462,$A50),"")</f>
        <v>0</v>
      </c>
      <c r="D50" s="28">
        <f ca="1">IF(ISTEXT($A50),COUNTIF(Signals!$B$2:$B$1462,CONCATENATE($A50,".",D$2)),"")</f>
        <v>0</v>
      </c>
      <c r="E50" s="28">
        <f ca="1">IF(ISTEXT($A50),COUNTIF(Signals!$B$2:$B$1462,CONCATENATE($A50,".",E$2)),"")</f>
        <v>0</v>
      </c>
      <c r="F50" s="28">
        <f ca="1">IF(ISTEXT($A50),COUNTIF(Signals!$B$2:$B$1462,CONCATENATE($A50,".",F$2)),"")</f>
        <v>0</v>
      </c>
      <c r="G50" s="28">
        <f ca="1">IF(ISTEXT($A50),COUNTIF(Signals!$B$2:$B$1462,CONCATENATE($A50,".",G$2)),"")</f>
        <v>0</v>
      </c>
      <c r="H50" s="28">
        <f ca="1">IF(ISTEXT($A50),COUNTIF(Signals!$B$2:$B$1462,CONCATENATE($A50,".",H$2)),"")</f>
        <v>0</v>
      </c>
    </row>
    <row r="51" spans="1:8" x14ac:dyDescent="0.25">
      <c r="A51" s="3" t="s">
        <v>2518</v>
      </c>
      <c r="B51">
        <f t="shared" ca="1" si="0"/>
        <v>0</v>
      </c>
      <c r="C51" s="28">
        <f ca="1">IF(ISTEXT($A51),COUNTIF(Signals!$B$2:$B$1462,$A51),"")</f>
        <v>0</v>
      </c>
      <c r="D51" s="28">
        <f ca="1">IF(ISTEXT($A51),COUNTIF(Signals!$B$2:$B$1462,CONCATENATE($A51,".",D$2)),"")</f>
        <v>0</v>
      </c>
      <c r="E51" s="28">
        <f ca="1">IF(ISTEXT($A51),COUNTIF(Signals!$B$2:$B$1462,CONCATENATE($A51,".",E$2)),"")</f>
        <v>0</v>
      </c>
      <c r="F51" s="28">
        <f ca="1">IF(ISTEXT($A51),COUNTIF(Signals!$B$2:$B$1462,CONCATENATE($A51,".",F$2)),"")</f>
        <v>0</v>
      </c>
      <c r="G51" s="28">
        <f ca="1">IF(ISTEXT($A51),COUNTIF(Signals!$B$2:$B$1462,CONCATENATE($A51,".",G$2)),"")</f>
        <v>0</v>
      </c>
      <c r="H51" s="28">
        <f ca="1">IF(ISTEXT($A51),COUNTIF(Signals!$B$2:$B$1462,CONCATENATE($A51,".",H$2)),"")</f>
        <v>0</v>
      </c>
    </row>
    <row r="52" spans="1:8" x14ac:dyDescent="0.25">
      <c r="A52" s="3" t="s">
        <v>1241</v>
      </c>
      <c r="B52">
        <f t="shared" ca="1" si="0"/>
        <v>0</v>
      </c>
      <c r="C52" s="28">
        <f ca="1">IF(ISTEXT($A52),COUNTIF(Signals!$B$2:$B$1462,$A52),"")</f>
        <v>0</v>
      </c>
      <c r="D52" s="28">
        <f ca="1">IF(ISTEXT($A52),COUNTIF(Signals!$B$2:$B$1462,CONCATENATE($A52,".",D$2)),"")</f>
        <v>0</v>
      </c>
      <c r="E52" s="28">
        <f ca="1">IF(ISTEXT($A52),COUNTIF(Signals!$B$2:$B$1462,CONCATENATE($A52,".",E$2)),"")</f>
        <v>0</v>
      </c>
      <c r="F52" s="28">
        <f ca="1">IF(ISTEXT($A52),COUNTIF(Signals!$B$2:$B$1462,CONCATENATE($A52,".",F$2)),"")</f>
        <v>0</v>
      </c>
      <c r="G52" s="28">
        <f ca="1">IF(ISTEXT($A52),COUNTIF(Signals!$B$2:$B$1462,CONCATENATE($A52,".",G$2)),"")</f>
        <v>0</v>
      </c>
      <c r="H52" s="28">
        <f ca="1">IF(ISTEXT($A52),COUNTIF(Signals!$B$2:$B$1462,CONCATENATE($A52,".",H$2)),"")</f>
        <v>0</v>
      </c>
    </row>
  </sheetData>
  <protectedRanges>
    <protectedRange sqref="I3:I52" name="customer usage comments"/>
  </protectedRanges>
  <mergeCells count="6">
    <mergeCell ref="A1:A2"/>
    <mergeCell ref="I1:I2"/>
    <mergeCell ref="J1:J2"/>
    <mergeCell ref="L1:L2"/>
    <mergeCell ref="C1:H1"/>
    <mergeCell ref="K1:K2"/>
  </mergeCells>
  <conditionalFormatting sqref="A3:A52">
    <cfRule type="expression" dxfId="5" priority="6" stopIfTrue="1">
      <formula>$B3&gt;1</formula>
    </cfRule>
    <cfRule type="expression" dxfId="4" priority="7" stopIfTrue="1">
      <formula>COUNTIF($C3:$H3,"&gt;0")=1</formula>
    </cfRule>
  </conditionalFormatting>
  <conditionalFormatting sqref="I3:I52">
    <cfRule type="expression" dxfId="3" priority="3" stopIfTrue="1">
      <formula>ISTEXT($A3)</formula>
    </cfRule>
  </conditionalFormatting>
  <conditionalFormatting sqref="C3:H52">
    <cfRule type="expression" dxfId="2" priority="4" stopIfTrue="1">
      <formula>COUNTIF($D3:$H3,"&gt;0")&gt;1</formula>
    </cfRule>
    <cfRule type="cellIs" dxfId="1" priority="5" stopIfTrue="1" operator="equal">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46"/>
  <sheetViews>
    <sheetView zoomScale="95" zoomScaleNormal="95" workbookViewId="0">
      <pane ySplit="6" topLeftCell="A7" activePane="bottomLeft" state="frozen"/>
      <selection pane="bottomLeft"/>
    </sheetView>
  </sheetViews>
  <sheetFormatPr defaultRowHeight="15" x14ac:dyDescent="0.25"/>
  <cols>
    <col min="1" max="1" width="16.28515625" style="7" bestFit="1" customWidth="1"/>
    <col min="2" max="4" width="6.7109375" style="7" hidden="1" customWidth="1"/>
    <col min="5" max="5" width="20.7109375" style="7" hidden="1" customWidth="1"/>
    <col min="6" max="6" width="8.7109375" style="7" customWidth="1"/>
    <col min="7" max="10" width="15.7109375" style="7" customWidth="1"/>
    <col min="11" max="15" width="8.7109375" style="7" customWidth="1"/>
    <col min="16" max="16" width="12.7109375" style="7" customWidth="1"/>
    <col min="17" max="17" width="6.7109375" style="7" customWidth="1"/>
    <col min="18" max="24" width="8.7109375" style="7" customWidth="1"/>
    <col min="25" max="25" width="8.7109375" style="91" customWidth="1"/>
  </cols>
  <sheetData>
    <row r="1" spans="1:26" x14ac:dyDescent="0.25">
      <c r="A1" s="122" t="s">
        <v>2351</v>
      </c>
      <c r="B1" s="454" t="s">
        <v>2456</v>
      </c>
      <c r="C1" s="454"/>
      <c r="D1" s="454"/>
      <c r="E1" s="454"/>
      <c r="F1" s="454"/>
      <c r="G1" s="454"/>
      <c r="H1" s="454"/>
      <c r="I1" s="454"/>
      <c r="J1" s="454"/>
      <c r="K1" s="454"/>
      <c r="L1" s="454"/>
      <c r="M1" s="454"/>
      <c r="N1" s="454"/>
      <c r="O1" s="454"/>
      <c r="P1" s="454"/>
      <c r="Q1" s="454"/>
      <c r="R1" s="454"/>
      <c r="S1" s="454"/>
      <c r="T1" s="38"/>
      <c r="U1" s="38"/>
      <c r="V1" s="38"/>
      <c r="W1" s="38"/>
      <c r="X1" s="38"/>
      <c r="Y1" s="86"/>
    </row>
    <row r="2" spans="1:26" x14ac:dyDescent="0.25">
      <c r="A2" s="122" t="s">
        <v>2420</v>
      </c>
      <c r="B2" s="454" t="s">
        <v>2457</v>
      </c>
      <c r="C2" s="454"/>
      <c r="D2" s="454"/>
      <c r="E2" s="454"/>
      <c r="F2" s="454"/>
      <c r="G2" s="454"/>
      <c r="H2" s="454"/>
      <c r="I2" s="454"/>
      <c r="J2" s="454"/>
      <c r="K2" s="454"/>
      <c r="L2" s="454"/>
      <c r="M2" s="454"/>
      <c r="N2" s="454"/>
      <c r="O2" s="454"/>
      <c r="P2" s="454"/>
      <c r="Q2" s="454"/>
      <c r="R2" s="454"/>
      <c r="S2" s="454"/>
      <c r="T2" s="38"/>
      <c r="U2" s="38"/>
      <c r="V2" s="38"/>
      <c r="W2" s="38"/>
      <c r="X2" s="38"/>
      <c r="Y2" s="86"/>
    </row>
    <row r="3" spans="1:26" x14ac:dyDescent="0.25">
      <c r="A3" s="122" t="s">
        <v>2453</v>
      </c>
      <c r="B3" s="118"/>
      <c r="C3" s="118"/>
      <c r="D3" s="118"/>
      <c r="E3" s="118"/>
      <c r="F3" s="454" t="s">
        <v>2454</v>
      </c>
      <c r="G3" s="454"/>
      <c r="H3" s="454"/>
      <c r="I3" s="454"/>
      <c r="J3" s="454"/>
      <c r="K3" s="454"/>
      <c r="L3" s="454"/>
      <c r="M3" s="454"/>
      <c r="N3" s="454"/>
      <c r="O3" s="454"/>
      <c r="P3" s="454"/>
      <c r="Q3" s="454"/>
      <c r="R3" s="454"/>
      <c r="S3" s="454"/>
      <c r="T3" s="38"/>
      <c r="U3" s="38"/>
      <c r="V3" s="38"/>
      <c r="W3" s="38"/>
      <c r="X3" s="38"/>
      <c r="Y3" s="86"/>
    </row>
    <row r="4" spans="1:26" ht="30" customHeight="1" x14ac:dyDescent="0.25">
      <c r="A4" s="22"/>
      <c r="B4" s="419"/>
      <c r="C4" s="419"/>
      <c r="D4" s="419"/>
      <c r="E4" s="22"/>
      <c r="F4" s="418" t="e">
        <f>'MPIO_SFIO Table'!G6:K6</f>
        <v>#VALUE!</v>
      </c>
      <c r="G4" s="419"/>
      <c r="H4" s="419"/>
      <c r="I4" s="419"/>
      <c r="J4" s="419"/>
      <c r="K4" s="421" t="e">
        <f>'MPIO_SFIO Table'!L6:O6</f>
        <v>#VALUE!</v>
      </c>
      <c r="L4" s="423"/>
      <c r="M4" s="423"/>
      <c r="N4" s="423"/>
      <c r="O4" s="461"/>
      <c r="P4" s="421" t="e">
        <f>'MPIO_SFIO Table'!Q6:T6</f>
        <v>#VALUE!</v>
      </c>
      <c r="Q4" s="419"/>
      <c r="R4" s="419"/>
      <c r="S4" s="419"/>
      <c r="T4" s="421" t="e">
        <f>'MPIO_SFIO Table'!U6:Z6</f>
        <v>#VALUE!</v>
      </c>
      <c r="U4" s="419"/>
      <c r="V4" s="419"/>
      <c r="W4" s="419"/>
      <c r="X4" s="419"/>
      <c r="Y4" s="419"/>
      <c r="Z4" s="102"/>
    </row>
    <row r="5" spans="1:26" ht="57.75" customHeight="1" x14ac:dyDescent="0.25">
      <c r="A5" s="19" t="str">
        <f>'MPIO_SFIO Table'!A8</f>
        <v>Ball Name</v>
      </c>
      <c r="B5" s="19" t="str">
        <f>'MPIO_SFIO Table'!C8</f>
        <v>T30</v>
      </c>
      <c r="C5" s="19" t="str">
        <f>'MPIO_SFIO Table'!D8</f>
        <v>T30S</v>
      </c>
      <c r="D5" s="19" t="str">
        <f>'MPIO_SFIO Table'!E8</f>
        <v>AP30</v>
      </c>
      <c r="E5" s="19" t="str">
        <f>'MPIO_SFIO Table'!F8</f>
        <v>Unused</v>
      </c>
      <c r="F5" s="20" t="str">
        <f>'MPIO_SFIO Table'!G8</f>
        <v>GPIO</v>
      </c>
      <c r="G5" s="19" t="str">
        <f>'MPIO_SFIO Table'!H8</f>
        <v>SFIO0</v>
      </c>
      <c r="H5" s="19" t="str">
        <f>'MPIO_SFIO Table'!I8</f>
        <v>SFIO1</v>
      </c>
      <c r="I5" s="19" t="str">
        <f>'MPIO_SFIO Table'!J8</f>
        <v>SFIO2</v>
      </c>
      <c r="J5" s="99" t="str">
        <f>'MPIO_SFIO Table'!K8</f>
        <v>SFIO3</v>
      </c>
      <c r="K5" s="20" t="str">
        <f>'MPIO_SFIO Table'!L8</f>
        <v>Output Buffer</v>
      </c>
      <c r="L5" s="19" t="str">
        <f>'MPIO_SFIO Table'!M8</f>
        <v>Input
Buffer</v>
      </c>
      <c r="M5" s="19" t="str">
        <f>'MPIO_SFIO Table'!N8</f>
        <v>PU/PD</v>
      </c>
      <c r="N5" s="19" t="str">
        <f>'MPIO_SFIO Table'!O8</f>
        <v>After
Wake</v>
      </c>
      <c r="O5" s="99" t="s">
        <v>2934</v>
      </c>
      <c r="P5" s="20" t="str">
        <f>'MPIO_SFIO Table'!Q8</f>
        <v>Power Rail</v>
      </c>
      <c r="Q5" s="19" t="str">
        <f>'MPIO_SFIO Table'!R8</f>
        <v>Pad Type</v>
      </c>
      <c r="R5" s="19" t="str">
        <f>'MPIO_SFIO Table'!S8</f>
        <v>PU/PD
 (kΩ)</v>
      </c>
      <c r="S5" s="99" t="str">
        <f>'MPIO_SFIO Table'!T8</f>
        <v>Pad Ctrl Group</v>
      </c>
      <c r="T5" s="20" t="str">
        <f>'MPIO_SFIO Table'!U8</f>
        <v>Pinmux</v>
      </c>
      <c r="U5" s="19" t="str">
        <f>'MPIO_SFIO Table'!V8</f>
        <v>Tristate</v>
      </c>
      <c r="V5" s="19" t="str">
        <f>'MPIO_SFIO Table'!W8</f>
        <v>E_Input</v>
      </c>
      <c r="W5" s="19" t="str">
        <f>'MPIO_SFIO Table'!X8</f>
        <v>PU/PD</v>
      </c>
      <c r="X5" s="19" t="str">
        <f>'MPIO_SFIO Table'!Y8</f>
        <v>Pin
State
During
Reset</v>
      </c>
      <c r="Y5" s="19" t="str">
        <f>'MPIO_SFIO Table'!Z8</f>
        <v>Pin
State
After
Reset</v>
      </c>
      <c r="Z5" s="102"/>
    </row>
    <row r="6" spans="1:26" ht="15" hidden="1" customHeight="1" x14ac:dyDescent="0.3">
      <c r="A6" s="26"/>
      <c r="B6" s="19"/>
      <c r="C6" s="19"/>
      <c r="D6" s="19"/>
      <c r="E6" s="19"/>
      <c r="F6" s="20"/>
      <c r="G6" s="19"/>
      <c r="H6" s="19"/>
      <c r="I6" s="19"/>
      <c r="J6" s="19"/>
      <c r="K6" s="20"/>
      <c r="L6" s="19"/>
      <c r="M6" s="19"/>
      <c r="N6" s="19"/>
      <c r="O6" s="19"/>
      <c r="P6" s="20"/>
      <c r="Q6" s="19"/>
      <c r="R6" s="19"/>
      <c r="S6" s="19"/>
      <c r="T6" s="21"/>
      <c r="U6" s="22"/>
      <c r="V6" s="22"/>
      <c r="W6" s="22"/>
      <c r="X6" s="22"/>
      <c r="Y6" s="101"/>
    </row>
    <row r="7" spans="1:26" ht="15.75" x14ac:dyDescent="0.25">
      <c r="A7" s="32" t="str">
        <f>'MPIO_SFIO Table'!A10</f>
        <v>AUDIO</v>
      </c>
      <c r="B7" s="32"/>
      <c r="C7" s="32"/>
      <c r="D7" s="32"/>
      <c r="E7" s="32"/>
      <c r="F7" s="33"/>
      <c r="G7" s="32"/>
      <c r="H7" s="32"/>
      <c r="I7" s="32"/>
      <c r="J7" s="32"/>
      <c r="K7" s="33"/>
      <c r="L7" s="32"/>
      <c r="M7" s="32"/>
      <c r="N7" s="32"/>
      <c r="O7" s="32"/>
      <c r="P7" s="33"/>
      <c r="Q7" s="32"/>
      <c r="R7" s="32"/>
      <c r="S7" s="32"/>
      <c r="T7" s="34"/>
      <c r="U7" s="35"/>
      <c r="V7" s="35"/>
      <c r="W7" s="35"/>
      <c r="X7" s="265"/>
      <c r="Y7" s="100"/>
    </row>
    <row r="8" spans="1:26" x14ac:dyDescent="0.25">
      <c r="A8" s="1" t="str">
        <f>'MPIO_SFIO Table'!A11</f>
        <v>CLK1_OUT</v>
      </c>
      <c r="B8" s="1" t="str">
        <f>'MPIO_SFIO Table'!C11</f>
        <v>C27</v>
      </c>
      <c r="C8" s="1" t="str">
        <f>'MPIO_SFIO Table'!D11</f>
        <v>E35</v>
      </c>
      <c r="D8" s="1" t="str">
        <f>'MPIO_SFIO Table'!E11</f>
        <v>E35</v>
      </c>
      <c r="E8" s="1" t="str">
        <f>'MPIO_SFIO Table'!F11</f>
        <v>unused_CLK1_OUT</v>
      </c>
      <c r="F8" s="2" t="str">
        <f>'MPIO_SFIO Table'!G11</f>
        <v>GPIO-W.04</v>
      </c>
      <c r="G8" s="1" t="str">
        <f>'MPIO_SFIO Table'!H11</f>
        <v>CLK-EXTCLK1</v>
      </c>
      <c r="H8" s="1" t="str">
        <f>'MPIO_SFIO Table'!I11</f>
        <v>RSVD1</v>
      </c>
      <c r="I8" s="1" t="str">
        <f>'MPIO_SFIO Table'!J11</f>
        <v>RSVD2</v>
      </c>
      <c r="J8" s="1" t="str">
        <f>'MPIO_SFIO Table'!K11</f>
        <v>RSVD3</v>
      </c>
      <c r="K8" s="2" t="str">
        <f>'MPIO_SFIO Table'!L11</f>
        <v>special</v>
      </c>
      <c r="L8" s="1" t="str">
        <f>'MPIO_SFIO Table'!M11</f>
        <v>special</v>
      </c>
      <c r="M8" s="1" t="str">
        <f>'MPIO_SFIO Table'!N11</f>
        <v>config</v>
      </c>
      <c r="N8" s="1" t="str">
        <f>'MPIO_SFIO Table'!O11</f>
        <v>hold</v>
      </c>
      <c r="O8" s="166" t="str">
        <f>'MPIO_SFIO Table'!P11</f>
        <v/>
      </c>
      <c r="P8" s="2" t="str">
        <f>'MPIO_SFIO Table'!Q11</f>
        <v>VDDIO_AUDIO</v>
      </c>
      <c r="Q8" s="1" t="str">
        <f>'MPIO_SFIO Table'!R11</f>
        <v>ST</v>
      </c>
      <c r="R8" s="1">
        <f>'MPIO_SFIO Table'!S11</f>
        <v>100</v>
      </c>
      <c r="S8" s="1" t="str">
        <f>'MPIO_SFIO Table'!T11</f>
        <v>cdev1cfg</v>
      </c>
      <c r="T8" s="2">
        <f>'MPIO_SFIO Table'!U11</f>
        <v>0</v>
      </c>
      <c r="U8" s="1">
        <f>'MPIO_SFIO Table'!V11</f>
        <v>1</v>
      </c>
      <c r="V8" s="1">
        <f>'MPIO_SFIO Table'!W11</f>
        <v>1</v>
      </c>
      <c r="W8" s="1" t="str">
        <f>'MPIO_SFIO Table'!X11</f>
        <v>down</v>
      </c>
      <c r="X8" s="1" t="str">
        <f>'MPIO_SFIO Table'!Y11</f>
        <v>pd</v>
      </c>
      <c r="Y8" s="88" t="str">
        <f>'MPIO_SFIO Table'!Z11</f>
        <v>pd</v>
      </c>
      <c r="Z8" s="1"/>
    </row>
    <row r="9" spans="1:26" x14ac:dyDescent="0.25">
      <c r="A9" s="1" t="str">
        <f>'MPIO_SFIO Table'!A12</f>
        <v>CLK1_REQ</v>
      </c>
      <c r="B9" s="1" t="str">
        <f>'MPIO_SFIO Table'!C12</f>
        <v>F26</v>
      </c>
      <c r="C9" s="71">
        <f>'MPIO_SFIO Table'!D12</f>
        <v>0</v>
      </c>
      <c r="D9" s="71">
        <f>'MPIO_SFIO Table'!E12</f>
        <v>0</v>
      </c>
      <c r="E9" s="1" t="str">
        <f>'MPIO_SFIO Table'!F12</f>
        <v>unused_CLK1_REQ</v>
      </c>
      <c r="F9" s="2" t="str">
        <f>'MPIO_SFIO Table'!G12</f>
        <v>GPIO-EE.02</v>
      </c>
      <c r="G9" s="1" t="str">
        <f>'MPIO_SFIO Table'!H12</f>
        <v>CLK-DAP_MCLK1_REQ</v>
      </c>
      <c r="H9" s="1" t="str">
        <f>'MPIO_SFIO Table'!I12</f>
        <v>HDA.A-RESET</v>
      </c>
      <c r="I9" s="1" t="str">
        <f>'MPIO_SFIO Table'!J12</f>
        <v>RSVD2</v>
      </c>
      <c r="J9" s="1" t="str">
        <f>'MPIO_SFIO Table'!K12</f>
        <v>RSVD3</v>
      </c>
      <c r="K9" s="2" t="str">
        <f>'MPIO_SFIO Table'!L12</f>
        <v>config</v>
      </c>
      <c r="L9" s="1" t="str">
        <f>'MPIO_SFIO Table'!M12</f>
        <v>special</v>
      </c>
      <c r="M9" s="1" t="str">
        <f>'MPIO_SFIO Table'!N12</f>
        <v>config</v>
      </c>
      <c r="N9" s="1" t="str">
        <f>'MPIO_SFIO Table'!O12</f>
        <v>reset</v>
      </c>
      <c r="O9" s="1" t="str">
        <f>'MPIO_SFIO Table'!P12</f>
        <v/>
      </c>
      <c r="P9" s="2" t="str">
        <f>'MPIO_SFIO Table'!Q12</f>
        <v>VDDIO_AUDIO</v>
      </c>
      <c r="Q9" s="1" t="str">
        <f>'MPIO_SFIO Table'!R12</f>
        <v>ST</v>
      </c>
      <c r="R9" s="1">
        <f>'MPIO_SFIO Table'!S12</f>
        <v>100</v>
      </c>
      <c r="S9" s="1" t="str">
        <f>'MPIO_SFIO Table'!T12</f>
        <v>cdev1cfg</v>
      </c>
      <c r="T9" s="2">
        <f>'MPIO_SFIO Table'!U12</f>
        <v>0</v>
      </c>
      <c r="U9" s="1">
        <f>'MPIO_SFIO Table'!V12</f>
        <v>0</v>
      </c>
      <c r="V9" s="1">
        <f>'MPIO_SFIO Table'!W12</f>
        <v>1</v>
      </c>
      <c r="W9" s="1" t="str">
        <f>'MPIO_SFIO Table'!X12</f>
        <v>none</v>
      </c>
      <c r="X9" s="1" t="str">
        <f>'MPIO_SFIO Table'!Y12</f>
        <v>z</v>
      </c>
      <c r="Y9" s="88" t="str">
        <f>'MPIO_SFIO Table'!Z12</f>
        <v>z</v>
      </c>
    </row>
    <row r="10" spans="1:26" ht="15" customHeight="1" x14ac:dyDescent="0.25">
      <c r="A10" s="1" t="str">
        <f>'MPIO_SFIO Table'!A13</f>
        <v>DAP1_DIN</v>
      </c>
      <c r="B10" s="1" t="str">
        <f>'MPIO_SFIO Table'!C13</f>
        <v>G25</v>
      </c>
      <c r="C10" s="1" t="str">
        <f>'MPIO_SFIO Table'!D13</f>
        <v>A33</v>
      </c>
      <c r="D10" s="1" t="str">
        <f>'MPIO_SFIO Table'!E13</f>
        <v>A33</v>
      </c>
      <c r="E10" s="1" t="str">
        <f>'MPIO_SFIO Table'!F13</f>
        <v>unused_DAP1_DIN</v>
      </c>
      <c r="F10" s="2" t="str">
        <f>'MPIO_SFIO Table'!G13</f>
        <v>GPIO-N.01</v>
      </c>
      <c r="G10" s="1" t="str">
        <f>'MPIO_SFIO Table'!H13</f>
        <v>I2S0-SDATA_IN</v>
      </c>
      <c r="H10" s="1" t="str">
        <f>'MPIO_SFIO Table'!I13</f>
        <v>HDA.A-SDI</v>
      </c>
      <c r="I10" s="1" t="str">
        <f>'MPIO_SFIO Table'!J13</f>
        <v>GMI-D29</v>
      </c>
      <c r="J10" s="1" t="str">
        <f>'MPIO_SFIO Table'!K13</f>
        <v>SDMMC2.C-DAT0</v>
      </c>
      <c r="K10" s="2" t="str">
        <f>'MPIO_SFIO Table'!L13</f>
        <v>config</v>
      </c>
      <c r="L10" s="1" t="str">
        <f>'MPIO_SFIO Table'!M13</f>
        <v>disabled</v>
      </c>
      <c r="M10" s="1" t="str">
        <f>'MPIO_SFIO Table'!N13</f>
        <v>disabled</v>
      </c>
      <c r="N10" s="1" t="str">
        <f>'MPIO_SFIO Table'!O13</f>
        <v>hold</v>
      </c>
      <c r="O10" s="1" t="str">
        <f>'MPIO_SFIO Table'!P13</f>
        <v/>
      </c>
      <c r="P10" s="2" t="str">
        <f>'MPIO_SFIO Table'!Q13</f>
        <v>VDDIO_AUDIO</v>
      </c>
      <c r="Q10" s="1" t="str">
        <f>'MPIO_SFIO Table'!R13</f>
        <v>ST</v>
      </c>
      <c r="R10" s="1">
        <f>'MPIO_SFIO Table'!S13</f>
        <v>50</v>
      </c>
      <c r="S10" s="1" t="str">
        <f>'MPIO_SFIO Table'!T13</f>
        <v>dap1cfg</v>
      </c>
      <c r="T10" s="2">
        <f>'MPIO_SFIO Table'!U13</f>
        <v>0</v>
      </c>
      <c r="U10" s="1">
        <f>'MPIO_SFIO Table'!V13</f>
        <v>1</v>
      </c>
      <c r="V10" s="1">
        <f>'MPIO_SFIO Table'!W13</f>
        <v>1</v>
      </c>
      <c r="W10" s="1" t="str">
        <f>'MPIO_SFIO Table'!X13</f>
        <v>down</v>
      </c>
      <c r="X10" s="1" t="str">
        <f>'MPIO_SFIO Table'!Y13</f>
        <v>pd</v>
      </c>
      <c r="Y10" s="88" t="str">
        <f>'MPIO_SFIO Table'!Z13</f>
        <v>pd</v>
      </c>
    </row>
    <row r="11" spans="1:26" x14ac:dyDescent="0.25">
      <c r="A11" s="1" t="str">
        <f>'MPIO_SFIO Table'!A14</f>
        <v>DAP1_DOUT</v>
      </c>
      <c r="B11" s="1" t="str">
        <f>'MPIO_SFIO Table'!C14</f>
        <v>G26</v>
      </c>
      <c r="C11" s="1" t="str">
        <f>'MPIO_SFIO Table'!D14</f>
        <v>D32</v>
      </c>
      <c r="D11" s="1" t="str">
        <f>'MPIO_SFIO Table'!E14</f>
        <v>D32</v>
      </c>
      <c r="E11" s="1" t="str">
        <f>'MPIO_SFIO Table'!F14</f>
        <v>unused_DAP1_DOUT</v>
      </c>
      <c r="F11" s="2" t="str">
        <f>'MPIO_SFIO Table'!G14</f>
        <v>GPIO-N.02</v>
      </c>
      <c r="G11" s="1" t="str">
        <f>'MPIO_SFIO Table'!H14</f>
        <v>I2S0-SDATA_OUT</v>
      </c>
      <c r="H11" s="1" t="str">
        <f>'MPIO_SFIO Table'!I14</f>
        <v>HDA.A-SDO</v>
      </c>
      <c r="I11" s="1" t="str">
        <f>'MPIO_SFIO Table'!J14</f>
        <v>GMI-D30</v>
      </c>
      <c r="J11" s="1" t="str">
        <f>'MPIO_SFIO Table'!K14</f>
        <v>SDMMC2.C-DAT1</v>
      </c>
      <c r="K11" s="2" t="str">
        <f>'MPIO_SFIO Table'!L14</f>
        <v>config</v>
      </c>
      <c r="L11" s="1" t="str">
        <f>'MPIO_SFIO Table'!M14</f>
        <v>special</v>
      </c>
      <c r="M11" s="1" t="str">
        <f>'MPIO_SFIO Table'!N14</f>
        <v>config</v>
      </c>
      <c r="N11" s="1" t="str">
        <f>'MPIO_SFIO Table'!O14</f>
        <v>hold</v>
      </c>
      <c r="O11" s="1">
        <f>'MPIO_SFIO Table'!P14</f>
        <v>30</v>
      </c>
      <c r="P11" s="2" t="str">
        <f>'MPIO_SFIO Table'!Q14</f>
        <v>VDDIO_AUDIO</v>
      </c>
      <c r="Q11" s="1" t="str">
        <f>'MPIO_SFIO Table'!R14</f>
        <v>ST</v>
      </c>
      <c r="R11" s="1">
        <f>'MPIO_SFIO Table'!S14</f>
        <v>50</v>
      </c>
      <c r="S11" s="1" t="str">
        <f>'MPIO_SFIO Table'!T14</f>
        <v>dap1cfg</v>
      </c>
      <c r="T11" s="2">
        <f>'MPIO_SFIO Table'!U14</f>
        <v>0</v>
      </c>
      <c r="U11" s="1">
        <f>'MPIO_SFIO Table'!V14</f>
        <v>1</v>
      </c>
      <c r="V11" s="1">
        <f>'MPIO_SFIO Table'!W14</f>
        <v>1</v>
      </c>
      <c r="W11" s="1" t="str">
        <f>'MPIO_SFIO Table'!X14</f>
        <v>down</v>
      </c>
      <c r="X11" s="1" t="str">
        <f>'MPIO_SFIO Table'!Y14</f>
        <v>pd</v>
      </c>
      <c r="Y11" s="88" t="str">
        <f>'MPIO_SFIO Table'!Z14</f>
        <v>pd</v>
      </c>
    </row>
    <row r="12" spans="1:26" x14ac:dyDescent="0.25">
      <c r="A12" s="1" t="str">
        <f>'MPIO_SFIO Table'!A15</f>
        <v>DAP1_FS</v>
      </c>
      <c r="B12" s="1" t="str">
        <f>'MPIO_SFIO Table'!C15</f>
        <v>D28</v>
      </c>
      <c r="C12" s="1" t="str">
        <f>'MPIO_SFIO Table'!D15</f>
        <v>B34</v>
      </c>
      <c r="D12" s="1" t="str">
        <f>'MPIO_SFIO Table'!E15</f>
        <v>B34</v>
      </c>
      <c r="E12" s="1" t="str">
        <f>'MPIO_SFIO Table'!F15</f>
        <v>unused_DAP1_FS</v>
      </c>
      <c r="F12" s="2" t="str">
        <f>'MPIO_SFIO Table'!G15</f>
        <v>GPIO-N.00</v>
      </c>
      <c r="G12" s="1" t="str">
        <f>'MPIO_SFIO Table'!H15</f>
        <v>I2S0-LRCK</v>
      </c>
      <c r="H12" s="1" t="str">
        <f>'MPIO_SFIO Table'!I15</f>
        <v>HDA.A-SYNC</v>
      </c>
      <c r="I12" s="1" t="str">
        <f>'MPIO_SFIO Table'!J15</f>
        <v>GMI-D28</v>
      </c>
      <c r="J12" s="1" t="str">
        <f>'MPIO_SFIO Table'!K15</f>
        <v>SDMMC2.C-CMD</v>
      </c>
      <c r="K12" s="2" t="str">
        <f>'MPIO_SFIO Table'!L15</f>
        <v>config</v>
      </c>
      <c r="L12" s="1" t="str">
        <f>'MPIO_SFIO Table'!M15</f>
        <v>disabled</v>
      </c>
      <c r="M12" s="1" t="str">
        <f>'MPIO_SFIO Table'!N15</f>
        <v>disabled</v>
      </c>
      <c r="N12" s="1" t="str">
        <f>'MPIO_SFIO Table'!O15</f>
        <v>hold</v>
      </c>
      <c r="O12" s="1" t="str">
        <f>'MPIO_SFIO Table'!P15</f>
        <v/>
      </c>
      <c r="P12" s="2" t="str">
        <f>'MPIO_SFIO Table'!Q15</f>
        <v>VDDIO_AUDIO</v>
      </c>
      <c r="Q12" s="1" t="str">
        <f>'MPIO_SFIO Table'!R15</f>
        <v>ST</v>
      </c>
      <c r="R12" s="1">
        <f>'MPIO_SFIO Table'!S15</f>
        <v>50</v>
      </c>
      <c r="S12" s="1" t="str">
        <f>'MPIO_SFIO Table'!T15</f>
        <v>dap1cfg</v>
      </c>
      <c r="T12" s="2">
        <f>'MPIO_SFIO Table'!U15</f>
        <v>0</v>
      </c>
      <c r="U12" s="1">
        <f>'MPIO_SFIO Table'!V15</f>
        <v>1</v>
      </c>
      <c r="V12" s="1">
        <f>'MPIO_SFIO Table'!W15</f>
        <v>1</v>
      </c>
      <c r="W12" s="1" t="str">
        <f>'MPIO_SFIO Table'!X15</f>
        <v>down</v>
      </c>
      <c r="X12" s="1" t="str">
        <f>'MPIO_SFIO Table'!Y15</f>
        <v>pd</v>
      </c>
      <c r="Y12" s="88" t="str">
        <f>'MPIO_SFIO Table'!Z15</f>
        <v>pd</v>
      </c>
    </row>
    <row r="13" spans="1:26" x14ac:dyDescent="0.25">
      <c r="A13" s="1" t="str">
        <f>'MPIO_SFIO Table'!A16</f>
        <v>DAP1_SCLK</v>
      </c>
      <c r="B13" s="1" t="str">
        <f>'MPIO_SFIO Table'!C16</f>
        <v>G29</v>
      </c>
      <c r="C13" s="1" t="str">
        <f>'MPIO_SFIO Table'!D16</f>
        <v>L29</v>
      </c>
      <c r="D13" s="1" t="str">
        <f>'MPIO_SFIO Table'!E16</f>
        <v>L29</v>
      </c>
      <c r="E13" s="1" t="str">
        <f>'MPIO_SFIO Table'!F16</f>
        <v>unused_DAP1_SCLK</v>
      </c>
      <c r="F13" s="2" t="str">
        <f>'MPIO_SFIO Table'!G16</f>
        <v>GPIO-N.03</v>
      </c>
      <c r="G13" s="1" t="str">
        <f>'MPIO_SFIO Table'!H16</f>
        <v>I2S0-SCLK</v>
      </c>
      <c r="H13" s="1" t="str">
        <f>'MPIO_SFIO Table'!I16</f>
        <v>HDA.A-BCLK</v>
      </c>
      <c r="I13" s="1" t="str">
        <f>'MPIO_SFIO Table'!J16</f>
        <v>GMI-D31</v>
      </c>
      <c r="J13" s="1" t="str">
        <f>'MPIO_SFIO Table'!K16</f>
        <v>SDMMC2.C-SCLK</v>
      </c>
      <c r="K13" s="2" t="str">
        <f>'MPIO_SFIO Table'!L16</f>
        <v>config</v>
      </c>
      <c r="L13" s="1" t="str">
        <f>'MPIO_SFIO Table'!M16</f>
        <v>disabled</v>
      </c>
      <c r="M13" s="1" t="str">
        <f>'MPIO_SFIO Table'!N16</f>
        <v>disabled</v>
      </c>
      <c r="N13" s="1" t="str">
        <f>'MPIO_SFIO Table'!O16</f>
        <v>hold</v>
      </c>
      <c r="O13" s="1" t="str">
        <f>'MPIO_SFIO Table'!P16</f>
        <v/>
      </c>
      <c r="P13" s="2" t="str">
        <f>'MPIO_SFIO Table'!Q16</f>
        <v>VDDIO_AUDIO</v>
      </c>
      <c r="Q13" s="1" t="str">
        <f>'MPIO_SFIO Table'!R16</f>
        <v>ST</v>
      </c>
      <c r="R13" s="1">
        <f>'MPIO_SFIO Table'!S16</f>
        <v>50</v>
      </c>
      <c r="S13" s="1" t="str">
        <f>'MPIO_SFIO Table'!T16</f>
        <v>dap1cfg</v>
      </c>
      <c r="T13" s="2">
        <f>'MPIO_SFIO Table'!U16</f>
        <v>0</v>
      </c>
      <c r="U13" s="1">
        <f>'MPIO_SFIO Table'!V16</f>
        <v>1</v>
      </c>
      <c r="V13" s="1">
        <f>'MPIO_SFIO Table'!W16</f>
        <v>1</v>
      </c>
      <c r="W13" s="1" t="str">
        <f>'MPIO_SFIO Table'!X16</f>
        <v>down</v>
      </c>
      <c r="X13" s="1" t="str">
        <f>'MPIO_SFIO Table'!Y16</f>
        <v>pd</v>
      </c>
      <c r="Y13" s="88" t="str">
        <f>'MPIO_SFIO Table'!Z16</f>
        <v>pd</v>
      </c>
    </row>
    <row r="14" spans="1:26" x14ac:dyDescent="0.25">
      <c r="A14" s="1" t="str">
        <f>'MPIO_SFIO Table'!A17</f>
        <v>DAP2_DIN</v>
      </c>
      <c r="B14" s="1" t="str">
        <f>'MPIO_SFIO Table'!C17</f>
        <v>F27</v>
      </c>
      <c r="C14" s="1" t="str">
        <f>'MPIO_SFIO Table'!D17</f>
        <v>C33</v>
      </c>
      <c r="D14" s="1" t="str">
        <f>'MPIO_SFIO Table'!E17</f>
        <v>C33</v>
      </c>
      <c r="E14" s="1" t="str">
        <f>'MPIO_SFIO Table'!F17</f>
        <v>unused_DAP2_DIN</v>
      </c>
      <c r="F14" s="2" t="str">
        <f>'MPIO_SFIO Table'!G17</f>
        <v>GPIO-A.04</v>
      </c>
      <c r="G14" s="1" t="str">
        <f>'MPIO_SFIO Table'!H17</f>
        <v>I2S1-SDATA_IN</v>
      </c>
      <c r="H14" s="1" t="str">
        <f>'MPIO_SFIO Table'!I17</f>
        <v>HDA.B-SDI</v>
      </c>
      <c r="I14" s="1" t="str">
        <f>'MPIO_SFIO Table'!J17</f>
        <v>RSVD2</v>
      </c>
      <c r="J14" s="1" t="str">
        <f>'MPIO_SFIO Table'!K17</f>
        <v>GMI-A19</v>
      </c>
      <c r="K14" s="2" t="str">
        <f>'MPIO_SFIO Table'!L17</f>
        <v>config</v>
      </c>
      <c r="L14" s="1" t="str">
        <f>'MPIO_SFIO Table'!M17</f>
        <v>disabled</v>
      </c>
      <c r="M14" s="1" t="str">
        <f>'MPIO_SFIO Table'!N17</f>
        <v>disabled</v>
      </c>
      <c r="N14" s="1" t="str">
        <f>'MPIO_SFIO Table'!O17</f>
        <v>hold</v>
      </c>
      <c r="O14" s="1" t="str">
        <f>'MPIO_SFIO Table'!P17</f>
        <v/>
      </c>
      <c r="P14" s="2" t="str">
        <f>'MPIO_SFIO Table'!Q17</f>
        <v>VDDIO_AUDIO</v>
      </c>
      <c r="Q14" s="1" t="str">
        <f>'MPIO_SFIO Table'!R17</f>
        <v>ST</v>
      </c>
      <c r="R14" s="1">
        <f>'MPIO_SFIO Table'!S17</f>
        <v>100</v>
      </c>
      <c r="S14" s="1" t="str">
        <f>'MPIO_SFIO Table'!T17</f>
        <v>dap2cfg</v>
      </c>
      <c r="T14" s="2">
        <f>'MPIO_SFIO Table'!U17</f>
        <v>0</v>
      </c>
      <c r="U14" s="1">
        <f>'MPIO_SFIO Table'!V17</f>
        <v>1</v>
      </c>
      <c r="V14" s="1">
        <f>'MPIO_SFIO Table'!W17</f>
        <v>1</v>
      </c>
      <c r="W14" s="1" t="str">
        <f>'MPIO_SFIO Table'!X17</f>
        <v>down</v>
      </c>
      <c r="X14" s="1" t="str">
        <f>'MPIO_SFIO Table'!Y17</f>
        <v>pd</v>
      </c>
      <c r="Y14" s="88" t="str">
        <f>'MPIO_SFIO Table'!Z17</f>
        <v>pd</v>
      </c>
    </row>
    <row r="15" spans="1:26" x14ac:dyDescent="0.25">
      <c r="A15" s="1" t="str">
        <f>'MPIO_SFIO Table'!A18</f>
        <v>DAP2_DOUT</v>
      </c>
      <c r="B15" s="1" t="str">
        <f>'MPIO_SFIO Table'!C18</f>
        <v>G27</v>
      </c>
      <c r="C15" s="1" t="str">
        <f>'MPIO_SFIO Table'!D18</f>
        <v>F34</v>
      </c>
      <c r="D15" s="1" t="str">
        <f>'MPIO_SFIO Table'!E18</f>
        <v>F34</v>
      </c>
      <c r="E15" s="1" t="str">
        <f>'MPIO_SFIO Table'!F18</f>
        <v>unused_DAP2_DOUT</v>
      </c>
      <c r="F15" s="2" t="str">
        <f>'MPIO_SFIO Table'!G18</f>
        <v>GPIO-A.05</v>
      </c>
      <c r="G15" s="1" t="str">
        <f>'MPIO_SFIO Table'!H18</f>
        <v>I2S1-SDATA_OUT</v>
      </c>
      <c r="H15" s="1" t="str">
        <f>'MPIO_SFIO Table'!I18</f>
        <v>HDA.B-SDO</v>
      </c>
      <c r="I15" s="1" t="str">
        <f>'MPIO_SFIO Table'!J18</f>
        <v>RSVD2</v>
      </c>
      <c r="J15" s="1" t="str">
        <f>'MPIO_SFIO Table'!K18</f>
        <v>GMI-A20</v>
      </c>
      <c r="K15" s="2" t="str">
        <f>'MPIO_SFIO Table'!L18</f>
        <v>config</v>
      </c>
      <c r="L15" s="1" t="str">
        <f>'MPIO_SFIO Table'!M18</f>
        <v>disabled</v>
      </c>
      <c r="M15" s="1" t="str">
        <f>'MPIO_SFIO Table'!N18</f>
        <v>disabled</v>
      </c>
      <c r="N15" s="1" t="str">
        <f>'MPIO_SFIO Table'!O18</f>
        <v>hold</v>
      </c>
      <c r="O15" s="1" t="str">
        <f>'MPIO_SFIO Table'!P18</f>
        <v/>
      </c>
      <c r="P15" s="2" t="str">
        <f>'MPIO_SFIO Table'!Q18</f>
        <v>VDDIO_AUDIO</v>
      </c>
      <c r="Q15" s="1" t="str">
        <f>'MPIO_SFIO Table'!R18</f>
        <v>ST</v>
      </c>
      <c r="R15" s="1">
        <f>'MPIO_SFIO Table'!S18</f>
        <v>100</v>
      </c>
      <c r="S15" s="1" t="str">
        <f>'MPIO_SFIO Table'!T18</f>
        <v>dap2cfg</v>
      </c>
      <c r="T15" s="2">
        <f>'MPIO_SFIO Table'!U18</f>
        <v>0</v>
      </c>
      <c r="U15" s="1">
        <f>'MPIO_SFIO Table'!V18</f>
        <v>1</v>
      </c>
      <c r="V15" s="1">
        <f>'MPIO_SFIO Table'!W18</f>
        <v>1</v>
      </c>
      <c r="W15" s="1" t="str">
        <f>'MPIO_SFIO Table'!X18</f>
        <v>down</v>
      </c>
      <c r="X15" s="1" t="str">
        <f>'MPIO_SFIO Table'!Y18</f>
        <v>pd</v>
      </c>
      <c r="Y15" s="88" t="str">
        <f>'MPIO_SFIO Table'!Z18</f>
        <v>pd</v>
      </c>
    </row>
    <row r="16" spans="1:26" x14ac:dyDescent="0.25">
      <c r="A16" s="1" t="str">
        <f>'MPIO_SFIO Table'!A19</f>
        <v>DAP2_FS</v>
      </c>
      <c r="B16" s="1" t="str">
        <f>'MPIO_SFIO Table'!C19</f>
        <v>C29</v>
      </c>
      <c r="C16" s="1" t="str">
        <f>'MPIO_SFIO Table'!D19</f>
        <v>K30</v>
      </c>
      <c r="D16" s="1" t="str">
        <f>'MPIO_SFIO Table'!E19</f>
        <v>K30</v>
      </c>
      <c r="E16" s="1" t="str">
        <f>'MPIO_SFIO Table'!F19</f>
        <v>unused_DAP2_FS</v>
      </c>
      <c r="F16" s="2" t="str">
        <f>'MPIO_SFIO Table'!G19</f>
        <v>GPIO-A.02</v>
      </c>
      <c r="G16" s="1" t="str">
        <f>'MPIO_SFIO Table'!H19</f>
        <v>I2S1-LRCK</v>
      </c>
      <c r="H16" s="1" t="str">
        <f>'MPIO_SFIO Table'!I19</f>
        <v>HDA.B-SYNC</v>
      </c>
      <c r="I16" s="1" t="str">
        <f>'MPIO_SFIO Table'!J19</f>
        <v>RSVD2</v>
      </c>
      <c r="J16" s="1" t="str">
        <f>'MPIO_SFIO Table'!K19</f>
        <v>GMI-A17</v>
      </c>
      <c r="K16" s="2" t="str">
        <f>'MPIO_SFIO Table'!L19</f>
        <v>config</v>
      </c>
      <c r="L16" s="1" t="str">
        <f>'MPIO_SFIO Table'!M19</f>
        <v>disabled</v>
      </c>
      <c r="M16" s="1" t="str">
        <f>'MPIO_SFIO Table'!N19</f>
        <v>disabled</v>
      </c>
      <c r="N16" s="1" t="str">
        <f>'MPIO_SFIO Table'!O19</f>
        <v>hold</v>
      </c>
      <c r="O16" s="1" t="str">
        <f>'MPIO_SFIO Table'!P19</f>
        <v/>
      </c>
      <c r="P16" s="2" t="str">
        <f>'MPIO_SFIO Table'!Q19</f>
        <v>VDDIO_AUDIO</v>
      </c>
      <c r="Q16" s="1" t="str">
        <f>'MPIO_SFIO Table'!R19</f>
        <v>ST</v>
      </c>
      <c r="R16" s="1">
        <f>'MPIO_SFIO Table'!S19</f>
        <v>100</v>
      </c>
      <c r="S16" s="1" t="str">
        <f>'MPIO_SFIO Table'!T19</f>
        <v>dap2cfg</v>
      </c>
      <c r="T16" s="2">
        <f>'MPIO_SFIO Table'!U19</f>
        <v>0</v>
      </c>
      <c r="U16" s="1">
        <f>'MPIO_SFIO Table'!V19</f>
        <v>1</v>
      </c>
      <c r="V16" s="1">
        <f>'MPIO_SFIO Table'!W19</f>
        <v>1</v>
      </c>
      <c r="W16" s="1" t="str">
        <f>'MPIO_SFIO Table'!X19</f>
        <v>down</v>
      </c>
      <c r="X16" s="1" t="str">
        <f>'MPIO_SFIO Table'!Y19</f>
        <v>pd</v>
      </c>
      <c r="Y16" s="88" t="str">
        <f>'MPIO_SFIO Table'!Z19</f>
        <v>pd</v>
      </c>
    </row>
    <row r="17" spans="1:28" x14ac:dyDescent="0.25">
      <c r="A17" s="1" t="str">
        <f>'MPIO_SFIO Table'!A20</f>
        <v>DAP2_SCLK</v>
      </c>
      <c r="B17" s="1" t="str">
        <f>'MPIO_SFIO Table'!C20</f>
        <v>C28</v>
      </c>
      <c r="C17" s="1" t="str">
        <f>'MPIO_SFIO Table'!D20</f>
        <v>H34</v>
      </c>
      <c r="D17" s="1" t="str">
        <f>'MPIO_SFIO Table'!E20</f>
        <v>H34</v>
      </c>
      <c r="E17" s="1" t="str">
        <f>'MPIO_SFIO Table'!F20</f>
        <v>unused_DAP2_SCLK</v>
      </c>
      <c r="F17" s="2" t="str">
        <f>'MPIO_SFIO Table'!G20</f>
        <v>GPIO-A.03</v>
      </c>
      <c r="G17" s="1" t="str">
        <f>'MPIO_SFIO Table'!H20</f>
        <v>I2S1-SCLK</v>
      </c>
      <c r="H17" s="1" t="str">
        <f>'MPIO_SFIO Table'!I20</f>
        <v>HDA.B-BCLK</v>
      </c>
      <c r="I17" s="1" t="str">
        <f>'MPIO_SFIO Table'!J20</f>
        <v>RSVD2</v>
      </c>
      <c r="J17" s="1" t="str">
        <f>'MPIO_SFIO Table'!K20</f>
        <v>GMI-A18</v>
      </c>
      <c r="K17" s="2" t="str">
        <f>'MPIO_SFIO Table'!L20</f>
        <v>config</v>
      </c>
      <c r="L17" s="1" t="str">
        <f>'MPIO_SFIO Table'!M20</f>
        <v>disabled</v>
      </c>
      <c r="M17" s="1" t="str">
        <f>'MPIO_SFIO Table'!N20</f>
        <v>disabled</v>
      </c>
      <c r="N17" s="1" t="str">
        <f>'MPIO_SFIO Table'!O20</f>
        <v>hold</v>
      </c>
      <c r="O17" s="1" t="str">
        <f>'MPIO_SFIO Table'!P20</f>
        <v/>
      </c>
      <c r="P17" s="2" t="str">
        <f>'MPIO_SFIO Table'!Q20</f>
        <v>VDDIO_AUDIO</v>
      </c>
      <c r="Q17" s="1" t="str">
        <f>'MPIO_SFIO Table'!R20</f>
        <v>ST</v>
      </c>
      <c r="R17" s="1">
        <f>'MPIO_SFIO Table'!S20</f>
        <v>100</v>
      </c>
      <c r="S17" s="1" t="str">
        <f>'MPIO_SFIO Table'!T20</f>
        <v>dap2cfg</v>
      </c>
      <c r="T17" s="2">
        <f>'MPIO_SFIO Table'!U20</f>
        <v>0</v>
      </c>
      <c r="U17" s="1">
        <f>'MPIO_SFIO Table'!V20</f>
        <v>1</v>
      </c>
      <c r="V17" s="1">
        <f>'MPIO_SFIO Table'!W20</f>
        <v>1</v>
      </c>
      <c r="W17" s="1" t="str">
        <f>'MPIO_SFIO Table'!X20</f>
        <v>down</v>
      </c>
      <c r="X17" s="1" t="str">
        <f>'MPIO_SFIO Table'!Y20</f>
        <v>pd</v>
      </c>
      <c r="Y17" s="88" t="str">
        <f>'MPIO_SFIO Table'!Z20</f>
        <v>pd</v>
      </c>
    </row>
    <row r="18" spans="1:28" x14ac:dyDescent="0.25">
      <c r="A18" s="1" t="str">
        <f>'MPIO_SFIO Table'!A21</f>
        <v>SPDIF_IN</v>
      </c>
      <c r="B18" s="1" t="str">
        <f>'MPIO_SFIO Table'!C21</f>
        <v>H27</v>
      </c>
      <c r="C18" s="1" t="str">
        <f>'MPIO_SFIO Table'!D21</f>
        <v>L31</v>
      </c>
      <c r="D18" s="1" t="str">
        <f>'MPIO_SFIO Table'!E21</f>
        <v>L31</v>
      </c>
      <c r="E18" s="1" t="str">
        <f>'MPIO_SFIO Table'!F21</f>
        <v>unused_SPDIF_IN</v>
      </c>
      <c r="F18" s="2" t="str">
        <f>'MPIO_SFIO Table'!G21</f>
        <v>GPIO-K.06</v>
      </c>
      <c r="G18" s="1" t="str">
        <f>'MPIO_SFIO Table'!H21</f>
        <v>SPDIF1.A-IN</v>
      </c>
      <c r="H18" s="1" t="str">
        <f>'MPIO_SFIO Table'!I21</f>
        <v>HDA.B-RESET</v>
      </c>
      <c r="I18" s="1" t="str">
        <f>'MPIO_SFIO Table'!J21</f>
        <v>INVALID</v>
      </c>
      <c r="J18" s="1" t="str">
        <f>'MPIO_SFIO Table'!K21</f>
        <v>SDMMC2.C-DAT3</v>
      </c>
      <c r="K18" s="2" t="str">
        <f>'MPIO_SFIO Table'!L21</f>
        <v>config</v>
      </c>
      <c r="L18" s="1" t="str">
        <f>'MPIO_SFIO Table'!M21</f>
        <v>disabled</v>
      </c>
      <c r="M18" s="1" t="str">
        <f>'MPIO_SFIO Table'!N21</f>
        <v>disabled</v>
      </c>
      <c r="N18" s="1" t="str">
        <f>'MPIO_SFIO Table'!O21</f>
        <v>hold</v>
      </c>
      <c r="O18" s="1" t="str">
        <f>'MPIO_SFIO Table'!P21</f>
        <v/>
      </c>
      <c r="P18" s="2" t="str">
        <f>'MPIO_SFIO Table'!Q21</f>
        <v>VDDIO_AUDIO</v>
      </c>
      <c r="Q18" s="1" t="str">
        <f>'MPIO_SFIO Table'!R21</f>
        <v>ST</v>
      </c>
      <c r="R18" s="1">
        <f>'MPIO_SFIO Table'!S21</f>
        <v>50</v>
      </c>
      <c r="S18" s="1" t="str">
        <f>'MPIO_SFIO Table'!T21</f>
        <v>dap1cfg</v>
      </c>
      <c r="T18" s="2">
        <f>'MPIO_SFIO Table'!U21</f>
        <v>0</v>
      </c>
      <c r="U18" s="1">
        <f>'MPIO_SFIO Table'!V21</f>
        <v>1</v>
      </c>
      <c r="V18" s="1">
        <f>'MPIO_SFIO Table'!W21</f>
        <v>1</v>
      </c>
      <c r="W18" s="1" t="str">
        <f>'MPIO_SFIO Table'!X21</f>
        <v>up</v>
      </c>
      <c r="X18" s="1" t="str">
        <f>'MPIO_SFIO Table'!Y21</f>
        <v>pu</v>
      </c>
      <c r="Y18" s="88" t="str">
        <f>'MPIO_SFIO Table'!Z21</f>
        <v>pu</v>
      </c>
    </row>
    <row r="19" spans="1:28" x14ac:dyDescent="0.25">
      <c r="A19" s="1" t="str">
        <f>'MPIO_SFIO Table'!A22</f>
        <v>SPDIF_OUT</v>
      </c>
      <c r="B19" s="1" t="str">
        <f>'MPIO_SFIO Table'!C22</f>
        <v>A28</v>
      </c>
      <c r="C19" s="1" t="str">
        <f>'MPIO_SFIO Table'!D22</f>
        <v>J31</v>
      </c>
      <c r="D19" s="1" t="str">
        <f>'MPIO_SFIO Table'!E22</f>
        <v>J31</v>
      </c>
      <c r="E19" s="1" t="str">
        <f>'MPIO_SFIO Table'!F22</f>
        <v>unused_SPDIF_OUT</v>
      </c>
      <c r="F19" s="2" t="str">
        <f>'MPIO_SFIO Table'!G22</f>
        <v>GPIO-K.05</v>
      </c>
      <c r="G19" s="1" t="str">
        <f>'MPIO_SFIO Table'!H22</f>
        <v>SPDIF1.A-OUT</v>
      </c>
      <c r="H19" s="1" t="str">
        <f>'MPIO_SFIO Table'!I22</f>
        <v>RSVD1</v>
      </c>
      <c r="I19" s="1" t="str">
        <f>'MPIO_SFIO Table'!J22</f>
        <v>INVALID</v>
      </c>
      <c r="J19" s="1" t="str">
        <f>'MPIO_SFIO Table'!K22</f>
        <v>SDMMC2.C-DAT2</v>
      </c>
      <c r="K19" s="2" t="str">
        <f>'MPIO_SFIO Table'!L22</f>
        <v>config</v>
      </c>
      <c r="L19" s="1" t="str">
        <f>'MPIO_SFIO Table'!M22</f>
        <v>disabled</v>
      </c>
      <c r="M19" s="1" t="str">
        <f>'MPIO_SFIO Table'!N22</f>
        <v>disabled</v>
      </c>
      <c r="N19" s="1" t="str">
        <f>'MPIO_SFIO Table'!O22</f>
        <v>hold</v>
      </c>
      <c r="O19" s="1" t="str">
        <f>'MPIO_SFIO Table'!P22</f>
        <v/>
      </c>
      <c r="P19" s="2" t="str">
        <f>'MPIO_SFIO Table'!Q22</f>
        <v>VDDIO_AUDIO</v>
      </c>
      <c r="Q19" s="1" t="str">
        <f>'MPIO_SFIO Table'!R22</f>
        <v>ST</v>
      </c>
      <c r="R19" s="1">
        <f>'MPIO_SFIO Table'!S22</f>
        <v>50</v>
      </c>
      <c r="S19" s="1" t="str">
        <f>'MPIO_SFIO Table'!T22</f>
        <v>dap1cfg</v>
      </c>
      <c r="T19" s="2">
        <f>'MPIO_SFIO Table'!U22</f>
        <v>0</v>
      </c>
      <c r="U19" s="1">
        <f>'MPIO_SFIO Table'!V22</f>
        <v>1</v>
      </c>
      <c r="V19" s="1">
        <f>'MPIO_SFIO Table'!W22</f>
        <v>1</v>
      </c>
      <c r="W19" s="1" t="str">
        <f>'MPIO_SFIO Table'!X22</f>
        <v>up</v>
      </c>
      <c r="X19" s="1" t="str">
        <f>'MPIO_SFIO Table'!Y22</f>
        <v>pu</v>
      </c>
      <c r="Y19" s="88" t="str">
        <f>'MPIO_SFIO Table'!Z22</f>
        <v>pu</v>
      </c>
    </row>
    <row r="20" spans="1:28" x14ac:dyDescent="0.25">
      <c r="A20" s="1" t="str">
        <f>'MPIO_SFIO Table'!A23</f>
        <v>SPI1_CS0_N</v>
      </c>
      <c r="B20" s="1" t="str">
        <f>'MPIO_SFIO Table'!C23</f>
        <v>J24</v>
      </c>
      <c r="C20" s="1" t="str">
        <f>'MPIO_SFIO Table'!D23</f>
        <v>H36</v>
      </c>
      <c r="D20" s="1" t="str">
        <f>'MPIO_SFIO Table'!E23</f>
        <v>H36</v>
      </c>
      <c r="E20" s="1" t="str">
        <f>'MPIO_SFIO Table'!F23</f>
        <v>unused_SPI1_CS0_N</v>
      </c>
      <c r="F20" s="2" t="str">
        <f>'MPIO_SFIO Table'!G23</f>
        <v>GPIO-X.06</v>
      </c>
      <c r="G20" s="1" t="str">
        <f>'MPIO_SFIO Table'!H23</f>
        <v>SPI2.E-CS1_N</v>
      </c>
      <c r="H20" s="1" t="str">
        <f>'MPIO_SFIO Table'!I23</f>
        <v>SPI1.B-CS0_N</v>
      </c>
      <c r="I20" s="1" t="str">
        <f>'MPIO_SFIO Table'!J23</f>
        <v>INVALID</v>
      </c>
      <c r="J20" s="1" t="str">
        <f>'MPIO_SFIO Table'!K23</f>
        <v>GMI-A27</v>
      </c>
      <c r="K20" s="2" t="str">
        <f>'MPIO_SFIO Table'!L23</f>
        <v>config</v>
      </c>
      <c r="L20" s="1" t="str">
        <f>'MPIO_SFIO Table'!M23</f>
        <v>disabled</v>
      </c>
      <c r="M20" s="1" t="str">
        <f>'MPIO_SFIO Table'!N23</f>
        <v>disabled</v>
      </c>
      <c r="N20" s="1" t="str">
        <f>'MPIO_SFIO Table'!O23</f>
        <v>hold</v>
      </c>
      <c r="O20" s="1" t="str">
        <f>'MPIO_SFIO Table'!P23</f>
        <v/>
      </c>
      <c r="P20" s="2" t="str">
        <f>'MPIO_SFIO Table'!Q23</f>
        <v>VDDIO_AUDIO</v>
      </c>
      <c r="Q20" s="1" t="str">
        <f>'MPIO_SFIO Table'!R23</f>
        <v>ST</v>
      </c>
      <c r="R20" s="1">
        <f>'MPIO_SFIO Table'!S23</f>
        <v>100</v>
      </c>
      <c r="S20" s="1" t="str">
        <f>'MPIO_SFIO Table'!T23</f>
        <v>spicfg</v>
      </c>
      <c r="T20" s="2">
        <f>'MPIO_SFIO Table'!U23</f>
        <v>0</v>
      </c>
      <c r="U20" s="1">
        <f>'MPIO_SFIO Table'!V23</f>
        <v>1</v>
      </c>
      <c r="V20" s="1">
        <f>'MPIO_SFIO Table'!W23</f>
        <v>1</v>
      </c>
      <c r="W20" s="1" t="str">
        <f>'MPIO_SFIO Table'!X23</f>
        <v>up</v>
      </c>
      <c r="X20" s="1" t="str">
        <f>'MPIO_SFIO Table'!Y23</f>
        <v>pu</v>
      </c>
      <c r="Y20" s="88" t="str">
        <f>'MPIO_SFIO Table'!Z23</f>
        <v>pu</v>
      </c>
    </row>
    <row r="21" spans="1:28" x14ac:dyDescent="0.25">
      <c r="A21" s="1" t="str">
        <f>'MPIO_SFIO Table'!A24</f>
        <v>SPI1_MISO</v>
      </c>
      <c r="B21" s="1" t="str">
        <f>'MPIO_SFIO Table'!C24</f>
        <v>F28</v>
      </c>
      <c r="C21" s="1" t="str">
        <f>'MPIO_SFIO Table'!D24</f>
        <v>F36</v>
      </c>
      <c r="D21" s="1" t="str">
        <f>'MPIO_SFIO Table'!E24</f>
        <v>F36</v>
      </c>
      <c r="E21" s="1" t="str">
        <f>'MPIO_SFIO Table'!F24</f>
        <v>unused_SPI1_MISO</v>
      </c>
      <c r="F21" s="2" t="str">
        <f>'MPIO_SFIO Table'!G24</f>
        <v>GPIO-X.07</v>
      </c>
      <c r="G21" s="1" t="str">
        <f>'MPIO_SFIO Table'!H24</f>
        <v>INVALID</v>
      </c>
      <c r="H21" s="1" t="str">
        <f>'MPIO_SFIO Table'!I24</f>
        <v>SPI1.B-MISO</v>
      </c>
      <c r="I21" s="1" t="str">
        <f>'MPIO_SFIO Table'!J24</f>
        <v>INVALID</v>
      </c>
      <c r="J21" s="1" t="str">
        <f>'MPIO_SFIO Table'!K24</f>
        <v>RSVD3</v>
      </c>
      <c r="K21" s="2" t="str">
        <f>'MPIO_SFIO Table'!L24</f>
        <v>config</v>
      </c>
      <c r="L21" s="1" t="str">
        <f>'MPIO_SFIO Table'!M24</f>
        <v>disabled</v>
      </c>
      <c r="M21" s="1" t="str">
        <f>'MPIO_SFIO Table'!N24</f>
        <v>disabled</v>
      </c>
      <c r="N21" s="1" t="str">
        <f>'MPIO_SFIO Table'!O24</f>
        <v>hold</v>
      </c>
      <c r="O21" s="1" t="str">
        <f>'MPIO_SFIO Table'!P24</f>
        <v/>
      </c>
      <c r="P21" s="2" t="str">
        <f>'MPIO_SFIO Table'!Q24</f>
        <v>VDDIO_AUDIO</v>
      </c>
      <c r="Q21" s="1" t="str">
        <f>'MPIO_SFIO Table'!R24</f>
        <v>ST</v>
      </c>
      <c r="R21" s="1">
        <f>'MPIO_SFIO Table'!S24</f>
        <v>100</v>
      </c>
      <c r="S21" s="1" t="str">
        <f>'MPIO_SFIO Table'!T24</f>
        <v>spicfg</v>
      </c>
      <c r="T21" s="2">
        <f>'MPIO_SFIO Table'!U24</f>
        <v>1</v>
      </c>
      <c r="U21" s="1">
        <f>'MPIO_SFIO Table'!V24</f>
        <v>1</v>
      </c>
      <c r="V21" s="1">
        <f>'MPIO_SFIO Table'!W24</f>
        <v>1</v>
      </c>
      <c r="W21" s="1" t="str">
        <f>'MPIO_SFIO Table'!X24</f>
        <v>down</v>
      </c>
      <c r="X21" s="1" t="str">
        <f>'MPIO_SFIO Table'!Y24</f>
        <v>pd</v>
      </c>
      <c r="Y21" s="88" t="str">
        <f>'MPIO_SFIO Table'!Z24</f>
        <v>pd</v>
      </c>
    </row>
    <row r="22" spans="1:28" x14ac:dyDescent="0.25">
      <c r="A22" s="1" t="str">
        <f>'MPIO_SFIO Table'!A25</f>
        <v>SPI1_MOSI</v>
      </c>
      <c r="B22" s="1" t="str">
        <f>'MPIO_SFIO Table'!C25</f>
        <v>F29</v>
      </c>
      <c r="C22" s="1" t="str">
        <f>'MPIO_SFIO Table'!D25</f>
        <v>L33</v>
      </c>
      <c r="D22" s="1" t="str">
        <f>'MPIO_SFIO Table'!E25</f>
        <v>L33</v>
      </c>
      <c r="E22" s="1" t="str">
        <f>'MPIO_SFIO Table'!F25</f>
        <v>unused_SPI1_MOSI</v>
      </c>
      <c r="F22" s="2" t="str">
        <f>'MPIO_SFIO Table'!G25</f>
        <v>GPIO-X.04</v>
      </c>
      <c r="G22" s="1" t="str">
        <f>'MPIO_SFIO Table'!H25</f>
        <v>SPI2.E-MOSI</v>
      </c>
      <c r="H22" s="1" t="str">
        <f>'MPIO_SFIO Table'!I25</f>
        <v>SPI1.B-MOSI</v>
      </c>
      <c r="I22" s="1" t="str">
        <f>'MPIO_SFIO Table'!J25</f>
        <v>INVALID</v>
      </c>
      <c r="J22" s="1" t="str">
        <f>'MPIO_SFIO Table'!K25</f>
        <v>GMI-A25</v>
      </c>
      <c r="K22" s="2" t="str">
        <f>'MPIO_SFIO Table'!L25</f>
        <v>config</v>
      </c>
      <c r="L22" s="1" t="str">
        <f>'MPIO_SFIO Table'!M25</f>
        <v>disabled</v>
      </c>
      <c r="M22" s="1" t="str">
        <f>'MPIO_SFIO Table'!N25</f>
        <v>disabled</v>
      </c>
      <c r="N22" s="1" t="str">
        <f>'MPIO_SFIO Table'!O25</f>
        <v>hold</v>
      </c>
      <c r="O22" s="1" t="str">
        <f>'MPIO_SFIO Table'!P25</f>
        <v/>
      </c>
      <c r="P22" s="2" t="str">
        <f>'MPIO_SFIO Table'!Q25</f>
        <v>VDDIO_AUDIO</v>
      </c>
      <c r="Q22" s="1" t="str">
        <f>'MPIO_SFIO Table'!R25</f>
        <v>ST</v>
      </c>
      <c r="R22" s="1">
        <f>'MPIO_SFIO Table'!S25</f>
        <v>100</v>
      </c>
      <c r="S22" s="1" t="str">
        <f>'MPIO_SFIO Table'!T25</f>
        <v>spicfg</v>
      </c>
      <c r="T22" s="2">
        <f>'MPIO_SFIO Table'!U25</f>
        <v>0</v>
      </c>
      <c r="U22" s="1">
        <f>'MPIO_SFIO Table'!V25</f>
        <v>1</v>
      </c>
      <c r="V22" s="1">
        <f>'MPIO_SFIO Table'!W25</f>
        <v>1</v>
      </c>
      <c r="W22" s="1" t="str">
        <f>'MPIO_SFIO Table'!X25</f>
        <v>up</v>
      </c>
      <c r="X22" s="1" t="str">
        <f>'MPIO_SFIO Table'!Y25</f>
        <v>pu</v>
      </c>
      <c r="Y22" s="88" t="str">
        <f>'MPIO_SFIO Table'!Z25</f>
        <v>pu</v>
      </c>
    </row>
    <row r="23" spans="1:28" x14ac:dyDescent="0.25">
      <c r="A23" s="1" t="str">
        <f>'MPIO_SFIO Table'!A26</f>
        <v>SPI1_SCK</v>
      </c>
      <c r="B23" s="1" t="str">
        <f>'MPIO_SFIO Table'!C26</f>
        <v>B28</v>
      </c>
      <c r="C23" s="1" t="str">
        <f>'MPIO_SFIO Table'!D26</f>
        <v>G35</v>
      </c>
      <c r="D23" s="1" t="str">
        <f>'MPIO_SFIO Table'!E26</f>
        <v>G35</v>
      </c>
      <c r="E23" s="1" t="str">
        <f>'MPIO_SFIO Table'!F26</f>
        <v>unused_SPI1_SCK</v>
      </c>
      <c r="F23" s="2" t="str">
        <f>'MPIO_SFIO Table'!G26</f>
        <v>GPIO-X.05</v>
      </c>
      <c r="G23" s="1" t="str">
        <f>'MPIO_SFIO Table'!H26</f>
        <v>SPI2.E-SCK</v>
      </c>
      <c r="H23" s="1" t="str">
        <f>'MPIO_SFIO Table'!I26</f>
        <v>SPI1.B-SCK</v>
      </c>
      <c r="I23" s="1" t="str">
        <f>'MPIO_SFIO Table'!J26</f>
        <v>INVALID</v>
      </c>
      <c r="J23" s="1" t="str">
        <f>'MPIO_SFIO Table'!K26</f>
        <v>GMI-A26</v>
      </c>
      <c r="K23" s="2" t="str">
        <f>'MPIO_SFIO Table'!L26</f>
        <v>config</v>
      </c>
      <c r="L23" s="1" t="str">
        <f>'MPIO_SFIO Table'!M26</f>
        <v>disabled</v>
      </c>
      <c r="M23" s="1" t="str">
        <f>'MPIO_SFIO Table'!N26</f>
        <v>disabled</v>
      </c>
      <c r="N23" s="1" t="str">
        <f>'MPIO_SFIO Table'!O26</f>
        <v>hold</v>
      </c>
      <c r="O23" s="1" t="str">
        <f>'MPIO_SFIO Table'!P26</f>
        <v/>
      </c>
      <c r="P23" s="2" t="str">
        <f>'MPIO_SFIO Table'!Q26</f>
        <v>VDDIO_AUDIO</v>
      </c>
      <c r="Q23" s="1" t="str">
        <f>'MPIO_SFIO Table'!R26</f>
        <v>ST</v>
      </c>
      <c r="R23" s="1">
        <f>'MPIO_SFIO Table'!S26</f>
        <v>100</v>
      </c>
      <c r="S23" s="1" t="str">
        <f>'MPIO_SFIO Table'!T26</f>
        <v>spicfg</v>
      </c>
      <c r="T23" s="2">
        <f>'MPIO_SFIO Table'!U26</f>
        <v>0</v>
      </c>
      <c r="U23" s="1">
        <f>'MPIO_SFIO Table'!V26</f>
        <v>1</v>
      </c>
      <c r="V23" s="1">
        <f>'MPIO_SFIO Table'!W26</f>
        <v>1</v>
      </c>
      <c r="W23" s="1" t="str">
        <f>'MPIO_SFIO Table'!X26</f>
        <v>up</v>
      </c>
      <c r="X23" s="1" t="str">
        <f>'MPIO_SFIO Table'!Y26</f>
        <v>pu</v>
      </c>
      <c r="Y23" s="88" t="str">
        <f>'MPIO_SFIO Table'!Z26</f>
        <v>pu</v>
      </c>
      <c r="AB23" s="102"/>
    </row>
    <row r="24" spans="1:28" x14ac:dyDescent="0.25">
      <c r="A24" s="1" t="str">
        <f>'MPIO_SFIO Table'!A27</f>
        <v>SPI2_CS0_N</v>
      </c>
      <c r="B24" s="1" t="str">
        <f>'MPIO_SFIO Table'!C27</f>
        <v>G28</v>
      </c>
      <c r="C24" s="1" t="str">
        <f>'MPIO_SFIO Table'!D27</f>
        <v>J33</v>
      </c>
      <c r="D24" s="1" t="str">
        <f>'MPIO_SFIO Table'!E27</f>
        <v>J33</v>
      </c>
      <c r="E24" s="1" t="str">
        <f>'MPIO_SFIO Table'!F27</f>
        <v>unused_SPI2_CS0_N</v>
      </c>
      <c r="F24" s="2" t="str">
        <f>'MPIO_SFIO Table'!G27</f>
        <v>GPIO-X.03</v>
      </c>
      <c r="G24" s="1" t="str">
        <f>'MPIO_SFIO Table'!H27</f>
        <v>SPI6-CS0</v>
      </c>
      <c r="H24" s="1" t="str">
        <f>'MPIO_SFIO Table'!I27</f>
        <v>SPI2.B-CS0_N</v>
      </c>
      <c r="I24" s="1" t="str">
        <f>'MPIO_SFIO Table'!J27</f>
        <v>INVALID</v>
      </c>
      <c r="J24" s="1" t="str">
        <f>'MPIO_SFIO Table'!K27</f>
        <v>GMI-A24</v>
      </c>
      <c r="K24" s="2" t="str">
        <f>'MPIO_SFIO Table'!L27</f>
        <v>config</v>
      </c>
      <c r="L24" s="1" t="str">
        <f>'MPIO_SFIO Table'!M27</f>
        <v>disabled</v>
      </c>
      <c r="M24" s="1" t="str">
        <f>'MPIO_SFIO Table'!N27</f>
        <v>disabled</v>
      </c>
      <c r="N24" s="1" t="str">
        <f>'MPIO_SFIO Table'!O27</f>
        <v>reset</v>
      </c>
      <c r="O24" s="1" t="str">
        <f>'MPIO_SFIO Table'!P27</f>
        <v/>
      </c>
      <c r="P24" s="2" t="str">
        <f>'MPIO_SFIO Table'!Q27</f>
        <v>VDDIO_AUDIO</v>
      </c>
      <c r="Q24" s="1" t="str">
        <f>'MPIO_SFIO Table'!R27</f>
        <v>ST</v>
      </c>
      <c r="R24" s="1">
        <f>'MPIO_SFIO Table'!S27</f>
        <v>100</v>
      </c>
      <c r="S24" s="1" t="str">
        <f>'MPIO_SFIO Table'!T27</f>
        <v>spicfg</v>
      </c>
      <c r="T24" s="2">
        <f>'MPIO_SFIO Table'!U27</f>
        <v>0</v>
      </c>
      <c r="U24" s="1">
        <f>'MPIO_SFIO Table'!V27</f>
        <v>0</v>
      </c>
      <c r="V24" s="1">
        <f>'MPIO_SFIO Table'!W27</f>
        <v>1</v>
      </c>
      <c r="W24" s="1" t="str">
        <f>'MPIO_SFIO Table'!X27</f>
        <v>up</v>
      </c>
      <c r="X24" s="1" t="str">
        <f>'MPIO_SFIO Table'!Y27</f>
        <v>pu</v>
      </c>
      <c r="Y24" s="88" t="str">
        <f>'MPIO_SFIO Table'!Z27</f>
        <v>pu</v>
      </c>
    </row>
    <row r="25" spans="1:28" x14ac:dyDescent="0.25">
      <c r="A25" s="1" t="str">
        <f>'MPIO_SFIO Table'!A28</f>
        <v>SPI2_CS1_N</v>
      </c>
      <c r="B25" s="1" t="str">
        <f>'MPIO_SFIO Table'!C28</f>
        <v>F25</v>
      </c>
      <c r="C25" s="1" t="str">
        <f>'MPIO_SFIO Table'!D28</f>
        <v>B32</v>
      </c>
      <c r="D25" s="1" t="str">
        <f>'MPIO_SFIO Table'!E28</f>
        <v>B32</v>
      </c>
      <c r="E25" s="1" t="str">
        <f>'MPIO_SFIO Table'!F28</f>
        <v>unused_SPI2_CS1_N</v>
      </c>
      <c r="F25" s="2" t="str">
        <f>'MPIO_SFIO Table'!G28</f>
        <v>GPIO-W.02</v>
      </c>
      <c r="G25" s="1" t="str">
        <f>'MPIO_SFIO Table'!H28</f>
        <v>INVALID</v>
      </c>
      <c r="H25" s="1" t="str">
        <f>'MPIO_SFIO Table'!I28</f>
        <v>SPI2.B-CS1_N</v>
      </c>
      <c r="I25" s="1" t="str">
        <f>'MPIO_SFIO Table'!J28</f>
        <v>INVALID</v>
      </c>
      <c r="J25" s="1" t="str">
        <f>'MPIO_SFIO Table'!K28</f>
        <v>INVALID</v>
      </c>
      <c r="K25" s="2" t="str">
        <f>'MPIO_SFIO Table'!L28</f>
        <v>config</v>
      </c>
      <c r="L25" s="1" t="str">
        <f>'MPIO_SFIO Table'!M28</f>
        <v>special</v>
      </c>
      <c r="M25" s="1" t="str">
        <f>'MPIO_SFIO Table'!N28</f>
        <v>config</v>
      </c>
      <c r="N25" s="1" t="str">
        <f>'MPIO_SFIO Table'!O28</f>
        <v>hold</v>
      </c>
      <c r="O25" s="1">
        <f>'MPIO_SFIO Table'!P28</f>
        <v>12</v>
      </c>
      <c r="P25" s="2" t="str">
        <f>'MPIO_SFIO Table'!Q28</f>
        <v>VDDIO_AUDIO</v>
      </c>
      <c r="Q25" s="1" t="str">
        <f>'MPIO_SFIO Table'!R28</f>
        <v>ST</v>
      </c>
      <c r="R25" s="1">
        <f>'MPIO_SFIO Table'!S28</f>
        <v>100</v>
      </c>
      <c r="S25" s="1" t="str">
        <f>'MPIO_SFIO Table'!T28</f>
        <v>spicfg</v>
      </c>
      <c r="T25" s="2">
        <f>'MPIO_SFIO Table'!U28</f>
        <v>1</v>
      </c>
      <c r="U25" s="1">
        <f>'MPIO_SFIO Table'!V28</f>
        <v>1</v>
      </c>
      <c r="V25" s="1">
        <f>'MPIO_SFIO Table'!W28</f>
        <v>1</v>
      </c>
      <c r="W25" s="1" t="str">
        <f>'MPIO_SFIO Table'!X28</f>
        <v>up</v>
      </c>
      <c r="X25" s="1" t="str">
        <f>'MPIO_SFIO Table'!Y28</f>
        <v>pu</v>
      </c>
      <c r="Y25" s="88" t="str">
        <f>'MPIO_SFIO Table'!Z28</f>
        <v>pu</v>
      </c>
    </row>
    <row r="26" spans="1:28" x14ac:dyDescent="0.25">
      <c r="A26" s="1" t="str">
        <f>'MPIO_SFIO Table'!A29</f>
        <v>SPI2_CS2_N</v>
      </c>
      <c r="B26" s="1" t="str">
        <f>'MPIO_SFIO Table'!C29</f>
        <v>E27</v>
      </c>
      <c r="C26" s="1" t="str">
        <f>'MPIO_SFIO Table'!D29</f>
        <v>F30</v>
      </c>
      <c r="D26" s="1" t="str">
        <f>'MPIO_SFIO Table'!E29</f>
        <v>F30</v>
      </c>
      <c r="E26" s="1" t="str">
        <f>'MPIO_SFIO Table'!F29</f>
        <v>unused_SPI2_CS2_N</v>
      </c>
      <c r="F26" s="2" t="str">
        <f>'MPIO_SFIO Table'!G29</f>
        <v>GPIO-W.03</v>
      </c>
      <c r="G26" s="1" t="str">
        <f>'MPIO_SFIO Table'!H29</f>
        <v>INVALID</v>
      </c>
      <c r="H26" s="1" t="str">
        <f>'MPIO_SFIO Table'!I29</f>
        <v>SPI2.B-CS2_N</v>
      </c>
      <c r="I26" s="1" t="str">
        <f>'MPIO_SFIO Table'!J29</f>
        <v>INVALID</v>
      </c>
      <c r="J26" s="1" t="str">
        <f>'MPIO_SFIO Table'!K29</f>
        <v>INVALID</v>
      </c>
      <c r="K26" s="2" t="str">
        <f>'MPIO_SFIO Table'!L29</f>
        <v>config</v>
      </c>
      <c r="L26" s="1" t="str">
        <f>'MPIO_SFIO Table'!M29</f>
        <v>special</v>
      </c>
      <c r="M26" s="1" t="str">
        <f>'MPIO_SFIO Table'!N29</f>
        <v>config</v>
      </c>
      <c r="N26" s="1" t="str">
        <f>'MPIO_SFIO Table'!O29</f>
        <v>hold</v>
      </c>
      <c r="O26" s="1">
        <f>'MPIO_SFIO Table'!P29</f>
        <v>11</v>
      </c>
      <c r="P26" s="2" t="str">
        <f>'MPIO_SFIO Table'!Q29</f>
        <v>VDDIO_AUDIO</v>
      </c>
      <c r="Q26" s="1" t="str">
        <f>'MPIO_SFIO Table'!R29</f>
        <v>ST</v>
      </c>
      <c r="R26" s="1">
        <f>'MPIO_SFIO Table'!S29</f>
        <v>100</v>
      </c>
      <c r="S26" s="1" t="str">
        <f>'MPIO_SFIO Table'!T29</f>
        <v>spicfg</v>
      </c>
      <c r="T26" s="2">
        <f>'MPIO_SFIO Table'!U29</f>
        <v>1</v>
      </c>
      <c r="U26" s="1">
        <f>'MPIO_SFIO Table'!V29</f>
        <v>1</v>
      </c>
      <c r="V26" s="1">
        <f>'MPIO_SFIO Table'!W29</f>
        <v>1</v>
      </c>
      <c r="W26" s="1" t="str">
        <f>'MPIO_SFIO Table'!X29</f>
        <v>up</v>
      </c>
      <c r="X26" s="1" t="str">
        <f>'MPIO_SFIO Table'!Y29</f>
        <v>pu</v>
      </c>
      <c r="Y26" s="88" t="str">
        <f>'MPIO_SFIO Table'!Z29</f>
        <v>pu</v>
      </c>
    </row>
    <row r="27" spans="1:28" x14ac:dyDescent="0.25">
      <c r="A27" s="1" t="str">
        <f>'MPIO_SFIO Table'!A30</f>
        <v>SPI2_MISO</v>
      </c>
      <c r="B27" s="1" t="str">
        <f>'MPIO_SFIO Table'!C30</f>
        <v>D30</v>
      </c>
      <c r="C27" s="1" t="str">
        <f>'MPIO_SFIO Table'!D30</f>
        <v>E37</v>
      </c>
      <c r="D27" s="1" t="str">
        <f>'MPIO_SFIO Table'!E30</f>
        <v>E37</v>
      </c>
      <c r="E27" s="1" t="str">
        <f>'MPIO_SFIO Table'!F30</f>
        <v>unused_SPI2_MISO</v>
      </c>
      <c r="F27" s="2" t="str">
        <f>'MPIO_SFIO Table'!G30</f>
        <v>GPIO-X.01</v>
      </c>
      <c r="G27" s="1" t="str">
        <f>'MPIO_SFIO Table'!H30</f>
        <v>SPI6-MISO</v>
      </c>
      <c r="H27" s="1" t="str">
        <f>'MPIO_SFIO Table'!I30</f>
        <v>SPI2.B-MISO</v>
      </c>
      <c r="I27" s="1" t="str">
        <f>'MPIO_SFIO Table'!J30</f>
        <v>INVALID</v>
      </c>
      <c r="J27" s="1" t="str">
        <f>'MPIO_SFIO Table'!K30</f>
        <v>GMI-A22</v>
      </c>
      <c r="K27" s="2" t="str">
        <f>'MPIO_SFIO Table'!L30</f>
        <v>config</v>
      </c>
      <c r="L27" s="1" t="str">
        <f>'MPIO_SFIO Table'!M30</f>
        <v>disabled</v>
      </c>
      <c r="M27" s="1" t="str">
        <f>'MPIO_SFIO Table'!N30</f>
        <v>disabled</v>
      </c>
      <c r="N27" s="1" t="str">
        <f>'MPIO_SFIO Table'!O30</f>
        <v>hold</v>
      </c>
      <c r="O27" s="1" t="str">
        <f>'MPIO_SFIO Table'!P30</f>
        <v/>
      </c>
      <c r="P27" s="2" t="str">
        <f>'MPIO_SFIO Table'!Q30</f>
        <v>VDDIO_AUDIO</v>
      </c>
      <c r="Q27" s="1" t="str">
        <f>'MPIO_SFIO Table'!R30</f>
        <v>ST</v>
      </c>
      <c r="R27" s="1">
        <f>'MPIO_SFIO Table'!S30</f>
        <v>100</v>
      </c>
      <c r="S27" s="1" t="str">
        <f>'MPIO_SFIO Table'!T30</f>
        <v>spicfg</v>
      </c>
      <c r="T27" s="2">
        <f>'MPIO_SFIO Table'!U30</f>
        <v>0</v>
      </c>
      <c r="U27" s="1">
        <f>'MPIO_SFIO Table'!V30</f>
        <v>1</v>
      </c>
      <c r="V27" s="1">
        <f>'MPIO_SFIO Table'!W30</f>
        <v>1</v>
      </c>
      <c r="W27" s="1" t="str">
        <f>'MPIO_SFIO Table'!X30</f>
        <v>down</v>
      </c>
      <c r="X27" s="1" t="str">
        <f>'MPIO_SFIO Table'!Y30</f>
        <v>pd</v>
      </c>
      <c r="Y27" s="88" t="str">
        <f>'MPIO_SFIO Table'!Z30</f>
        <v>pd</v>
      </c>
    </row>
    <row r="28" spans="1:28" x14ac:dyDescent="0.25">
      <c r="A28" s="1" t="str">
        <f>'MPIO_SFIO Table'!A31</f>
        <v>SPI2_MOSI</v>
      </c>
      <c r="B28" s="1" t="str">
        <f>'MPIO_SFIO Table'!C31</f>
        <v>B27</v>
      </c>
      <c r="C28" s="1" t="str">
        <f>'MPIO_SFIO Table'!D31</f>
        <v>D36</v>
      </c>
      <c r="D28" s="1" t="str">
        <f>'MPIO_SFIO Table'!E31</f>
        <v>D36</v>
      </c>
      <c r="E28" s="1" t="str">
        <f>'MPIO_SFIO Table'!F31</f>
        <v>unused_SPI2_MOSI</v>
      </c>
      <c r="F28" s="2" t="str">
        <f>'MPIO_SFIO Table'!G31</f>
        <v>GPIO-X.00</v>
      </c>
      <c r="G28" s="1" t="str">
        <f>'MPIO_SFIO Table'!H31</f>
        <v>SPI6-MOSI</v>
      </c>
      <c r="H28" s="1" t="str">
        <f>'MPIO_SFIO Table'!I31</f>
        <v>SPI2.B-MOSI</v>
      </c>
      <c r="I28" s="1" t="str">
        <f>'MPIO_SFIO Table'!J31</f>
        <v>INVALID</v>
      </c>
      <c r="J28" s="1" t="str">
        <f>'MPIO_SFIO Table'!K31</f>
        <v>GMI-A21</v>
      </c>
      <c r="K28" s="2" t="str">
        <f>'MPIO_SFIO Table'!L31</f>
        <v>config</v>
      </c>
      <c r="L28" s="1" t="str">
        <f>'MPIO_SFIO Table'!M31</f>
        <v>disabled</v>
      </c>
      <c r="M28" s="1" t="str">
        <f>'MPIO_SFIO Table'!N31</f>
        <v>disabled</v>
      </c>
      <c r="N28" s="1" t="str">
        <f>'MPIO_SFIO Table'!O31</f>
        <v>hold</v>
      </c>
      <c r="O28" s="1" t="str">
        <f>'MPIO_SFIO Table'!P31</f>
        <v/>
      </c>
      <c r="P28" s="2" t="str">
        <f>'MPIO_SFIO Table'!Q31</f>
        <v>VDDIO_AUDIO</v>
      </c>
      <c r="Q28" s="1" t="str">
        <f>'MPIO_SFIO Table'!R31</f>
        <v>ST</v>
      </c>
      <c r="R28" s="1">
        <f>'MPIO_SFIO Table'!S31</f>
        <v>100</v>
      </c>
      <c r="S28" s="1" t="str">
        <f>'MPIO_SFIO Table'!T31</f>
        <v>spicfg</v>
      </c>
      <c r="T28" s="2">
        <f>'MPIO_SFIO Table'!U31</f>
        <v>0</v>
      </c>
      <c r="U28" s="1">
        <f>'MPIO_SFIO Table'!V31</f>
        <v>1</v>
      </c>
      <c r="V28" s="1">
        <f>'MPIO_SFIO Table'!W31</f>
        <v>1</v>
      </c>
      <c r="W28" s="1" t="str">
        <f>'MPIO_SFIO Table'!X31</f>
        <v>down</v>
      </c>
      <c r="X28" s="1" t="str">
        <f>'MPIO_SFIO Table'!Y31</f>
        <v>pd</v>
      </c>
      <c r="Y28" s="88" t="str">
        <f>'MPIO_SFIO Table'!Z31</f>
        <v>pd</v>
      </c>
    </row>
    <row r="29" spans="1:28" x14ac:dyDescent="0.25">
      <c r="A29" s="1" t="str">
        <f>'MPIO_SFIO Table'!A32</f>
        <v>SPI2_SCK</v>
      </c>
      <c r="B29" s="1" t="str">
        <f>'MPIO_SFIO Table'!C32</f>
        <v>D29</v>
      </c>
      <c r="C29" s="1" t="str">
        <f>'MPIO_SFIO Table'!D32</f>
        <v>K32</v>
      </c>
      <c r="D29" s="1" t="str">
        <f>'MPIO_SFIO Table'!E32</f>
        <v>K32</v>
      </c>
      <c r="E29" s="1" t="str">
        <f>'MPIO_SFIO Table'!F32</f>
        <v>unused_SPI2_SCK</v>
      </c>
      <c r="F29" s="2" t="str">
        <f>'MPIO_SFIO Table'!G32</f>
        <v>GPIO-X.02</v>
      </c>
      <c r="G29" s="1" t="str">
        <f>'MPIO_SFIO Table'!H32</f>
        <v>SPI6-SCK</v>
      </c>
      <c r="H29" s="1" t="str">
        <f>'MPIO_SFIO Table'!I32</f>
        <v>SPI2.B-SCK</v>
      </c>
      <c r="I29" s="1" t="str">
        <f>'MPIO_SFIO Table'!J32</f>
        <v>INVALID</v>
      </c>
      <c r="J29" s="1" t="str">
        <f>'MPIO_SFIO Table'!K32</f>
        <v>GMI-A23</v>
      </c>
      <c r="K29" s="2" t="str">
        <f>'MPIO_SFIO Table'!L32</f>
        <v>config</v>
      </c>
      <c r="L29" s="1" t="str">
        <f>'MPIO_SFIO Table'!M32</f>
        <v>disabled</v>
      </c>
      <c r="M29" s="1" t="str">
        <f>'MPIO_SFIO Table'!N32</f>
        <v>disabled</v>
      </c>
      <c r="N29" s="1" t="str">
        <f>'MPIO_SFIO Table'!O32</f>
        <v>reset</v>
      </c>
      <c r="O29" s="1" t="str">
        <f>'MPIO_SFIO Table'!P32</f>
        <v/>
      </c>
      <c r="P29" s="2" t="str">
        <f>'MPIO_SFIO Table'!Q32</f>
        <v>VDDIO_AUDIO</v>
      </c>
      <c r="Q29" s="1" t="str">
        <f>'MPIO_SFIO Table'!R32</f>
        <v>ST</v>
      </c>
      <c r="R29" s="1">
        <f>'MPIO_SFIO Table'!S32</f>
        <v>100</v>
      </c>
      <c r="S29" s="1" t="str">
        <f>'MPIO_SFIO Table'!T32</f>
        <v>spicfg</v>
      </c>
      <c r="T29" s="2">
        <f>'MPIO_SFIO Table'!U32</f>
        <v>0</v>
      </c>
      <c r="U29" s="1">
        <f>'MPIO_SFIO Table'!V32</f>
        <v>0</v>
      </c>
      <c r="V29" s="1">
        <f>'MPIO_SFIO Table'!W32</f>
        <v>1</v>
      </c>
      <c r="W29" s="1" t="str">
        <f>'MPIO_SFIO Table'!X32</f>
        <v>up</v>
      </c>
      <c r="X29" s="1" t="str">
        <f>'MPIO_SFIO Table'!Y32</f>
        <v>pu</v>
      </c>
      <c r="Y29" s="88" t="str">
        <f>'MPIO_SFIO Table'!Z32</f>
        <v>pu</v>
      </c>
    </row>
    <row r="30" spans="1:28" ht="15.75" x14ac:dyDescent="0.25">
      <c r="A30" s="32" t="str">
        <f>'MPIO_SFIO Table'!A33</f>
        <v>BB</v>
      </c>
      <c r="B30" s="32"/>
      <c r="C30" s="32"/>
      <c r="D30" s="32"/>
      <c r="E30" s="32"/>
      <c r="F30" s="33"/>
      <c r="G30" s="32"/>
      <c r="H30" s="32"/>
      <c r="I30" s="32"/>
      <c r="J30" s="32"/>
      <c r="K30" s="33"/>
      <c r="L30" s="32"/>
      <c r="M30" s="32"/>
      <c r="N30" s="32"/>
      <c r="O30" s="32"/>
      <c r="P30" s="33"/>
      <c r="Q30" s="32"/>
      <c r="R30" s="32"/>
      <c r="S30" s="32"/>
      <c r="T30" s="34"/>
      <c r="U30" s="35"/>
      <c r="V30" s="35"/>
      <c r="W30" s="35"/>
      <c r="X30" s="35"/>
      <c r="Y30" s="87"/>
    </row>
    <row r="31" spans="1:28" x14ac:dyDescent="0.25">
      <c r="A31" s="1" t="str">
        <f>'MPIO_SFIO Table'!A34</f>
        <v>DAP3_DIN</v>
      </c>
      <c r="B31" s="1" t="str">
        <f>'MPIO_SFIO Table'!C34</f>
        <v>N3</v>
      </c>
      <c r="C31" s="1" t="str">
        <f>'MPIO_SFIO Table'!D34</f>
        <v>AA1</v>
      </c>
      <c r="D31" s="1" t="str">
        <f>'MPIO_SFIO Table'!E34</f>
        <v>AA1</v>
      </c>
      <c r="E31" s="1" t="str">
        <f>'MPIO_SFIO Table'!F34</f>
        <v>unused_DAP3_DIN</v>
      </c>
      <c r="F31" s="2" t="str">
        <f>'MPIO_SFIO Table'!G34</f>
        <v>GPIO-P.01</v>
      </c>
      <c r="G31" s="1" t="str">
        <f>'MPIO_SFIO Table'!H34</f>
        <v>I2S2-SDATA_IN</v>
      </c>
      <c r="H31" s="1" t="str">
        <f>'MPIO_SFIO Table'!I34</f>
        <v>RSVD1</v>
      </c>
      <c r="I31" s="1" t="str">
        <f>'MPIO_SFIO Table'!J34</f>
        <v>LCD0.B-HSYNC</v>
      </c>
      <c r="J31" s="1" t="str">
        <f>'MPIO_SFIO Table'!K34</f>
        <v>LCD1.B-HSYNC</v>
      </c>
      <c r="K31" s="2" t="str">
        <f>'MPIO_SFIO Table'!L34</f>
        <v>config</v>
      </c>
      <c r="L31" s="1" t="str">
        <f>'MPIO_SFIO Table'!M34</f>
        <v>disabled</v>
      </c>
      <c r="M31" s="1" t="str">
        <f>'MPIO_SFIO Table'!N34</f>
        <v>disabled</v>
      </c>
      <c r="N31" s="1" t="str">
        <f>'MPIO_SFIO Table'!O34</f>
        <v>hold</v>
      </c>
      <c r="O31" s="1" t="str">
        <f>'MPIO_SFIO Table'!P34</f>
        <v/>
      </c>
      <c r="P31" s="2" t="str">
        <f>'MPIO_SFIO Table'!Q34</f>
        <v>VDDIO_BB</v>
      </c>
      <c r="Q31" s="1" t="str">
        <f>'MPIO_SFIO Table'!R34</f>
        <v>ST</v>
      </c>
      <c r="R31" s="1">
        <f>'MPIO_SFIO Table'!S34</f>
        <v>100</v>
      </c>
      <c r="S31" s="1" t="str">
        <f>'MPIO_SFIO Table'!T34</f>
        <v>dap3cfg</v>
      </c>
      <c r="T31" s="2">
        <f>'MPIO_SFIO Table'!U34</f>
        <v>0</v>
      </c>
      <c r="U31" s="1">
        <f>'MPIO_SFIO Table'!V34</f>
        <v>1</v>
      </c>
      <c r="V31" s="1">
        <f>'MPIO_SFIO Table'!W34</f>
        <v>1</v>
      </c>
      <c r="W31" s="1" t="str">
        <f>'MPIO_SFIO Table'!X34</f>
        <v>down</v>
      </c>
      <c r="X31" s="1" t="str">
        <f>'MPIO_SFIO Table'!Y34</f>
        <v>pd</v>
      </c>
      <c r="Y31" s="88" t="str">
        <f>'MPIO_SFIO Table'!Z34</f>
        <v>pd</v>
      </c>
    </row>
    <row r="32" spans="1:28" x14ac:dyDescent="0.25">
      <c r="A32" s="1" t="str">
        <f>'MPIO_SFIO Table'!A35</f>
        <v>DAP3_DOUT</v>
      </c>
      <c r="B32" s="1" t="str">
        <f>'MPIO_SFIO Table'!C35</f>
        <v>M3</v>
      </c>
      <c r="C32" s="1" t="str">
        <f>'MPIO_SFIO Table'!D35</f>
        <v>W5</v>
      </c>
      <c r="D32" s="1" t="str">
        <f>'MPIO_SFIO Table'!E35</f>
        <v>W5</v>
      </c>
      <c r="E32" s="1" t="str">
        <f>'MPIO_SFIO Table'!F35</f>
        <v>unused_DAP3_DOUT</v>
      </c>
      <c r="F32" s="2" t="str">
        <f>'MPIO_SFIO Table'!G35</f>
        <v>GPIO-P.02</v>
      </c>
      <c r="G32" s="1" t="str">
        <f>'MPIO_SFIO Table'!H35</f>
        <v>I2S2-SDATA_OUT</v>
      </c>
      <c r="H32" s="1" t="str">
        <f>'MPIO_SFIO Table'!I35</f>
        <v>RSVD1</v>
      </c>
      <c r="I32" s="1" t="str">
        <f>'MPIO_SFIO Table'!J35</f>
        <v>LCD0.B-VSYNC</v>
      </c>
      <c r="J32" s="1" t="str">
        <f>'MPIO_SFIO Table'!K35</f>
        <v>LCD1.B-VSYNC</v>
      </c>
      <c r="K32" s="2" t="str">
        <f>'MPIO_SFIO Table'!L35</f>
        <v>config</v>
      </c>
      <c r="L32" s="1" t="str">
        <f>'MPIO_SFIO Table'!M35</f>
        <v>disabled</v>
      </c>
      <c r="M32" s="1" t="str">
        <f>'MPIO_SFIO Table'!N35</f>
        <v>disabled</v>
      </c>
      <c r="N32" s="1" t="str">
        <f>'MPIO_SFIO Table'!O35</f>
        <v>hold</v>
      </c>
      <c r="O32" s="1" t="str">
        <f>'MPIO_SFIO Table'!P35</f>
        <v/>
      </c>
      <c r="P32" s="2" t="str">
        <f>'MPIO_SFIO Table'!Q35</f>
        <v>VDDIO_BB</v>
      </c>
      <c r="Q32" s="1" t="str">
        <f>'MPIO_SFIO Table'!R35</f>
        <v>ST</v>
      </c>
      <c r="R32" s="1">
        <f>'MPIO_SFIO Table'!S35</f>
        <v>100</v>
      </c>
      <c r="S32" s="1" t="str">
        <f>'MPIO_SFIO Table'!T35</f>
        <v>dap3cfg</v>
      </c>
      <c r="T32" s="2">
        <f>'MPIO_SFIO Table'!U35</f>
        <v>0</v>
      </c>
      <c r="U32" s="1">
        <f>'MPIO_SFIO Table'!V35</f>
        <v>1</v>
      </c>
      <c r="V32" s="1">
        <f>'MPIO_SFIO Table'!W35</f>
        <v>1</v>
      </c>
      <c r="W32" s="1" t="str">
        <f>'MPIO_SFIO Table'!X35</f>
        <v>down</v>
      </c>
      <c r="X32" s="1" t="str">
        <f>'MPIO_SFIO Table'!Y35</f>
        <v>pd</v>
      </c>
      <c r="Y32" s="88" t="str">
        <f>'MPIO_SFIO Table'!Z35</f>
        <v>pd</v>
      </c>
    </row>
    <row r="33" spans="1:25" x14ac:dyDescent="0.25">
      <c r="A33" s="1" t="str">
        <f>'MPIO_SFIO Table'!A36</f>
        <v>DAP3_FS</v>
      </c>
      <c r="B33" s="1" t="str">
        <f>'MPIO_SFIO Table'!C36</f>
        <v>R4</v>
      </c>
      <c r="C33" s="1" t="str">
        <f>'MPIO_SFIO Table'!D36</f>
        <v>Y4</v>
      </c>
      <c r="D33" s="1" t="str">
        <f>'MPIO_SFIO Table'!E36</f>
        <v>Y4</v>
      </c>
      <c r="E33" s="1" t="str">
        <f>'MPIO_SFIO Table'!F36</f>
        <v>unused_DAP3_FS</v>
      </c>
      <c r="F33" s="2" t="str">
        <f>'MPIO_SFIO Table'!G36</f>
        <v>GPIO-P.00</v>
      </c>
      <c r="G33" s="1" t="str">
        <f>'MPIO_SFIO Table'!H36</f>
        <v>I2S2-LRCK</v>
      </c>
      <c r="H33" s="1" t="str">
        <f>'MPIO_SFIO Table'!I36</f>
        <v>RSVD1</v>
      </c>
      <c r="I33" s="1" t="str">
        <f>'MPIO_SFIO Table'!J36</f>
        <v>LCD0.B-DE</v>
      </c>
      <c r="J33" s="1" t="str">
        <f>'MPIO_SFIO Table'!K36</f>
        <v>LCD1.B-DE</v>
      </c>
      <c r="K33" s="2" t="str">
        <f>'MPIO_SFIO Table'!L36</f>
        <v>config</v>
      </c>
      <c r="L33" s="1" t="str">
        <f>'MPIO_SFIO Table'!M36</f>
        <v>disabled</v>
      </c>
      <c r="M33" s="1" t="str">
        <f>'MPIO_SFIO Table'!N36</f>
        <v>disabled</v>
      </c>
      <c r="N33" s="1" t="str">
        <f>'MPIO_SFIO Table'!O36</f>
        <v>hold</v>
      </c>
      <c r="O33" s="1" t="str">
        <f>'MPIO_SFIO Table'!P36</f>
        <v/>
      </c>
      <c r="P33" s="2" t="str">
        <f>'MPIO_SFIO Table'!Q36</f>
        <v>VDDIO_BB</v>
      </c>
      <c r="Q33" s="1" t="str">
        <f>'MPIO_SFIO Table'!R36</f>
        <v>ST</v>
      </c>
      <c r="R33" s="1">
        <f>'MPIO_SFIO Table'!S36</f>
        <v>100</v>
      </c>
      <c r="S33" s="1" t="str">
        <f>'MPIO_SFIO Table'!T36</f>
        <v>dap3cfg</v>
      </c>
      <c r="T33" s="2">
        <f>'MPIO_SFIO Table'!U36</f>
        <v>0</v>
      </c>
      <c r="U33" s="1">
        <f>'MPIO_SFIO Table'!V36</f>
        <v>1</v>
      </c>
      <c r="V33" s="1">
        <f>'MPIO_SFIO Table'!W36</f>
        <v>1</v>
      </c>
      <c r="W33" s="1" t="str">
        <f>'MPIO_SFIO Table'!X36</f>
        <v>down</v>
      </c>
      <c r="X33" s="1" t="str">
        <f>'MPIO_SFIO Table'!Y36</f>
        <v>pd</v>
      </c>
      <c r="Y33" s="88" t="str">
        <f>'MPIO_SFIO Table'!Z36</f>
        <v>pd</v>
      </c>
    </row>
    <row r="34" spans="1:25" x14ac:dyDescent="0.25">
      <c r="A34" s="1" t="str">
        <f>'MPIO_SFIO Table'!A37</f>
        <v>DAP3_SCLK</v>
      </c>
      <c r="B34" s="1" t="str">
        <f>'MPIO_SFIO Table'!C37</f>
        <v>R6</v>
      </c>
      <c r="C34" s="1" t="str">
        <f>'MPIO_SFIO Table'!D37</f>
        <v>AA3</v>
      </c>
      <c r="D34" s="1" t="str">
        <f>'MPIO_SFIO Table'!E37</f>
        <v>AA3</v>
      </c>
      <c r="E34" s="1" t="str">
        <f>'MPIO_SFIO Table'!F37</f>
        <v>unused_DAP3_SCLK</v>
      </c>
      <c r="F34" s="2" t="str">
        <f>'MPIO_SFIO Table'!G37</f>
        <v>GPIO-P.03</v>
      </c>
      <c r="G34" s="1" t="str">
        <f>'MPIO_SFIO Table'!H37</f>
        <v>I2S2-SCLK</v>
      </c>
      <c r="H34" s="1" t="str">
        <f>'MPIO_SFIO Table'!I37</f>
        <v>RSVD1</v>
      </c>
      <c r="I34" s="1" t="str">
        <f>'MPIO_SFIO Table'!J37</f>
        <v>LCD0.B-PCLK</v>
      </c>
      <c r="J34" s="1" t="str">
        <f>'MPIO_SFIO Table'!K37</f>
        <v>LCD1.B-PCLK</v>
      </c>
      <c r="K34" s="2" t="str">
        <f>'MPIO_SFIO Table'!L37</f>
        <v>config</v>
      </c>
      <c r="L34" s="1" t="str">
        <f>'MPIO_SFIO Table'!M37</f>
        <v>disabled</v>
      </c>
      <c r="M34" s="1" t="str">
        <f>'MPIO_SFIO Table'!N37</f>
        <v>disabled</v>
      </c>
      <c r="N34" s="1" t="str">
        <f>'MPIO_SFIO Table'!O37</f>
        <v>hold</v>
      </c>
      <c r="O34" s="1" t="str">
        <f>'MPIO_SFIO Table'!P37</f>
        <v/>
      </c>
      <c r="P34" s="2" t="str">
        <f>'MPIO_SFIO Table'!Q37</f>
        <v>VDDIO_BB</v>
      </c>
      <c r="Q34" s="1" t="str">
        <f>'MPIO_SFIO Table'!R37</f>
        <v>ST</v>
      </c>
      <c r="R34" s="1">
        <f>'MPIO_SFIO Table'!S37</f>
        <v>100</v>
      </c>
      <c r="S34" s="1" t="str">
        <f>'MPIO_SFIO Table'!T37</f>
        <v>dap3cfg</v>
      </c>
      <c r="T34" s="2">
        <f>'MPIO_SFIO Table'!U37</f>
        <v>0</v>
      </c>
      <c r="U34" s="1">
        <f>'MPIO_SFIO Table'!V37</f>
        <v>1</v>
      </c>
      <c r="V34" s="1">
        <f>'MPIO_SFIO Table'!W37</f>
        <v>1</v>
      </c>
      <c r="W34" s="1" t="str">
        <f>'MPIO_SFIO Table'!X37</f>
        <v>down</v>
      </c>
      <c r="X34" s="1" t="str">
        <f>'MPIO_SFIO Table'!Y37</f>
        <v>pd</v>
      </c>
      <c r="Y34" s="88" t="str">
        <f>'MPIO_SFIO Table'!Z37</f>
        <v>pd</v>
      </c>
    </row>
    <row r="35" spans="1:25" x14ac:dyDescent="0.25">
      <c r="A35" s="1" t="str">
        <f>'MPIO_SFIO Table'!A38</f>
        <v>GPIO_PV0</v>
      </c>
      <c r="B35" s="1" t="str">
        <f>'MPIO_SFIO Table'!C38</f>
        <v>R1</v>
      </c>
      <c r="C35" s="1" t="str">
        <f>'MPIO_SFIO Table'!D38</f>
        <v>Y8</v>
      </c>
      <c r="D35" s="1" t="str">
        <f>'MPIO_SFIO Table'!E38</f>
        <v>Y8</v>
      </c>
      <c r="E35" s="1" t="str">
        <f>'MPIO_SFIO Table'!F38</f>
        <v>unused_GPIO_PV0</v>
      </c>
      <c r="F35" s="2" t="str">
        <f>'MPIO_SFIO Table'!G38</f>
        <v>GPIO-V.00</v>
      </c>
      <c r="G35" s="1" t="str">
        <f>'MPIO_SFIO Table'!H38</f>
        <v>RSVD</v>
      </c>
      <c r="H35" s="1" t="str">
        <f>'MPIO_SFIO Table'!I38</f>
        <v>RSVD</v>
      </c>
      <c r="I35" s="1" t="str">
        <f>'MPIO_SFIO Table'!J38</f>
        <v>RSVD</v>
      </c>
      <c r="J35" s="1" t="str">
        <f>'MPIO_SFIO Table'!K38</f>
        <v>RSVD</v>
      </c>
      <c r="K35" s="2" t="str">
        <f>'MPIO_SFIO Table'!L38</f>
        <v>config</v>
      </c>
      <c r="L35" s="1" t="str">
        <f>'MPIO_SFIO Table'!M38</f>
        <v>special</v>
      </c>
      <c r="M35" s="1" t="str">
        <f>'MPIO_SFIO Table'!N38</f>
        <v>config</v>
      </c>
      <c r="N35" s="1" t="str">
        <f>'MPIO_SFIO Table'!O38</f>
        <v>hold</v>
      </c>
      <c r="O35" s="1">
        <f>'MPIO_SFIO Table'!P38</f>
        <v>24</v>
      </c>
      <c r="P35" s="2" t="str">
        <f>'MPIO_SFIO Table'!Q38</f>
        <v>VDDIO_BB</v>
      </c>
      <c r="Q35" s="1" t="str">
        <f>'MPIO_SFIO Table'!R38</f>
        <v>ST</v>
      </c>
      <c r="R35" s="1">
        <f>'MPIO_SFIO Table'!S38</f>
        <v>100</v>
      </c>
      <c r="S35" s="1" t="str">
        <f>'MPIO_SFIO Table'!T38</f>
        <v>uabcfg</v>
      </c>
      <c r="T35" s="2">
        <f>'MPIO_SFIO Table'!U38</f>
        <v>0</v>
      </c>
      <c r="U35" s="1">
        <f>'MPIO_SFIO Table'!V38</f>
        <v>1</v>
      </c>
      <c r="V35" s="1">
        <f>'MPIO_SFIO Table'!W38</f>
        <v>1</v>
      </c>
      <c r="W35" s="1" t="str">
        <f>'MPIO_SFIO Table'!X38</f>
        <v>none</v>
      </c>
      <c r="X35" s="1" t="str">
        <f>'MPIO_SFIO Table'!Y38</f>
        <v>z</v>
      </c>
      <c r="Y35" s="88" t="str">
        <f>'MPIO_SFIO Table'!Z38</f>
        <v>z</v>
      </c>
    </row>
    <row r="36" spans="1:25" x14ac:dyDescent="0.25">
      <c r="A36" s="1" t="str">
        <f>'MPIO_SFIO Table'!A39</f>
        <v>GPIO_PV1</v>
      </c>
      <c r="B36" s="1" t="str">
        <f>'MPIO_SFIO Table'!C39</f>
        <v>R2</v>
      </c>
      <c r="C36" s="1" t="str">
        <f>'MPIO_SFIO Table'!D39</f>
        <v>AA5</v>
      </c>
      <c r="D36" s="1" t="str">
        <f>'MPIO_SFIO Table'!E39</f>
        <v>AA5</v>
      </c>
      <c r="E36" s="1" t="str">
        <f>'MPIO_SFIO Table'!F39</f>
        <v>unused_GPIO_PV1</v>
      </c>
      <c r="F36" s="2" t="str">
        <f>'MPIO_SFIO Table'!G39</f>
        <v>GPIO-V.01</v>
      </c>
      <c r="G36" s="1" t="str">
        <f>'MPIO_SFIO Table'!H39</f>
        <v>RSVD</v>
      </c>
      <c r="H36" s="1" t="str">
        <f>'MPIO_SFIO Table'!I39</f>
        <v>RSVD</v>
      </c>
      <c r="I36" s="1" t="str">
        <f>'MPIO_SFIO Table'!J39</f>
        <v>RSVD</v>
      </c>
      <c r="J36" s="1" t="str">
        <f>'MPIO_SFIO Table'!K39</f>
        <v>RSVD</v>
      </c>
      <c r="K36" s="2" t="str">
        <f>'MPIO_SFIO Table'!L39</f>
        <v>config</v>
      </c>
      <c r="L36" s="1" t="str">
        <f>'MPIO_SFIO Table'!M39</f>
        <v>special</v>
      </c>
      <c r="M36" s="1" t="str">
        <f>'MPIO_SFIO Table'!N39</f>
        <v>config</v>
      </c>
      <c r="N36" s="1" t="str">
        <f>'MPIO_SFIO Table'!O39</f>
        <v>hold</v>
      </c>
      <c r="O36" s="1">
        <f>'MPIO_SFIO Table'!P39</f>
        <v>1</v>
      </c>
      <c r="P36" s="2" t="str">
        <f>'MPIO_SFIO Table'!Q39</f>
        <v>VDDIO_BB</v>
      </c>
      <c r="Q36" s="1" t="str">
        <f>'MPIO_SFIO Table'!R39</f>
        <v>ST</v>
      </c>
      <c r="R36" s="1">
        <f>'MPIO_SFIO Table'!S39</f>
        <v>100</v>
      </c>
      <c r="S36" s="1" t="str">
        <f>'MPIO_SFIO Table'!T39</f>
        <v>uabcfg</v>
      </c>
      <c r="T36" s="2">
        <f>'MPIO_SFIO Table'!U39</f>
        <v>0</v>
      </c>
      <c r="U36" s="1">
        <f>'MPIO_SFIO Table'!V39</f>
        <v>1</v>
      </c>
      <c r="V36" s="1">
        <f>'MPIO_SFIO Table'!W39</f>
        <v>1</v>
      </c>
      <c r="W36" s="1" t="str">
        <f>'MPIO_SFIO Table'!X39</f>
        <v>none</v>
      </c>
      <c r="X36" s="1" t="str">
        <f>'MPIO_SFIO Table'!Y39</f>
        <v>z</v>
      </c>
      <c r="Y36" s="88" t="str">
        <f>'MPIO_SFIO Table'!Z39</f>
        <v>z</v>
      </c>
    </row>
    <row r="37" spans="1:25" x14ac:dyDescent="0.25">
      <c r="A37" s="1" t="str">
        <f>'MPIO_SFIO Table'!A40</f>
        <v>ULPI_CLK</v>
      </c>
      <c r="B37" s="1" t="str">
        <f>'MPIO_SFIO Table'!C40</f>
        <v>M2</v>
      </c>
      <c r="C37" s="1" t="str">
        <f>'MPIO_SFIO Table'!D40</f>
        <v>AC1</v>
      </c>
      <c r="D37" s="1" t="str">
        <f>'MPIO_SFIO Table'!E40</f>
        <v>AC1</v>
      </c>
      <c r="E37" s="1" t="str">
        <f>'MPIO_SFIO Table'!F40</f>
        <v>unused_ULPI_CLK</v>
      </c>
      <c r="F37" s="2" t="str">
        <f>'MPIO_SFIO Table'!G40</f>
        <v>GPIO-Y.00</v>
      </c>
      <c r="G37" s="1" t="str">
        <f>'MPIO_SFIO Table'!H40</f>
        <v>SPI1.A-MOSI</v>
      </c>
      <c r="H37" s="1" t="str">
        <f>'MPIO_SFIO Table'!I40</f>
        <v>RSVD</v>
      </c>
      <c r="I37" s="1" t="str">
        <f>'MPIO_SFIO Table'!J40</f>
        <v>UART4.A-TXD</v>
      </c>
      <c r="J37" s="1" t="str">
        <f>'MPIO_SFIO Table'!K40</f>
        <v>ULPI-CLOCK</v>
      </c>
      <c r="K37" s="2" t="str">
        <f>'MPIO_SFIO Table'!L40</f>
        <v>config</v>
      </c>
      <c r="L37" s="1" t="str">
        <f>'MPIO_SFIO Table'!M40</f>
        <v>disabled</v>
      </c>
      <c r="M37" s="1" t="str">
        <f>'MPIO_SFIO Table'!N40</f>
        <v>disabled</v>
      </c>
      <c r="N37" s="1" t="str">
        <f>'MPIO_SFIO Table'!O40</f>
        <v>hold</v>
      </c>
      <c r="O37" s="1" t="str">
        <f>'MPIO_SFIO Table'!P40</f>
        <v/>
      </c>
      <c r="P37" s="2" t="str">
        <f>'MPIO_SFIO Table'!Q40</f>
        <v>VDDIO_BB</v>
      </c>
      <c r="Q37" s="1" t="str">
        <f>'MPIO_SFIO Table'!R40</f>
        <v>ST</v>
      </c>
      <c r="R37" s="1">
        <f>'MPIO_SFIO Table'!S40</f>
        <v>100</v>
      </c>
      <c r="S37" s="1" t="str">
        <f>'MPIO_SFIO Table'!T40</f>
        <v>udacfg</v>
      </c>
      <c r="T37" s="2">
        <f>'MPIO_SFIO Table'!U40</f>
        <v>0</v>
      </c>
      <c r="U37" s="1">
        <f>'MPIO_SFIO Table'!V40</f>
        <v>1</v>
      </c>
      <c r="V37" s="1">
        <f>'MPIO_SFIO Table'!W40</f>
        <v>1</v>
      </c>
      <c r="W37" s="1" t="str">
        <f>'MPIO_SFIO Table'!X40</f>
        <v>none</v>
      </c>
      <c r="X37" s="1" t="str">
        <f>'MPIO_SFIO Table'!Y40</f>
        <v>z</v>
      </c>
      <c r="Y37" s="88" t="str">
        <f>'MPIO_SFIO Table'!Z40</f>
        <v>z</v>
      </c>
    </row>
    <row r="38" spans="1:25" x14ac:dyDescent="0.25">
      <c r="A38" s="1" t="str">
        <f>'MPIO_SFIO Table'!A41</f>
        <v>ULPI_DATA0</v>
      </c>
      <c r="B38" s="1" t="str">
        <f>'MPIO_SFIO Table'!C41</f>
        <v>R3</v>
      </c>
      <c r="C38" s="1" t="str">
        <f>'MPIO_SFIO Table'!D41</f>
        <v>AA7</v>
      </c>
      <c r="D38" s="1" t="str">
        <f>'MPIO_SFIO Table'!E41</f>
        <v>AA7</v>
      </c>
      <c r="E38" s="1" t="str">
        <f>'MPIO_SFIO Table'!F41</f>
        <v>unused_ULPI_DATA0</v>
      </c>
      <c r="F38" s="2" t="str">
        <f>'MPIO_SFIO Table'!G41</f>
        <v>GPIO-O.01</v>
      </c>
      <c r="G38" s="1" t="str">
        <f>'MPIO_SFIO Table'!H41</f>
        <v>SPI3.E-MOSI</v>
      </c>
      <c r="H38" s="1" t="str">
        <f>'MPIO_SFIO Table'!I41</f>
        <v>INVALID</v>
      </c>
      <c r="I38" s="1" t="str">
        <f>'MPIO_SFIO Table'!J41</f>
        <v>UART1.A-TXD</v>
      </c>
      <c r="J38" s="1" t="str">
        <f>'MPIO_SFIO Table'!K41</f>
        <v>ULPI-DATA0</v>
      </c>
      <c r="K38" s="2" t="str">
        <f>'MPIO_SFIO Table'!L41</f>
        <v>config</v>
      </c>
      <c r="L38" s="1" t="str">
        <f>'MPIO_SFIO Table'!M41</f>
        <v>disabled</v>
      </c>
      <c r="M38" s="1" t="str">
        <f>'MPIO_SFIO Table'!N41</f>
        <v>disabled</v>
      </c>
      <c r="N38" s="1" t="str">
        <f>'MPIO_SFIO Table'!O41</f>
        <v>hold</v>
      </c>
      <c r="O38" s="1" t="str">
        <f>'MPIO_SFIO Table'!P41</f>
        <v/>
      </c>
      <c r="P38" s="2" t="str">
        <f>'MPIO_SFIO Table'!Q41</f>
        <v>VDDIO_BB</v>
      </c>
      <c r="Q38" s="1" t="str">
        <f>'MPIO_SFIO Table'!R41</f>
        <v>ST</v>
      </c>
      <c r="R38" s="1">
        <f>'MPIO_SFIO Table'!S41</f>
        <v>100</v>
      </c>
      <c r="S38" s="1" t="str">
        <f>'MPIO_SFIO Table'!T41</f>
        <v>uaacfg</v>
      </c>
      <c r="T38" s="2">
        <f>'MPIO_SFIO Table'!U41</f>
        <v>0</v>
      </c>
      <c r="U38" s="1">
        <f>'MPIO_SFIO Table'!V41</f>
        <v>1</v>
      </c>
      <c r="V38" s="1">
        <f>'MPIO_SFIO Table'!W41</f>
        <v>1</v>
      </c>
      <c r="W38" s="1" t="str">
        <f>'MPIO_SFIO Table'!X41</f>
        <v>up</v>
      </c>
      <c r="X38" s="1" t="str">
        <f>'MPIO_SFIO Table'!Y41</f>
        <v>pu</v>
      </c>
      <c r="Y38" s="88" t="str">
        <f>'MPIO_SFIO Table'!Z41</f>
        <v>pu</v>
      </c>
    </row>
    <row r="39" spans="1:25" x14ac:dyDescent="0.25">
      <c r="A39" s="1" t="str">
        <f>'MPIO_SFIO Table'!A42</f>
        <v>ULPI_DATA1</v>
      </c>
      <c r="B39" s="1" t="str">
        <f>'MPIO_SFIO Table'!C42</f>
        <v>V1</v>
      </c>
      <c r="C39" s="1" t="str">
        <f>'MPIO_SFIO Table'!D42</f>
        <v>AC7</v>
      </c>
      <c r="D39" s="1" t="str">
        <f>'MPIO_SFIO Table'!E42</f>
        <v>AC7</v>
      </c>
      <c r="E39" s="1" t="str">
        <f>'MPIO_SFIO Table'!F42</f>
        <v>unused_ULPI_DATA1</v>
      </c>
      <c r="F39" s="2" t="str">
        <f>'MPIO_SFIO Table'!G42</f>
        <v>GPIO-O.02</v>
      </c>
      <c r="G39" s="1" t="str">
        <f>'MPIO_SFIO Table'!H42</f>
        <v>SPI3.E-MISO</v>
      </c>
      <c r="H39" s="1" t="str">
        <f>'MPIO_SFIO Table'!I42</f>
        <v>INVALID</v>
      </c>
      <c r="I39" s="1" t="str">
        <f>'MPIO_SFIO Table'!J42</f>
        <v>UART1.A-RXD</v>
      </c>
      <c r="J39" s="1" t="str">
        <f>'MPIO_SFIO Table'!K42</f>
        <v>ULPI-DATA1</v>
      </c>
      <c r="K39" s="2" t="str">
        <f>'MPIO_SFIO Table'!L42</f>
        <v>config</v>
      </c>
      <c r="L39" s="1" t="str">
        <f>'MPIO_SFIO Table'!M42</f>
        <v>disabled</v>
      </c>
      <c r="M39" s="1" t="str">
        <f>'MPIO_SFIO Table'!N42</f>
        <v>disabled</v>
      </c>
      <c r="N39" s="1" t="str">
        <f>'MPIO_SFIO Table'!O42</f>
        <v>hold</v>
      </c>
      <c r="O39" s="1" t="str">
        <f>'MPIO_SFIO Table'!P42</f>
        <v/>
      </c>
      <c r="P39" s="2" t="str">
        <f>'MPIO_SFIO Table'!Q42</f>
        <v>VDDIO_BB</v>
      </c>
      <c r="Q39" s="1" t="str">
        <f>'MPIO_SFIO Table'!R42</f>
        <v>ST</v>
      </c>
      <c r="R39" s="1">
        <f>'MPIO_SFIO Table'!S42</f>
        <v>100</v>
      </c>
      <c r="S39" s="1" t="str">
        <f>'MPIO_SFIO Table'!T42</f>
        <v>uaacfg</v>
      </c>
      <c r="T39" s="2">
        <f>'MPIO_SFIO Table'!U42</f>
        <v>0</v>
      </c>
      <c r="U39" s="1">
        <f>'MPIO_SFIO Table'!V42</f>
        <v>1</v>
      </c>
      <c r="V39" s="1">
        <f>'MPIO_SFIO Table'!W42</f>
        <v>1</v>
      </c>
      <c r="W39" s="1" t="str">
        <f>'MPIO_SFIO Table'!X42</f>
        <v>up</v>
      </c>
      <c r="X39" s="1" t="str">
        <f>'MPIO_SFIO Table'!Y42</f>
        <v>pu</v>
      </c>
      <c r="Y39" s="88" t="str">
        <f>'MPIO_SFIO Table'!Z42</f>
        <v>pu</v>
      </c>
    </row>
    <row r="40" spans="1:25" x14ac:dyDescent="0.25">
      <c r="A40" s="1" t="str">
        <f>'MPIO_SFIO Table'!A43</f>
        <v>ULPI_DATA2</v>
      </c>
      <c r="B40" s="1" t="str">
        <f>'MPIO_SFIO Table'!C43</f>
        <v>N1</v>
      </c>
      <c r="C40" s="1" t="str">
        <f>'MPIO_SFIO Table'!D43</f>
        <v>V8</v>
      </c>
      <c r="D40" s="1" t="str">
        <f>'MPIO_SFIO Table'!E43</f>
        <v>V8</v>
      </c>
      <c r="E40" s="1" t="str">
        <f>'MPIO_SFIO Table'!F43</f>
        <v>unused_ULPI_DATA2</v>
      </c>
      <c r="F40" s="2" t="str">
        <f>'MPIO_SFIO Table'!G43</f>
        <v>GPIO-O.03</v>
      </c>
      <c r="G40" s="1" t="str">
        <f>'MPIO_SFIO Table'!H43</f>
        <v>SPI3.E-SCK</v>
      </c>
      <c r="H40" s="1" t="str">
        <f>'MPIO_SFIO Table'!I43</f>
        <v>INVALID</v>
      </c>
      <c r="I40" s="1" t="str">
        <f>'MPIO_SFIO Table'!J43</f>
        <v>UART1.A-CTS_N</v>
      </c>
      <c r="J40" s="1" t="str">
        <f>'MPIO_SFIO Table'!K43</f>
        <v>ULPI-DATA2</v>
      </c>
      <c r="K40" s="2" t="str">
        <f>'MPIO_SFIO Table'!L43</f>
        <v>config</v>
      </c>
      <c r="L40" s="1" t="str">
        <f>'MPIO_SFIO Table'!M43</f>
        <v>disabled</v>
      </c>
      <c r="M40" s="1" t="str">
        <f>'MPIO_SFIO Table'!N43</f>
        <v>disabled</v>
      </c>
      <c r="N40" s="1" t="str">
        <f>'MPIO_SFIO Table'!O43</f>
        <v>hold</v>
      </c>
      <c r="O40" s="1" t="str">
        <f>'MPIO_SFIO Table'!P43</f>
        <v/>
      </c>
      <c r="P40" s="2" t="str">
        <f>'MPIO_SFIO Table'!Q43</f>
        <v>VDDIO_BB</v>
      </c>
      <c r="Q40" s="1" t="str">
        <f>'MPIO_SFIO Table'!R43</f>
        <v>ST</v>
      </c>
      <c r="R40" s="1">
        <f>'MPIO_SFIO Table'!S43</f>
        <v>100</v>
      </c>
      <c r="S40" s="1" t="str">
        <f>'MPIO_SFIO Table'!T43</f>
        <v>uaacfg</v>
      </c>
      <c r="T40" s="2">
        <f>'MPIO_SFIO Table'!U43</f>
        <v>0</v>
      </c>
      <c r="U40" s="1">
        <f>'MPIO_SFIO Table'!V43</f>
        <v>1</v>
      </c>
      <c r="V40" s="1">
        <f>'MPIO_SFIO Table'!W43</f>
        <v>1</v>
      </c>
      <c r="W40" s="1" t="str">
        <f>'MPIO_SFIO Table'!X43</f>
        <v>up</v>
      </c>
      <c r="X40" s="1" t="str">
        <f>'MPIO_SFIO Table'!Y43</f>
        <v>pu</v>
      </c>
      <c r="Y40" s="88" t="str">
        <f>'MPIO_SFIO Table'!Z43</f>
        <v>pu</v>
      </c>
    </row>
    <row r="41" spans="1:25" x14ac:dyDescent="0.25">
      <c r="A41" s="1" t="str">
        <f>'MPIO_SFIO Table'!A44</f>
        <v>ULPI_DATA3</v>
      </c>
      <c r="B41" s="1" t="str">
        <f>'MPIO_SFIO Table'!C44</f>
        <v>T3</v>
      </c>
      <c r="C41" s="1" t="str">
        <f>'MPIO_SFIO Table'!D44</f>
        <v>AC3</v>
      </c>
      <c r="D41" s="1" t="str">
        <f>'MPIO_SFIO Table'!E44</f>
        <v>AC3</v>
      </c>
      <c r="E41" s="1" t="str">
        <f>'MPIO_SFIO Table'!F44</f>
        <v>unused_ULPI_DATA3</v>
      </c>
      <c r="F41" s="2" t="str">
        <f>'MPIO_SFIO Table'!G44</f>
        <v>GPIO-O.04</v>
      </c>
      <c r="G41" s="1" t="str">
        <f>'MPIO_SFIO Table'!H44</f>
        <v>SPI3.E-CS1_N</v>
      </c>
      <c r="H41" s="1" t="str">
        <f>'MPIO_SFIO Table'!I44</f>
        <v>INVALID</v>
      </c>
      <c r="I41" s="1" t="str">
        <f>'MPIO_SFIO Table'!J44</f>
        <v>UART1.A-RTS_N</v>
      </c>
      <c r="J41" s="1" t="str">
        <f>'MPIO_SFIO Table'!K44</f>
        <v>ULPI-DATA3</v>
      </c>
      <c r="K41" s="2" t="str">
        <f>'MPIO_SFIO Table'!L44</f>
        <v>config</v>
      </c>
      <c r="L41" s="1" t="str">
        <f>'MPIO_SFIO Table'!M44</f>
        <v>special</v>
      </c>
      <c r="M41" s="1" t="str">
        <f>'MPIO_SFIO Table'!N44</f>
        <v>config</v>
      </c>
      <c r="N41" s="1" t="str">
        <f>'MPIO_SFIO Table'!O44</f>
        <v>hold</v>
      </c>
      <c r="O41" s="1">
        <f>'MPIO_SFIO Table'!P44</f>
        <v>32</v>
      </c>
      <c r="P41" s="2" t="str">
        <f>'MPIO_SFIO Table'!Q44</f>
        <v>VDDIO_BB</v>
      </c>
      <c r="Q41" s="1" t="str">
        <f>'MPIO_SFIO Table'!R44</f>
        <v>ST</v>
      </c>
      <c r="R41" s="1">
        <f>'MPIO_SFIO Table'!S44</f>
        <v>100</v>
      </c>
      <c r="S41" s="1" t="str">
        <f>'MPIO_SFIO Table'!T44</f>
        <v>uaacfg</v>
      </c>
      <c r="T41" s="2">
        <f>'MPIO_SFIO Table'!U44</f>
        <v>0</v>
      </c>
      <c r="U41" s="1">
        <f>'MPIO_SFIO Table'!V44</f>
        <v>1</v>
      </c>
      <c r="V41" s="1">
        <f>'MPIO_SFIO Table'!W44</f>
        <v>1</v>
      </c>
      <c r="W41" s="1" t="str">
        <f>'MPIO_SFIO Table'!X44</f>
        <v>up</v>
      </c>
      <c r="X41" s="1" t="str">
        <f>'MPIO_SFIO Table'!Y44</f>
        <v>pu</v>
      </c>
      <c r="Y41" s="88" t="str">
        <f>'MPIO_SFIO Table'!Z44</f>
        <v>pu</v>
      </c>
    </row>
    <row r="42" spans="1:25" x14ac:dyDescent="0.25">
      <c r="A42" s="1" t="str">
        <f>'MPIO_SFIO Table'!A45</f>
        <v>ULPI_DATA4</v>
      </c>
      <c r="B42" s="1" t="str">
        <f>'MPIO_SFIO Table'!C45</f>
        <v>P4</v>
      </c>
      <c r="C42" s="1" t="str">
        <f>'MPIO_SFIO Table'!D45</f>
        <v>V4</v>
      </c>
      <c r="D42" s="1" t="str">
        <f>'MPIO_SFIO Table'!E45</f>
        <v>V4</v>
      </c>
      <c r="E42" s="1" t="str">
        <f>'MPIO_SFIO Table'!F45</f>
        <v>unused_ULPI_DATA4</v>
      </c>
      <c r="F42" s="2" t="str">
        <f>'MPIO_SFIO Table'!G45</f>
        <v>GPIO-O.05</v>
      </c>
      <c r="G42" s="1" t="str">
        <f>'MPIO_SFIO Table'!H45</f>
        <v>SPI2.A-MOSI</v>
      </c>
      <c r="H42" s="1" t="str">
        <f>'MPIO_SFIO Table'!I45</f>
        <v>INVALID</v>
      </c>
      <c r="I42" s="1" t="str">
        <f>'MPIO_SFIO Table'!J45</f>
        <v>UART1.A-RI_N</v>
      </c>
      <c r="J42" s="1" t="str">
        <f>'MPIO_SFIO Table'!K45</f>
        <v>ULPI-DATA4</v>
      </c>
      <c r="K42" s="2" t="str">
        <f>'MPIO_SFIO Table'!L45</f>
        <v>config</v>
      </c>
      <c r="L42" s="1" t="str">
        <f>'MPIO_SFIO Table'!M45</f>
        <v>special</v>
      </c>
      <c r="M42" s="1" t="str">
        <f>'MPIO_SFIO Table'!N45</f>
        <v>config</v>
      </c>
      <c r="N42" s="1" t="str">
        <f>'MPIO_SFIO Table'!O45</f>
        <v>hold</v>
      </c>
      <c r="O42" s="1">
        <f>'MPIO_SFIO Table'!P45</f>
        <v>0</v>
      </c>
      <c r="P42" s="2" t="str">
        <f>'MPIO_SFIO Table'!Q45</f>
        <v>VDDIO_BB</v>
      </c>
      <c r="Q42" s="1" t="str">
        <f>'MPIO_SFIO Table'!R45</f>
        <v>ST</v>
      </c>
      <c r="R42" s="1">
        <f>'MPIO_SFIO Table'!S45</f>
        <v>100</v>
      </c>
      <c r="S42" s="1" t="str">
        <f>'MPIO_SFIO Table'!T45</f>
        <v>uabcfg</v>
      </c>
      <c r="T42" s="2">
        <f>'MPIO_SFIO Table'!U45</f>
        <v>0</v>
      </c>
      <c r="U42" s="1">
        <f>'MPIO_SFIO Table'!V45</f>
        <v>1</v>
      </c>
      <c r="V42" s="1">
        <f>'MPIO_SFIO Table'!W45</f>
        <v>1</v>
      </c>
      <c r="W42" s="1" t="str">
        <f>'MPIO_SFIO Table'!X45</f>
        <v>up</v>
      </c>
      <c r="X42" s="1" t="str">
        <f>'MPIO_SFIO Table'!Y45</f>
        <v>pu</v>
      </c>
      <c r="Y42" s="88" t="str">
        <f>'MPIO_SFIO Table'!Z45</f>
        <v>pu</v>
      </c>
    </row>
    <row r="43" spans="1:25" x14ac:dyDescent="0.25">
      <c r="A43" s="1" t="str">
        <f>'MPIO_SFIO Table'!A46</f>
        <v>ULPI_DATA5</v>
      </c>
      <c r="B43" s="1" t="str">
        <f>'MPIO_SFIO Table'!C46</f>
        <v>T4</v>
      </c>
      <c r="C43" s="1" t="str">
        <f>'MPIO_SFIO Table'!D46</f>
        <v>AC11</v>
      </c>
      <c r="D43" s="1" t="str">
        <f>'MPIO_SFIO Table'!E46</f>
        <v>AC11</v>
      </c>
      <c r="E43" s="1" t="str">
        <f>'MPIO_SFIO Table'!F46</f>
        <v>unused_ULPI_DATA5</v>
      </c>
      <c r="F43" s="2" t="str">
        <f>'MPIO_SFIO Table'!G46</f>
        <v>GPIO-O.06</v>
      </c>
      <c r="G43" s="1" t="str">
        <f>'MPIO_SFIO Table'!H46</f>
        <v>SPI2.A-MISO</v>
      </c>
      <c r="H43" s="1" t="str">
        <f>'MPIO_SFIO Table'!I46</f>
        <v>INVALID</v>
      </c>
      <c r="I43" s="1" t="str">
        <f>'MPIO_SFIO Table'!J46</f>
        <v>UART1.A-DCD_N</v>
      </c>
      <c r="J43" s="1" t="str">
        <f>'MPIO_SFIO Table'!K46</f>
        <v>ULPI-DATA5</v>
      </c>
      <c r="K43" s="2" t="str">
        <f>'MPIO_SFIO Table'!L46</f>
        <v>config</v>
      </c>
      <c r="L43" s="1" t="str">
        <f>'MPIO_SFIO Table'!M46</f>
        <v>disabled</v>
      </c>
      <c r="M43" s="1" t="str">
        <f>'MPIO_SFIO Table'!N46</f>
        <v>disabled</v>
      </c>
      <c r="N43" s="1" t="str">
        <f>'MPIO_SFIO Table'!O46</f>
        <v>hold</v>
      </c>
      <c r="O43" s="1" t="str">
        <f>'MPIO_SFIO Table'!P46</f>
        <v/>
      </c>
      <c r="P43" s="2" t="str">
        <f>'MPIO_SFIO Table'!Q46</f>
        <v>VDDIO_BB</v>
      </c>
      <c r="Q43" s="1" t="str">
        <f>'MPIO_SFIO Table'!R46</f>
        <v>ST</v>
      </c>
      <c r="R43" s="1">
        <f>'MPIO_SFIO Table'!S46</f>
        <v>100</v>
      </c>
      <c r="S43" s="1" t="str">
        <f>'MPIO_SFIO Table'!T46</f>
        <v>uabcfg</v>
      </c>
      <c r="T43" s="2">
        <f>'MPIO_SFIO Table'!U46</f>
        <v>0</v>
      </c>
      <c r="U43" s="1">
        <f>'MPIO_SFIO Table'!V46</f>
        <v>1</v>
      </c>
      <c r="V43" s="1">
        <f>'MPIO_SFIO Table'!W46</f>
        <v>1</v>
      </c>
      <c r="W43" s="1" t="str">
        <f>'MPIO_SFIO Table'!X46</f>
        <v>up</v>
      </c>
      <c r="X43" s="1" t="str">
        <f>'MPIO_SFIO Table'!Y46</f>
        <v>pu</v>
      </c>
      <c r="Y43" s="88" t="str">
        <f>'MPIO_SFIO Table'!Z46</f>
        <v>pu</v>
      </c>
    </row>
    <row r="44" spans="1:25" x14ac:dyDescent="0.25">
      <c r="A44" s="1" t="str">
        <f>'MPIO_SFIO Table'!A47</f>
        <v>ULPI_DATA6</v>
      </c>
      <c r="B44" s="1" t="str">
        <f>'MPIO_SFIO Table'!C47</f>
        <v>T1</v>
      </c>
      <c r="C44" s="1" t="str">
        <f>'MPIO_SFIO Table'!D47</f>
        <v>AF6</v>
      </c>
      <c r="D44" s="1" t="str">
        <f>'MPIO_SFIO Table'!E47</f>
        <v>AF6</v>
      </c>
      <c r="E44" s="1" t="str">
        <f>'MPIO_SFIO Table'!F47</f>
        <v>unused_ULPI_DATA6</v>
      </c>
      <c r="F44" s="2" t="str">
        <f>'MPIO_SFIO Table'!G47</f>
        <v>GPIO-O.07</v>
      </c>
      <c r="G44" s="1" t="str">
        <f>'MPIO_SFIO Table'!H47</f>
        <v>SPI2.A-SCK</v>
      </c>
      <c r="H44" s="1" t="str">
        <f>'MPIO_SFIO Table'!I47</f>
        <v>INVALID</v>
      </c>
      <c r="I44" s="1" t="str">
        <f>'MPIO_SFIO Table'!J47</f>
        <v>UART1.A-DSR_N</v>
      </c>
      <c r="J44" s="1" t="str">
        <f>'MPIO_SFIO Table'!K47</f>
        <v>ULPI-DATA6</v>
      </c>
      <c r="K44" s="2" t="str">
        <f>'MPIO_SFIO Table'!L47</f>
        <v>config</v>
      </c>
      <c r="L44" s="1" t="str">
        <f>'MPIO_SFIO Table'!M47</f>
        <v>disabled</v>
      </c>
      <c r="M44" s="1" t="str">
        <f>'MPIO_SFIO Table'!N47</f>
        <v>disabled</v>
      </c>
      <c r="N44" s="1" t="str">
        <f>'MPIO_SFIO Table'!O47</f>
        <v>hold</v>
      </c>
      <c r="O44" s="1" t="str">
        <f>'MPIO_SFIO Table'!P47</f>
        <v/>
      </c>
      <c r="P44" s="2" t="str">
        <f>'MPIO_SFIO Table'!Q47</f>
        <v>VDDIO_BB</v>
      </c>
      <c r="Q44" s="1" t="str">
        <f>'MPIO_SFIO Table'!R47</f>
        <v>ST</v>
      </c>
      <c r="R44" s="1">
        <f>'MPIO_SFIO Table'!S47</f>
        <v>100</v>
      </c>
      <c r="S44" s="1" t="str">
        <f>'MPIO_SFIO Table'!T47</f>
        <v>uabcfg</v>
      </c>
      <c r="T44" s="2">
        <f>'MPIO_SFIO Table'!U47</f>
        <v>0</v>
      </c>
      <c r="U44" s="1">
        <f>'MPIO_SFIO Table'!V47</f>
        <v>1</v>
      </c>
      <c r="V44" s="1">
        <f>'MPIO_SFIO Table'!W47</f>
        <v>1</v>
      </c>
      <c r="W44" s="1" t="str">
        <f>'MPIO_SFIO Table'!X47</f>
        <v>up</v>
      </c>
      <c r="X44" s="1" t="str">
        <f>'MPIO_SFIO Table'!Y47</f>
        <v>pu</v>
      </c>
      <c r="Y44" s="88" t="str">
        <f>'MPIO_SFIO Table'!Z47</f>
        <v>pu</v>
      </c>
    </row>
    <row r="45" spans="1:25" x14ac:dyDescent="0.25">
      <c r="A45" s="1" t="str">
        <f>'MPIO_SFIO Table'!A48</f>
        <v>ULPI_DATA7</v>
      </c>
      <c r="B45" s="1" t="str">
        <f>'MPIO_SFIO Table'!C48</f>
        <v>T2</v>
      </c>
      <c r="C45" s="1" t="str">
        <f>'MPIO_SFIO Table'!D48</f>
        <v>AA9</v>
      </c>
      <c r="D45" s="1" t="str">
        <f>'MPIO_SFIO Table'!E48</f>
        <v>AA9</v>
      </c>
      <c r="E45" s="1" t="str">
        <f>'MPIO_SFIO Table'!F48</f>
        <v>unused_ULPI_DATA7</v>
      </c>
      <c r="F45" s="2" t="str">
        <f>'MPIO_SFIO Table'!G48</f>
        <v>GPIO-O.00</v>
      </c>
      <c r="G45" s="1" t="str">
        <f>'MPIO_SFIO Table'!H48</f>
        <v>SPI2.A-CS1_N</v>
      </c>
      <c r="H45" s="1" t="str">
        <f>'MPIO_SFIO Table'!I48</f>
        <v>INVALID</v>
      </c>
      <c r="I45" s="1" t="str">
        <f>'MPIO_SFIO Table'!J48</f>
        <v>UART1.A-DTR_N</v>
      </c>
      <c r="J45" s="1" t="str">
        <f>'MPIO_SFIO Table'!K48</f>
        <v>ULPI-DATA7</v>
      </c>
      <c r="K45" s="2" t="str">
        <f>'MPIO_SFIO Table'!L48</f>
        <v>config</v>
      </c>
      <c r="L45" s="1" t="str">
        <f>'MPIO_SFIO Table'!M48</f>
        <v>disabled</v>
      </c>
      <c r="M45" s="1" t="str">
        <f>'MPIO_SFIO Table'!N48</f>
        <v>disabled</v>
      </c>
      <c r="N45" s="1" t="str">
        <f>'MPIO_SFIO Table'!O48</f>
        <v>hold</v>
      </c>
      <c r="O45" s="1" t="str">
        <f>'MPIO_SFIO Table'!P48</f>
        <v/>
      </c>
      <c r="P45" s="2" t="str">
        <f>'MPIO_SFIO Table'!Q48</f>
        <v>VDDIO_BB</v>
      </c>
      <c r="Q45" s="1" t="str">
        <f>'MPIO_SFIO Table'!R48</f>
        <v>ST</v>
      </c>
      <c r="R45" s="1">
        <f>'MPIO_SFIO Table'!S48</f>
        <v>100</v>
      </c>
      <c r="S45" s="1" t="str">
        <f>'MPIO_SFIO Table'!T48</f>
        <v>uabcfg</v>
      </c>
      <c r="T45" s="2">
        <f>'MPIO_SFIO Table'!U48</f>
        <v>0</v>
      </c>
      <c r="U45" s="1">
        <f>'MPIO_SFIO Table'!V48</f>
        <v>1</v>
      </c>
      <c r="V45" s="1">
        <f>'MPIO_SFIO Table'!W48</f>
        <v>1</v>
      </c>
      <c r="W45" s="1" t="str">
        <f>'MPIO_SFIO Table'!X48</f>
        <v>up</v>
      </c>
      <c r="X45" s="1" t="str">
        <f>'MPIO_SFIO Table'!Y48</f>
        <v>pu</v>
      </c>
      <c r="Y45" s="88" t="str">
        <f>'MPIO_SFIO Table'!Z48</f>
        <v>pu</v>
      </c>
    </row>
    <row r="46" spans="1:25" x14ac:dyDescent="0.25">
      <c r="A46" s="1" t="str">
        <f>'MPIO_SFIO Table'!A49</f>
        <v>ULPI_DIR</v>
      </c>
      <c r="B46" s="1" t="str">
        <f>'MPIO_SFIO Table'!C49</f>
        <v>M4</v>
      </c>
      <c r="C46" s="1" t="str">
        <f>'MPIO_SFIO Table'!D49</f>
        <v>W3</v>
      </c>
      <c r="D46" s="1" t="str">
        <f>'MPIO_SFIO Table'!E49</f>
        <v>W3</v>
      </c>
      <c r="E46" s="1" t="str">
        <f>'MPIO_SFIO Table'!F49</f>
        <v>unused_ULPI_DIR</v>
      </c>
      <c r="F46" s="2" t="str">
        <f>'MPIO_SFIO Table'!G49</f>
        <v>GPIO-Y.01</v>
      </c>
      <c r="G46" s="1" t="str">
        <f>'MPIO_SFIO Table'!H49</f>
        <v>SPI1.A-MISO</v>
      </c>
      <c r="H46" s="1" t="str">
        <f>'MPIO_SFIO Table'!I49</f>
        <v>RSVD</v>
      </c>
      <c r="I46" s="1" t="str">
        <f>'MPIO_SFIO Table'!J49</f>
        <v>UART4.A-RXD</v>
      </c>
      <c r="J46" s="1" t="str">
        <f>'MPIO_SFIO Table'!K49</f>
        <v>ULPI-DIR</v>
      </c>
      <c r="K46" s="2" t="str">
        <f>'MPIO_SFIO Table'!L49</f>
        <v>config</v>
      </c>
      <c r="L46" s="1" t="str">
        <f>'MPIO_SFIO Table'!M49</f>
        <v>disabled</v>
      </c>
      <c r="M46" s="1" t="str">
        <f>'MPIO_SFIO Table'!N49</f>
        <v>disabled</v>
      </c>
      <c r="N46" s="1" t="str">
        <f>'MPIO_SFIO Table'!O49</f>
        <v>hold</v>
      </c>
      <c r="O46" s="1" t="str">
        <f>'MPIO_SFIO Table'!P49</f>
        <v/>
      </c>
      <c r="P46" s="2" t="str">
        <f>'MPIO_SFIO Table'!Q49</f>
        <v>VDDIO_BB</v>
      </c>
      <c r="Q46" s="1" t="str">
        <f>'MPIO_SFIO Table'!R49</f>
        <v>ST</v>
      </c>
      <c r="R46" s="1">
        <f>'MPIO_SFIO Table'!S49</f>
        <v>100</v>
      </c>
      <c r="S46" s="1" t="str">
        <f>'MPIO_SFIO Table'!T49</f>
        <v>udacfg</v>
      </c>
      <c r="T46" s="2">
        <f>'MPIO_SFIO Table'!U49</f>
        <v>0</v>
      </c>
      <c r="U46" s="1">
        <f>'MPIO_SFIO Table'!V49</f>
        <v>1</v>
      </c>
      <c r="V46" s="1">
        <f>'MPIO_SFIO Table'!W49</f>
        <v>1</v>
      </c>
      <c r="W46" s="1" t="str">
        <f>'MPIO_SFIO Table'!X49</f>
        <v>none</v>
      </c>
      <c r="X46" s="1" t="str">
        <f>'MPIO_SFIO Table'!Y49</f>
        <v>z</v>
      </c>
      <c r="Y46" s="88" t="str">
        <f>'MPIO_SFIO Table'!Z49</f>
        <v>z</v>
      </c>
    </row>
    <row r="47" spans="1:25" x14ac:dyDescent="0.25">
      <c r="A47" s="1" t="str">
        <f>'MPIO_SFIO Table'!A50</f>
        <v>ULPI_NXT</v>
      </c>
      <c r="B47" s="1" t="str">
        <f>'MPIO_SFIO Table'!C50</f>
        <v>N2</v>
      </c>
      <c r="C47" s="1" t="str">
        <f>'MPIO_SFIO Table'!D50</f>
        <v>AC9</v>
      </c>
      <c r="D47" s="1" t="str">
        <f>'MPIO_SFIO Table'!E50</f>
        <v>AC9</v>
      </c>
      <c r="E47" s="1" t="str">
        <f>'MPIO_SFIO Table'!F50</f>
        <v>unused_ULPI_NXT</v>
      </c>
      <c r="F47" s="2" t="str">
        <f>'MPIO_SFIO Table'!G50</f>
        <v>GPIO-Y.02</v>
      </c>
      <c r="G47" s="1" t="str">
        <f>'MPIO_SFIO Table'!H50</f>
        <v>SPI1.A-SCK</v>
      </c>
      <c r="H47" s="1" t="str">
        <f>'MPIO_SFIO Table'!I50</f>
        <v>RSVD</v>
      </c>
      <c r="I47" s="1" t="str">
        <f>'MPIO_SFIO Table'!J50</f>
        <v>UART4.A-CTS_N</v>
      </c>
      <c r="J47" s="1" t="str">
        <f>'MPIO_SFIO Table'!K50</f>
        <v>ULPI-NXT</v>
      </c>
      <c r="K47" s="2" t="str">
        <f>'MPIO_SFIO Table'!L50</f>
        <v>config</v>
      </c>
      <c r="L47" s="1" t="str">
        <f>'MPIO_SFIO Table'!M50</f>
        <v>disabled</v>
      </c>
      <c r="M47" s="1" t="str">
        <f>'MPIO_SFIO Table'!N50</f>
        <v>disabled</v>
      </c>
      <c r="N47" s="1" t="str">
        <f>'MPIO_SFIO Table'!O50</f>
        <v>hold</v>
      </c>
      <c r="O47" s="1" t="str">
        <f>'MPIO_SFIO Table'!P50</f>
        <v/>
      </c>
      <c r="P47" s="2" t="str">
        <f>'MPIO_SFIO Table'!Q50</f>
        <v>VDDIO_BB</v>
      </c>
      <c r="Q47" s="1" t="str">
        <f>'MPIO_SFIO Table'!R50</f>
        <v>ST</v>
      </c>
      <c r="R47" s="1">
        <f>'MPIO_SFIO Table'!S50</f>
        <v>100</v>
      </c>
      <c r="S47" s="1" t="str">
        <f>'MPIO_SFIO Table'!T50</f>
        <v>udacfg</v>
      </c>
      <c r="T47" s="2">
        <f>'MPIO_SFIO Table'!U50</f>
        <v>0</v>
      </c>
      <c r="U47" s="1">
        <f>'MPIO_SFIO Table'!V50</f>
        <v>1</v>
      </c>
      <c r="V47" s="1">
        <f>'MPIO_SFIO Table'!W50</f>
        <v>1</v>
      </c>
      <c r="W47" s="1" t="str">
        <f>'MPIO_SFIO Table'!X50</f>
        <v>none</v>
      </c>
      <c r="X47" s="1" t="str">
        <f>'MPIO_SFIO Table'!Y50</f>
        <v>z</v>
      </c>
      <c r="Y47" s="88" t="str">
        <f>'MPIO_SFIO Table'!Z50</f>
        <v>z</v>
      </c>
    </row>
    <row r="48" spans="1:25" x14ac:dyDescent="0.25">
      <c r="A48" s="1" t="str">
        <f>'MPIO_SFIO Table'!A51</f>
        <v>ULPI_STP</v>
      </c>
      <c r="B48" s="1" t="str">
        <f>'MPIO_SFIO Table'!C51</f>
        <v>N4</v>
      </c>
      <c r="C48" s="1" t="str">
        <f>'MPIO_SFIO Table'!D51</f>
        <v>V10</v>
      </c>
      <c r="D48" s="1" t="str">
        <f>'MPIO_SFIO Table'!E51</f>
        <v>V10</v>
      </c>
      <c r="E48" s="1" t="str">
        <f>'MPIO_SFIO Table'!F51</f>
        <v>unused_ULPI_STP</v>
      </c>
      <c r="F48" s="2" t="str">
        <f>'MPIO_SFIO Table'!G51</f>
        <v>GPIO-Y.03</v>
      </c>
      <c r="G48" s="1" t="str">
        <f>'MPIO_SFIO Table'!H51</f>
        <v>SPI1.A-CS0_N</v>
      </c>
      <c r="H48" s="1" t="str">
        <f>'MPIO_SFIO Table'!I51</f>
        <v>RSVD</v>
      </c>
      <c r="I48" s="1" t="str">
        <f>'MPIO_SFIO Table'!J51</f>
        <v>UART4.A-RTS_N</v>
      </c>
      <c r="J48" s="1" t="str">
        <f>'MPIO_SFIO Table'!K51</f>
        <v>ULPI-STP</v>
      </c>
      <c r="K48" s="2" t="str">
        <f>'MPIO_SFIO Table'!L51</f>
        <v>config</v>
      </c>
      <c r="L48" s="1" t="str">
        <f>'MPIO_SFIO Table'!M51</f>
        <v>disabled</v>
      </c>
      <c r="M48" s="1" t="str">
        <f>'MPIO_SFIO Table'!N51</f>
        <v>disabled</v>
      </c>
      <c r="N48" s="1" t="str">
        <f>'MPIO_SFIO Table'!O51</f>
        <v>hold</v>
      </c>
      <c r="O48" s="1" t="str">
        <f>'MPIO_SFIO Table'!P51</f>
        <v/>
      </c>
      <c r="P48" s="2" t="str">
        <f>'MPIO_SFIO Table'!Q51</f>
        <v>VDDIO_BB</v>
      </c>
      <c r="Q48" s="1" t="str">
        <f>'MPIO_SFIO Table'!R51</f>
        <v>ST</v>
      </c>
      <c r="R48" s="1">
        <f>'MPIO_SFIO Table'!S51</f>
        <v>100</v>
      </c>
      <c r="S48" s="1" t="str">
        <f>'MPIO_SFIO Table'!T51</f>
        <v>udacfg</v>
      </c>
      <c r="T48" s="2">
        <f>'MPIO_SFIO Table'!U51</f>
        <v>0</v>
      </c>
      <c r="U48" s="1">
        <f>'MPIO_SFIO Table'!V51</f>
        <v>1</v>
      </c>
      <c r="V48" s="1">
        <f>'MPIO_SFIO Table'!W51</f>
        <v>1</v>
      </c>
      <c r="W48" s="1" t="str">
        <f>'MPIO_SFIO Table'!X51</f>
        <v>none</v>
      </c>
      <c r="X48" s="1" t="str">
        <f>'MPIO_SFIO Table'!Y51</f>
        <v>z</v>
      </c>
      <c r="Y48" s="88" t="str">
        <f>'MPIO_SFIO Table'!Z51</f>
        <v>z</v>
      </c>
    </row>
    <row r="49" spans="1:25" ht="15.75" x14ac:dyDescent="0.25">
      <c r="A49" s="32" t="str">
        <f>'MPIO_SFIO Table'!A52</f>
        <v>CAM</v>
      </c>
      <c r="B49" s="32"/>
      <c r="C49" s="32"/>
      <c r="D49" s="32"/>
      <c r="E49" s="32"/>
      <c r="F49" s="33"/>
      <c r="G49" s="32"/>
      <c r="H49" s="32"/>
      <c r="I49" s="32"/>
      <c r="J49" s="32"/>
      <c r="K49" s="33"/>
      <c r="L49" s="32"/>
      <c r="M49" s="32"/>
      <c r="N49" s="32"/>
      <c r="O49" s="32"/>
      <c r="P49" s="33"/>
      <c r="Q49" s="32"/>
      <c r="R49" s="32"/>
      <c r="S49" s="32"/>
      <c r="T49" s="34"/>
      <c r="U49" s="35"/>
      <c r="V49" s="35"/>
      <c r="W49" s="35"/>
      <c r="X49" s="35"/>
      <c r="Y49" s="87"/>
    </row>
    <row r="50" spans="1:25" x14ac:dyDescent="0.25">
      <c r="A50" s="1" t="str">
        <f>'MPIO_SFIO Table'!A53</f>
        <v>CAM_I2C_SCL</v>
      </c>
      <c r="B50" s="1" t="str">
        <f>'MPIO_SFIO Table'!C53</f>
        <v>AG5</v>
      </c>
      <c r="C50" s="1" t="str">
        <f>'MPIO_SFIO Table'!D53</f>
        <v>AK14</v>
      </c>
      <c r="D50" s="1" t="str">
        <f>'MPIO_SFIO Table'!E53</f>
        <v>AK14</v>
      </c>
      <c r="E50" s="1" t="str">
        <f>'MPIO_SFIO Table'!F53</f>
        <v>unused_CAM_I2C_SCL</v>
      </c>
      <c r="F50" s="2" t="str">
        <f>'MPIO_SFIO Table'!G53</f>
        <v>GPIO-BB.01</v>
      </c>
      <c r="G50" s="1" t="str">
        <f>'MPIO_SFIO Table'!H53</f>
        <v>INVALID</v>
      </c>
      <c r="H50" s="1" t="str">
        <f>'MPIO_SFIO Table'!I53</f>
        <v>I2C3.A-CLK</v>
      </c>
      <c r="I50" s="1" t="str">
        <f>'MPIO_SFIO Table'!J53</f>
        <v>RSVD2</v>
      </c>
      <c r="J50" s="1" t="str">
        <f>'MPIO_SFIO Table'!K53</f>
        <v>SDMMC4.B-DAT1</v>
      </c>
      <c r="K50" s="2" t="str">
        <f>'MPIO_SFIO Table'!L53</f>
        <v>config</v>
      </c>
      <c r="L50" s="1" t="str">
        <f>'MPIO_SFIO Table'!M53</f>
        <v>special</v>
      </c>
      <c r="M50" s="1" t="str">
        <f>'MPIO_SFIO Table'!N53</f>
        <v>config</v>
      </c>
      <c r="N50" s="1" t="str">
        <f>'MPIO_SFIO Table'!O53</f>
        <v>hold</v>
      </c>
      <c r="O50" s="1" t="str">
        <f>'MPIO_SFIO Table'!P53</f>
        <v/>
      </c>
      <c r="P50" s="2" t="str">
        <f>'MPIO_SFIO Table'!Q53</f>
        <v>VDDIO_CAM</v>
      </c>
      <c r="Q50" s="1" t="str">
        <f>'MPIO_SFIO Table'!R53</f>
        <v>DD</v>
      </c>
      <c r="R50" s="1">
        <f>'MPIO_SFIO Table'!S53</f>
        <v>50</v>
      </c>
      <c r="S50" s="1" t="str">
        <f>'MPIO_SFIO Table'!T53</f>
        <v>gmecfg</v>
      </c>
      <c r="T50" s="2">
        <f>'MPIO_SFIO Table'!U53</f>
        <v>0</v>
      </c>
      <c r="U50" s="1">
        <f>'MPIO_SFIO Table'!V53</f>
        <v>1</v>
      </c>
      <c r="V50" s="1">
        <f>'MPIO_SFIO Table'!W53</f>
        <v>1</v>
      </c>
      <c r="W50" s="1" t="str">
        <f>'MPIO_SFIO Table'!X53</f>
        <v>none</v>
      </c>
      <c r="X50" s="1" t="str">
        <f>'MPIO_SFIO Table'!Y53</f>
        <v>z</v>
      </c>
      <c r="Y50" s="88" t="str">
        <f>'MPIO_SFIO Table'!Z53</f>
        <v>z</v>
      </c>
    </row>
    <row r="51" spans="1:25" x14ac:dyDescent="0.25">
      <c r="A51" s="1" t="str">
        <f>'MPIO_SFIO Table'!A54</f>
        <v>CAM_I2C_SDA</v>
      </c>
      <c r="B51" s="1" t="str">
        <f>'MPIO_SFIO Table'!C54</f>
        <v>AH7</v>
      </c>
      <c r="C51" s="1" t="str">
        <f>'MPIO_SFIO Table'!D54</f>
        <v>AN15</v>
      </c>
      <c r="D51" s="1" t="str">
        <f>'MPIO_SFIO Table'!E54</f>
        <v>AN15</v>
      </c>
      <c r="E51" s="1" t="str">
        <f>'MPIO_SFIO Table'!F54</f>
        <v>unused_CAM_I2C_SDA</v>
      </c>
      <c r="F51" s="2" t="str">
        <f>'MPIO_SFIO Table'!G54</f>
        <v>GPIO-BB.02</v>
      </c>
      <c r="G51" s="1" t="str">
        <f>'MPIO_SFIO Table'!H54</f>
        <v>INVALID</v>
      </c>
      <c r="H51" s="1" t="str">
        <f>'MPIO_SFIO Table'!I54</f>
        <v>I2C3.A-DAT</v>
      </c>
      <c r="I51" s="1" t="str">
        <f>'MPIO_SFIO Table'!J54</f>
        <v>RSVD2</v>
      </c>
      <c r="J51" s="1" t="str">
        <f>'MPIO_SFIO Table'!K54</f>
        <v>SDMMC4.B-DAT2</v>
      </c>
      <c r="K51" s="2" t="str">
        <f>'MPIO_SFIO Table'!L54</f>
        <v>config</v>
      </c>
      <c r="L51" s="1" t="str">
        <f>'MPIO_SFIO Table'!M54</f>
        <v>special</v>
      </c>
      <c r="M51" s="1" t="str">
        <f>'MPIO_SFIO Table'!N54</f>
        <v>config</v>
      </c>
      <c r="N51" s="1" t="str">
        <f>'MPIO_SFIO Table'!O54</f>
        <v>hold</v>
      </c>
      <c r="O51" s="1" t="str">
        <f>'MPIO_SFIO Table'!P54</f>
        <v/>
      </c>
      <c r="P51" s="2" t="str">
        <f>'MPIO_SFIO Table'!Q54</f>
        <v>VDDIO_CAM</v>
      </c>
      <c r="Q51" s="1" t="str">
        <f>'MPIO_SFIO Table'!R54</f>
        <v>DD</v>
      </c>
      <c r="R51" s="1">
        <f>'MPIO_SFIO Table'!S54</f>
        <v>50</v>
      </c>
      <c r="S51" s="1" t="str">
        <f>'MPIO_SFIO Table'!T54</f>
        <v>gmecfg</v>
      </c>
      <c r="T51" s="2">
        <f>'MPIO_SFIO Table'!U54</f>
        <v>0</v>
      </c>
      <c r="U51" s="1">
        <f>'MPIO_SFIO Table'!V54</f>
        <v>1</v>
      </c>
      <c r="V51" s="1">
        <f>'MPIO_SFIO Table'!W54</f>
        <v>1</v>
      </c>
      <c r="W51" s="1" t="str">
        <f>'MPIO_SFIO Table'!X54</f>
        <v>none</v>
      </c>
      <c r="X51" s="1" t="str">
        <f>'MPIO_SFIO Table'!Y54</f>
        <v>z</v>
      </c>
      <c r="Y51" s="88" t="str">
        <f>'MPIO_SFIO Table'!Z54</f>
        <v>z</v>
      </c>
    </row>
    <row r="52" spans="1:25" x14ac:dyDescent="0.25">
      <c r="A52" s="1" t="str">
        <f>'MPIO_SFIO Table'!A55</f>
        <v>CAM_MCLK</v>
      </c>
      <c r="B52" s="1" t="str">
        <f>'MPIO_SFIO Table'!C55</f>
        <v>AD5</v>
      </c>
      <c r="C52" s="1" t="str">
        <f>'MPIO_SFIO Table'!D55</f>
        <v>AG15</v>
      </c>
      <c r="D52" s="1" t="str">
        <f>'MPIO_SFIO Table'!E55</f>
        <v>AG15</v>
      </c>
      <c r="E52" s="1" t="str">
        <f>'MPIO_SFIO Table'!F55</f>
        <v>unused_CAM_MCLK</v>
      </c>
      <c r="F52" s="2" t="str">
        <f>'MPIO_SFIO Table'!G55</f>
        <v>GPIO-CC.00</v>
      </c>
      <c r="G52" s="1" t="str">
        <f>'MPIO_SFIO Table'!H55</f>
        <v>VI</v>
      </c>
      <c r="H52" s="1" t="str">
        <f>'MPIO_SFIO Table'!I55</f>
        <v>INVALID</v>
      </c>
      <c r="I52" s="1" t="str">
        <f>'MPIO_SFIO Table'!J55</f>
        <v>CLK-VI_MCLK</v>
      </c>
      <c r="J52" s="1" t="str">
        <f>'MPIO_SFIO Table'!K55</f>
        <v>SDMMC4.B-SCLK</v>
      </c>
      <c r="K52" s="2" t="str">
        <f>'MPIO_SFIO Table'!L55</f>
        <v>config</v>
      </c>
      <c r="L52" s="1" t="str">
        <f>'MPIO_SFIO Table'!M55</f>
        <v>disabled</v>
      </c>
      <c r="M52" s="1" t="str">
        <f>'MPIO_SFIO Table'!N55</f>
        <v>config</v>
      </c>
      <c r="N52" s="1" t="str">
        <f>'MPIO_SFIO Table'!O55</f>
        <v>hold</v>
      </c>
      <c r="O52" s="1" t="str">
        <f>'MPIO_SFIO Table'!P55</f>
        <v/>
      </c>
      <c r="P52" s="2" t="str">
        <f>'MPIO_SFIO Table'!Q55</f>
        <v>VDDIO_CAM</v>
      </c>
      <c r="Q52" s="1" t="str">
        <f>'MPIO_SFIO Table'!R55</f>
        <v>ST</v>
      </c>
      <c r="R52" s="1">
        <f>'MPIO_SFIO Table'!S55</f>
        <v>50</v>
      </c>
      <c r="S52" s="1" t="str">
        <f>'MPIO_SFIO Table'!T55</f>
        <v>gmgcfg</v>
      </c>
      <c r="T52" s="2">
        <f>'MPIO_SFIO Table'!U55</f>
        <v>2</v>
      </c>
      <c r="U52" s="1">
        <f>'MPIO_SFIO Table'!V55</f>
        <v>1</v>
      </c>
      <c r="V52" s="1">
        <f>'MPIO_SFIO Table'!W55</f>
        <v>1</v>
      </c>
      <c r="W52" s="1" t="str">
        <f>'MPIO_SFIO Table'!X55</f>
        <v>up</v>
      </c>
      <c r="X52" s="1" t="str">
        <f>'MPIO_SFIO Table'!Y55</f>
        <v>pu</v>
      </c>
      <c r="Y52" s="88" t="str">
        <f>'MPIO_SFIO Table'!Z55</f>
        <v>pu</v>
      </c>
    </row>
    <row r="53" spans="1:25" x14ac:dyDescent="0.25">
      <c r="A53" s="1" t="str">
        <f>'MPIO_SFIO Table'!A56</f>
        <v>GPIO_PBB0</v>
      </c>
      <c r="B53" s="1" t="str">
        <f>'MPIO_SFIO Table'!C56</f>
        <v>AF6</v>
      </c>
      <c r="C53" s="1" t="str">
        <f>'MPIO_SFIO Table'!D56</f>
        <v>AM10</v>
      </c>
      <c r="D53" s="1" t="str">
        <f>'MPIO_SFIO Table'!E56</f>
        <v>AM10</v>
      </c>
      <c r="E53" s="1" t="str">
        <f>'MPIO_SFIO Table'!F56</f>
        <v>unused_GPIO_PBB0</v>
      </c>
      <c r="F53" s="2" t="str">
        <f>'MPIO_SFIO Table'!G56</f>
        <v>GPIO-BB.00</v>
      </c>
      <c r="G53" s="1" t="str">
        <f>'MPIO_SFIO Table'!H56</f>
        <v>I2S4.A-SDATA_IN</v>
      </c>
      <c r="H53" s="1" t="str">
        <f>'MPIO_SFIO Table'!I56</f>
        <v>RSVD1</v>
      </c>
      <c r="I53" s="1" t="str">
        <f>'MPIO_SFIO Table'!J56</f>
        <v>RSVD2</v>
      </c>
      <c r="J53" s="1" t="str">
        <f>'MPIO_SFIO Table'!K56</f>
        <v>SDMMC4.B-DAT0</v>
      </c>
      <c r="K53" s="2" t="str">
        <f>'MPIO_SFIO Table'!L56</f>
        <v>config</v>
      </c>
      <c r="L53" s="1" t="str">
        <f>'MPIO_SFIO Table'!M56</f>
        <v>disabled</v>
      </c>
      <c r="M53" s="1" t="str">
        <f>'MPIO_SFIO Table'!N56</f>
        <v>config</v>
      </c>
      <c r="N53" s="1" t="str">
        <f>'MPIO_SFIO Table'!O56</f>
        <v>hold</v>
      </c>
      <c r="O53" s="1" t="str">
        <f>'MPIO_SFIO Table'!P56</f>
        <v/>
      </c>
      <c r="P53" s="2" t="str">
        <f>'MPIO_SFIO Table'!Q56</f>
        <v>VDDIO_CAM</v>
      </c>
      <c r="Q53" s="1" t="str">
        <f>'MPIO_SFIO Table'!R56</f>
        <v>ST</v>
      </c>
      <c r="R53" s="1">
        <f>'MPIO_SFIO Table'!S56</f>
        <v>50</v>
      </c>
      <c r="S53" s="1" t="str">
        <f>'MPIO_SFIO Table'!T56</f>
        <v>gmecfg</v>
      </c>
      <c r="T53" s="2">
        <f>'MPIO_SFIO Table'!U56</f>
        <v>0</v>
      </c>
      <c r="U53" s="1">
        <f>'MPIO_SFIO Table'!V56</f>
        <v>1</v>
      </c>
      <c r="V53" s="1">
        <f>'MPIO_SFIO Table'!W56</f>
        <v>1</v>
      </c>
      <c r="W53" s="1" t="str">
        <f>'MPIO_SFIO Table'!X56</f>
        <v>none</v>
      </c>
      <c r="X53" s="1" t="str">
        <f>'MPIO_SFIO Table'!Y56</f>
        <v>z</v>
      </c>
      <c r="Y53" s="88" t="str">
        <f>'MPIO_SFIO Table'!Z56</f>
        <v>z</v>
      </c>
    </row>
    <row r="54" spans="1:25" x14ac:dyDescent="0.25">
      <c r="A54" s="1" t="str">
        <f>'MPIO_SFIO Table'!A57</f>
        <v>GPIO_PBB3</v>
      </c>
      <c r="B54" s="1" t="str">
        <f>'MPIO_SFIO Table'!C57</f>
        <v>AD6</v>
      </c>
      <c r="C54" s="1" t="str">
        <f>'MPIO_SFIO Table'!D57</f>
        <v>AM14</v>
      </c>
      <c r="D54" s="1" t="str">
        <f>'MPIO_SFIO Table'!E57</f>
        <v>AM14</v>
      </c>
      <c r="E54" s="1" t="str">
        <f>'MPIO_SFIO Table'!F57</f>
        <v>unused_GPIO_PBB3</v>
      </c>
      <c r="F54" s="2" t="str">
        <f>'MPIO_SFIO Table'!G57</f>
        <v>GPIO-BB.03</v>
      </c>
      <c r="G54" s="1" t="str">
        <f>'MPIO_SFIO Table'!H57</f>
        <v>VI.A-VGP3</v>
      </c>
      <c r="H54" s="1" t="str">
        <f>'MPIO_SFIO Table'!I57</f>
        <v>LCD0.C-DE</v>
      </c>
      <c r="I54" s="1" t="str">
        <f>'MPIO_SFIO Table'!J57</f>
        <v>LCD1.C-DE</v>
      </c>
      <c r="J54" s="1" t="str">
        <f>'MPIO_SFIO Table'!K57</f>
        <v>SDMMC4.B-DAT3</v>
      </c>
      <c r="K54" s="2" t="str">
        <f>'MPIO_SFIO Table'!L57</f>
        <v>config</v>
      </c>
      <c r="L54" s="1" t="str">
        <f>'MPIO_SFIO Table'!M57</f>
        <v>disabled</v>
      </c>
      <c r="M54" s="1" t="str">
        <f>'MPIO_SFIO Table'!N57</f>
        <v>config</v>
      </c>
      <c r="N54" s="1" t="str">
        <f>'MPIO_SFIO Table'!O57</f>
        <v>hold</v>
      </c>
      <c r="O54" s="1" t="str">
        <f>'MPIO_SFIO Table'!P57</f>
        <v/>
      </c>
      <c r="P54" s="2" t="str">
        <f>'MPIO_SFIO Table'!Q57</f>
        <v>VDDIO_CAM</v>
      </c>
      <c r="Q54" s="1" t="str">
        <f>'MPIO_SFIO Table'!R57</f>
        <v>ST</v>
      </c>
      <c r="R54" s="1">
        <f>'MPIO_SFIO Table'!S57</f>
        <v>50</v>
      </c>
      <c r="S54" s="1" t="str">
        <f>'MPIO_SFIO Table'!T57</f>
        <v>gmecfg</v>
      </c>
      <c r="T54" s="2">
        <f>'MPIO_SFIO Table'!U57</f>
        <v>0</v>
      </c>
      <c r="U54" s="1">
        <f>'MPIO_SFIO Table'!V57</f>
        <v>1</v>
      </c>
      <c r="V54" s="1">
        <f>'MPIO_SFIO Table'!W57</f>
        <v>1</v>
      </c>
      <c r="W54" s="1" t="str">
        <f>'MPIO_SFIO Table'!X57</f>
        <v>none</v>
      </c>
      <c r="X54" s="1" t="str">
        <f>'MPIO_SFIO Table'!Y57</f>
        <v>z</v>
      </c>
      <c r="Y54" s="88" t="str">
        <f>'MPIO_SFIO Table'!Z57</f>
        <v>z</v>
      </c>
    </row>
    <row r="55" spans="1:25" x14ac:dyDescent="0.25">
      <c r="A55" s="1" t="str">
        <f>'MPIO_SFIO Table'!A58</f>
        <v>GPIO_PBB4</v>
      </c>
      <c r="B55" s="1" t="str">
        <f>'MPIO_SFIO Table'!C58</f>
        <v>AG7</v>
      </c>
      <c r="C55" s="1" t="str">
        <f>'MPIO_SFIO Table'!D58</f>
        <v>AL15</v>
      </c>
      <c r="D55" s="1" t="str">
        <f>'MPIO_SFIO Table'!E58</f>
        <v>AL15</v>
      </c>
      <c r="E55" s="1" t="str">
        <f>'MPIO_SFIO Table'!F58</f>
        <v>unused_GPIO_PBB4</v>
      </c>
      <c r="F55" s="2" t="str">
        <f>'MPIO_SFIO Table'!G58</f>
        <v>GPIO-BB.04</v>
      </c>
      <c r="G55" s="1" t="str">
        <f>'MPIO_SFIO Table'!H58</f>
        <v>VI.A-VGP4</v>
      </c>
      <c r="H55" s="1" t="str">
        <f>'MPIO_SFIO Table'!I58</f>
        <v>LCD0.C-HSYNC</v>
      </c>
      <c r="I55" s="1" t="str">
        <f>'MPIO_SFIO Table'!J58</f>
        <v>LCD1.C-HSYNC</v>
      </c>
      <c r="J55" s="1" t="str">
        <f>'MPIO_SFIO Table'!K58</f>
        <v>SDMMC4.B-DAT4</v>
      </c>
      <c r="K55" s="2" t="str">
        <f>'MPIO_SFIO Table'!L58</f>
        <v>config</v>
      </c>
      <c r="L55" s="1" t="str">
        <f>'MPIO_SFIO Table'!M58</f>
        <v>disabled</v>
      </c>
      <c r="M55" s="1" t="str">
        <f>'MPIO_SFIO Table'!N58</f>
        <v>config</v>
      </c>
      <c r="N55" s="1" t="str">
        <f>'MPIO_SFIO Table'!O58</f>
        <v>hold</v>
      </c>
      <c r="O55" s="1" t="str">
        <f>'MPIO_SFIO Table'!P58</f>
        <v/>
      </c>
      <c r="P55" s="2" t="str">
        <f>'MPIO_SFIO Table'!Q58</f>
        <v>VDDIO_CAM</v>
      </c>
      <c r="Q55" s="1" t="str">
        <f>'MPIO_SFIO Table'!R58</f>
        <v>ST</v>
      </c>
      <c r="R55" s="1">
        <f>'MPIO_SFIO Table'!S58</f>
        <v>50</v>
      </c>
      <c r="S55" s="1" t="str">
        <f>'MPIO_SFIO Table'!T58</f>
        <v>gmfcfg</v>
      </c>
      <c r="T55" s="2">
        <f>'MPIO_SFIO Table'!U58</f>
        <v>0</v>
      </c>
      <c r="U55" s="1">
        <f>'MPIO_SFIO Table'!V58</f>
        <v>1</v>
      </c>
      <c r="V55" s="1">
        <f>'MPIO_SFIO Table'!W58</f>
        <v>1</v>
      </c>
      <c r="W55" s="1" t="str">
        <f>'MPIO_SFIO Table'!X58</f>
        <v>none</v>
      </c>
      <c r="X55" s="1" t="str">
        <f>'MPIO_SFIO Table'!Y58</f>
        <v>z</v>
      </c>
      <c r="Y55" s="88" t="str">
        <f>'MPIO_SFIO Table'!Z58</f>
        <v>z</v>
      </c>
    </row>
    <row r="56" spans="1:25" x14ac:dyDescent="0.25">
      <c r="A56" s="1" t="str">
        <f>'MPIO_SFIO Table'!A59</f>
        <v>GPIO_PBB5</v>
      </c>
      <c r="B56" s="1" t="str">
        <f>'MPIO_SFIO Table'!C59</f>
        <v>AE5</v>
      </c>
      <c r="C56" s="1" t="str">
        <f>'MPIO_SFIO Table'!D59</f>
        <v>AJ15</v>
      </c>
      <c r="D56" s="1" t="str">
        <f>'MPIO_SFIO Table'!E59</f>
        <v>AJ15</v>
      </c>
      <c r="E56" s="1" t="str">
        <f>'MPIO_SFIO Table'!F59</f>
        <v>unused_GPIO_PBB5</v>
      </c>
      <c r="F56" s="2" t="str">
        <f>'MPIO_SFIO Table'!G59</f>
        <v>GPIO-BB.05</v>
      </c>
      <c r="G56" s="1" t="str">
        <f>'MPIO_SFIO Table'!H59</f>
        <v>VI.A-VGP5</v>
      </c>
      <c r="H56" s="1" t="str">
        <f>'MPIO_SFIO Table'!I59</f>
        <v>LCD0.C-VSYNC</v>
      </c>
      <c r="I56" s="1" t="str">
        <f>'MPIO_SFIO Table'!J59</f>
        <v>LCD1.C-VSYNC</v>
      </c>
      <c r="J56" s="1" t="str">
        <f>'MPIO_SFIO Table'!K59</f>
        <v>SDMMC4.B-DAT5</v>
      </c>
      <c r="K56" s="2" t="str">
        <f>'MPIO_SFIO Table'!L59</f>
        <v>config</v>
      </c>
      <c r="L56" s="1" t="str">
        <f>'MPIO_SFIO Table'!M59</f>
        <v>disabled</v>
      </c>
      <c r="M56" s="1" t="str">
        <f>'MPIO_SFIO Table'!N59</f>
        <v>config</v>
      </c>
      <c r="N56" s="1" t="str">
        <f>'MPIO_SFIO Table'!O59</f>
        <v>hold</v>
      </c>
      <c r="O56" s="1" t="str">
        <f>'MPIO_SFIO Table'!P59</f>
        <v/>
      </c>
      <c r="P56" s="2" t="str">
        <f>'MPIO_SFIO Table'!Q59</f>
        <v>VDDIO_CAM</v>
      </c>
      <c r="Q56" s="1" t="str">
        <f>'MPIO_SFIO Table'!R59</f>
        <v>ST</v>
      </c>
      <c r="R56" s="1">
        <f>'MPIO_SFIO Table'!S59</f>
        <v>50</v>
      </c>
      <c r="S56" s="1" t="str">
        <f>'MPIO_SFIO Table'!T59</f>
        <v>gmfcfg</v>
      </c>
      <c r="T56" s="2">
        <f>'MPIO_SFIO Table'!U59</f>
        <v>0</v>
      </c>
      <c r="U56" s="1">
        <f>'MPIO_SFIO Table'!V59</f>
        <v>1</v>
      </c>
      <c r="V56" s="1">
        <f>'MPIO_SFIO Table'!W59</f>
        <v>1</v>
      </c>
      <c r="W56" s="1" t="str">
        <f>'MPIO_SFIO Table'!X59</f>
        <v>none</v>
      </c>
      <c r="X56" s="1" t="str">
        <f>'MPIO_SFIO Table'!Y59</f>
        <v>z</v>
      </c>
      <c r="Y56" s="88" t="str">
        <f>'MPIO_SFIO Table'!Z59</f>
        <v>z</v>
      </c>
    </row>
    <row r="57" spans="1:25" x14ac:dyDescent="0.25">
      <c r="A57" s="1" t="str">
        <f>'MPIO_SFIO Table'!A60</f>
        <v>GPIO_PBB6</v>
      </c>
      <c r="B57" s="1" t="str">
        <f>'MPIO_SFIO Table'!C60</f>
        <v>AE6</v>
      </c>
      <c r="C57" s="1" t="str">
        <f>'MPIO_SFIO Table'!D60</f>
        <v>AM16</v>
      </c>
      <c r="D57" s="1" t="str">
        <f>'MPIO_SFIO Table'!E60</f>
        <v>AM16</v>
      </c>
      <c r="E57" s="1" t="str">
        <f>'MPIO_SFIO Table'!F60</f>
        <v>unused_GPIO_PBB6</v>
      </c>
      <c r="F57" s="2" t="str">
        <f>'MPIO_SFIO Table'!G60</f>
        <v>GPIO-BB.06</v>
      </c>
      <c r="G57" s="1" t="str">
        <f>'MPIO_SFIO Table'!H60</f>
        <v>VI.A-VGP6</v>
      </c>
      <c r="H57" s="1" t="str">
        <f>'MPIO_SFIO Table'!I60</f>
        <v>LCD0.C-PCLK</v>
      </c>
      <c r="I57" s="1" t="str">
        <f>'MPIO_SFIO Table'!J60</f>
        <v>LCD1.C-PCLK</v>
      </c>
      <c r="J57" s="1" t="str">
        <f>'MPIO_SFIO Table'!K60</f>
        <v>SDMMC4.B-DAT6</v>
      </c>
      <c r="K57" s="2" t="str">
        <f>'MPIO_SFIO Table'!L60</f>
        <v>config</v>
      </c>
      <c r="L57" s="1" t="str">
        <f>'MPIO_SFIO Table'!M60</f>
        <v>special</v>
      </c>
      <c r="M57" s="1" t="str">
        <f>'MPIO_SFIO Table'!N60</f>
        <v>config</v>
      </c>
      <c r="N57" s="1" t="str">
        <f>'MPIO_SFIO Table'!O60</f>
        <v>hold</v>
      </c>
      <c r="O57" s="1" t="str">
        <f>'MPIO_SFIO Table'!P60</f>
        <v/>
      </c>
      <c r="P57" s="2" t="str">
        <f>'MPIO_SFIO Table'!Q60</f>
        <v>VDDIO_CAM</v>
      </c>
      <c r="Q57" s="1" t="str">
        <f>'MPIO_SFIO Table'!R60</f>
        <v>ST</v>
      </c>
      <c r="R57" s="1">
        <f>'MPIO_SFIO Table'!S60</f>
        <v>50</v>
      </c>
      <c r="S57" s="1" t="str">
        <f>'MPIO_SFIO Table'!T60</f>
        <v>gmfcfg</v>
      </c>
      <c r="T57" s="2">
        <f>'MPIO_SFIO Table'!U60</f>
        <v>0</v>
      </c>
      <c r="U57" s="1">
        <f>'MPIO_SFIO Table'!V60</f>
        <v>1</v>
      </c>
      <c r="V57" s="1">
        <f>'MPIO_SFIO Table'!W60</f>
        <v>1</v>
      </c>
      <c r="W57" s="1" t="str">
        <f>'MPIO_SFIO Table'!X60</f>
        <v>none</v>
      </c>
      <c r="X57" s="1" t="str">
        <f>'MPIO_SFIO Table'!Y60</f>
        <v>z</v>
      </c>
      <c r="Y57" s="88" t="str">
        <f>'MPIO_SFIO Table'!Z60</f>
        <v>z</v>
      </c>
    </row>
    <row r="58" spans="1:25" x14ac:dyDescent="0.25">
      <c r="A58" s="1" t="str">
        <f>'MPIO_SFIO Table'!A61</f>
        <v>GPIO_PBB7</v>
      </c>
      <c r="B58" s="1" t="str">
        <f>'MPIO_SFIO Table'!C61</f>
        <v>AE7</v>
      </c>
      <c r="C58" s="1" t="str">
        <f>'MPIO_SFIO Table'!D61</f>
        <v>AT14</v>
      </c>
      <c r="D58" s="1" t="str">
        <f>'MPIO_SFIO Table'!E61</f>
        <v>AT14</v>
      </c>
      <c r="E58" s="1" t="str">
        <f>'MPIO_SFIO Table'!F61</f>
        <v>unused_GPIO_PBB7</v>
      </c>
      <c r="F58" s="2" t="str">
        <f>'MPIO_SFIO Table'!G61</f>
        <v>GPIO-BB.07</v>
      </c>
      <c r="G58" s="1" t="str">
        <f>'MPIO_SFIO Table'!H61</f>
        <v>I2S4.A-SDATA_OUT</v>
      </c>
      <c r="H58" s="1" t="str">
        <f>'MPIO_SFIO Table'!I61</f>
        <v>RSVD1</v>
      </c>
      <c r="I58" s="1" t="str">
        <f>'MPIO_SFIO Table'!J61</f>
        <v>RSVD2</v>
      </c>
      <c r="J58" s="1" t="str">
        <f>'MPIO_SFIO Table'!K61</f>
        <v>SDMMC4.B-DAT7</v>
      </c>
      <c r="K58" s="2" t="str">
        <f>'MPIO_SFIO Table'!L61</f>
        <v>config</v>
      </c>
      <c r="L58" s="1" t="str">
        <f>'MPIO_SFIO Table'!M61</f>
        <v>disabled</v>
      </c>
      <c r="M58" s="1" t="str">
        <f>'MPIO_SFIO Table'!N61</f>
        <v>config</v>
      </c>
      <c r="N58" s="1" t="str">
        <f>'MPIO_SFIO Table'!O61</f>
        <v>hold</v>
      </c>
      <c r="O58" s="1" t="str">
        <f>'MPIO_SFIO Table'!P61</f>
        <v/>
      </c>
      <c r="P58" s="2" t="str">
        <f>'MPIO_SFIO Table'!Q61</f>
        <v>VDDIO_CAM</v>
      </c>
      <c r="Q58" s="1" t="str">
        <f>'MPIO_SFIO Table'!R61</f>
        <v>ST</v>
      </c>
      <c r="R58" s="1">
        <f>'MPIO_SFIO Table'!S61</f>
        <v>50</v>
      </c>
      <c r="S58" s="1" t="str">
        <f>'MPIO_SFIO Table'!T61</f>
        <v>gmfcfg</v>
      </c>
      <c r="T58" s="2">
        <f>'MPIO_SFIO Table'!U61</f>
        <v>0</v>
      </c>
      <c r="U58" s="1">
        <f>'MPIO_SFIO Table'!V61</f>
        <v>1</v>
      </c>
      <c r="V58" s="1">
        <f>'MPIO_SFIO Table'!W61</f>
        <v>1</v>
      </c>
      <c r="W58" s="1" t="str">
        <f>'MPIO_SFIO Table'!X61</f>
        <v>none</v>
      </c>
      <c r="X58" s="1" t="str">
        <f>'MPIO_SFIO Table'!Y61</f>
        <v>z</v>
      </c>
      <c r="Y58" s="88" t="str">
        <f>'MPIO_SFIO Table'!Z61</f>
        <v>z</v>
      </c>
    </row>
    <row r="59" spans="1:25" x14ac:dyDescent="0.25">
      <c r="A59" s="1" t="str">
        <f>'MPIO_SFIO Table'!A62</f>
        <v>GPIO_PCC1</v>
      </c>
      <c r="B59" s="1" t="str">
        <f>'MPIO_SFIO Table'!C62</f>
        <v>AC6</v>
      </c>
      <c r="C59" s="1" t="str">
        <f>'MPIO_SFIO Table'!D62</f>
        <v>AU15</v>
      </c>
      <c r="D59" s="1" t="str">
        <f>'MPIO_SFIO Table'!E62</f>
        <v>AU15</v>
      </c>
      <c r="E59" s="1" t="str">
        <f>'MPIO_SFIO Table'!F62</f>
        <v>unused_GPIO_PCC1</v>
      </c>
      <c r="F59" s="2" t="str">
        <f>'MPIO_SFIO Table'!G62</f>
        <v>GPIO-CC.01</v>
      </c>
      <c r="G59" s="1" t="str">
        <f>'MPIO_SFIO Table'!H62</f>
        <v>I2S4.A-LRCK</v>
      </c>
      <c r="H59" s="1" t="str">
        <f>'MPIO_SFIO Table'!I62</f>
        <v>RSVD1</v>
      </c>
      <c r="I59" s="1" t="str">
        <f>'MPIO_SFIO Table'!J62</f>
        <v>RSVD2</v>
      </c>
      <c r="J59" s="1" t="str">
        <f>'MPIO_SFIO Table'!K62</f>
        <v>SDMMC4.B-CMD</v>
      </c>
      <c r="K59" s="2" t="str">
        <f>'MPIO_SFIO Table'!L62</f>
        <v>config</v>
      </c>
      <c r="L59" s="1" t="str">
        <f>'MPIO_SFIO Table'!M62</f>
        <v>disabled</v>
      </c>
      <c r="M59" s="1" t="str">
        <f>'MPIO_SFIO Table'!N62</f>
        <v>config</v>
      </c>
      <c r="N59" s="1" t="str">
        <f>'MPIO_SFIO Table'!O62</f>
        <v>hold</v>
      </c>
      <c r="O59" s="1" t="str">
        <f>'MPIO_SFIO Table'!P62</f>
        <v/>
      </c>
      <c r="P59" s="2" t="str">
        <f>'MPIO_SFIO Table'!Q62</f>
        <v>VDDIO_CAM</v>
      </c>
      <c r="Q59" s="1" t="str">
        <f>'MPIO_SFIO Table'!R62</f>
        <v>ST</v>
      </c>
      <c r="R59" s="1">
        <f>'MPIO_SFIO Table'!S62</f>
        <v>50</v>
      </c>
      <c r="S59" s="1" t="str">
        <f>'MPIO_SFIO Table'!T62</f>
        <v>gmhcfg</v>
      </c>
      <c r="T59" s="2">
        <f>'MPIO_SFIO Table'!U62</f>
        <v>0</v>
      </c>
      <c r="U59" s="1">
        <f>'MPIO_SFIO Table'!V62</f>
        <v>1</v>
      </c>
      <c r="V59" s="1">
        <f>'MPIO_SFIO Table'!W62</f>
        <v>1</v>
      </c>
      <c r="W59" s="1" t="str">
        <f>'MPIO_SFIO Table'!X62</f>
        <v>up</v>
      </c>
      <c r="X59" s="1" t="str">
        <f>'MPIO_SFIO Table'!Y62</f>
        <v>pu</v>
      </c>
      <c r="Y59" s="88" t="str">
        <f>'MPIO_SFIO Table'!Z62</f>
        <v>pu</v>
      </c>
    </row>
    <row r="60" spans="1:25" x14ac:dyDescent="0.25">
      <c r="A60" s="1" t="str">
        <f>'MPIO_SFIO Table'!A63</f>
        <v>GPIO_PCC2</v>
      </c>
      <c r="B60" s="1" t="str">
        <f>'MPIO_SFIO Table'!C63</f>
        <v>AG6</v>
      </c>
      <c r="C60" s="1" t="str">
        <f>'MPIO_SFIO Table'!D63</f>
        <v>AR15</v>
      </c>
      <c r="D60" s="1" t="str">
        <f>'MPIO_SFIO Table'!E63</f>
        <v>AR15</v>
      </c>
      <c r="E60" s="1" t="str">
        <f>'MPIO_SFIO Table'!F63</f>
        <v>unused_GPIO_PCC2</v>
      </c>
      <c r="F60" s="2" t="str">
        <f>'MPIO_SFIO Table'!G63</f>
        <v>GPIO-CC.02</v>
      </c>
      <c r="G60" s="1" t="str">
        <f>'MPIO_SFIO Table'!H63</f>
        <v>I2S4.A-SCLK</v>
      </c>
      <c r="H60" s="1" t="str">
        <f>'MPIO_SFIO Table'!I63</f>
        <v>RSVD1</v>
      </c>
      <c r="I60" s="1" t="str">
        <f>'MPIO_SFIO Table'!J63</f>
        <v>RSVD2</v>
      </c>
      <c r="J60" s="1" t="str">
        <f>'MPIO_SFIO Table'!K63</f>
        <v>SDMMC4.B-RST_N</v>
      </c>
      <c r="K60" s="2" t="str">
        <f>'MPIO_SFIO Table'!L63</f>
        <v>config</v>
      </c>
      <c r="L60" s="1" t="str">
        <f>'MPIO_SFIO Table'!M63</f>
        <v>disabled</v>
      </c>
      <c r="M60" s="1" t="str">
        <f>'MPIO_SFIO Table'!N63</f>
        <v>config</v>
      </c>
      <c r="N60" s="1" t="str">
        <f>'MPIO_SFIO Table'!O63</f>
        <v>reset</v>
      </c>
      <c r="O60" s="1" t="str">
        <f>'MPIO_SFIO Table'!P63</f>
        <v/>
      </c>
      <c r="P60" s="2" t="str">
        <f>'MPIO_SFIO Table'!Q63</f>
        <v>VDDIO_CAM</v>
      </c>
      <c r="Q60" s="1" t="str">
        <f>'MPIO_SFIO Table'!R63</f>
        <v>ST</v>
      </c>
      <c r="R60" s="1">
        <f>'MPIO_SFIO Table'!S63</f>
        <v>50</v>
      </c>
      <c r="S60" s="1" t="str">
        <f>'MPIO_SFIO Table'!T63</f>
        <v>gmecfg</v>
      </c>
      <c r="T60" s="2">
        <f>'MPIO_SFIO Table'!U63</f>
        <v>0</v>
      </c>
      <c r="U60" s="1">
        <f>'MPIO_SFIO Table'!V63</f>
        <v>0</v>
      </c>
      <c r="V60" s="1">
        <f>'MPIO_SFIO Table'!W63</f>
        <v>1</v>
      </c>
      <c r="W60" s="1" t="str">
        <f>'MPIO_SFIO Table'!X63</f>
        <v>up</v>
      </c>
      <c r="X60" s="1" t="str">
        <f>'MPIO_SFIO Table'!Y63</f>
        <v>pu</v>
      </c>
      <c r="Y60" s="88" t="str">
        <f>'MPIO_SFIO Table'!Z63</f>
        <v>pu</v>
      </c>
    </row>
    <row r="61" spans="1:25" ht="15.75" x14ac:dyDescent="0.25">
      <c r="A61" s="32" t="str">
        <f>'MPIO_SFIO Table'!A64</f>
        <v>GMI</v>
      </c>
      <c r="B61" s="32"/>
      <c r="C61" s="32"/>
      <c r="D61" s="32"/>
      <c r="E61" s="32"/>
      <c r="F61" s="33"/>
      <c r="G61" s="32"/>
      <c r="H61" s="32"/>
      <c r="I61" s="32"/>
      <c r="J61" s="32"/>
      <c r="K61" s="33"/>
      <c r="L61" s="32"/>
      <c r="M61" s="32"/>
      <c r="N61" s="32"/>
      <c r="O61" s="32"/>
      <c r="P61" s="33"/>
      <c r="Q61" s="32"/>
      <c r="R61" s="32"/>
      <c r="S61" s="32"/>
      <c r="T61" s="34"/>
      <c r="U61" s="35"/>
      <c r="V61" s="35"/>
      <c r="W61" s="35"/>
      <c r="X61" s="35"/>
      <c r="Y61" s="87"/>
    </row>
    <row r="62" spans="1:25" x14ac:dyDescent="0.25">
      <c r="A62" s="1" t="str">
        <f>'MPIO_SFIO Table'!A65</f>
        <v>GEN2_I2C_SCL</v>
      </c>
      <c r="B62" s="1" t="str">
        <f>'MPIO_SFIO Table'!C65</f>
        <v>G5</v>
      </c>
      <c r="C62" s="1" t="str">
        <f>'MPIO_SFIO Table'!D65</f>
        <v>D2</v>
      </c>
      <c r="D62" s="1" t="str">
        <f>'MPIO_SFIO Table'!E65</f>
        <v>D2</v>
      </c>
      <c r="E62" s="1" t="str">
        <f>'MPIO_SFIO Table'!F65</f>
        <v>unused_GEN2_I2C_SCL</v>
      </c>
      <c r="F62" s="2" t="str">
        <f>'MPIO_SFIO Table'!G65</f>
        <v>GPIO-T.05</v>
      </c>
      <c r="G62" s="1" t="str">
        <f>'MPIO_SFIO Table'!H65</f>
        <v>I2C2-CLK</v>
      </c>
      <c r="H62" s="1" t="str">
        <f>'MPIO_SFIO Table'!I65</f>
        <v>INVALID</v>
      </c>
      <c r="I62" s="1" t="str">
        <f>'MPIO_SFIO Table'!J65</f>
        <v>GMI-CS6_N</v>
      </c>
      <c r="J62" s="1" t="str">
        <f>'MPIO_SFIO Table'!K65</f>
        <v>RSVD3</v>
      </c>
      <c r="K62" s="2" t="str">
        <f>'MPIO_SFIO Table'!L65</f>
        <v>config</v>
      </c>
      <c r="L62" s="1" t="str">
        <f>'MPIO_SFIO Table'!M65</f>
        <v>special</v>
      </c>
      <c r="M62" s="1" t="str">
        <f>'MPIO_SFIO Table'!N65</f>
        <v>config</v>
      </c>
      <c r="N62" s="1" t="str">
        <f>'MPIO_SFIO Table'!O65</f>
        <v>reset</v>
      </c>
      <c r="O62" s="1" t="str">
        <f>'MPIO_SFIO Table'!P65</f>
        <v/>
      </c>
      <c r="P62" s="2" t="str">
        <f>'MPIO_SFIO Table'!Q65</f>
        <v>VDDIO_GMI</v>
      </c>
      <c r="Q62" s="1" t="str">
        <f>'MPIO_SFIO Table'!R65</f>
        <v>DD</v>
      </c>
      <c r="R62" s="1">
        <f>'MPIO_SFIO Table'!S65</f>
        <v>50</v>
      </c>
      <c r="S62" s="1" t="str">
        <f>'MPIO_SFIO Table'!T65</f>
        <v>atcfg5</v>
      </c>
      <c r="T62" s="2">
        <f>'MPIO_SFIO Table'!U65</f>
        <v>0</v>
      </c>
      <c r="U62" s="1">
        <f>'MPIO_SFIO Table'!V65</f>
        <v>1</v>
      </c>
      <c r="V62" s="1">
        <f>'MPIO_SFIO Table'!W65</f>
        <v>1</v>
      </c>
      <c r="W62" s="1" t="str">
        <f>'MPIO_SFIO Table'!X65</f>
        <v>none</v>
      </c>
      <c r="X62" s="1" t="str">
        <f>'MPIO_SFIO Table'!Y65</f>
        <v>z</v>
      </c>
      <c r="Y62" s="88" t="str">
        <f>'MPIO_SFIO Table'!Z65</f>
        <v>z</v>
      </c>
    </row>
    <row r="63" spans="1:25" x14ac:dyDescent="0.25">
      <c r="A63" s="1" t="str">
        <f>'MPIO_SFIO Table'!A66</f>
        <v>GEN2_I2C_SDA</v>
      </c>
      <c r="B63" s="1" t="str">
        <f>'MPIO_SFIO Table'!C66</f>
        <v>G7</v>
      </c>
      <c r="C63" s="1" t="str">
        <f>'MPIO_SFIO Table'!D66</f>
        <v>E3</v>
      </c>
      <c r="D63" s="1" t="str">
        <f>'MPIO_SFIO Table'!E66</f>
        <v>E3</v>
      </c>
      <c r="E63" s="1" t="str">
        <f>'MPIO_SFIO Table'!F66</f>
        <v>unused_GEN2_I2C_SDA</v>
      </c>
      <c r="F63" s="2" t="str">
        <f>'MPIO_SFIO Table'!G66</f>
        <v>GPIO-T.06</v>
      </c>
      <c r="G63" s="1" t="str">
        <f>'MPIO_SFIO Table'!H66</f>
        <v>I2C2-DAT</v>
      </c>
      <c r="H63" s="1" t="str">
        <f>'MPIO_SFIO Table'!I66</f>
        <v>INVALID</v>
      </c>
      <c r="I63" s="1" t="str">
        <f>'MPIO_SFIO Table'!J66</f>
        <v>GMI-CS7_N</v>
      </c>
      <c r="J63" s="1" t="str">
        <f>'MPIO_SFIO Table'!K66</f>
        <v>RSVD3</v>
      </c>
      <c r="K63" s="2" t="str">
        <f>'MPIO_SFIO Table'!L66</f>
        <v>config</v>
      </c>
      <c r="L63" s="1" t="str">
        <f>'MPIO_SFIO Table'!M66</f>
        <v>special</v>
      </c>
      <c r="M63" s="1" t="str">
        <f>'MPIO_SFIO Table'!N66</f>
        <v>config</v>
      </c>
      <c r="N63" s="1" t="str">
        <f>'MPIO_SFIO Table'!O66</f>
        <v>reset</v>
      </c>
      <c r="O63" s="1" t="str">
        <f>'MPIO_SFIO Table'!P66</f>
        <v/>
      </c>
      <c r="P63" s="2" t="str">
        <f>'MPIO_SFIO Table'!Q66</f>
        <v>VDDIO_GMI</v>
      </c>
      <c r="Q63" s="1" t="str">
        <f>'MPIO_SFIO Table'!R66</f>
        <v>DD</v>
      </c>
      <c r="R63" s="1">
        <f>'MPIO_SFIO Table'!S66</f>
        <v>50</v>
      </c>
      <c r="S63" s="1" t="str">
        <f>'MPIO_SFIO Table'!T66</f>
        <v>atcfg5</v>
      </c>
      <c r="T63" s="2">
        <f>'MPIO_SFIO Table'!U66</f>
        <v>0</v>
      </c>
      <c r="U63" s="1">
        <f>'MPIO_SFIO Table'!V66</f>
        <v>1</v>
      </c>
      <c r="V63" s="1">
        <f>'MPIO_SFIO Table'!W66</f>
        <v>1</v>
      </c>
      <c r="W63" s="1" t="str">
        <f>'MPIO_SFIO Table'!X66</f>
        <v>none</v>
      </c>
      <c r="X63" s="1" t="str">
        <f>'MPIO_SFIO Table'!Y66</f>
        <v>z</v>
      </c>
      <c r="Y63" s="88" t="str">
        <f>'MPIO_SFIO Table'!Z66</f>
        <v>z</v>
      </c>
    </row>
    <row r="64" spans="1:25" x14ac:dyDescent="0.25">
      <c r="A64" s="1" t="str">
        <f>'MPIO_SFIO Table'!A67</f>
        <v>GMI_A16</v>
      </c>
      <c r="B64" s="1" t="str">
        <f>'MPIO_SFIO Table'!C67</f>
        <v>H4</v>
      </c>
      <c r="C64" s="1" t="str">
        <f>'MPIO_SFIO Table'!D67</f>
        <v>P8</v>
      </c>
      <c r="D64" s="1" t="str">
        <f>'MPIO_SFIO Table'!E67</f>
        <v>P8</v>
      </c>
      <c r="E64" s="1" t="str">
        <f>'MPIO_SFIO Table'!F67</f>
        <v>unused_GMI_A16</v>
      </c>
      <c r="F64" s="2" t="str">
        <f>'MPIO_SFIO Table'!G67</f>
        <v>GPIO-J.07</v>
      </c>
      <c r="G64" s="1" t="str">
        <f>'MPIO_SFIO Table'!H67</f>
        <v>UART4.B-TXD</v>
      </c>
      <c r="H64" s="1" t="str">
        <f>'MPIO_SFIO Table'!I67</f>
        <v>SPI4.C-SCK</v>
      </c>
      <c r="I64" s="1" t="str">
        <f>'MPIO_SFIO Table'!J67</f>
        <v>GMI-AD16</v>
      </c>
      <c r="J64" s="1" t="str">
        <f>'MPIO_SFIO Table'!K67</f>
        <v>GMI-INT2</v>
      </c>
      <c r="K64" s="2" t="str">
        <f>'MPIO_SFIO Table'!L67</f>
        <v>config</v>
      </c>
      <c r="L64" s="1" t="str">
        <f>'MPIO_SFIO Table'!M67</f>
        <v>disabled</v>
      </c>
      <c r="M64" s="1" t="str">
        <f>'MPIO_SFIO Table'!N67</f>
        <v>config</v>
      </c>
      <c r="N64" s="1" t="str">
        <f>'MPIO_SFIO Table'!O67</f>
        <v>hold</v>
      </c>
      <c r="O64" s="1" t="str">
        <f>'MPIO_SFIO Table'!P67</f>
        <v/>
      </c>
      <c r="P64" s="2" t="str">
        <f>'MPIO_SFIO Table'!Q67</f>
        <v>VDDIO_GMI</v>
      </c>
      <c r="Q64" s="1" t="str">
        <f>'MPIO_SFIO Table'!R67</f>
        <v>ST</v>
      </c>
      <c r="R64" s="1">
        <f>'MPIO_SFIO Table'!S67</f>
        <v>100</v>
      </c>
      <c r="S64" s="1" t="str">
        <f>'MPIO_SFIO Table'!T67</f>
        <v>atcfg4</v>
      </c>
      <c r="T64" s="2">
        <f>'MPIO_SFIO Table'!U67</f>
        <v>2</v>
      </c>
      <c r="U64" s="1">
        <f>'MPIO_SFIO Table'!V67</f>
        <v>1</v>
      </c>
      <c r="V64" s="1">
        <f>'MPIO_SFIO Table'!W67</f>
        <v>1</v>
      </c>
      <c r="W64" s="1" t="str">
        <f>'MPIO_SFIO Table'!X67</f>
        <v>none</v>
      </c>
      <c r="X64" s="1" t="str">
        <f>'MPIO_SFIO Table'!Y67</f>
        <v>z</v>
      </c>
      <c r="Y64" s="88" t="str">
        <f>'MPIO_SFIO Table'!Z67</f>
        <v>z</v>
      </c>
    </row>
    <row r="65" spans="1:25" x14ac:dyDescent="0.25">
      <c r="A65" s="1" t="str">
        <f>'MPIO_SFIO Table'!A68</f>
        <v>GMI_A17</v>
      </c>
      <c r="B65" s="1" t="str">
        <f>'MPIO_SFIO Table'!C68</f>
        <v>J6</v>
      </c>
      <c r="C65" s="1" t="str">
        <f>'MPIO_SFIO Table'!D68</f>
        <v>M8</v>
      </c>
      <c r="D65" s="1" t="str">
        <f>'MPIO_SFIO Table'!E68</f>
        <v>M8</v>
      </c>
      <c r="E65" s="1" t="str">
        <f>'MPIO_SFIO Table'!F68</f>
        <v>unused_GMI_A17</v>
      </c>
      <c r="F65" s="2" t="str">
        <f>'MPIO_SFIO Table'!G68</f>
        <v>GPIO-B.00</v>
      </c>
      <c r="G65" s="1" t="str">
        <f>'MPIO_SFIO Table'!H68</f>
        <v>UART4.B-RXD</v>
      </c>
      <c r="H65" s="1" t="str">
        <f>'MPIO_SFIO Table'!I68</f>
        <v>SPI4.C-MOSI</v>
      </c>
      <c r="I65" s="1" t="str">
        <f>'MPIO_SFIO Table'!J68</f>
        <v>GMI-AD17</v>
      </c>
      <c r="J65" s="1" t="str">
        <f>'MPIO_SFIO Table'!K68</f>
        <v>DTV-VALID</v>
      </c>
      <c r="K65" s="2" t="str">
        <f>'MPIO_SFIO Table'!L68</f>
        <v>config</v>
      </c>
      <c r="L65" s="1" t="str">
        <f>'MPIO_SFIO Table'!M68</f>
        <v>disabled</v>
      </c>
      <c r="M65" s="1" t="str">
        <f>'MPIO_SFIO Table'!N68</f>
        <v>config</v>
      </c>
      <c r="N65" s="1" t="str">
        <f>'MPIO_SFIO Table'!O68</f>
        <v>hold</v>
      </c>
      <c r="O65" s="1" t="str">
        <f>'MPIO_SFIO Table'!P68</f>
        <v/>
      </c>
      <c r="P65" s="2" t="str">
        <f>'MPIO_SFIO Table'!Q68</f>
        <v>VDDIO_GMI</v>
      </c>
      <c r="Q65" s="1" t="str">
        <f>'MPIO_SFIO Table'!R68</f>
        <v>ST</v>
      </c>
      <c r="R65" s="1">
        <f>'MPIO_SFIO Table'!S68</f>
        <v>100</v>
      </c>
      <c r="S65" s="1" t="str">
        <f>'MPIO_SFIO Table'!T68</f>
        <v>atcfg4</v>
      </c>
      <c r="T65" s="2">
        <f>'MPIO_SFIO Table'!U68</f>
        <v>2</v>
      </c>
      <c r="U65" s="1">
        <f>'MPIO_SFIO Table'!V68</f>
        <v>1</v>
      </c>
      <c r="V65" s="1">
        <f>'MPIO_SFIO Table'!W68</f>
        <v>1</v>
      </c>
      <c r="W65" s="1" t="str">
        <f>'MPIO_SFIO Table'!X68</f>
        <v>none</v>
      </c>
      <c r="X65" s="1" t="str">
        <f>'MPIO_SFIO Table'!Y68</f>
        <v>z</v>
      </c>
      <c r="Y65" s="88" t="str">
        <f>'MPIO_SFIO Table'!Z68</f>
        <v>z</v>
      </c>
    </row>
    <row r="66" spans="1:25" x14ac:dyDescent="0.25">
      <c r="A66" s="1" t="str">
        <f>'MPIO_SFIO Table'!A69</f>
        <v>GMI_A18</v>
      </c>
      <c r="B66" s="1" t="str">
        <f>'MPIO_SFIO Table'!C69</f>
        <v>C4</v>
      </c>
      <c r="C66" s="1" t="str">
        <f>'MPIO_SFIO Table'!D69</f>
        <v>N9</v>
      </c>
      <c r="D66" s="1" t="str">
        <f>'MPIO_SFIO Table'!E69</f>
        <v>N9</v>
      </c>
      <c r="E66" s="1" t="str">
        <f>'MPIO_SFIO Table'!F69</f>
        <v>unused_GMI_A18</v>
      </c>
      <c r="F66" s="2" t="str">
        <f>'MPIO_SFIO Table'!G69</f>
        <v>GPIO-B.01</v>
      </c>
      <c r="G66" s="1" t="str">
        <f>'MPIO_SFIO Table'!H69</f>
        <v>UART4.B-CTS_N</v>
      </c>
      <c r="H66" s="1" t="str">
        <f>'MPIO_SFIO Table'!I69</f>
        <v>SPI4.C-MISO</v>
      </c>
      <c r="I66" s="1" t="str">
        <f>'MPIO_SFIO Table'!J69</f>
        <v>GMI-AD18</v>
      </c>
      <c r="J66" s="1" t="str">
        <f>'MPIO_SFIO Table'!K69</f>
        <v>DTV-DATA</v>
      </c>
      <c r="K66" s="2" t="str">
        <f>'MPIO_SFIO Table'!L69</f>
        <v>config</v>
      </c>
      <c r="L66" s="1" t="str">
        <f>'MPIO_SFIO Table'!M69</f>
        <v>disabled</v>
      </c>
      <c r="M66" s="1" t="str">
        <f>'MPIO_SFIO Table'!N69</f>
        <v>config</v>
      </c>
      <c r="N66" s="1" t="str">
        <f>'MPIO_SFIO Table'!O69</f>
        <v>hold</v>
      </c>
      <c r="O66" s="1" t="str">
        <f>'MPIO_SFIO Table'!P69</f>
        <v/>
      </c>
      <c r="P66" s="2" t="str">
        <f>'MPIO_SFIO Table'!Q69</f>
        <v>VDDIO_GMI</v>
      </c>
      <c r="Q66" s="1" t="str">
        <f>'MPIO_SFIO Table'!R69</f>
        <v>ST</v>
      </c>
      <c r="R66" s="1">
        <f>'MPIO_SFIO Table'!S69</f>
        <v>100</v>
      </c>
      <c r="S66" s="1" t="str">
        <f>'MPIO_SFIO Table'!T69</f>
        <v>atcfg4</v>
      </c>
      <c r="T66" s="2">
        <f>'MPIO_SFIO Table'!U69</f>
        <v>2</v>
      </c>
      <c r="U66" s="1">
        <f>'MPIO_SFIO Table'!V69</f>
        <v>1</v>
      </c>
      <c r="V66" s="1">
        <f>'MPIO_SFIO Table'!W69</f>
        <v>1</v>
      </c>
      <c r="W66" s="1" t="str">
        <f>'MPIO_SFIO Table'!X69</f>
        <v>none</v>
      </c>
      <c r="X66" s="1" t="str">
        <f>'MPIO_SFIO Table'!Y69</f>
        <v>z</v>
      </c>
      <c r="Y66" s="88" t="str">
        <f>'MPIO_SFIO Table'!Z69</f>
        <v>z</v>
      </c>
    </row>
    <row r="67" spans="1:25" x14ac:dyDescent="0.25">
      <c r="A67" s="1" t="str">
        <f>'MPIO_SFIO Table'!A70</f>
        <v>GMI_A19</v>
      </c>
      <c r="B67" s="1" t="str">
        <f>'MPIO_SFIO Table'!C70</f>
        <v>J3</v>
      </c>
      <c r="C67" s="1" t="str">
        <f>'MPIO_SFIO Table'!D70</f>
        <v>R9</v>
      </c>
      <c r="D67" s="1" t="str">
        <f>'MPIO_SFIO Table'!E70</f>
        <v>R9</v>
      </c>
      <c r="E67" s="1" t="str">
        <f>'MPIO_SFIO Table'!F70</f>
        <v>unused_GMI_A19</v>
      </c>
      <c r="F67" s="2" t="str">
        <f>'MPIO_SFIO Table'!G70</f>
        <v>GPIO-K.07</v>
      </c>
      <c r="G67" s="1" t="str">
        <f>'MPIO_SFIO Table'!H70</f>
        <v>UART4.B-RTS_N</v>
      </c>
      <c r="H67" s="1" t="str">
        <f>'MPIO_SFIO Table'!I70</f>
        <v>SPI4.C-CS1_N</v>
      </c>
      <c r="I67" s="1" t="str">
        <f>'MPIO_SFIO Table'!J70</f>
        <v>GMI-AD19</v>
      </c>
      <c r="J67" s="1" t="str">
        <f>'MPIO_SFIO Table'!K70</f>
        <v>RSVD3</v>
      </c>
      <c r="K67" s="2" t="str">
        <f>'MPIO_SFIO Table'!L70</f>
        <v>config</v>
      </c>
      <c r="L67" s="1" t="str">
        <f>'MPIO_SFIO Table'!M70</f>
        <v>disabled</v>
      </c>
      <c r="M67" s="1" t="str">
        <f>'MPIO_SFIO Table'!N70</f>
        <v>config</v>
      </c>
      <c r="N67" s="1" t="str">
        <f>'MPIO_SFIO Table'!O70</f>
        <v>hold</v>
      </c>
      <c r="O67" s="1" t="str">
        <f>'MPIO_SFIO Table'!P70</f>
        <v/>
      </c>
      <c r="P67" s="2" t="str">
        <f>'MPIO_SFIO Table'!Q70</f>
        <v>VDDIO_GMI</v>
      </c>
      <c r="Q67" s="1" t="str">
        <f>'MPIO_SFIO Table'!R70</f>
        <v>ST</v>
      </c>
      <c r="R67" s="1">
        <f>'MPIO_SFIO Table'!S70</f>
        <v>100</v>
      </c>
      <c r="S67" s="1" t="str">
        <f>'MPIO_SFIO Table'!T70</f>
        <v>atcfg4</v>
      </c>
      <c r="T67" s="2">
        <f>'MPIO_SFIO Table'!U70</f>
        <v>2</v>
      </c>
      <c r="U67" s="1">
        <f>'MPIO_SFIO Table'!V70</f>
        <v>1</v>
      </c>
      <c r="V67" s="1">
        <f>'MPIO_SFIO Table'!W70</f>
        <v>1</v>
      </c>
      <c r="W67" s="1" t="str">
        <f>'MPIO_SFIO Table'!X70</f>
        <v>none</v>
      </c>
      <c r="X67" s="1" t="str">
        <f>'MPIO_SFIO Table'!Y70</f>
        <v>z</v>
      </c>
      <c r="Y67" s="88" t="str">
        <f>'MPIO_SFIO Table'!Z70</f>
        <v>z</v>
      </c>
    </row>
    <row r="68" spans="1:25" x14ac:dyDescent="0.25">
      <c r="A68" s="1" t="str">
        <f>'MPIO_SFIO Table'!A71</f>
        <v>GMI_AD0</v>
      </c>
      <c r="B68" s="1" t="str">
        <f>'MPIO_SFIO Table'!C71</f>
        <v>F8</v>
      </c>
      <c r="C68" s="1" t="str">
        <f>'MPIO_SFIO Table'!D71</f>
        <v>J7</v>
      </c>
      <c r="D68" s="1" t="str">
        <f>'MPIO_SFIO Table'!E71</f>
        <v>J7</v>
      </c>
      <c r="E68" s="1" t="str">
        <f>'MPIO_SFIO Table'!F71</f>
        <v>unused_GMI_AD0</v>
      </c>
      <c r="F68" s="2" t="str">
        <f>'MPIO_SFIO Table'!G71</f>
        <v>GPIO-G.00</v>
      </c>
      <c r="G68" s="1" t="str">
        <f>'MPIO_SFIO Table'!H71</f>
        <v>RSVD1</v>
      </c>
      <c r="H68" s="1" t="str">
        <f>'MPIO_SFIO Table'!I71</f>
        <v>NAND-D0</v>
      </c>
      <c r="I68" s="1" t="str">
        <f>'MPIO_SFIO Table'!J71</f>
        <v>GMI-AD00</v>
      </c>
      <c r="J68" s="1" t="str">
        <f>'MPIO_SFIO Table'!K71</f>
        <v>RSVD2</v>
      </c>
      <c r="K68" s="2" t="str">
        <f>'MPIO_SFIO Table'!L71</f>
        <v>config</v>
      </c>
      <c r="L68" s="1" t="str">
        <f>'MPIO_SFIO Table'!M71</f>
        <v>disabled</v>
      </c>
      <c r="M68" s="1" t="str">
        <f>'MPIO_SFIO Table'!N71</f>
        <v>disabled</v>
      </c>
      <c r="N68" s="1" t="str">
        <f>'MPIO_SFIO Table'!O71</f>
        <v>reset</v>
      </c>
      <c r="O68" s="1" t="str">
        <f>'MPIO_SFIO Table'!P71</f>
        <v/>
      </c>
      <c r="P68" s="2" t="str">
        <f>'MPIO_SFIO Table'!Q71</f>
        <v>VDDIO_GMI</v>
      </c>
      <c r="Q68" s="1" t="str">
        <f>'MPIO_SFIO Table'!R71</f>
        <v>ST</v>
      </c>
      <c r="R68" s="1">
        <f>'MPIO_SFIO Table'!S71</f>
        <v>100</v>
      </c>
      <c r="S68" s="1" t="str">
        <f>'MPIO_SFIO Table'!T71</f>
        <v>atcfg2</v>
      </c>
      <c r="T68" s="2">
        <f>'MPIO_SFIO Table'!U71</f>
        <v>2</v>
      </c>
      <c r="U68" s="1">
        <f>'MPIO_SFIO Table'!V71</f>
        <v>1</v>
      </c>
      <c r="V68" s="1">
        <f>'MPIO_SFIO Table'!W71</f>
        <v>1</v>
      </c>
      <c r="W68" s="1" t="str">
        <f>'MPIO_SFIO Table'!X71</f>
        <v>none</v>
      </c>
      <c r="X68" s="1" t="str">
        <f>'MPIO_SFIO Table'!Y71</f>
        <v>z</v>
      </c>
      <c r="Y68" s="88" t="str">
        <f>'MPIO_SFIO Table'!Z71</f>
        <v>z</v>
      </c>
    </row>
    <row r="69" spans="1:25" x14ac:dyDescent="0.25">
      <c r="A69" s="1" t="str">
        <f>'MPIO_SFIO Table'!A72</f>
        <v>GMI_AD1</v>
      </c>
      <c r="B69" s="1" t="str">
        <f>'MPIO_SFIO Table'!C72</f>
        <v>G6</v>
      </c>
      <c r="C69" s="1" t="str">
        <f>'MPIO_SFIO Table'!D72</f>
        <v>K6</v>
      </c>
      <c r="D69" s="1" t="str">
        <f>'MPIO_SFIO Table'!E72</f>
        <v>K6</v>
      </c>
      <c r="E69" s="1" t="str">
        <f>'MPIO_SFIO Table'!F72</f>
        <v>unused_GMI_AD1</v>
      </c>
      <c r="F69" s="2" t="str">
        <f>'MPIO_SFIO Table'!G72</f>
        <v>GPIO-G.01</v>
      </c>
      <c r="G69" s="1" t="str">
        <f>'MPIO_SFIO Table'!H72</f>
        <v>RSVD1</v>
      </c>
      <c r="H69" s="1" t="str">
        <f>'MPIO_SFIO Table'!I72</f>
        <v>NAND-D1</v>
      </c>
      <c r="I69" s="1" t="str">
        <f>'MPIO_SFIO Table'!J72</f>
        <v>GMI-AD01</v>
      </c>
      <c r="J69" s="1" t="str">
        <f>'MPIO_SFIO Table'!K72</f>
        <v>RSVD2</v>
      </c>
      <c r="K69" s="2" t="str">
        <f>'MPIO_SFIO Table'!L72</f>
        <v>config</v>
      </c>
      <c r="L69" s="1" t="str">
        <f>'MPIO_SFIO Table'!M72</f>
        <v>disabled</v>
      </c>
      <c r="M69" s="1" t="str">
        <f>'MPIO_SFIO Table'!N72</f>
        <v>disabled</v>
      </c>
      <c r="N69" s="1" t="str">
        <f>'MPIO_SFIO Table'!O72</f>
        <v>reset</v>
      </c>
      <c r="O69" s="1" t="str">
        <f>'MPIO_SFIO Table'!P72</f>
        <v/>
      </c>
      <c r="P69" s="2" t="str">
        <f>'MPIO_SFIO Table'!Q72</f>
        <v>VDDIO_GMI</v>
      </c>
      <c r="Q69" s="1" t="str">
        <f>'MPIO_SFIO Table'!R72</f>
        <v>ST</v>
      </c>
      <c r="R69" s="1">
        <f>'MPIO_SFIO Table'!S72</f>
        <v>100</v>
      </c>
      <c r="S69" s="1" t="str">
        <f>'MPIO_SFIO Table'!T72</f>
        <v>atcfg2</v>
      </c>
      <c r="T69" s="2">
        <f>'MPIO_SFIO Table'!U72</f>
        <v>2</v>
      </c>
      <c r="U69" s="1">
        <f>'MPIO_SFIO Table'!V72</f>
        <v>1</v>
      </c>
      <c r="V69" s="1">
        <f>'MPIO_SFIO Table'!W72</f>
        <v>1</v>
      </c>
      <c r="W69" s="1" t="str">
        <f>'MPIO_SFIO Table'!X72</f>
        <v>none</v>
      </c>
      <c r="X69" s="1" t="str">
        <f>'MPIO_SFIO Table'!Y72</f>
        <v>z</v>
      </c>
      <c r="Y69" s="88" t="str">
        <f>'MPIO_SFIO Table'!Z72</f>
        <v>z</v>
      </c>
    </row>
    <row r="70" spans="1:25" x14ac:dyDescent="0.25">
      <c r="A70" s="1" t="str">
        <f>'MPIO_SFIO Table'!A73</f>
        <v>GMI_AD10</v>
      </c>
      <c r="B70" s="1" t="str">
        <f>'MPIO_SFIO Table'!C73</f>
        <v>E7</v>
      </c>
      <c r="C70" s="1" t="str">
        <f>'MPIO_SFIO Table'!D73</f>
        <v>J5</v>
      </c>
      <c r="D70" s="1" t="str">
        <f>'MPIO_SFIO Table'!E73</f>
        <v>J5</v>
      </c>
      <c r="E70" s="1" t="str">
        <f>'MPIO_SFIO Table'!F73</f>
        <v>unused_GMI_AD10</v>
      </c>
      <c r="F70" s="2" t="str">
        <f>'MPIO_SFIO Table'!G73</f>
        <v>GPIO-H.02</v>
      </c>
      <c r="G70" s="1" t="str">
        <f>'MPIO_SFIO Table'!H73</f>
        <v>PWFM-PWM2</v>
      </c>
      <c r="H70" s="1" t="str">
        <f>'MPIO_SFIO Table'!I73</f>
        <v>NAND-D10</v>
      </c>
      <c r="I70" s="1" t="str">
        <f>'MPIO_SFIO Table'!J73</f>
        <v>GMI-AD10</v>
      </c>
      <c r="J70" s="1" t="str">
        <f>'MPIO_SFIO Table'!K73</f>
        <v>RSVD2</v>
      </c>
      <c r="K70" s="2" t="str">
        <f>'MPIO_SFIO Table'!L73</f>
        <v>config</v>
      </c>
      <c r="L70" s="1" t="str">
        <f>'MPIO_SFIO Table'!M73</f>
        <v>disabled</v>
      </c>
      <c r="M70" s="1" t="str">
        <f>'MPIO_SFIO Table'!N73</f>
        <v>disabled</v>
      </c>
      <c r="N70" s="1" t="str">
        <f>'MPIO_SFIO Table'!O73</f>
        <v>reset</v>
      </c>
      <c r="O70" s="1" t="str">
        <f>'MPIO_SFIO Table'!P73</f>
        <v/>
      </c>
      <c r="P70" s="2" t="str">
        <f>'MPIO_SFIO Table'!Q73</f>
        <v>VDDIO_GMI</v>
      </c>
      <c r="Q70" s="1" t="str">
        <f>'MPIO_SFIO Table'!R73</f>
        <v>ST</v>
      </c>
      <c r="R70" s="1">
        <f>'MPIO_SFIO Table'!S73</f>
        <v>100</v>
      </c>
      <c r="S70" s="1" t="str">
        <f>'MPIO_SFIO Table'!T73</f>
        <v>atcfg1</v>
      </c>
      <c r="T70" s="2">
        <f>'MPIO_SFIO Table'!U73</f>
        <v>2</v>
      </c>
      <c r="U70" s="1">
        <f>'MPIO_SFIO Table'!V73</f>
        <v>1</v>
      </c>
      <c r="V70" s="1">
        <f>'MPIO_SFIO Table'!W73</f>
        <v>1</v>
      </c>
      <c r="W70" s="1" t="str">
        <f>'MPIO_SFIO Table'!X73</f>
        <v>down</v>
      </c>
      <c r="X70" s="1" t="str">
        <f>'MPIO_SFIO Table'!Y73</f>
        <v>pd</v>
      </c>
      <c r="Y70" s="88" t="str">
        <f>'MPIO_SFIO Table'!Z73</f>
        <v>pd</v>
      </c>
    </row>
    <row r="71" spans="1:25" x14ac:dyDescent="0.25">
      <c r="A71" s="1" t="str">
        <f>'MPIO_SFIO Table'!A74</f>
        <v>GMI_AD11</v>
      </c>
      <c r="B71" s="1" t="str">
        <f>'MPIO_SFIO Table'!C74</f>
        <v>F3</v>
      </c>
      <c r="C71" s="1" t="str">
        <f>'MPIO_SFIO Table'!D74</f>
        <v>J1</v>
      </c>
      <c r="D71" s="1" t="str">
        <f>'MPIO_SFIO Table'!E74</f>
        <v>J1</v>
      </c>
      <c r="E71" s="1" t="str">
        <f>'MPIO_SFIO Table'!F74</f>
        <v>unused_GMI_AD11</v>
      </c>
      <c r="F71" s="2" t="str">
        <f>'MPIO_SFIO Table'!G74</f>
        <v>GPIO-H.03</v>
      </c>
      <c r="G71" s="1" t="str">
        <f>'MPIO_SFIO Table'!H74</f>
        <v>PWFM-PWM3</v>
      </c>
      <c r="H71" s="1" t="str">
        <f>'MPIO_SFIO Table'!I74</f>
        <v>NAND-D11</v>
      </c>
      <c r="I71" s="1" t="str">
        <f>'MPIO_SFIO Table'!J74</f>
        <v>GMI-AD11</v>
      </c>
      <c r="J71" s="1" t="str">
        <f>'MPIO_SFIO Table'!K74</f>
        <v>RSVD2</v>
      </c>
      <c r="K71" s="2" t="str">
        <f>'MPIO_SFIO Table'!L74</f>
        <v>config</v>
      </c>
      <c r="L71" s="1" t="str">
        <f>'MPIO_SFIO Table'!M74</f>
        <v>disabled</v>
      </c>
      <c r="M71" s="1" t="str">
        <f>'MPIO_SFIO Table'!N74</f>
        <v>disabled</v>
      </c>
      <c r="N71" s="1" t="str">
        <f>'MPIO_SFIO Table'!O74</f>
        <v>reset</v>
      </c>
      <c r="O71" s="1" t="str">
        <f>'MPIO_SFIO Table'!P74</f>
        <v/>
      </c>
      <c r="P71" s="2" t="str">
        <f>'MPIO_SFIO Table'!Q74</f>
        <v>VDDIO_GMI</v>
      </c>
      <c r="Q71" s="1" t="str">
        <f>'MPIO_SFIO Table'!R74</f>
        <v>ST</v>
      </c>
      <c r="R71" s="1">
        <f>'MPIO_SFIO Table'!S74</f>
        <v>100</v>
      </c>
      <c r="S71" s="1" t="str">
        <f>'MPIO_SFIO Table'!T74</f>
        <v>atcfg1</v>
      </c>
      <c r="T71" s="2">
        <f>'MPIO_SFIO Table'!U74</f>
        <v>2</v>
      </c>
      <c r="U71" s="1">
        <f>'MPIO_SFIO Table'!V74</f>
        <v>1</v>
      </c>
      <c r="V71" s="1">
        <f>'MPIO_SFIO Table'!W74</f>
        <v>1</v>
      </c>
      <c r="W71" s="1" t="str">
        <f>'MPIO_SFIO Table'!X74</f>
        <v>down</v>
      </c>
      <c r="X71" s="1" t="str">
        <f>'MPIO_SFIO Table'!Y74</f>
        <v>pd</v>
      </c>
      <c r="Y71" s="88" t="str">
        <f>'MPIO_SFIO Table'!Z74</f>
        <v>pd</v>
      </c>
    </row>
    <row r="72" spans="1:25" x14ac:dyDescent="0.25">
      <c r="A72" s="1" t="str">
        <f>'MPIO_SFIO Table'!A75</f>
        <v>GMI_AD12</v>
      </c>
      <c r="B72" s="1" t="str">
        <f>'MPIO_SFIO Table'!C75</f>
        <v>F5</v>
      </c>
      <c r="C72" s="1" t="str">
        <f>'MPIO_SFIO Table'!D75</f>
        <v>F2</v>
      </c>
      <c r="D72" s="1" t="str">
        <f>'MPIO_SFIO Table'!E75</f>
        <v>F2</v>
      </c>
      <c r="E72" s="1" t="str">
        <f>'MPIO_SFIO Table'!F75</f>
        <v>unused_GMI_AD12</v>
      </c>
      <c r="F72" s="2" t="str">
        <f>'MPIO_SFIO Table'!G75</f>
        <v>GPIO-H.04</v>
      </c>
      <c r="G72" s="1" t="str">
        <f>'MPIO_SFIO Table'!H75</f>
        <v>RSVD1</v>
      </c>
      <c r="H72" s="1" t="str">
        <f>'MPIO_SFIO Table'!I75</f>
        <v>NAND-D12</v>
      </c>
      <c r="I72" s="1" t="str">
        <f>'MPIO_SFIO Table'!J75</f>
        <v>GMI-AD12</v>
      </c>
      <c r="J72" s="1" t="str">
        <f>'MPIO_SFIO Table'!K75</f>
        <v>RSVD2</v>
      </c>
      <c r="K72" s="2" t="str">
        <f>'MPIO_SFIO Table'!L75</f>
        <v>config</v>
      </c>
      <c r="L72" s="1" t="str">
        <f>'MPIO_SFIO Table'!M75</f>
        <v>disabled</v>
      </c>
      <c r="M72" s="1" t="str">
        <f>'MPIO_SFIO Table'!N75</f>
        <v>disabled</v>
      </c>
      <c r="N72" s="1" t="str">
        <f>'MPIO_SFIO Table'!O75</f>
        <v>reset</v>
      </c>
      <c r="O72" s="1" t="str">
        <f>'MPIO_SFIO Table'!P75</f>
        <v/>
      </c>
      <c r="P72" s="2" t="str">
        <f>'MPIO_SFIO Table'!Q75</f>
        <v>VDDIO_GMI</v>
      </c>
      <c r="Q72" s="1" t="str">
        <f>'MPIO_SFIO Table'!R75</f>
        <v>ST</v>
      </c>
      <c r="R72" s="1">
        <f>'MPIO_SFIO Table'!S75</f>
        <v>100</v>
      </c>
      <c r="S72" s="1" t="str">
        <f>'MPIO_SFIO Table'!T75</f>
        <v>atcfg1</v>
      </c>
      <c r="T72" s="2">
        <f>'MPIO_SFIO Table'!U75</f>
        <v>2</v>
      </c>
      <c r="U72" s="1">
        <f>'MPIO_SFIO Table'!V75</f>
        <v>1</v>
      </c>
      <c r="V72" s="1">
        <f>'MPIO_SFIO Table'!W75</f>
        <v>1</v>
      </c>
      <c r="W72" s="1" t="str">
        <f>'MPIO_SFIO Table'!X75</f>
        <v>none</v>
      </c>
      <c r="X72" s="1" t="str">
        <f>'MPIO_SFIO Table'!Y75</f>
        <v>z</v>
      </c>
      <c r="Y72" s="88" t="str">
        <f>'MPIO_SFIO Table'!Z75</f>
        <v>z</v>
      </c>
    </row>
    <row r="73" spans="1:25" x14ac:dyDescent="0.25">
      <c r="A73" s="1" t="str">
        <f>'MPIO_SFIO Table'!A76</f>
        <v>GMI_AD13</v>
      </c>
      <c r="B73" s="1" t="str">
        <f>'MPIO_SFIO Table'!C76</f>
        <v>F7</v>
      </c>
      <c r="C73" s="1" t="str">
        <f>'MPIO_SFIO Table'!D76</f>
        <v>F4</v>
      </c>
      <c r="D73" s="1" t="str">
        <f>'MPIO_SFIO Table'!E76</f>
        <v>F4</v>
      </c>
      <c r="E73" s="1" t="str">
        <f>'MPIO_SFIO Table'!F76</f>
        <v>unused_GMI_AD13</v>
      </c>
      <c r="F73" s="2" t="str">
        <f>'MPIO_SFIO Table'!G76</f>
        <v>GPIO-H.05</v>
      </c>
      <c r="G73" s="1" t="str">
        <f>'MPIO_SFIO Table'!H76</f>
        <v>RSVD1</v>
      </c>
      <c r="H73" s="1" t="str">
        <f>'MPIO_SFIO Table'!I76</f>
        <v>NAND-D13</v>
      </c>
      <c r="I73" s="1" t="str">
        <f>'MPIO_SFIO Table'!J76</f>
        <v>GMI-AD13</v>
      </c>
      <c r="J73" s="1" t="str">
        <f>'MPIO_SFIO Table'!K76</f>
        <v>RSVD2</v>
      </c>
      <c r="K73" s="2" t="str">
        <f>'MPIO_SFIO Table'!L76</f>
        <v>config</v>
      </c>
      <c r="L73" s="1" t="str">
        <f>'MPIO_SFIO Table'!M76</f>
        <v>disabled</v>
      </c>
      <c r="M73" s="1" t="str">
        <f>'MPIO_SFIO Table'!N76</f>
        <v>disabled</v>
      </c>
      <c r="N73" s="1" t="str">
        <f>'MPIO_SFIO Table'!O76</f>
        <v>reset</v>
      </c>
      <c r="O73" s="1" t="str">
        <f>'MPIO_SFIO Table'!P76</f>
        <v/>
      </c>
      <c r="P73" s="2" t="str">
        <f>'MPIO_SFIO Table'!Q76</f>
        <v>VDDIO_GMI</v>
      </c>
      <c r="Q73" s="1" t="str">
        <f>'MPIO_SFIO Table'!R76</f>
        <v>ST</v>
      </c>
      <c r="R73" s="1">
        <f>'MPIO_SFIO Table'!S76</f>
        <v>100</v>
      </c>
      <c r="S73" s="1" t="str">
        <f>'MPIO_SFIO Table'!T76</f>
        <v>atcfg1</v>
      </c>
      <c r="T73" s="2">
        <f>'MPIO_SFIO Table'!U76</f>
        <v>2</v>
      </c>
      <c r="U73" s="1">
        <f>'MPIO_SFIO Table'!V76</f>
        <v>1</v>
      </c>
      <c r="V73" s="1">
        <f>'MPIO_SFIO Table'!W76</f>
        <v>1</v>
      </c>
      <c r="W73" s="1" t="str">
        <f>'MPIO_SFIO Table'!X76</f>
        <v>none</v>
      </c>
      <c r="X73" s="1" t="str">
        <f>'MPIO_SFIO Table'!Y76</f>
        <v>z</v>
      </c>
      <c r="Y73" s="88" t="str">
        <f>'MPIO_SFIO Table'!Z76</f>
        <v>z</v>
      </c>
    </row>
    <row r="74" spans="1:25" x14ac:dyDescent="0.25">
      <c r="A74" s="1" t="str">
        <f>'MPIO_SFIO Table'!A77</f>
        <v>GMI_AD14</v>
      </c>
      <c r="B74" s="1" t="str">
        <f>'MPIO_SFIO Table'!C77</f>
        <v>J2</v>
      </c>
      <c r="C74" s="1" t="str">
        <f>'MPIO_SFIO Table'!D77</f>
        <v>P2</v>
      </c>
      <c r="D74" s="1" t="str">
        <f>'MPIO_SFIO Table'!E77</f>
        <v>P2</v>
      </c>
      <c r="E74" s="1" t="str">
        <f>'MPIO_SFIO Table'!F77</f>
        <v>unused_GMI_AD14</v>
      </c>
      <c r="F74" s="2" t="str">
        <f>'MPIO_SFIO Table'!G77</f>
        <v>GPIO-H.06</v>
      </c>
      <c r="G74" s="1" t="str">
        <f>'MPIO_SFIO Table'!H77</f>
        <v>RSVD1</v>
      </c>
      <c r="H74" s="1" t="str">
        <f>'MPIO_SFIO Table'!I77</f>
        <v>NAND-D14</v>
      </c>
      <c r="I74" s="1" t="str">
        <f>'MPIO_SFIO Table'!J77</f>
        <v>GMI-AD14</v>
      </c>
      <c r="J74" s="1" t="str">
        <f>'MPIO_SFIO Table'!K77</f>
        <v>RSVD2</v>
      </c>
      <c r="K74" s="2" t="str">
        <f>'MPIO_SFIO Table'!L77</f>
        <v>config</v>
      </c>
      <c r="L74" s="1" t="str">
        <f>'MPIO_SFIO Table'!M77</f>
        <v>disabled</v>
      </c>
      <c r="M74" s="1" t="str">
        <f>'MPIO_SFIO Table'!N77</f>
        <v>disabled</v>
      </c>
      <c r="N74" s="1" t="str">
        <f>'MPIO_SFIO Table'!O77</f>
        <v>reset</v>
      </c>
      <c r="O74" s="1" t="str">
        <f>'MPIO_SFIO Table'!P77</f>
        <v/>
      </c>
      <c r="P74" s="2" t="str">
        <f>'MPIO_SFIO Table'!Q77</f>
        <v>VDDIO_GMI</v>
      </c>
      <c r="Q74" s="1" t="str">
        <f>'MPIO_SFIO Table'!R77</f>
        <v>ST</v>
      </c>
      <c r="R74" s="1">
        <f>'MPIO_SFIO Table'!S77</f>
        <v>100</v>
      </c>
      <c r="S74" s="1" t="str">
        <f>'MPIO_SFIO Table'!T77</f>
        <v>atcfg1</v>
      </c>
      <c r="T74" s="2">
        <f>'MPIO_SFIO Table'!U77</f>
        <v>2</v>
      </c>
      <c r="U74" s="1">
        <f>'MPIO_SFIO Table'!V77</f>
        <v>1</v>
      </c>
      <c r="V74" s="1">
        <f>'MPIO_SFIO Table'!W77</f>
        <v>1</v>
      </c>
      <c r="W74" s="1" t="str">
        <f>'MPIO_SFIO Table'!X77</f>
        <v>none</v>
      </c>
      <c r="X74" s="1" t="str">
        <f>'MPIO_SFIO Table'!Y77</f>
        <v>z</v>
      </c>
      <c r="Y74" s="88" t="str">
        <f>'MPIO_SFIO Table'!Z77</f>
        <v>z</v>
      </c>
    </row>
    <row r="75" spans="1:25" x14ac:dyDescent="0.25">
      <c r="A75" s="1" t="str">
        <f>'MPIO_SFIO Table'!A78</f>
        <v>GMI_AD15</v>
      </c>
      <c r="B75" s="1" t="str">
        <f>'MPIO_SFIO Table'!C78</f>
        <v>F1</v>
      </c>
      <c r="C75" s="1" t="str">
        <f>'MPIO_SFIO Table'!D78</f>
        <v>R5</v>
      </c>
      <c r="D75" s="1" t="str">
        <f>'MPIO_SFIO Table'!E78</f>
        <v>R5</v>
      </c>
      <c r="E75" s="1" t="str">
        <f>'MPIO_SFIO Table'!F78</f>
        <v>unused_GMI_AD15</v>
      </c>
      <c r="F75" s="2" t="str">
        <f>'MPIO_SFIO Table'!G78</f>
        <v>GPIO-H.07</v>
      </c>
      <c r="G75" s="1" t="str">
        <f>'MPIO_SFIO Table'!H78</f>
        <v>RSVD1</v>
      </c>
      <c r="H75" s="1" t="str">
        <f>'MPIO_SFIO Table'!I78</f>
        <v>NAND-D15</v>
      </c>
      <c r="I75" s="1" t="str">
        <f>'MPIO_SFIO Table'!J78</f>
        <v>GMI-AD15</v>
      </c>
      <c r="J75" s="1" t="str">
        <f>'MPIO_SFIO Table'!K78</f>
        <v>RSVD2</v>
      </c>
      <c r="K75" s="2" t="str">
        <f>'MPIO_SFIO Table'!L78</f>
        <v>config</v>
      </c>
      <c r="L75" s="1" t="str">
        <f>'MPIO_SFIO Table'!M78</f>
        <v>disabled</v>
      </c>
      <c r="M75" s="1" t="str">
        <f>'MPIO_SFIO Table'!N78</f>
        <v>disabled</v>
      </c>
      <c r="N75" s="1" t="str">
        <f>'MPIO_SFIO Table'!O78</f>
        <v>reset</v>
      </c>
      <c r="O75" s="1" t="str">
        <f>'MPIO_SFIO Table'!P78</f>
        <v/>
      </c>
      <c r="P75" s="2" t="str">
        <f>'MPIO_SFIO Table'!Q78</f>
        <v>VDDIO_GMI</v>
      </c>
      <c r="Q75" s="1" t="str">
        <f>'MPIO_SFIO Table'!R78</f>
        <v>ST</v>
      </c>
      <c r="R75" s="1">
        <f>'MPIO_SFIO Table'!S78</f>
        <v>100</v>
      </c>
      <c r="S75" s="1" t="str">
        <f>'MPIO_SFIO Table'!T78</f>
        <v>atcfg1</v>
      </c>
      <c r="T75" s="2">
        <f>'MPIO_SFIO Table'!U78</f>
        <v>2</v>
      </c>
      <c r="U75" s="1">
        <f>'MPIO_SFIO Table'!V78</f>
        <v>1</v>
      </c>
      <c r="V75" s="1">
        <f>'MPIO_SFIO Table'!W78</f>
        <v>1</v>
      </c>
      <c r="W75" s="1" t="str">
        <f>'MPIO_SFIO Table'!X78</f>
        <v>none</v>
      </c>
      <c r="X75" s="1" t="str">
        <f>'MPIO_SFIO Table'!Y78</f>
        <v>z</v>
      </c>
      <c r="Y75" s="88" t="str">
        <f>'MPIO_SFIO Table'!Z78</f>
        <v>z</v>
      </c>
    </row>
    <row r="76" spans="1:25" x14ac:dyDescent="0.25">
      <c r="A76" s="1" t="str">
        <f>'MPIO_SFIO Table'!A79</f>
        <v>GMI_AD2</v>
      </c>
      <c r="B76" s="1" t="str">
        <f>'MPIO_SFIO Table'!C79</f>
        <v>D3</v>
      </c>
      <c r="C76" s="1" t="str">
        <f>'MPIO_SFIO Table'!D79</f>
        <v>J3</v>
      </c>
      <c r="D76" s="1" t="str">
        <f>'MPIO_SFIO Table'!E79</f>
        <v>J3</v>
      </c>
      <c r="E76" s="1" t="str">
        <f>'MPIO_SFIO Table'!F79</f>
        <v>unused_GMI_AD2</v>
      </c>
      <c r="F76" s="2" t="str">
        <f>'MPIO_SFIO Table'!G79</f>
        <v>GPIO-G.02</v>
      </c>
      <c r="G76" s="1" t="str">
        <f>'MPIO_SFIO Table'!H79</f>
        <v>RSVD1</v>
      </c>
      <c r="H76" s="1" t="str">
        <f>'MPIO_SFIO Table'!I79</f>
        <v>NAND-D2</v>
      </c>
      <c r="I76" s="1" t="str">
        <f>'MPIO_SFIO Table'!J79</f>
        <v>GMI-AD02</v>
      </c>
      <c r="J76" s="1" t="str">
        <f>'MPIO_SFIO Table'!K79</f>
        <v>RSVD2</v>
      </c>
      <c r="K76" s="2" t="str">
        <f>'MPIO_SFIO Table'!L79</f>
        <v>config</v>
      </c>
      <c r="L76" s="1" t="str">
        <f>'MPIO_SFIO Table'!M79</f>
        <v>disabled</v>
      </c>
      <c r="M76" s="1" t="str">
        <f>'MPIO_SFIO Table'!N79</f>
        <v>disabled</v>
      </c>
      <c r="N76" s="1" t="str">
        <f>'MPIO_SFIO Table'!O79</f>
        <v>reset</v>
      </c>
      <c r="O76" s="1" t="str">
        <f>'MPIO_SFIO Table'!P79</f>
        <v/>
      </c>
      <c r="P76" s="2" t="str">
        <f>'MPIO_SFIO Table'!Q79</f>
        <v>VDDIO_GMI</v>
      </c>
      <c r="Q76" s="1" t="str">
        <f>'MPIO_SFIO Table'!R79</f>
        <v>ST</v>
      </c>
      <c r="R76" s="1">
        <f>'MPIO_SFIO Table'!S79</f>
        <v>100</v>
      </c>
      <c r="S76" s="1" t="str">
        <f>'MPIO_SFIO Table'!T79</f>
        <v>atcfg2</v>
      </c>
      <c r="T76" s="2">
        <f>'MPIO_SFIO Table'!U79</f>
        <v>2</v>
      </c>
      <c r="U76" s="1">
        <f>'MPIO_SFIO Table'!V79</f>
        <v>1</v>
      </c>
      <c r="V76" s="1">
        <f>'MPIO_SFIO Table'!W79</f>
        <v>1</v>
      </c>
      <c r="W76" s="1" t="str">
        <f>'MPIO_SFIO Table'!X79</f>
        <v>none</v>
      </c>
      <c r="X76" s="1" t="str">
        <f>'MPIO_SFIO Table'!Y79</f>
        <v>z</v>
      </c>
      <c r="Y76" s="88" t="str">
        <f>'MPIO_SFIO Table'!Z79</f>
        <v>z</v>
      </c>
    </row>
    <row r="77" spans="1:25" x14ac:dyDescent="0.25">
      <c r="A77" s="1" t="str">
        <f>'MPIO_SFIO Table'!A80</f>
        <v>GMI_AD3</v>
      </c>
      <c r="B77" s="1" t="str">
        <f>'MPIO_SFIO Table'!C80</f>
        <v>E4</v>
      </c>
      <c r="C77" s="1" t="str">
        <f>'MPIO_SFIO Table'!D80</f>
        <v>H2</v>
      </c>
      <c r="D77" s="1" t="str">
        <f>'MPIO_SFIO Table'!E80</f>
        <v>H2</v>
      </c>
      <c r="E77" s="1" t="str">
        <f>'MPIO_SFIO Table'!F80</f>
        <v>unused_GMI_AD3</v>
      </c>
      <c r="F77" s="2" t="str">
        <f>'MPIO_SFIO Table'!G80</f>
        <v>GPIO-G.03</v>
      </c>
      <c r="G77" s="1" t="str">
        <f>'MPIO_SFIO Table'!H80</f>
        <v>RSVD1</v>
      </c>
      <c r="H77" s="1" t="str">
        <f>'MPIO_SFIO Table'!I80</f>
        <v>NAND-D3</v>
      </c>
      <c r="I77" s="1" t="str">
        <f>'MPIO_SFIO Table'!J80</f>
        <v>GMI-AD03</v>
      </c>
      <c r="J77" s="1" t="str">
        <f>'MPIO_SFIO Table'!K80</f>
        <v>RSVD2</v>
      </c>
      <c r="K77" s="2" t="str">
        <f>'MPIO_SFIO Table'!L80</f>
        <v>config</v>
      </c>
      <c r="L77" s="1" t="str">
        <f>'MPIO_SFIO Table'!M80</f>
        <v>disabled</v>
      </c>
      <c r="M77" s="1" t="str">
        <f>'MPIO_SFIO Table'!N80</f>
        <v>disabled</v>
      </c>
      <c r="N77" s="1" t="str">
        <f>'MPIO_SFIO Table'!O80</f>
        <v>reset</v>
      </c>
      <c r="O77" s="1" t="str">
        <f>'MPIO_SFIO Table'!P80</f>
        <v/>
      </c>
      <c r="P77" s="2" t="str">
        <f>'MPIO_SFIO Table'!Q80</f>
        <v>VDDIO_GMI</v>
      </c>
      <c r="Q77" s="1" t="str">
        <f>'MPIO_SFIO Table'!R80</f>
        <v>ST</v>
      </c>
      <c r="R77" s="1">
        <f>'MPIO_SFIO Table'!S80</f>
        <v>100</v>
      </c>
      <c r="S77" s="1" t="str">
        <f>'MPIO_SFIO Table'!T80</f>
        <v>atcfg2</v>
      </c>
      <c r="T77" s="2">
        <f>'MPIO_SFIO Table'!U80</f>
        <v>2</v>
      </c>
      <c r="U77" s="1">
        <f>'MPIO_SFIO Table'!V80</f>
        <v>1</v>
      </c>
      <c r="V77" s="1">
        <f>'MPIO_SFIO Table'!W80</f>
        <v>1</v>
      </c>
      <c r="W77" s="1" t="str">
        <f>'MPIO_SFIO Table'!X80</f>
        <v>none</v>
      </c>
      <c r="X77" s="1" t="str">
        <f>'MPIO_SFIO Table'!Y80</f>
        <v>z</v>
      </c>
      <c r="Y77" s="88" t="str">
        <f>'MPIO_SFIO Table'!Z80</f>
        <v>z</v>
      </c>
    </row>
    <row r="78" spans="1:25" x14ac:dyDescent="0.25">
      <c r="A78" s="1" t="str">
        <f>'MPIO_SFIO Table'!A81</f>
        <v>GMI_AD4</v>
      </c>
      <c r="B78" s="1" t="str">
        <f>'MPIO_SFIO Table'!C81</f>
        <v>G2</v>
      </c>
      <c r="C78" s="1" t="str">
        <f>'MPIO_SFIO Table'!D81</f>
        <v>P4</v>
      </c>
      <c r="D78" s="1" t="str">
        <f>'MPIO_SFIO Table'!E81</f>
        <v>P4</v>
      </c>
      <c r="E78" s="1" t="str">
        <f>'MPIO_SFIO Table'!F81</f>
        <v>unused_GMI_AD4</v>
      </c>
      <c r="F78" s="2" t="str">
        <f>'MPIO_SFIO Table'!G81</f>
        <v>GPIO-G.04</v>
      </c>
      <c r="G78" s="1" t="str">
        <f>'MPIO_SFIO Table'!H81</f>
        <v>RSVD1</v>
      </c>
      <c r="H78" s="1" t="str">
        <f>'MPIO_SFIO Table'!I81</f>
        <v>NAND-D4</v>
      </c>
      <c r="I78" s="1" t="str">
        <f>'MPIO_SFIO Table'!J81</f>
        <v>GMI-AD04</v>
      </c>
      <c r="J78" s="1" t="str">
        <f>'MPIO_SFIO Table'!K81</f>
        <v>RSVD2</v>
      </c>
      <c r="K78" s="2" t="str">
        <f>'MPIO_SFIO Table'!L81</f>
        <v>config</v>
      </c>
      <c r="L78" s="1" t="str">
        <f>'MPIO_SFIO Table'!M81</f>
        <v>disabled</v>
      </c>
      <c r="M78" s="1" t="str">
        <f>'MPIO_SFIO Table'!N81</f>
        <v>disabled</v>
      </c>
      <c r="N78" s="1" t="str">
        <f>'MPIO_SFIO Table'!O81</f>
        <v>reset</v>
      </c>
      <c r="O78" s="1" t="str">
        <f>'MPIO_SFIO Table'!P81</f>
        <v/>
      </c>
      <c r="P78" s="2" t="str">
        <f>'MPIO_SFIO Table'!Q81</f>
        <v>VDDIO_GMI</v>
      </c>
      <c r="Q78" s="1" t="str">
        <f>'MPIO_SFIO Table'!R81</f>
        <v>ST</v>
      </c>
      <c r="R78" s="1">
        <f>'MPIO_SFIO Table'!S81</f>
        <v>100</v>
      </c>
      <c r="S78" s="1" t="str">
        <f>'MPIO_SFIO Table'!T81</f>
        <v>atcfg2</v>
      </c>
      <c r="T78" s="2">
        <f>'MPIO_SFIO Table'!U81</f>
        <v>2</v>
      </c>
      <c r="U78" s="1">
        <f>'MPIO_SFIO Table'!V81</f>
        <v>1</v>
      </c>
      <c r="V78" s="1">
        <f>'MPIO_SFIO Table'!W81</f>
        <v>1</v>
      </c>
      <c r="W78" s="1" t="str">
        <f>'MPIO_SFIO Table'!X81</f>
        <v>none</v>
      </c>
      <c r="X78" s="1" t="str">
        <f>'MPIO_SFIO Table'!Y81</f>
        <v>z</v>
      </c>
      <c r="Y78" s="88" t="str">
        <f>'MPIO_SFIO Table'!Z81</f>
        <v>z</v>
      </c>
    </row>
    <row r="79" spans="1:25" x14ac:dyDescent="0.25">
      <c r="A79" s="1" t="str">
        <f>'MPIO_SFIO Table'!A82</f>
        <v>GMI_AD5</v>
      </c>
      <c r="B79" s="1" t="str">
        <f>'MPIO_SFIO Table'!C82</f>
        <v>D2</v>
      </c>
      <c r="C79" s="1" t="str">
        <f>'MPIO_SFIO Table'!D82</f>
        <v>P6</v>
      </c>
      <c r="D79" s="1" t="str">
        <f>'MPIO_SFIO Table'!E82</f>
        <v>P6</v>
      </c>
      <c r="E79" s="1" t="str">
        <f>'MPIO_SFIO Table'!F82</f>
        <v>unused_GMI_AD5</v>
      </c>
      <c r="F79" s="2" t="str">
        <f>'MPIO_SFIO Table'!G82</f>
        <v>GPIO-G.05</v>
      </c>
      <c r="G79" s="1" t="str">
        <f>'MPIO_SFIO Table'!H82</f>
        <v>RSVD1</v>
      </c>
      <c r="H79" s="1" t="str">
        <f>'MPIO_SFIO Table'!I82</f>
        <v>NAND-D5</v>
      </c>
      <c r="I79" s="1" t="str">
        <f>'MPIO_SFIO Table'!J82</f>
        <v>GMI-AD05</v>
      </c>
      <c r="J79" s="1" t="str">
        <f>'MPIO_SFIO Table'!K82</f>
        <v>RSVD2</v>
      </c>
      <c r="K79" s="2" t="str">
        <f>'MPIO_SFIO Table'!L82</f>
        <v>config</v>
      </c>
      <c r="L79" s="1" t="str">
        <f>'MPIO_SFIO Table'!M82</f>
        <v>disabled</v>
      </c>
      <c r="M79" s="1" t="str">
        <f>'MPIO_SFIO Table'!N82</f>
        <v>disabled</v>
      </c>
      <c r="N79" s="1" t="str">
        <f>'MPIO_SFIO Table'!O82</f>
        <v>reset</v>
      </c>
      <c r="O79" s="1" t="str">
        <f>'MPIO_SFIO Table'!P82</f>
        <v/>
      </c>
      <c r="P79" s="2" t="str">
        <f>'MPIO_SFIO Table'!Q82</f>
        <v>VDDIO_GMI</v>
      </c>
      <c r="Q79" s="1" t="str">
        <f>'MPIO_SFIO Table'!R82</f>
        <v>ST</v>
      </c>
      <c r="R79" s="1">
        <f>'MPIO_SFIO Table'!S82</f>
        <v>100</v>
      </c>
      <c r="S79" s="1" t="str">
        <f>'MPIO_SFIO Table'!T82</f>
        <v>atcfg2</v>
      </c>
      <c r="T79" s="2">
        <f>'MPIO_SFIO Table'!U82</f>
        <v>2</v>
      </c>
      <c r="U79" s="1">
        <f>'MPIO_SFIO Table'!V82</f>
        <v>1</v>
      </c>
      <c r="V79" s="1">
        <f>'MPIO_SFIO Table'!W82</f>
        <v>1</v>
      </c>
      <c r="W79" s="1" t="str">
        <f>'MPIO_SFIO Table'!X82</f>
        <v>none</v>
      </c>
      <c r="X79" s="1" t="str">
        <f>'MPIO_SFIO Table'!Y82</f>
        <v>z</v>
      </c>
      <c r="Y79" s="88" t="str">
        <f>'MPIO_SFIO Table'!Z82</f>
        <v>z</v>
      </c>
    </row>
    <row r="80" spans="1:25" x14ac:dyDescent="0.25">
      <c r="A80" s="1" t="str">
        <f>'MPIO_SFIO Table'!A83</f>
        <v>GMI_AD6</v>
      </c>
      <c r="B80" s="1" t="str">
        <f>'MPIO_SFIO Table'!C83</f>
        <v>B3</v>
      </c>
      <c r="C80" s="1" t="str">
        <f>'MPIO_SFIO Table'!D83</f>
        <v>N3</v>
      </c>
      <c r="D80" s="1" t="str">
        <f>'MPIO_SFIO Table'!E83</f>
        <v>N3</v>
      </c>
      <c r="E80" s="1" t="str">
        <f>'MPIO_SFIO Table'!F83</f>
        <v>unused_GMI_AD6</v>
      </c>
      <c r="F80" s="2" t="str">
        <f>'MPIO_SFIO Table'!G83</f>
        <v>GPIO-G.06</v>
      </c>
      <c r="G80" s="1" t="str">
        <f>'MPIO_SFIO Table'!H83</f>
        <v>RSVD1</v>
      </c>
      <c r="H80" s="1" t="str">
        <f>'MPIO_SFIO Table'!I83</f>
        <v>NAND-D6</v>
      </c>
      <c r="I80" s="1" t="str">
        <f>'MPIO_SFIO Table'!J83</f>
        <v>GMI-AD06</v>
      </c>
      <c r="J80" s="1" t="str">
        <f>'MPIO_SFIO Table'!K83</f>
        <v>RSVD2</v>
      </c>
      <c r="K80" s="2" t="str">
        <f>'MPIO_SFIO Table'!L83</f>
        <v>config</v>
      </c>
      <c r="L80" s="1" t="str">
        <f>'MPIO_SFIO Table'!M83</f>
        <v>disabled</v>
      </c>
      <c r="M80" s="1" t="str">
        <f>'MPIO_SFIO Table'!N83</f>
        <v>disabled</v>
      </c>
      <c r="N80" s="1" t="str">
        <f>'MPIO_SFIO Table'!O83</f>
        <v>reset</v>
      </c>
      <c r="O80" s="1" t="str">
        <f>'MPIO_SFIO Table'!P83</f>
        <v/>
      </c>
      <c r="P80" s="2" t="str">
        <f>'MPIO_SFIO Table'!Q83</f>
        <v>VDDIO_GMI</v>
      </c>
      <c r="Q80" s="1" t="str">
        <f>'MPIO_SFIO Table'!R83</f>
        <v>ST</v>
      </c>
      <c r="R80" s="1">
        <f>'MPIO_SFIO Table'!S83</f>
        <v>100</v>
      </c>
      <c r="S80" s="1" t="str">
        <f>'MPIO_SFIO Table'!T83</f>
        <v>atcfg2</v>
      </c>
      <c r="T80" s="2">
        <f>'MPIO_SFIO Table'!U83</f>
        <v>2</v>
      </c>
      <c r="U80" s="1">
        <f>'MPIO_SFIO Table'!V83</f>
        <v>1</v>
      </c>
      <c r="V80" s="1">
        <f>'MPIO_SFIO Table'!W83</f>
        <v>1</v>
      </c>
      <c r="W80" s="1" t="str">
        <f>'MPIO_SFIO Table'!X83</f>
        <v>none</v>
      </c>
      <c r="X80" s="1" t="str">
        <f>'MPIO_SFIO Table'!Y83</f>
        <v>z</v>
      </c>
      <c r="Y80" s="88" t="str">
        <f>'MPIO_SFIO Table'!Z83</f>
        <v>z</v>
      </c>
    </row>
    <row r="81" spans="1:25" x14ac:dyDescent="0.25">
      <c r="A81" s="1" t="str">
        <f>'MPIO_SFIO Table'!A84</f>
        <v>GMI_AD7</v>
      </c>
      <c r="B81" s="1" t="str">
        <f>'MPIO_SFIO Table'!C84</f>
        <v>G1</v>
      </c>
      <c r="C81" s="1" t="str">
        <f>'MPIO_SFIO Table'!D84</f>
        <v>R3</v>
      </c>
      <c r="D81" s="1" t="str">
        <f>'MPIO_SFIO Table'!E84</f>
        <v>R3</v>
      </c>
      <c r="E81" s="1" t="str">
        <f>'MPIO_SFIO Table'!F84</f>
        <v>unused_GMI_AD7</v>
      </c>
      <c r="F81" s="2" t="str">
        <f>'MPIO_SFIO Table'!G84</f>
        <v>GPIO-G.07</v>
      </c>
      <c r="G81" s="1" t="str">
        <f>'MPIO_SFIO Table'!H84</f>
        <v>RSVD1</v>
      </c>
      <c r="H81" s="1" t="str">
        <f>'MPIO_SFIO Table'!I84</f>
        <v>NAND-D7</v>
      </c>
      <c r="I81" s="1" t="str">
        <f>'MPIO_SFIO Table'!J84</f>
        <v>GMI-AD07</v>
      </c>
      <c r="J81" s="1" t="str">
        <f>'MPIO_SFIO Table'!K84</f>
        <v>RSVD2</v>
      </c>
      <c r="K81" s="2" t="str">
        <f>'MPIO_SFIO Table'!L84</f>
        <v>config</v>
      </c>
      <c r="L81" s="1" t="str">
        <f>'MPIO_SFIO Table'!M84</f>
        <v>disabled</v>
      </c>
      <c r="M81" s="1" t="str">
        <f>'MPIO_SFIO Table'!N84</f>
        <v>disabled</v>
      </c>
      <c r="N81" s="1" t="str">
        <f>'MPIO_SFIO Table'!O84</f>
        <v>reset</v>
      </c>
      <c r="O81" s="1" t="str">
        <f>'MPIO_SFIO Table'!P84</f>
        <v/>
      </c>
      <c r="P81" s="2" t="str">
        <f>'MPIO_SFIO Table'!Q84</f>
        <v>VDDIO_GMI</v>
      </c>
      <c r="Q81" s="1" t="str">
        <f>'MPIO_SFIO Table'!R84</f>
        <v>ST</v>
      </c>
      <c r="R81" s="1">
        <f>'MPIO_SFIO Table'!S84</f>
        <v>100</v>
      </c>
      <c r="S81" s="1" t="str">
        <f>'MPIO_SFIO Table'!T84</f>
        <v>atcfg2</v>
      </c>
      <c r="T81" s="2">
        <f>'MPIO_SFIO Table'!U84</f>
        <v>2</v>
      </c>
      <c r="U81" s="1">
        <f>'MPIO_SFIO Table'!V84</f>
        <v>1</v>
      </c>
      <c r="V81" s="1">
        <f>'MPIO_SFIO Table'!W84</f>
        <v>1</v>
      </c>
      <c r="W81" s="1" t="str">
        <f>'MPIO_SFIO Table'!X84</f>
        <v>none</v>
      </c>
      <c r="X81" s="1" t="str">
        <f>'MPIO_SFIO Table'!Y84</f>
        <v>z</v>
      </c>
      <c r="Y81" s="88" t="str">
        <f>'MPIO_SFIO Table'!Z84</f>
        <v>z</v>
      </c>
    </row>
    <row r="82" spans="1:25" x14ac:dyDescent="0.25">
      <c r="A82" s="1" t="str">
        <f>'MPIO_SFIO Table'!A85</f>
        <v>GMI_AD8</v>
      </c>
      <c r="B82" s="1" t="str">
        <f>'MPIO_SFIO Table'!C85</f>
        <v>H6</v>
      </c>
      <c r="C82" s="1" t="str">
        <f>'MPIO_SFIO Table'!D85</f>
        <v>G3</v>
      </c>
      <c r="D82" s="1" t="str">
        <f>'MPIO_SFIO Table'!E85</f>
        <v>G3</v>
      </c>
      <c r="E82" s="1" t="str">
        <f>'MPIO_SFIO Table'!F85</f>
        <v>unused_GMI_AD8</v>
      </c>
      <c r="F82" s="2" t="str">
        <f>'MPIO_SFIO Table'!G85</f>
        <v>GPIO-H.00</v>
      </c>
      <c r="G82" s="1" t="str">
        <f>'MPIO_SFIO Table'!H85</f>
        <v>PWFM-PWM0</v>
      </c>
      <c r="H82" s="1" t="str">
        <f>'MPIO_SFIO Table'!I85</f>
        <v>NAND-D8</v>
      </c>
      <c r="I82" s="1" t="str">
        <f>'MPIO_SFIO Table'!J85</f>
        <v>GMI-AD08</v>
      </c>
      <c r="J82" s="1" t="str">
        <f>'MPIO_SFIO Table'!K85</f>
        <v>RSVD2</v>
      </c>
      <c r="K82" s="2" t="str">
        <f>'MPIO_SFIO Table'!L85</f>
        <v>config</v>
      </c>
      <c r="L82" s="1" t="str">
        <f>'MPIO_SFIO Table'!M85</f>
        <v>disabled</v>
      </c>
      <c r="M82" s="1" t="str">
        <f>'MPIO_SFIO Table'!N85</f>
        <v>disabled</v>
      </c>
      <c r="N82" s="1" t="str">
        <f>'MPIO_SFIO Table'!O85</f>
        <v>reset</v>
      </c>
      <c r="O82" s="1" t="str">
        <f>'MPIO_SFIO Table'!P85</f>
        <v/>
      </c>
      <c r="P82" s="2" t="str">
        <f>'MPIO_SFIO Table'!Q85</f>
        <v>VDDIO_GMI</v>
      </c>
      <c r="Q82" s="1" t="str">
        <f>'MPIO_SFIO Table'!R85</f>
        <v>ST</v>
      </c>
      <c r="R82" s="1">
        <f>'MPIO_SFIO Table'!S85</f>
        <v>100</v>
      </c>
      <c r="S82" s="1" t="str">
        <f>'MPIO_SFIO Table'!T85</f>
        <v>atcfg1</v>
      </c>
      <c r="T82" s="2">
        <f>'MPIO_SFIO Table'!U85</f>
        <v>2</v>
      </c>
      <c r="U82" s="1">
        <f>'MPIO_SFIO Table'!V85</f>
        <v>1</v>
      </c>
      <c r="V82" s="1">
        <f>'MPIO_SFIO Table'!W85</f>
        <v>1</v>
      </c>
      <c r="W82" s="1" t="str">
        <f>'MPIO_SFIO Table'!X85</f>
        <v>down</v>
      </c>
      <c r="X82" s="1" t="str">
        <f>'MPIO_SFIO Table'!Y85</f>
        <v>pd</v>
      </c>
      <c r="Y82" s="88" t="str">
        <f>'MPIO_SFIO Table'!Z85</f>
        <v>pd</v>
      </c>
    </row>
    <row r="83" spans="1:25" x14ac:dyDescent="0.25">
      <c r="A83" s="1" t="str">
        <f>'MPIO_SFIO Table'!A86</f>
        <v>GMI_AD9</v>
      </c>
      <c r="B83" s="1" t="str">
        <f>'MPIO_SFIO Table'!C86</f>
        <v>F4</v>
      </c>
      <c r="C83" s="1" t="str">
        <f>'MPIO_SFIO Table'!D86</f>
        <v>E1</v>
      </c>
      <c r="D83" s="1" t="str">
        <f>'MPIO_SFIO Table'!E86</f>
        <v>E1</v>
      </c>
      <c r="E83" s="1" t="str">
        <f>'MPIO_SFIO Table'!F86</f>
        <v>unused_GMI_AD9</v>
      </c>
      <c r="F83" s="2" t="str">
        <f>'MPIO_SFIO Table'!G86</f>
        <v>GPIO-H.01</v>
      </c>
      <c r="G83" s="1" t="str">
        <f>'MPIO_SFIO Table'!H86</f>
        <v>PWFM-PWM1</v>
      </c>
      <c r="H83" s="1" t="str">
        <f>'MPIO_SFIO Table'!I86</f>
        <v>NAND-D9</v>
      </c>
      <c r="I83" s="1" t="str">
        <f>'MPIO_SFIO Table'!J86</f>
        <v>GMI-AD09</v>
      </c>
      <c r="J83" s="1" t="str">
        <f>'MPIO_SFIO Table'!K86</f>
        <v>RSVD2</v>
      </c>
      <c r="K83" s="2" t="str">
        <f>'MPIO_SFIO Table'!L86</f>
        <v>config</v>
      </c>
      <c r="L83" s="1" t="str">
        <f>'MPIO_SFIO Table'!M86</f>
        <v>disabled</v>
      </c>
      <c r="M83" s="1" t="str">
        <f>'MPIO_SFIO Table'!N86</f>
        <v>disabled</v>
      </c>
      <c r="N83" s="1" t="str">
        <f>'MPIO_SFIO Table'!O86</f>
        <v>reset</v>
      </c>
      <c r="O83" s="1" t="str">
        <f>'MPIO_SFIO Table'!P86</f>
        <v/>
      </c>
      <c r="P83" s="2" t="str">
        <f>'MPIO_SFIO Table'!Q86</f>
        <v>VDDIO_GMI</v>
      </c>
      <c r="Q83" s="1" t="str">
        <f>'MPIO_SFIO Table'!R86</f>
        <v>ST</v>
      </c>
      <c r="R83" s="1">
        <f>'MPIO_SFIO Table'!S86</f>
        <v>100</v>
      </c>
      <c r="S83" s="1" t="str">
        <f>'MPIO_SFIO Table'!T86</f>
        <v>atcfg1</v>
      </c>
      <c r="T83" s="2">
        <f>'MPIO_SFIO Table'!U86</f>
        <v>2</v>
      </c>
      <c r="U83" s="1">
        <f>'MPIO_SFIO Table'!V86</f>
        <v>1</v>
      </c>
      <c r="V83" s="1">
        <f>'MPIO_SFIO Table'!W86</f>
        <v>1</v>
      </c>
      <c r="W83" s="1" t="str">
        <f>'MPIO_SFIO Table'!X86</f>
        <v>down</v>
      </c>
      <c r="X83" s="1" t="str">
        <f>'MPIO_SFIO Table'!Y86</f>
        <v>pd</v>
      </c>
      <c r="Y83" s="88" t="str">
        <f>'MPIO_SFIO Table'!Z86</f>
        <v>pd</v>
      </c>
    </row>
    <row r="84" spans="1:25" x14ac:dyDescent="0.25">
      <c r="A84" s="1" t="str">
        <f>'MPIO_SFIO Table'!A87</f>
        <v>GMI_ADV_N</v>
      </c>
      <c r="B84" s="1" t="str">
        <f>'MPIO_SFIO Table'!C87</f>
        <v>E6</v>
      </c>
      <c r="C84" s="1" t="str">
        <f>'MPIO_SFIO Table'!D87</f>
        <v>M4</v>
      </c>
      <c r="D84" s="1" t="str">
        <f>'MPIO_SFIO Table'!E87</f>
        <v>M4</v>
      </c>
      <c r="E84" s="1" t="str">
        <f>'MPIO_SFIO Table'!F87</f>
        <v>unused_GMI_ADV_N</v>
      </c>
      <c r="F84" s="2" t="str">
        <f>'MPIO_SFIO Table'!G87</f>
        <v>GPIO-K.00</v>
      </c>
      <c r="G84" s="1" t="str">
        <f>'MPIO_SFIO Table'!H87</f>
        <v>RSVD1</v>
      </c>
      <c r="H84" s="1" t="str">
        <f>'MPIO_SFIO Table'!I87</f>
        <v>NAND-ALE</v>
      </c>
      <c r="I84" s="1" t="str">
        <f>'MPIO_SFIO Table'!J87</f>
        <v>GMI-ADV_N</v>
      </c>
      <c r="J84" s="1" t="str">
        <f>'MPIO_SFIO Table'!K87</f>
        <v>RSVD2</v>
      </c>
      <c r="K84" s="2" t="str">
        <f>'MPIO_SFIO Table'!L87</f>
        <v>config</v>
      </c>
      <c r="L84" s="1" t="str">
        <f>'MPIO_SFIO Table'!M87</f>
        <v>disabled</v>
      </c>
      <c r="M84" s="1" t="str">
        <f>'MPIO_SFIO Table'!N87</f>
        <v>disabled</v>
      </c>
      <c r="N84" s="1" t="str">
        <f>'MPIO_SFIO Table'!O87</f>
        <v>reset</v>
      </c>
      <c r="O84" s="1" t="str">
        <f>'MPIO_SFIO Table'!P87</f>
        <v/>
      </c>
      <c r="P84" s="2" t="str">
        <f>'MPIO_SFIO Table'!Q87</f>
        <v>VDDIO_GMI</v>
      </c>
      <c r="Q84" s="1" t="str">
        <f>'MPIO_SFIO Table'!R87</f>
        <v>ST</v>
      </c>
      <c r="R84" s="1">
        <f>'MPIO_SFIO Table'!S87</f>
        <v>100</v>
      </c>
      <c r="S84" s="1" t="str">
        <f>'MPIO_SFIO Table'!T87</f>
        <v>atcfg2</v>
      </c>
      <c r="T84" s="2">
        <f>'MPIO_SFIO Table'!U87</f>
        <v>2</v>
      </c>
      <c r="U84" s="1">
        <f>'MPIO_SFIO Table'!V87</f>
        <v>0</v>
      </c>
      <c r="V84" s="1">
        <f>'MPIO_SFIO Table'!W87</f>
        <v>1</v>
      </c>
      <c r="W84" s="1" t="str">
        <f>'MPIO_SFIO Table'!X87</f>
        <v>none</v>
      </c>
      <c r="X84" s="1" t="s">
        <v>265</v>
      </c>
      <c r="Y84" s="92" t="str">
        <f>'MPIO_SFIO Table'!Z87</f>
        <v>1</v>
      </c>
    </row>
    <row r="85" spans="1:25" x14ac:dyDescent="0.25">
      <c r="A85" s="1" t="str">
        <f>'MPIO_SFIO Table'!A88</f>
        <v>GMI_CLK</v>
      </c>
      <c r="B85" s="1" t="str">
        <f>'MPIO_SFIO Table'!C88</f>
        <v>A4</v>
      </c>
      <c r="C85" s="1" t="str">
        <f>'MPIO_SFIO Table'!D88</f>
        <v>L1</v>
      </c>
      <c r="D85" s="1" t="str">
        <f>'MPIO_SFIO Table'!E88</f>
        <v>L1</v>
      </c>
      <c r="E85" s="1" t="str">
        <f>'MPIO_SFIO Table'!F88</f>
        <v>unused_GMI_CLK</v>
      </c>
      <c r="F85" s="2" t="str">
        <f>'MPIO_SFIO Table'!G88</f>
        <v>GPIO-K.01</v>
      </c>
      <c r="G85" s="1" t="str">
        <f>'MPIO_SFIO Table'!H88</f>
        <v>RSVD1</v>
      </c>
      <c r="H85" s="1" t="str">
        <f>'MPIO_SFIO Table'!I88</f>
        <v>NAND-CLE</v>
      </c>
      <c r="I85" s="1" t="str">
        <f>'MPIO_SFIO Table'!J88</f>
        <v>GMI-CLK</v>
      </c>
      <c r="J85" s="1" t="str">
        <f>'MPIO_SFIO Table'!K88</f>
        <v>RSVD2</v>
      </c>
      <c r="K85" s="2" t="str">
        <f>'MPIO_SFIO Table'!L88</f>
        <v>config</v>
      </c>
      <c r="L85" s="1" t="str">
        <f>'MPIO_SFIO Table'!M88</f>
        <v>disabled</v>
      </c>
      <c r="M85" s="1" t="str">
        <f>'MPIO_SFIO Table'!N88</f>
        <v>disabled</v>
      </c>
      <c r="N85" s="1" t="str">
        <f>'MPIO_SFIO Table'!O88</f>
        <v>reset</v>
      </c>
      <c r="O85" s="1" t="str">
        <f>'MPIO_SFIO Table'!P88</f>
        <v/>
      </c>
      <c r="P85" s="2" t="str">
        <f>'MPIO_SFIO Table'!Q88</f>
        <v>VDDIO_GMI</v>
      </c>
      <c r="Q85" s="1" t="str">
        <f>'MPIO_SFIO Table'!R88</f>
        <v>ST</v>
      </c>
      <c r="R85" s="1">
        <f>'MPIO_SFIO Table'!S88</f>
        <v>100</v>
      </c>
      <c r="S85" s="1" t="str">
        <f>'MPIO_SFIO Table'!T88</f>
        <v>atcfg2</v>
      </c>
      <c r="T85" s="2">
        <f>'MPIO_SFIO Table'!U88</f>
        <v>2</v>
      </c>
      <c r="U85" s="1">
        <f>'MPIO_SFIO Table'!V88</f>
        <v>0</v>
      </c>
      <c r="V85" s="1">
        <f>'MPIO_SFIO Table'!W88</f>
        <v>1</v>
      </c>
      <c r="W85" s="1" t="str">
        <f>'MPIO_SFIO Table'!X88</f>
        <v>none</v>
      </c>
      <c r="X85" s="1" t="s">
        <v>265</v>
      </c>
      <c r="Y85" s="92" t="str">
        <f>'MPIO_SFIO Table'!Z88</f>
        <v>0</v>
      </c>
    </row>
    <row r="86" spans="1:25" x14ac:dyDescent="0.25">
      <c r="A86" s="1" t="str">
        <f>'MPIO_SFIO Table'!A89</f>
        <v>GMI_CS0_N</v>
      </c>
      <c r="B86" s="1" t="str">
        <f>'MPIO_SFIO Table'!C89</f>
        <v>J4</v>
      </c>
      <c r="C86" s="1" t="str">
        <f>'MPIO_SFIO Table'!D89</f>
        <v>R11</v>
      </c>
      <c r="D86" s="1" t="str">
        <f>'MPIO_SFIO Table'!E89</f>
        <v>R11</v>
      </c>
      <c r="E86" s="1" t="str">
        <f>'MPIO_SFIO Table'!F89</f>
        <v>unused_GMI_CS0_N</v>
      </c>
      <c r="F86" s="2" t="str">
        <f>'MPIO_SFIO Table'!G89</f>
        <v>GPIO-J.00</v>
      </c>
      <c r="G86" s="1" t="str">
        <f>'MPIO_SFIO Table'!H89</f>
        <v>RSVD1</v>
      </c>
      <c r="H86" s="1" t="str">
        <f>'MPIO_SFIO Table'!I89</f>
        <v>NAND-CE6_N</v>
      </c>
      <c r="I86" s="1" t="str">
        <f>'MPIO_SFIO Table'!J89</f>
        <v>GMI-CS0_N</v>
      </c>
      <c r="J86" s="1" t="str">
        <f>'MPIO_SFIO Table'!K89</f>
        <v>DTV-PSYNC_ERROR</v>
      </c>
      <c r="K86" s="2" t="str">
        <f>'MPIO_SFIO Table'!L89</f>
        <v>config</v>
      </c>
      <c r="L86" s="1" t="str">
        <f>'MPIO_SFIO Table'!M89</f>
        <v>special</v>
      </c>
      <c r="M86" s="1" t="str">
        <f>'MPIO_SFIO Table'!N89</f>
        <v>config</v>
      </c>
      <c r="N86" s="1" t="str">
        <f>'MPIO_SFIO Table'!O89</f>
        <v>reset</v>
      </c>
      <c r="O86" s="1">
        <f>'MPIO_SFIO Table'!P89</f>
        <v>33</v>
      </c>
      <c r="P86" s="2" t="str">
        <f>'MPIO_SFIO Table'!Q89</f>
        <v>VDDIO_GMI</v>
      </c>
      <c r="Q86" s="1" t="str">
        <f>'MPIO_SFIO Table'!R89</f>
        <v>ST</v>
      </c>
      <c r="R86" s="1">
        <f>'MPIO_SFIO Table'!S89</f>
        <v>100</v>
      </c>
      <c r="S86" s="1" t="str">
        <f>'MPIO_SFIO Table'!T89</f>
        <v>atcfg3</v>
      </c>
      <c r="T86" s="2">
        <f>'MPIO_SFIO Table'!U89</f>
        <v>2</v>
      </c>
      <c r="U86" s="1">
        <f>'MPIO_SFIO Table'!V89</f>
        <v>1</v>
      </c>
      <c r="V86" s="1">
        <f>'MPIO_SFIO Table'!W89</f>
        <v>1</v>
      </c>
      <c r="W86" s="1">
        <v>1</v>
      </c>
      <c r="X86" s="1" t="str">
        <f>'MPIO_SFIO Table'!Y89</f>
        <v>pu</v>
      </c>
      <c r="Y86" s="92" t="str">
        <f>'MPIO_SFIO Table'!Z89</f>
        <v>pu</v>
      </c>
    </row>
    <row r="87" spans="1:25" x14ac:dyDescent="0.25">
      <c r="A87" s="1" t="str">
        <f>'MPIO_SFIO Table'!A90</f>
        <v>GMI_CS1_N</v>
      </c>
      <c r="B87" s="1" t="str">
        <f>'MPIO_SFIO Table'!C90</f>
        <v>K7</v>
      </c>
      <c r="C87" s="1" t="str">
        <f>'MPIO_SFIO Table'!D90</f>
        <v>P10</v>
      </c>
      <c r="D87" s="1" t="str">
        <f>'MPIO_SFIO Table'!E90</f>
        <v>P10</v>
      </c>
      <c r="E87" s="1" t="str">
        <f>'MPIO_SFIO Table'!F90</f>
        <v>unused_GMI_CS1_N</v>
      </c>
      <c r="F87" s="2" t="str">
        <f>'MPIO_SFIO Table'!G90</f>
        <v>GPIO-J.02</v>
      </c>
      <c r="G87" s="1" t="str">
        <f>'MPIO_SFIO Table'!H90</f>
        <v>RSVD1</v>
      </c>
      <c r="H87" s="1" t="str">
        <f>'MPIO_SFIO Table'!I90</f>
        <v>NAND-CE7_N</v>
      </c>
      <c r="I87" s="1" t="str">
        <f>'MPIO_SFIO Table'!J90</f>
        <v>GMI-CS1_N</v>
      </c>
      <c r="J87" s="1" t="str">
        <f>'MPIO_SFIO Table'!K90</f>
        <v>DTV-CLK</v>
      </c>
      <c r="K87" s="2" t="str">
        <f>'MPIO_SFIO Table'!L90</f>
        <v>config</v>
      </c>
      <c r="L87" s="1" t="str">
        <f>'MPIO_SFIO Table'!M90</f>
        <v>special</v>
      </c>
      <c r="M87" s="1" t="str">
        <f>'MPIO_SFIO Table'!N90</f>
        <v>config</v>
      </c>
      <c r="N87" s="1" t="str">
        <f>'MPIO_SFIO Table'!O90</f>
        <v>reset</v>
      </c>
      <c r="O87" s="1">
        <f>'MPIO_SFIO Table'!P90</f>
        <v>15</v>
      </c>
      <c r="P87" s="2" t="str">
        <f>'MPIO_SFIO Table'!Q90</f>
        <v>VDDIO_GMI</v>
      </c>
      <c r="Q87" s="1" t="str">
        <f>'MPIO_SFIO Table'!R90</f>
        <v>ST</v>
      </c>
      <c r="R87" s="1">
        <f>'MPIO_SFIO Table'!S90</f>
        <v>100</v>
      </c>
      <c r="S87" s="1" t="str">
        <f>'MPIO_SFIO Table'!T90</f>
        <v>atcfg4</v>
      </c>
      <c r="T87" s="2">
        <f>'MPIO_SFIO Table'!U90</f>
        <v>2</v>
      </c>
      <c r="U87" s="1">
        <f>'MPIO_SFIO Table'!V90</f>
        <v>1</v>
      </c>
      <c r="V87" s="1">
        <f>'MPIO_SFIO Table'!W90</f>
        <v>1</v>
      </c>
      <c r="W87" s="1" t="str">
        <f>'MPIO_SFIO Table'!X90</f>
        <v>up</v>
      </c>
      <c r="X87" s="1" t="str">
        <f>'MPIO_SFIO Table'!Y90</f>
        <v>pu</v>
      </c>
      <c r="Y87" s="88" t="str">
        <f>'MPIO_SFIO Table'!Z90</f>
        <v>pu</v>
      </c>
    </row>
    <row r="88" spans="1:25" x14ac:dyDescent="0.25">
      <c r="A88" s="1" t="str">
        <f>'MPIO_SFIO Table'!A91</f>
        <v>GMI_CS2_N</v>
      </c>
      <c r="B88" s="1" t="str">
        <f>'MPIO_SFIO Table'!C91</f>
        <v>F6</v>
      </c>
      <c r="C88" s="1" t="str">
        <f>'MPIO_SFIO Table'!D91</f>
        <v>G5</v>
      </c>
      <c r="D88" s="1" t="str">
        <f>'MPIO_SFIO Table'!E91</f>
        <v>G5</v>
      </c>
      <c r="E88" s="1" t="str">
        <f>'MPIO_SFIO Table'!F91</f>
        <v>unused_GMI_CS2_N</v>
      </c>
      <c r="F88" s="2" t="str">
        <f>'MPIO_SFIO Table'!G91</f>
        <v>GPIO-K.03</v>
      </c>
      <c r="G88" s="1" t="str">
        <f>'MPIO_SFIO Table'!H91</f>
        <v>RSVD1</v>
      </c>
      <c r="H88" s="1" t="str">
        <f>'MPIO_SFIO Table'!I91</f>
        <v>NAND-CE0_N</v>
      </c>
      <c r="I88" s="1" t="str">
        <f>'MPIO_SFIO Table'!J91</f>
        <v>GMI-CS2_N</v>
      </c>
      <c r="J88" s="1" t="str">
        <f>'MPIO_SFIO Table'!K91</f>
        <v>RSVD2</v>
      </c>
      <c r="K88" s="2" t="str">
        <f>'MPIO_SFIO Table'!L91</f>
        <v>config</v>
      </c>
      <c r="L88" s="1" t="str">
        <f>'MPIO_SFIO Table'!M91</f>
        <v>disabled</v>
      </c>
      <c r="M88" s="1" t="str">
        <f>'MPIO_SFIO Table'!N91</f>
        <v>disabled</v>
      </c>
      <c r="N88" s="1" t="str">
        <f>'MPIO_SFIO Table'!O91</f>
        <v>reset</v>
      </c>
      <c r="O88" s="1" t="str">
        <f>'MPIO_SFIO Table'!P91</f>
        <v/>
      </c>
      <c r="P88" s="2" t="str">
        <f>'MPIO_SFIO Table'!Q91</f>
        <v>VDDIO_GMI</v>
      </c>
      <c r="Q88" s="1" t="str">
        <f>'MPIO_SFIO Table'!R91</f>
        <v>ST</v>
      </c>
      <c r="R88" s="1">
        <f>'MPIO_SFIO Table'!S91</f>
        <v>100</v>
      </c>
      <c r="S88" s="1" t="str">
        <f>'MPIO_SFIO Table'!T91</f>
        <v>atcfg2</v>
      </c>
      <c r="T88" s="2">
        <f>'MPIO_SFIO Table'!U91</f>
        <v>2</v>
      </c>
      <c r="U88" s="1">
        <f>'MPIO_SFIO Table'!V91</f>
        <v>0</v>
      </c>
      <c r="V88" s="1">
        <f>'MPIO_SFIO Table'!W91</f>
        <v>1</v>
      </c>
      <c r="W88" s="1" t="str">
        <f>'MPIO_SFIO Table'!X91</f>
        <v>up</v>
      </c>
      <c r="X88" s="1">
        <f>'MPIO_SFIO Table'!Y91</f>
        <v>1</v>
      </c>
      <c r="Y88" s="88">
        <f>'MPIO_SFIO Table'!Z91</f>
        <v>1</v>
      </c>
    </row>
    <row r="89" spans="1:25" x14ac:dyDescent="0.25">
      <c r="A89" s="1" t="str">
        <f>'MPIO_SFIO Table'!A92</f>
        <v>GMI_CS3_N</v>
      </c>
      <c r="B89" s="1" t="str">
        <f>'MPIO_SFIO Table'!C92</f>
        <v>A3</v>
      </c>
      <c r="C89" s="1" t="str">
        <f>'MPIO_SFIO Table'!D92</f>
        <v>K8</v>
      </c>
      <c r="D89" s="1" t="str">
        <f>'MPIO_SFIO Table'!E92</f>
        <v>K8</v>
      </c>
      <c r="E89" s="1" t="str">
        <f>'MPIO_SFIO Table'!F92</f>
        <v>unused_GMI_CS3_N</v>
      </c>
      <c r="F89" s="2" t="str">
        <f>'MPIO_SFIO Table'!G92</f>
        <v>GPIO-K.04</v>
      </c>
      <c r="G89" s="1" t="str">
        <f>'MPIO_SFIO Table'!H92</f>
        <v>RSVD1</v>
      </c>
      <c r="H89" s="1" t="str">
        <f>'MPIO_SFIO Table'!I92</f>
        <v>NAND-CE1_N</v>
      </c>
      <c r="I89" s="1" t="str">
        <f>'MPIO_SFIO Table'!J92</f>
        <v>GMI-CS3_N</v>
      </c>
      <c r="J89" s="1" t="str">
        <f>'MPIO_SFIO Table'!K92</f>
        <v>GMI-INT1</v>
      </c>
      <c r="K89" s="2" t="str">
        <f>'MPIO_SFIO Table'!L92</f>
        <v>config</v>
      </c>
      <c r="L89" s="1" t="str">
        <f>'MPIO_SFIO Table'!M92</f>
        <v>disabled</v>
      </c>
      <c r="M89" s="1" t="str">
        <f>'MPIO_SFIO Table'!N92</f>
        <v>disabled</v>
      </c>
      <c r="N89" s="1" t="str">
        <f>'MPIO_SFIO Table'!O92</f>
        <v>reset</v>
      </c>
      <c r="O89" s="1" t="str">
        <f>'MPIO_SFIO Table'!P92</f>
        <v/>
      </c>
      <c r="P89" s="2" t="str">
        <f>'MPIO_SFIO Table'!Q92</f>
        <v>VDDIO_GMI</v>
      </c>
      <c r="Q89" s="1" t="str">
        <f>'MPIO_SFIO Table'!R92</f>
        <v>ST</v>
      </c>
      <c r="R89" s="1">
        <f>'MPIO_SFIO Table'!S92</f>
        <v>100</v>
      </c>
      <c r="S89" s="1" t="str">
        <f>'MPIO_SFIO Table'!T92</f>
        <v>atcfg2</v>
      </c>
      <c r="T89" s="2">
        <f>'MPIO_SFIO Table'!U92</f>
        <v>2</v>
      </c>
      <c r="U89" s="1">
        <f>'MPIO_SFIO Table'!V92</f>
        <v>0</v>
      </c>
      <c r="V89" s="1">
        <f>'MPIO_SFIO Table'!W92</f>
        <v>1</v>
      </c>
      <c r="W89" s="1" t="str">
        <f>'MPIO_SFIO Table'!X92</f>
        <v>up</v>
      </c>
      <c r="X89" s="1">
        <f>'MPIO_SFIO Table'!Y92</f>
        <v>1</v>
      </c>
      <c r="Y89" s="88">
        <f>'MPIO_SFIO Table'!Z92</f>
        <v>1</v>
      </c>
    </row>
    <row r="90" spans="1:25" x14ac:dyDescent="0.25">
      <c r="A90" s="1" t="str">
        <f>'MPIO_SFIO Table'!A93</f>
        <v>GMI_CS4_N</v>
      </c>
      <c r="B90" s="1" t="str">
        <f>'MPIO_SFIO Table'!C93</f>
        <v>D6</v>
      </c>
      <c r="C90" s="1" t="str">
        <f>'MPIO_SFIO Table'!D93</f>
        <v>H4</v>
      </c>
      <c r="D90" s="1" t="str">
        <f>'MPIO_SFIO Table'!E93</f>
        <v>H4</v>
      </c>
      <c r="E90" s="1" t="str">
        <f>'MPIO_SFIO Table'!F93</f>
        <v>unused_GMI_CS4_N</v>
      </c>
      <c r="F90" s="2" t="str">
        <f>'MPIO_SFIO Table'!G93</f>
        <v>GPIO-K.02</v>
      </c>
      <c r="G90" s="1" t="str">
        <f>'MPIO_SFIO Table'!H93</f>
        <v>RSVD1</v>
      </c>
      <c r="H90" s="1" t="str">
        <f>'MPIO_SFIO Table'!I93</f>
        <v>NAND-CE2_N</v>
      </c>
      <c r="I90" s="1" t="str">
        <f>'MPIO_SFIO Table'!J93</f>
        <v>GMI-CS4_N</v>
      </c>
      <c r="J90" s="1" t="str">
        <f>'MPIO_SFIO Table'!K93</f>
        <v>RSVD2</v>
      </c>
      <c r="K90" s="2" t="str">
        <f>'MPIO_SFIO Table'!L93</f>
        <v>config</v>
      </c>
      <c r="L90" s="1" t="str">
        <f>'MPIO_SFIO Table'!M93</f>
        <v>special</v>
      </c>
      <c r="M90" s="1" t="str">
        <f>'MPIO_SFIO Table'!N93</f>
        <v>config</v>
      </c>
      <c r="N90" s="1" t="str">
        <f>'MPIO_SFIO Table'!O93</f>
        <v>reset</v>
      </c>
      <c r="O90" s="1">
        <f>'MPIO_SFIO Table'!P93</f>
        <v>34</v>
      </c>
      <c r="P90" s="2" t="str">
        <f>'MPIO_SFIO Table'!Q93</f>
        <v>VDDIO_GMI</v>
      </c>
      <c r="Q90" s="1" t="str">
        <f>'MPIO_SFIO Table'!R93</f>
        <v>ST</v>
      </c>
      <c r="R90" s="1">
        <f>'MPIO_SFIO Table'!S93</f>
        <v>100</v>
      </c>
      <c r="S90" s="1" t="str">
        <f>'MPIO_SFIO Table'!T93</f>
        <v>atcfg2</v>
      </c>
      <c r="T90" s="2">
        <f>'MPIO_SFIO Table'!U93</f>
        <v>2</v>
      </c>
      <c r="U90" s="1">
        <f>'MPIO_SFIO Table'!V93</f>
        <v>1</v>
      </c>
      <c r="V90" s="1">
        <f>'MPIO_SFIO Table'!W93</f>
        <v>1</v>
      </c>
      <c r="W90" s="1" t="str">
        <f>'MPIO_SFIO Table'!X93</f>
        <v>up</v>
      </c>
      <c r="X90" s="1" t="str">
        <f>'MPIO_SFIO Table'!Y93</f>
        <v>pu</v>
      </c>
      <c r="Y90" s="88" t="str">
        <f>'MPIO_SFIO Table'!Z93</f>
        <v>pu</v>
      </c>
    </row>
    <row r="91" spans="1:25" x14ac:dyDescent="0.25">
      <c r="A91" s="1" t="str">
        <f>'MPIO_SFIO Table'!A94</f>
        <v>GMI_CS6_N</v>
      </c>
      <c r="B91" s="1" t="str">
        <f>'MPIO_SFIO Table'!C94</f>
        <v>J5</v>
      </c>
      <c r="C91" s="1" t="str">
        <f>'MPIO_SFIO Table'!D94</f>
        <v>M10</v>
      </c>
      <c r="D91" s="1" t="str">
        <f>'MPIO_SFIO Table'!E94</f>
        <v>M10</v>
      </c>
      <c r="E91" s="1" t="str">
        <f>'MPIO_SFIO Table'!F94</f>
        <v>unused_GMI_CS6_N</v>
      </c>
      <c r="F91" s="2" t="str">
        <f>'MPIO_SFIO Table'!G94</f>
        <v>GPIO-I.03</v>
      </c>
      <c r="G91" s="1" t="str">
        <f>'MPIO_SFIO Table'!H94</f>
        <v>NAND-BSY1</v>
      </c>
      <c r="H91" s="1" t="str">
        <f>'MPIO_SFIO Table'!I94</f>
        <v>NAND-CE4_N</v>
      </c>
      <c r="I91" s="1" t="str">
        <f>'MPIO_SFIO Table'!J94</f>
        <v>GMI-CS6_N</v>
      </c>
      <c r="J91" s="1" t="str">
        <f>'MPIO_SFIO Table'!K94</f>
        <v>SATA-ACTIVE</v>
      </c>
      <c r="K91" s="2" t="str">
        <f>'MPIO_SFIO Table'!L94</f>
        <v>config</v>
      </c>
      <c r="L91" s="1" t="str">
        <f>'MPIO_SFIO Table'!M94</f>
        <v>disabled</v>
      </c>
      <c r="M91" s="1" t="str">
        <f>'MPIO_SFIO Table'!N94</f>
        <v>disabled</v>
      </c>
      <c r="N91" s="1" t="str">
        <f>'MPIO_SFIO Table'!O94</f>
        <v>reset</v>
      </c>
      <c r="O91" s="1" t="str">
        <f>'MPIO_SFIO Table'!P94</f>
        <v/>
      </c>
      <c r="P91" s="2" t="str">
        <f>'MPIO_SFIO Table'!Q94</f>
        <v>VDDIO_GMI</v>
      </c>
      <c r="Q91" s="1" t="str">
        <f>'MPIO_SFIO Table'!R94</f>
        <v>ST</v>
      </c>
      <c r="R91" s="1">
        <f>'MPIO_SFIO Table'!S94</f>
        <v>100</v>
      </c>
      <c r="S91" s="1" t="str">
        <f>'MPIO_SFIO Table'!T94</f>
        <v>atcfg2</v>
      </c>
      <c r="T91" s="2">
        <f>'MPIO_SFIO Table'!U94</f>
        <v>2</v>
      </c>
      <c r="U91" s="1">
        <f>'MPIO_SFIO Table'!V94</f>
        <v>0</v>
      </c>
      <c r="V91" s="1">
        <f>'MPIO_SFIO Table'!W94</f>
        <v>1</v>
      </c>
      <c r="W91" s="1" t="str">
        <f>'MPIO_SFIO Table'!X94</f>
        <v>up</v>
      </c>
      <c r="X91" s="1" t="str">
        <f>'MPIO_SFIO Table'!Y94</f>
        <v>pu</v>
      </c>
      <c r="Y91" s="88" t="str">
        <f>'MPIO_SFIO Table'!Z94</f>
        <v>pu</v>
      </c>
    </row>
    <row r="92" spans="1:25" x14ac:dyDescent="0.25">
      <c r="A92" s="1" t="str">
        <f>'MPIO_SFIO Table'!A95</f>
        <v>GMI_CS7_N</v>
      </c>
      <c r="B92" s="1" t="str">
        <f>'MPIO_SFIO Table'!C95</f>
        <v>J7</v>
      </c>
      <c r="C92" s="1" t="str">
        <f>'MPIO_SFIO Table'!D95</f>
        <v>L9</v>
      </c>
      <c r="D92" s="1" t="str">
        <f>'MPIO_SFIO Table'!E95</f>
        <v>L9</v>
      </c>
      <c r="E92" s="1" t="str">
        <f>'MPIO_SFIO Table'!F95</f>
        <v>unused_GMI_CS7_N</v>
      </c>
      <c r="F92" s="2" t="str">
        <f>'MPIO_SFIO Table'!G95</f>
        <v>GPIO-I.06</v>
      </c>
      <c r="G92" s="1" t="str">
        <f>'MPIO_SFIO Table'!H95</f>
        <v>NAND-BSY2</v>
      </c>
      <c r="H92" s="1" t="str">
        <f>'MPIO_SFIO Table'!I95</f>
        <v>NAND-CE5_N</v>
      </c>
      <c r="I92" s="1" t="str">
        <f>'MPIO_SFIO Table'!J95</f>
        <v>GMI-CS7_N</v>
      </c>
      <c r="J92" s="1" t="str">
        <f>'MPIO_SFIO Table'!K95</f>
        <v>GMI-RST_N</v>
      </c>
      <c r="K92" s="2" t="str">
        <f>'MPIO_SFIO Table'!L95</f>
        <v>config</v>
      </c>
      <c r="L92" s="1" t="str">
        <f>'MPIO_SFIO Table'!M95</f>
        <v>special</v>
      </c>
      <c r="M92" s="1" t="str">
        <f>'MPIO_SFIO Table'!N95</f>
        <v>config</v>
      </c>
      <c r="N92" s="1" t="str">
        <f>'MPIO_SFIO Table'!O95</f>
        <v>reset</v>
      </c>
      <c r="O92" s="1">
        <f>'MPIO_SFIO Table'!P95</f>
        <v>35</v>
      </c>
      <c r="P92" s="2" t="str">
        <f>'MPIO_SFIO Table'!Q95</f>
        <v>VDDIO_GMI</v>
      </c>
      <c r="Q92" s="1" t="str">
        <f>'MPIO_SFIO Table'!R95</f>
        <v>ST</v>
      </c>
      <c r="R92" s="1">
        <f>'MPIO_SFIO Table'!S95</f>
        <v>100</v>
      </c>
      <c r="S92" s="1" t="str">
        <f>'MPIO_SFIO Table'!T95</f>
        <v>atcfg1</v>
      </c>
      <c r="T92" s="2">
        <f>'MPIO_SFIO Table'!U95</f>
        <v>2</v>
      </c>
      <c r="U92" s="1">
        <f>'MPIO_SFIO Table'!V95</f>
        <v>1</v>
      </c>
      <c r="V92" s="1">
        <f>'MPIO_SFIO Table'!W95</f>
        <v>1</v>
      </c>
      <c r="W92" s="1" t="str">
        <f>'MPIO_SFIO Table'!X95</f>
        <v>up</v>
      </c>
      <c r="X92" s="1" t="str">
        <f>'MPIO_SFIO Table'!Y95</f>
        <v>pu</v>
      </c>
      <c r="Y92" s="88" t="str">
        <f>'MPIO_SFIO Table'!Z95</f>
        <v>pu</v>
      </c>
    </row>
    <row r="93" spans="1:25" x14ac:dyDescent="0.25">
      <c r="A93" s="1" t="str">
        <f>'MPIO_SFIO Table'!A96</f>
        <v>GMI_DQS</v>
      </c>
      <c r="B93" s="1" t="str">
        <f>'MPIO_SFIO Table'!C96</f>
        <v>G3</v>
      </c>
      <c r="C93" s="1" t="str">
        <f>'MPIO_SFIO Table'!D96</f>
        <v>L7</v>
      </c>
      <c r="D93" s="1" t="str">
        <f>'MPIO_SFIO Table'!E96</f>
        <v>L7</v>
      </c>
      <c r="E93" s="1" t="str">
        <f>'MPIO_SFIO Table'!F96</f>
        <v>unused_GMI_DQS</v>
      </c>
      <c r="F93" s="2" t="str">
        <f>'MPIO_SFIO Table'!G96</f>
        <v>GPIO-I.02</v>
      </c>
      <c r="G93" s="1" t="str">
        <f>'MPIO_SFIO Table'!H96</f>
        <v>RSVD1</v>
      </c>
      <c r="H93" s="1" t="str">
        <f>'MPIO_SFIO Table'!I96</f>
        <v>NAND-DQS</v>
      </c>
      <c r="I93" s="1" t="str">
        <f>'MPIO_SFIO Table'!J96</f>
        <v>GMI-WAIT</v>
      </c>
      <c r="J93" s="1" t="str">
        <f>'MPIO_SFIO Table'!K96</f>
        <v>RSVD3</v>
      </c>
      <c r="K93" s="2" t="str">
        <f>'MPIO_SFIO Table'!L96</f>
        <v>config</v>
      </c>
      <c r="L93" s="1" t="str">
        <f>'MPIO_SFIO Table'!M96</f>
        <v>disabled</v>
      </c>
      <c r="M93" s="1" t="str">
        <f>'MPIO_SFIO Table'!N96</f>
        <v>disabled</v>
      </c>
      <c r="N93" s="1" t="str">
        <f>'MPIO_SFIO Table'!O96</f>
        <v>reset</v>
      </c>
      <c r="O93" s="1" t="str">
        <f>'MPIO_SFIO Table'!P96</f>
        <v/>
      </c>
      <c r="P93" s="2" t="str">
        <f>'MPIO_SFIO Table'!Q96</f>
        <v>VDDIO_GMI</v>
      </c>
      <c r="Q93" s="1" t="str">
        <f>'MPIO_SFIO Table'!R96</f>
        <v>ST</v>
      </c>
      <c r="R93" s="1">
        <f>'MPIO_SFIO Table'!S96</f>
        <v>100</v>
      </c>
      <c r="S93" s="1" t="str">
        <f>'MPIO_SFIO Table'!T96</f>
        <v>atcfg2</v>
      </c>
      <c r="T93" s="2">
        <f>'MPIO_SFIO Table'!U96</f>
        <v>2</v>
      </c>
      <c r="U93" s="1">
        <f>'MPIO_SFIO Table'!V96</f>
        <v>0</v>
      </c>
      <c r="V93" s="1">
        <f>'MPIO_SFIO Table'!W96</f>
        <v>1</v>
      </c>
      <c r="W93" s="1" t="str">
        <f>'MPIO_SFIO Table'!X96</f>
        <v>none</v>
      </c>
      <c r="X93" s="1" t="str">
        <f>'MPIO_SFIO Table'!Y96</f>
        <v>z</v>
      </c>
      <c r="Y93" s="88" t="str">
        <f>'MPIO_SFIO Table'!Z96</f>
        <v>z</v>
      </c>
    </row>
    <row r="94" spans="1:25" x14ac:dyDescent="0.25">
      <c r="A94" s="1" t="str">
        <f>'MPIO_SFIO Table'!A97</f>
        <v>GMI_IORDY</v>
      </c>
      <c r="B94" s="1" t="str">
        <f>'MPIO_SFIO Table'!C97</f>
        <v>C3</v>
      </c>
      <c r="C94" s="1" t="str">
        <f>'MPIO_SFIO Table'!D97</f>
        <v>R7</v>
      </c>
      <c r="D94" s="1" t="str">
        <f>'MPIO_SFIO Table'!E97</f>
        <v>R7</v>
      </c>
      <c r="E94" s="1" t="str">
        <f>'MPIO_SFIO Table'!F97</f>
        <v>unused_GMI_IORDY</v>
      </c>
      <c r="F94" s="2" t="str">
        <f>'MPIO_SFIO Table'!G97</f>
        <v>GPIO-I.05</v>
      </c>
      <c r="G94" s="1" t="str">
        <f>'MPIO_SFIO Table'!H97</f>
        <v>RSVD1</v>
      </c>
      <c r="H94" s="1" t="str">
        <f>'MPIO_SFIO Table'!I97</f>
        <v>NAND-CE3_N</v>
      </c>
      <c r="I94" s="1" t="str">
        <f>'MPIO_SFIO Table'!J97</f>
        <v>GMI-IORDY</v>
      </c>
      <c r="J94" s="1" t="str">
        <f>'MPIO_SFIO Table'!K97</f>
        <v>RSVD2</v>
      </c>
      <c r="K94" s="2" t="str">
        <f>'MPIO_SFIO Table'!L97</f>
        <v>config</v>
      </c>
      <c r="L94" s="1" t="str">
        <f>'MPIO_SFIO Table'!M97</f>
        <v>special</v>
      </c>
      <c r="M94" s="1" t="str">
        <f>'MPIO_SFIO Table'!N97</f>
        <v>config</v>
      </c>
      <c r="N94" s="1" t="str">
        <f>'MPIO_SFIO Table'!O97</f>
        <v>reset</v>
      </c>
      <c r="O94" s="1">
        <f>'MPIO_SFIO Table'!P97</f>
        <v>23</v>
      </c>
      <c r="P94" s="2" t="str">
        <f>'MPIO_SFIO Table'!Q97</f>
        <v>VDDIO_GMI</v>
      </c>
      <c r="Q94" s="1" t="str">
        <f>'MPIO_SFIO Table'!R97</f>
        <v>ST</v>
      </c>
      <c r="R94" s="1">
        <f>'MPIO_SFIO Table'!S97</f>
        <v>100</v>
      </c>
      <c r="S94" s="1" t="str">
        <f>'MPIO_SFIO Table'!T97</f>
        <v>atcfg1</v>
      </c>
      <c r="T94" s="2">
        <f>'MPIO_SFIO Table'!U97</f>
        <v>2</v>
      </c>
      <c r="U94" s="1">
        <f>'MPIO_SFIO Table'!V97</f>
        <v>0</v>
      </c>
      <c r="V94" s="1">
        <f>'MPIO_SFIO Table'!W97</f>
        <v>1</v>
      </c>
      <c r="W94" s="1" t="str">
        <f>'MPIO_SFIO Table'!X97</f>
        <v>up</v>
      </c>
      <c r="X94" s="1" t="str">
        <f>'MPIO_SFIO Table'!Y97</f>
        <v>pu</v>
      </c>
      <c r="Y94" s="88" t="str">
        <f>'MPIO_SFIO Table'!Z97</f>
        <v>pu</v>
      </c>
    </row>
    <row r="95" spans="1:25" x14ac:dyDescent="0.25">
      <c r="A95" s="1" t="str">
        <f>'MPIO_SFIO Table'!A98</f>
        <v>GMI_OE_N</v>
      </c>
      <c r="B95" s="1" t="str">
        <f>'MPIO_SFIO Table'!C98</f>
        <v>F2</v>
      </c>
      <c r="C95" s="1" t="str">
        <f>'MPIO_SFIO Table'!D98</f>
        <v>M2</v>
      </c>
      <c r="D95" s="1" t="str">
        <f>'MPIO_SFIO Table'!E98</f>
        <v>M2</v>
      </c>
      <c r="E95" s="1" t="str">
        <f>'MPIO_SFIO Table'!F98</f>
        <v>unused_GMI_OE_N</v>
      </c>
      <c r="F95" s="2" t="str">
        <f>'MPIO_SFIO Table'!G98</f>
        <v>GPIO-I.01</v>
      </c>
      <c r="G95" s="1" t="str">
        <f>'MPIO_SFIO Table'!H98</f>
        <v>RSVD1</v>
      </c>
      <c r="H95" s="1" t="str">
        <f>'MPIO_SFIO Table'!I98</f>
        <v>NAND-RE_N</v>
      </c>
      <c r="I95" s="1" t="str">
        <f>'MPIO_SFIO Table'!J98</f>
        <v>GMI-OE_N</v>
      </c>
      <c r="J95" s="1" t="str">
        <f>'MPIO_SFIO Table'!K98</f>
        <v>RSVD3</v>
      </c>
      <c r="K95" s="2" t="str">
        <f>'MPIO_SFIO Table'!L98</f>
        <v>config</v>
      </c>
      <c r="L95" s="1" t="str">
        <f>'MPIO_SFIO Table'!M98</f>
        <v>disabled</v>
      </c>
      <c r="M95" s="1" t="str">
        <f>'MPIO_SFIO Table'!N98</f>
        <v>disabled</v>
      </c>
      <c r="N95" s="1" t="str">
        <f>'MPIO_SFIO Table'!O98</f>
        <v>reset</v>
      </c>
      <c r="O95" s="1" t="str">
        <f>'MPIO_SFIO Table'!P98</f>
        <v/>
      </c>
      <c r="P95" s="2" t="str">
        <f>'MPIO_SFIO Table'!Q98</f>
        <v>VDDIO_GMI</v>
      </c>
      <c r="Q95" s="1" t="str">
        <f>'MPIO_SFIO Table'!R98</f>
        <v>ST</v>
      </c>
      <c r="R95" s="1">
        <f>'MPIO_SFIO Table'!S98</f>
        <v>100</v>
      </c>
      <c r="S95" s="1" t="str">
        <f>'MPIO_SFIO Table'!T98</f>
        <v>atcfg2</v>
      </c>
      <c r="T95" s="2">
        <f>'MPIO_SFIO Table'!U98</f>
        <v>2</v>
      </c>
      <c r="U95" s="1">
        <f>'MPIO_SFIO Table'!V98</f>
        <v>0</v>
      </c>
      <c r="V95" s="1">
        <f>'MPIO_SFIO Table'!W98</f>
        <v>1</v>
      </c>
      <c r="W95" s="1" t="str">
        <f>'MPIO_SFIO Table'!X98</f>
        <v>none</v>
      </c>
      <c r="X95" s="1" t="s">
        <v>265</v>
      </c>
      <c r="Y95" s="92" t="str">
        <f>'MPIO_SFIO Table'!Z98</f>
        <v>1</v>
      </c>
    </row>
    <row r="96" spans="1:25" x14ac:dyDescent="0.25">
      <c r="A96" s="1" t="str">
        <f>'MPIO_SFIO Table'!A99</f>
        <v>GMI_RST_N</v>
      </c>
      <c r="B96" s="1" t="str">
        <f>'MPIO_SFIO Table'!C99</f>
        <v>D4</v>
      </c>
      <c r="C96" s="1" t="str">
        <f>'MPIO_SFIO Table'!D99</f>
        <v>L5</v>
      </c>
      <c r="D96" s="1" t="str">
        <f>'MPIO_SFIO Table'!E99</f>
        <v>L5</v>
      </c>
      <c r="E96" s="1" t="str">
        <f>'MPIO_SFIO Table'!F99</f>
        <v>unused_GMI_RST_N</v>
      </c>
      <c r="F96" s="2" t="str">
        <f>'MPIO_SFIO Table'!G99</f>
        <v>GPIO-I.04</v>
      </c>
      <c r="G96" s="1" t="str">
        <f>'MPIO_SFIO Table'!H99</f>
        <v>NAND-BSY3</v>
      </c>
      <c r="H96" s="1" t="str">
        <f>'MPIO_SFIO Table'!I99</f>
        <v>NAND-CLE</v>
      </c>
      <c r="I96" s="1" t="str">
        <f>'MPIO_SFIO Table'!J99</f>
        <v>GMI-RST_N</v>
      </c>
      <c r="J96" s="1" t="str">
        <f>'MPIO_SFIO Table'!K99</f>
        <v>RSVD3</v>
      </c>
      <c r="K96" s="2" t="str">
        <f>'MPIO_SFIO Table'!L99</f>
        <v>config</v>
      </c>
      <c r="L96" s="1" t="str">
        <f>'MPIO_SFIO Table'!M99</f>
        <v>disabled</v>
      </c>
      <c r="M96" s="1" t="str">
        <f>'MPIO_SFIO Table'!N99</f>
        <v>disabled</v>
      </c>
      <c r="N96" s="1" t="str">
        <f>'MPIO_SFIO Table'!O99</f>
        <v>reset</v>
      </c>
      <c r="O96" s="1" t="str">
        <f>'MPIO_SFIO Table'!P99</f>
        <v/>
      </c>
      <c r="P96" s="2" t="str">
        <f>'MPIO_SFIO Table'!Q99</f>
        <v>VDDIO_GMI</v>
      </c>
      <c r="Q96" s="1" t="str">
        <f>'MPIO_SFIO Table'!R99</f>
        <v>ST</v>
      </c>
      <c r="R96" s="1">
        <f>'MPIO_SFIO Table'!S99</f>
        <v>100</v>
      </c>
      <c r="S96" s="1" t="str">
        <f>'MPIO_SFIO Table'!T99</f>
        <v>atcfg2</v>
      </c>
      <c r="T96" s="2">
        <f>'MPIO_SFIO Table'!U99</f>
        <v>2</v>
      </c>
      <c r="U96" s="1">
        <f>'MPIO_SFIO Table'!V99</f>
        <v>0</v>
      </c>
      <c r="V96" s="1">
        <f>'MPIO_SFIO Table'!W99</f>
        <v>1</v>
      </c>
      <c r="W96" s="1" t="str">
        <f>'MPIO_SFIO Table'!X99</f>
        <v>up</v>
      </c>
      <c r="X96" s="1" t="str">
        <f>'MPIO_SFIO Table'!Y99</f>
        <v>0</v>
      </c>
      <c r="Y96" s="88" t="str">
        <f>'MPIO_SFIO Table'!Z99</f>
        <v>0</v>
      </c>
    </row>
    <row r="97" spans="1:25" x14ac:dyDescent="0.25">
      <c r="A97" s="1" t="str">
        <f>'MPIO_SFIO Table'!A100</f>
        <v>GMI_WAIT</v>
      </c>
      <c r="B97" s="1" t="str">
        <f>'MPIO_SFIO Table'!C100</f>
        <v>B4</v>
      </c>
      <c r="C97" s="1" t="str">
        <f>'MPIO_SFIO Table'!D100</f>
        <v>N5</v>
      </c>
      <c r="D97" s="1" t="str">
        <f>'MPIO_SFIO Table'!E100</f>
        <v>N5</v>
      </c>
      <c r="E97" s="1" t="str">
        <f>'MPIO_SFIO Table'!F100</f>
        <v>unused_GMI_WAIT</v>
      </c>
      <c r="F97" s="2" t="str">
        <f>'MPIO_SFIO Table'!G100</f>
        <v>GPIO-I.07</v>
      </c>
      <c r="G97" s="1" t="str">
        <f>'MPIO_SFIO Table'!H100</f>
        <v>RSVD1</v>
      </c>
      <c r="H97" s="1" t="str">
        <f>'MPIO_SFIO Table'!I100</f>
        <v>NAND-BSY0</v>
      </c>
      <c r="I97" s="1" t="str">
        <f>'MPIO_SFIO Table'!J100</f>
        <v>GMI-WAIT</v>
      </c>
      <c r="J97" s="1" t="str">
        <f>'MPIO_SFIO Table'!K100</f>
        <v>RSVD2</v>
      </c>
      <c r="K97" s="2" t="str">
        <f>'MPIO_SFIO Table'!L100</f>
        <v>config</v>
      </c>
      <c r="L97" s="1" t="str">
        <f>'MPIO_SFIO Table'!M100</f>
        <v>disabled</v>
      </c>
      <c r="M97" s="1" t="str">
        <f>'MPIO_SFIO Table'!N100</f>
        <v>disabled</v>
      </c>
      <c r="N97" s="1" t="str">
        <f>'MPIO_SFIO Table'!O100</f>
        <v>reset</v>
      </c>
      <c r="O97" s="1" t="str">
        <f>'MPIO_SFIO Table'!P100</f>
        <v/>
      </c>
      <c r="P97" s="2" t="str">
        <f>'MPIO_SFIO Table'!Q100</f>
        <v>VDDIO_GMI</v>
      </c>
      <c r="Q97" s="1" t="str">
        <f>'MPIO_SFIO Table'!R100</f>
        <v>ST</v>
      </c>
      <c r="R97" s="1">
        <f>'MPIO_SFIO Table'!S100</f>
        <v>100</v>
      </c>
      <c r="S97" s="1" t="str">
        <f>'MPIO_SFIO Table'!T100</f>
        <v>atcfg2</v>
      </c>
      <c r="T97" s="2">
        <f>'MPIO_SFIO Table'!U100</f>
        <v>2</v>
      </c>
      <c r="U97" s="1">
        <f>'MPIO_SFIO Table'!V100</f>
        <v>0</v>
      </c>
      <c r="V97" s="1">
        <f>'MPIO_SFIO Table'!W100</f>
        <v>1</v>
      </c>
      <c r="W97" s="1" t="str">
        <f>'MPIO_SFIO Table'!X100</f>
        <v>up</v>
      </c>
      <c r="X97" s="1" t="str">
        <f>'MPIO_SFIO Table'!Y100</f>
        <v>pu</v>
      </c>
      <c r="Y97" s="88" t="str">
        <f>'MPIO_SFIO Table'!Z100</f>
        <v>pu</v>
      </c>
    </row>
    <row r="98" spans="1:25" x14ac:dyDescent="0.25">
      <c r="A98" s="1" t="str">
        <f>'MPIO_SFIO Table'!A101</f>
        <v>GMI_WP_N</v>
      </c>
      <c r="B98" s="1" t="str">
        <f>'MPIO_SFIO Table'!C101</f>
        <v>D5</v>
      </c>
      <c r="C98" s="1" t="str">
        <f>'MPIO_SFIO Table'!D101</f>
        <v>L3</v>
      </c>
      <c r="D98" s="1" t="str">
        <f>'MPIO_SFIO Table'!E101</f>
        <v>L3</v>
      </c>
      <c r="E98" s="1" t="str">
        <f>'MPIO_SFIO Table'!F101</f>
        <v>unused_GMI_WP_N</v>
      </c>
      <c r="F98" s="2" t="str">
        <f>'MPIO_SFIO Table'!G101</f>
        <v>GPIO-C.07</v>
      </c>
      <c r="G98" s="1" t="str">
        <f>'MPIO_SFIO Table'!H101</f>
        <v>RSVD1</v>
      </c>
      <c r="H98" s="1" t="str">
        <f>'MPIO_SFIO Table'!I101</f>
        <v>NAND-CE5_N</v>
      </c>
      <c r="I98" s="1" t="str">
        <f>'MPIO_SFIO Table'!J101</f>
        <v>GMI-WP_N</v>
      </c>
      <c r="J98" s="1" t="str">
        <f>'MPIO_SFIO Table'!K101</f>
        <v>GMI-INT1</v>
      </c>
      <c r="K98" s="2" t="str">
        <f>'MPIO_SFIO Table'!L101</f>
        <v>config</v>
      </c>
      <c r="L98" s="1" t="str">
        <f>'MPIO_SFIO Table'!M101</f>
        <v>special</v>
      </c>
      <c r="M98" s="1" t="str">
        <f>'MPIO_SFIO Table'!N101</f>
        <v>config</v>
      </c>
      <c r="N98" s="1" t="str">
        <f>'MPIO_SFIO Table'!O101</f>
        <v>reset</v>
      </c>
      <c r="O98" s="1">
        <f>'MPIO_SFIO Table'!P101</f>
        <v>8</v>
      </c>
      <c r="P98" s="2" t="str">
        <f>'MPIO_SFIO Table'!Q101</f>
        <v>VDDIO_GMI</v>
      </c>
      <c r="Q98" s="1" t="str">
        <f>'MPIO_SFIO Table'!R101</f>
        <v>ST</v>
      </c>
      <c r="R98" s="1">
        <f>'MPIO_SFIO Table'!S101</f>
        <v>100</v>
      </c>
      <c r="S98" s="1" t="str">
        <f>'MPIO_SFIO Table'!T101</f>
        <v>atcfg3</v>
      </c>
      <c r="T98" s="2">
        <f>'MPIO_SFIO Table'!U101</f>
        <v>2</v>
      </c>
      <c r="U98" s="1">
        <f>'MPIO_SFIO Table'!V101</f>
        <v>1</v>
      </c>
      <c r="V98" s="1">
        <f>'MPIO_SFIO Table'!W101</f>
        <v>1</v>
      </c>
      <c r="W98" s="1" t="str">
        <f>'MPIO_SFIO Table'!X101</f>
        <v>up</v>
      </c>
      <c r="X98" s="1" t="str">
        <f>'MPIO_SFIO Table'!Y101</f>
        <v>pu</v>
      </c>
      <c r="Y98" s="88" t="str">
        <f>'MPIO_SFIO Table'!Z101</f>
        <v>pu</v>
      </c>
    </row>
    <row r="99" spans="1:25" x14ac:dyDescent="0.25">
      <c r="A99" s="1" t="str">
        <f>'MPIO_SFIO Table'!A102</f>
        <v>GMI_WR_N</v>
      </c>
      <c r="B99" s="1" t="str">
        <f>'MPIO_SFIO Table'!C102</f>
        <v>G4</v>
      </c>
      <c r="C99" s="1" t="str">
        <f>'MPIO_SFIO Table'!D102</f>
        <v>M6</v>
      </c>
      <c r="D99" s="1" t="str">
        <f>'MPIO_SFIO Table'!E102</f>
        <v>M6</v>
      </c>
      <c r="E99" s="1" t="str">
        <f>'MPIO_SFIO Table'!F102</f>
        <v>unused_GMI_WR_N</v>
      </c>
      <c r="F99" s="2" t="str">
        <f>'MPIO_SFIO Table'!G102</f>
        <v>GPIO-I.00</v>
      </c>
      <c r="G99" s="1" t="str">
        <f>'MPIO_SFIO Table'!H102</f>
        <v>RSVD1</v>
      </c>
      <c r="H99" s="1" t="str">
        <f>'MPIO_SFIO Table'!I102</f>
        <v>NAND-WE_N</v>
      </c>
      <c r="I99" s="1" t="str">
        <f>'MPIO_SFIO Table'!J102</f>
        <v>GMI-WR_N</v>
      </c>
      <c r="J99" s="1" t="str">
        <f>'MPIO_SFIO Table'!K102</f>
        <v>RSVD3</v>
      </c>
      <c r="K99" s="2" t="str">
        <f>'MPIO_SFIO Table'!L102</f>
        <v>config</v>
      </c>
      <c r="L99" s="1" t="str">
        <f>'MPIO_SFIO Table'!M102</f>
        <v>disabled</v>
      </c>
      <c r="M99" s="1" t="str">
        <f>'MPIO_SFIO Table'!N102</f>
        <v>disabled</v>
      </c>
      <c r="N99" s="1" t="str">
        <f>'MPIO_SFIO Table'!O102</f>
        <v>reset</v>
      </c>
      <c r="O99" s="1" t="str">
        <f>'MPIO_SFIO Table'!P102</f>
        <v/>
      </c>
      <c r="P99" s="2" t="str">
        <f>'MPIO_SFIO Table'!Q102</f>
        <v>VDDIO_GMI</v>
      </c>
      <c r="Q99" s="1" t="str">
        <f>'MPIO_SFIO Table'!R102</f>
        <v>ST</v>
      </c>
      <c r="R99" s="1">
        <f>'MPIO_SFIO Table'!S102</f>
        <v>100</v>
      </c>
      <c r="S99" s="1" t="str">
        <f>'MPIO_SFIO Table'!T102</f>
        <v>atcfg2</v>
      </c>
      <c r="T99" s="2">
        <f>'MPIO_SFIO Table'!U102</f>
        <v>2</v>
      </c>
      <c r="U99" s="1">
        <f>'MPIO_SFIO Table'!V102</f>
        <v>0</v>
      </c>
      <c r="V99" s="1">
        <f>'MPIO_SFIO Table'!W102</f>
        <v>1</v>
      </c>
      <c r="W99" s="1" t="str">
        <f>'MPIO_SFIO Table'!X102</f>
        <v>none</v>
      </c>
      <c r="X99" s="1" t="s">
        <v>265</v>
      </c>
      <c r="Y99" s="92" t="str">
        <f>'MPIO_SFIO Table'!Z102</f>
        <v>1</v>
      </c>
    </row>
    <row r="100" spans="1:25" ht="15.75" x14ac:dyDescent="0.25">
      <c r="A100" s="32" t="str">
        <f>'MPIO_SFIO Table'!A103</f>
        <v>LCD</v>
      </c>
      <c r="B100" s="32"/>
      <c r="C100" s="32"/>
      <c r="D100" s="32"/>
      <c r="E100" s="32"/>
      <c r="F100" s="33"/>
      <c r="G100" s="32"/>
      <c r="H100" s="32"/>
      <c r="I100" s="32"/>
      <c r="J100" s="32"/>
      <c r="K100" s="33"/>
      <c r="L100" s="32"/>
      <c r="M100" s="32"/>
      <c r="N100" s="32"/>
      <c r="O100" s="32"/>
      <c r="P100" s="33"/>
      <c r="Q100" s="32"/>
      <c r="R100" s="32"/>
      <c r="S100" s="32"/>
      <c r="T100" s="34"/>
      <c r="U100" s="35"/>
      <c r="V100" s="35"/>
      <c r="W100" s="35"/>
      <c r="X100" s="35"/>
      <c r="Y100" s="87"/>
    </row>
    <row r="101" spans="1:25" x14ac:dyDescent="0.25">
      <c r="A101" s="1" t="str">
        <f>'MPIO_SFIO Table'!A104</f>
        <v>CRT_HSYNC</v>
      </c>
      <c r="B101" s="1" t="str">
        <f>'MPIO_SFIO Table'!C104</f>
        <v>AD13</v>
      </c>
      <c r="C101" s="1" t="str">
        <f>'MPIO_SFIO Table'!D104</f>
        <v>AK18</v>
      </c>
      <c r="D101" s="1" t="str">
        <f>'MPIO_SFIO Table'!E104</f>
        <v>AK18</v>
      </c>
      <c r="E101" s="1" t="str">
        <f>'MPIO_SFIO Table'!F104</f>
        <v>unused_CRT_HSYNC</v>
      </c>
      <c r="F101" s="2" t="str">
        <f>'MPIO_SFIO Table'!G104</f>
        <v>GPIO-V.06</v>
      </c>
      <c r="G101" s="1" t="str">
        <f>'MPIO_SFIO Table'!H104</f>
        <v>TVO-HSYNC</v>
      </c>
      <c r="H101" s="1" t="str">
        <f>'MPIO_SFIO Table'!I104</f>
        <v>RSVD1</v>
      </c>
      <c r="I101" s="1" t="str">
        <f>'MPIO_SFIO Table'!J104</f>
        <v>RSVD2</v>
      </c>
      <c r="J101" s="1" t="str">
        <f>'MPIO_SFIO Table'!K104</f>
        <v>RSVD3</v>
      </c>
      <c r="K101" s="2" t="str">
        <f>'MPIO_SFIO Table'!L104</f>
        <v>config</v>
      </c>
      <c r="L101" s="1" t="str">
        <f>'MPIO_SFIO Table'!M104</f>
        <v>disabled</v>
      </c>
      <c r="M101" s="1" t="str">
        <f>'MPIO_SFIO Table'!N104</f>
        <v>disabled</v>
      </c>
      <c r="N101" s="1" t="str">
        <f>'MPIO_SFIO Table'!O104</f>
        <v>hold</v>
      </c>
      <c r="O101" s="1" t="str">
        <f>'MPIO_SFIO Table'!P104</f>
        <v/>
      </c>
      <c r="P101" s="2" t="str">
        <f>'MPIO_SFIO Table'!Q104</f>
        <v>VDDIO_LCD</v>
      </c>
      <c r="Q101" s="1" t="str">
        <f>'MPIO_SFIO Table'!R104</f>
        <v>ST</v>
      </c>
      <c r="R101" s="1">
        <f>'MPIO_SFIO Table'!S104</f>
        <v>100</v>
      </c>
      <c r="S101" s="1" t="str">
        <f>'MPIO_SFIO Table'!T104</f>
        <v>crtcfg</v>
      </c>
      <c r="T101" s="2">
        <f>'MPIO_SFIO Table'!U104</f>
        <v>0</v>
      </c>
      <c r="U101" s="1">
        <f>'MPIO_SFIO Table'!V104</f>
        <v>1</v>
      </c>
      <c r="V101" s="1">
        <f>'MPIO_SFIO Table'!W104</f>
        <v>1</v>
      </c>
      <c r="W101" s="1" t="str">
        <f>'MPIO_SFIO Table'!X104</f>
        <v>up</v>
      </c>
      <c r="X101" s="1" t="str">
        <f>'MPIO_SFIO Table'!Y104</f>
        <v>pu</v>
      </c>
      <c r="Y101" s="88" t="str">
        <f>'MPIO_SFIO Table'!Z104</f>
        <v>pu</v>
      </c>
    </row>
    <row r="102" spans="1:25" x14ac:dyDescent="0.25">
      <c r="A102" s="1" t="str">
        <f>'MPIO_SFIO Table'!A105</f>
        <v>CRT_VSYNC</v>
      </c>
      <c r="B102" s="1" t="str">
        <f>'MPIO_SFIO Table'!C105</f>
        <v>AJ16</v>
      </c>
      <c r="C102" s="1" t="str">
        <f>'MPIO_SFIO Table'!D105</f>
        <v>AJ21</v>
      </c>
      <c r="D102" s="1" t="str">
        <f>'MPIO_SFIO Table'!E105</f>
        <v>AJ21</v>
      </c>
      <c r="E102" s="1" t="str">
        <f>'MPIO_SFIO Table'!F105</f>
        <v>unused_CRT_VSYNC</v>
      </c>
      <c r="F102" s="2" t="str">
        <f>'MPIO_SFIO Table'!G105</f>
        <v>GPIO-V.07</v>
      </c>
      <c r="G102" s="1" t="str">
        <f>'MPIO_SFIO Table'!H105</f>
        <v>TVO-VSYNC</v>
      </c>
      <c r="H102" s="1" t="str">
        <f>'MPIO_SFIO Table'!I105</f>
        <v>RSVD1</v>
      </c>
      <c r="I102" s="1" t="str">
        <f>'MPIO_SFIO Table'!J105</f>
        <v>RSVD2</v>
      </c>
      <c r="J102" s="1" t="str">
        <f>'MPIO_SFIO Table'!K105</f>
        <v>RSVD3</v>
      </c>
      <c r="K102" s="2" t="str">
        <f>'MPIO_SFIO Table'!L105</f>
        <v>config</v>
      </c>
      <c r="L102" s="1" t="str">
        <f>'MPIO_SFIO Table'!M105</f>
        <v>disabled</v>
      </c>
      <c r="M102" s="1" t="str">
        <f>'MPIO_SFIO Table'!N105</f>
        <v>disabled</v>
      </c>
      <c r="N102" s="1" t="str">
        <f>'MPIO_SFIO Table'!O105</f>
        <v>hold</v>
      </c>
      <c r="O102" s="1" t="str">
        <f>'MPIO_SFIO Table'!P105</f>
        <v/>
      </c>
      <c r="P102" s="2" t="str">
        <f>'MPIO_SFIO Table'!Q105</f>
        <v>VDDIO_LCD</v>
      </c>
      <c r="Q102" s="1" t="str">
        <f>'MPIO_SFIO Table'!R105</f>
        <v>ST</v>
      </c>
      <c r="R102" s="1">
        <f>'MPIO_SFIO Table'!S105</f>
        <v>100</v>
      </c>
      <c r="S102" s="1" t="str">
        <f>'MPIO_SFIO Table'!T105</f>
        <v>crtcfg</v>
      </c>
      <c r="T102" s="2">
        <f>'MPIO_SFIO Table'!U105</f>
        <v>0</v>
      </c>
      <c r="U102" s="1">
        <f>'MPIO_SFIO Table'!V105</f>
        <v>1</v>
      </c>
      <c r="V102" s="1">
        <f>'MPIO_SFIO Table'!W105</f>
        <v>1</v>
      </c>
      <c r="W102" s="1" t="str">
        <f>'MPIO_SFIO Table'!X105</f>
        <v>up</v>
      </c>
      <c r="X102" s="1" t="str">
        <f>'MPIO_SFIO Table'!Y105</f>
        <v>pu</v>
      </c>
      <c r="Y102" s="88" t="str">
        <f>'MPIO_SFIO Table'!Z105</f>
        <v>pu</v>
      </c>
    </row>
    <row r="103" spans="1:25" x14ac:dyDescent="0.25">
      <c r="A103" s="1" t="str">
        <f>'MPIO_SFIO Table'!A106</f>
        <v>DDC_SCL</v>
      </c>
      <c r="B103" s="1" t="str">
        <f>'MPIO_SFIO Table'!C106</f>
        <v>AG14</v>
      </c>
      <c r="C103" s="1" t="str">
        <f>'MPIO_SFIO Table'!D106</f>
        <v>AH20</v>
      </c>
      <c r="D103" s="1" t="str">
        <f>'MPIO_SFIO Table'!E106</f>
        <v>AH20</v>
      </c>
      <c r="E103" s="1" t="str">
        <f>'MPIO_SFIO Table'!F106</f>
        <v>unused_DDC_SCL</v>
      </c>
      <c r="F103" s="2" t="str">
        <f>'MPIO_SFIO Table'!G106</f>
        <v>GPIO-V.04</v>
      </c>
      <c r="G103" s="1" t="str">
        <f>'MPIO_SFIO Table'!H106</f>
        <v>I2C4-CLK</v>
      </c>
      <c r="H103" s="1" t="str">
        <f>'MPIO_SFIO Table'!I106</f>
        <v>RSVD1</v>
      </c>
      <c r="I103" s="1" t="str">
        <f>'MPIO_SFIO Table'!J106</f>
        <v>RSVD2</v>
      </c>
      <c r="J103" s="1" t="str">
        <f>'MPIO_SFIO Table'!K106</f>
        <v>RSVD3</v>
      </c>
      <c r="K103" s="2" t="str">
        <f>'MPIO_SFIO Table'!L106</f>
        <v>disabled</v>
      </c>
      <c r="L103" s="1" t="str">
        <f>'MPIO_SFIO Table'!M106</f>
        <v>disabled</v>
      </c>
      <c r="M103" s="1" t="str">
        <f>'MPIO_SFIO Table'!N106</f>
        <v>disabled</v>
      </c>
      <c r="N103" s="1" t="str">
        <f>'MPIO_SFIO Table'!O106</f>
        <v>hold</v>
      </c>
      <c r="O103" s="1" t="str">
        <f>'MPIO_SFIO Table'!P106</f>
        <v/>
      </c>
      <c r="P103" s="2" t="str">
        <f>'MPIO_SFIO Table'!Q106</f>
        <v>VDDIO_LCD</v>
      </c>
      <c r="Q103" s="1" t="str">
        <f>'MPIO_SFIO Table'!R106</f>
        <v>OD</v>
      </c>
      <c r="R103" s="1" t="str">
        <f>'MPIO_SFIO Table'!S106</f>
        <v>100 down</v>
      </c>
      <c r="S103" s="1" t="str">
        <f>'MPIO_SFIO Table'!T106</f>
        <v>ddccfg</v>
      </c>
      <c r="T103" s="2">
        <f>'MPIO_SFIO Table'!U106</f>
        <v>0</v>
      </c>
      <c r="U103" s="1">
        <f>'MPIO_SFIO Table'!V106</f>
        <v>1</v>
      </c>
      <c r="V103" s="1">
        <f>'MPIO_SFIO Table'!W106</f>
        <v>1</v>
      </c>
      <c r="W103" s="1" t="str">
        <f>'MPIO_SFIO Table'!X106</f>
        <v>none</v>
      </c>
      <c r="X103" s="1" t="str">
        <f>'MPIO_SFIO Table'!Y106</f>
        <v>z</v>
      </c>
      <c r="Y103" s="88" t="str">
        <f>'MPIO_SFIO Table'!Z106</f>
        <v>z</v>
      </c>
    </row>
    <row r="104" spans="1:25" x14ac:dyDescent="0.25">
      <c r="A104" s="1" t="str">
        <f>'MPIO_SFIO Table'!A107</f>
        <v>DDC_SDA</v>
      </c>
      <c r="B104" s="1" t="str">
        <f>'MPIO_SFIO Table'!C107</f>
        <v>AJ10</v>
      </c>
      <c r="C104" s="1" t="str">
        <f>'MPIO_SFIO Table'!D107</f>
        <v>AT26</v>
      </c>
      <c r="D104" s="1" t="str">
        <f>'MPIO_SFIO Table'!E107</f>
        <v>AT26</v>
      </c>
      <c r="E104" s="1" t="str">
        <f>'MPIO_SFIO Table'!F107</f>
        <v>unused_DDC_SDA</v>
      </c>
      <c r="F104" s="2" t="str">
        <f>'MPIO_SFIO Table'!G107</f>
        <v>GPIO-V.05</v>
      </c>
      <c r="G104" s="1" t="str">
        <f>'MPIO_SFIO Table'!H107</f>
        <v>I2C4-DAT</v>
      </c>
      <c r="H104" s="1" t="str">
        <f>'MPIO_SFIO Table'!I107</f>
        <v>RSVD1</v>
      </c>
      <c r="I104" s="1" t="str">
        <f>'MPIO_SFIO Table'!J107</f>
        <v>RSVD2</v>
      </c>
      <c r="J104" s="1" t="str">
        <f>'MPIO_SFIO Table'!K107</f>
        <v>RSVD3</v>
      </c>
      <c r="K104" s="2" t="str">
        <f>'MPIO_SFIO Table'!L107</f>
        <v>disabled</v>
      </c>
      <c r="L104" s="1" t="str">
        <f>'MPIO_SFIO Table'!M107</f>
        <v>disabled</v>
      </c>
      <c r="M104" s="1" t="str">
        <f>'MPIO_SFIO Table'!N107</f>
        <v>disabled</v>
      </c>
      <c r="N104" s="1" t="str">
        <f>'MPIO_SFIO Table'!O107</f>
        <v>hold</v>
      </c>
      <c r="O104" s="1" t="str">
        <f>'MPIO_SFIO Table'!P107</f>
        <v/>
      </c>
      <c r="P104" s="2" t="str">
        <f>'MPIO_SFIO Table'!Q107</f>
        <v>VDDIO_LCD</v>
      </c>
      <c r="Q104" s="1" t="str">
        <f>'MPIO_SFIO Table'!R107</f>
        <v>OD</v>
      </c>
      <c r="R104" s="1" t="str">
        <f>'MPIO_SFIO Table'!S107</f>
        <v>100 down</v>
      </c>
      <c r="S104" s="1" t="str">
        <f>'MPIO_SFIO Table'!T107</f>
        <v>ddccfg</v>
      </c>
      <c r="T104" s="2">
        <f>'MPIO_SFIO Table'!U107</f>
        <v>0</v>
      </c>
      <c r="U104" s="1">
        <f>'MPIO_SFIO Table'!V107</f>
        <v>1</v>
      </c>
      <c r="V104" s="1">
        <f>'MPIO_SFIO Table'!W107</f>
        <v>1</v>
      </c>
      <c r="W104" s="1" t="str">
        <f>'MPIO_SFIO Table'!X107</f>
        <v>none</v>
      </c>
      <c r="X104" s="1" t="str">
        <f>'MPIO_SFIO Table'!Y107</f>
        <v>z</v>
      </c>
      <c r="Y104" s="88" t="str">
        <f>'MPIO_SFIO Table'!Z107</f>
        <v>z</v>
      </c>
    </row>
    <row r="105" spans="1:25" x14ac:dyDescent="0.25">
      <c r="A105" s="1" t="str">
        <f>'MPIO_SFIO Table'!A108</f>
        <v>HDMI_INT</v>
      </c>
      <c r="B105" s="1" t="str">
        <f>'MPIO_SFIO Table'!C108</f>
        <v>AG13</v>
      </c>
      <c r="C105" s="1" t="str">
        <f>'MPIO_SFIO Table'!D108</f>
        <v>AN23</v>
      </c>
      <c r="D105" s="1" t="str">
        <f>'MPIO_SFIO Table'!E108</f>
        <v>AN23</v>
      </c>
      <c r="E105" s="1" t="str">
        <f>'MPIO_SFIO Table'!F108</f>
        <v>unused_HDMI_INT</v>
      </c>
      <c r="F105" s="2" t="str">
        <f>'MPIO_SFIO Table'!G108</f>
        <v>GPIO-N.07</v>
      </c>
      <c r="G105" s="1" t="str">
        <f>'MPIO_SFIO Table'!H108</f>
        <v>RSVD</v>
      </c>
      <c r="H105" s="1" t="str">
        <f>'MPIO_SFIO Table'!I108</f>
        <v>RSVD</v>
      </c>
      <c r="I105" s="1" t="str">
        <f>'MPIO_SFIO Table'!J108</f>
        <v>RSVD</v>
      </c>
      <c r="J105" s="1" t="str">
        <f>'MPIO_SFIO Table'!K108</f>
        <v>RSVD</v>
      </c>
      <c r="K105" s="2" t="str">
        <f>'MPIO_SFIO Table'!L108</f>
        <v>disabled</v>
      </c>
      <c r="L105" s="1" t="str">
        <f>'MPIO_SFIO Table'!M108</f>
        <v>special</v>
      </c>
      <c r="M105" s="1" t="str">
        <f>'MPIO_SFIO Table'!N108</f>
        <v>disabled</v>
      </c>
      <c r="N105" s="1" t="str">
        <f>'MPIO_SFIO Table'!O108</f>
        <v>hold</v>
      </c>
      <c r="O105" s="1">
        <f>'MPIO_SFIO Table'!P108</f>
        <v>4</v>
      </c>
      <c r="P105" s="2" t="str">
        <f>'MPIO_SFIO Table'!Q108</f>
        <v>VDDIO_LCD</v>
      </c>
      <c r="Q105" s="1" t="str">
        <f>'MPIO_SFIO Table'!R108</f>
        <v>OD</v>
      </c>
      <c r="R105" s="1" t="str">
        <f>'MPIO_SFIO Table'!S108</f>
        <v>100 down</v>
      </c>
      <c r="S105" s="1" t="str">
        <f>'MPIO_SFIO Table'!T108</f>
        <v>lcdcfg2</v>
      </c>
      <c r="T105" s="2">
        <f>'MPIO_SFIO Table'!U108</f>
        <v>0</v>
      </c>
      <c r="U105" s="1">
        <f>'MPIO_SFIO Table'!V108</f>
        <v>1</v>
      </c>
      <c r="V105" s="1">
        <f>'MPIO_SFIO Table'!W108</f>
        <v>1</v>
      </c>
      <c r="W105" s="1" t="str">
        <f>'MPIO_SFIO Table'!X108</f>
        <v>none</v>
      </c>
      <c r="X105" s="1" t="str">
        <f>'MPIO_SFIO Table'!Y108</f>
        <v>z</v>
      </c>
      <c r="Y105" s="88" t="str">
        <f>'MPIO_SFIO Table'!Z108</f>
        <v>z</v>
      </c>
    </row>
    <row r="106" spans="1:25" x14ac:dyDescent="0.25">
      <c r="A106" s="1" t="str">
        <f>'MPIO_SFIO Table'!A109</f>
        <v>LCD_CS0_N</v>
      </c>
      <c r="B106" s="1" t="str">
        <f>'MPIO_SFIO Table'!C109</f>
        <v>AJ15</v>
      </c>
      <c r="C106" s="1" t="str">
        <f>'MPIO_SFIO Table'!D109</f>
        <v>AL23</v>
      </c>
      <c r="D106" s="1" t="str">
        <f>'MPIO_SFIO Table'!E109</f>
        <v>AL23</v>
      </c>
      <c r="E106" s="1" t="str">
        <f>'MPIO_SFIO Table'!F109</f>
        <v>unused_LCD_CS0_N</v>
      </c>
      <c r="F106" s="2" t="str">
        <f>'MPIO_SFIO Table'!G109</f>
        <v>GPIO-N.04</v>
      </c>
      <c r="G106" s="1" t="str">
        <f>'MPIO_SFIO Table'!H109</f>
        <v>LCD0-CS_N</v>
      </c>
      <c r="H106" s="1" t="str">
        <f>'MPIO_SFIO Table'!I109</f>
        <v>LCD1-CS_N</v>
      </c>
      <c r="I106" s="1" t="str">
        <f>'MPIO_SFIO Table'!J109</f>
        <v>SPI5.A-CS2_N</v>
      </c>
      <c r="J106" s="1" t="str">
        <f>'MPIO_SFIO Table'!K109</f>
        <v>RSVD</v>
      </c>
      <c r="K106" s="2" t="str">
        <f>'MPIO_SFIO Table'!L109</f>
        <v>config</v>
      </c>
      <c r="L106" s="1" t="str">
        <f>'MPIO_SFIO Table'!M109</f>
        <v>disabled</v>
      </c>
      <c r="M106" s="1" t="str">
        <f>'MPIO_SFIO Table'!N109</f>
        <v>disabled</v>
      </c>
      <c r="N106" s="1" t="str">
        <f>'MPIO_SFIO Table'!O109</f>
        <v>hold</v>
      </c>
      <c r="O106" s="1" t="str">
        <f>'MPIO_SFIO Table'!P109</f>
        <v/>
      </c>
      <c r="P106" s="2" t="str">
        <f>'MPIO_SFIO Table'!Q109</f>
        <v>VDDIO_LCD</v>
      </c>
      <c r="Q106" s="1" t="str">
        <f>'MPIO_SFIO Table'!R109</f>
        <v>ST</v>
      </c>
      <c r="R106" s="1">
        <f>'MPIO_SFIO Table'!S109</f>
        <v>100</v>
      </c>
      <c r="S106" s="1" t="str">
        <f>'MPIO_SFIO Table'!T109</f>
        <v>lcdcfg1</v>
      </c>
      <c r="T106" s="2">
        <f>'MPIO_SFIO Table'!U109</f>
        <v>0</v>
      </c>
      <c r="U106" s="1">
        <f>'MPIO_SFIO Table'!V109</f>
        <v>1</v>
      </c>
      <c r="V106" s="1">
        <f>'MPIO_SFIO Table'!W109</f>
        <v>0</v>
      </c>
      <c r="W106" s="1" t="str">
        <f>'MPIO_SFIO Table'!X109</f>
        <v>up</v>
      </c>
      <c r="X106" s="1" t="str">
        <f>'MPIO_SFIO Table'!Y109</f>
        <v>pu</v>
      </c>
      <c r="Y106" s="88" t="str">
        <f>'MPIO_SFIO Table'!Z109</f>
        <v>pu</v>
      </c>
    </row>
    <row r="107" spans="1:25" x14ac:dyDescent="0.25">
      <c r="A107" s="1" t="str">
        <f>'MPIO_SFIO Table'!A110</f>
        <v>LCD_CS1_N</v>
      </c>
      <c r="B107" s="1" t="str">
        <f>'MPIO_SFIO Table'!C110</f>
        <v>AC10</v>
      </c>
      <c r="C107" s="1" t="str">
        <f>'MPIO_SFIO Table'!D110</f>
        <v>AP18</v>
      </c>
      <c r="D107" s="1" t="str">
        <f>'MPIO_SFIO Table'!E110</f>
        <v>AP18</v>
      </c>
      <c r="E107" s="1" t="str">
        <f>'MPIO_SFIO Table'!F110</f>
        <v>unused_LCD_CS1_N</v>
      </c>
      <c r="F107" s="2" t="str">
        <f>'MPIO_SFIO Table'!G110</f>
        <v>GPIO-W.00</v>
      </c>
      <c r="G107" s="1" t="str">
        <f>'MPIO_SFIO Table'!H110</f>
        <v>LCD0-M0</v>
      </c>
      <c r="H107" s="1" t="str">
        <f>'MPIO_SFIO Table'!I110</f>
        <v>LCD1-M0</v>
      </c>
      <c r="I107" s="1" t="str">
        <f>'MPIO_SFIO Table'!J110</f>
        <v>SPI5.B-CS3_N</v>
      </c>
      <c r="J107" s="1" t="str">
        <f>'MPIO_SFIO Table'!K110</f>
        <v>RSVD2</v>
      </c>
      <c r="K107" s="2" t="str">
        <f>'MPIO_SFIO Table'!L110</f>
        <v>config</v>
      </c>
      <c r="L107" s="1" t="str">
        <f>'MPIO_SFIO Table'!M110</f>
        <v>disabled</v>
      </c>
      <c r="M107" s="1" t="str">
        <f>'MPIO_SFIO Table'!N110</f>
        <v>disabled</v>
      </c>
      <c r="N107" s="1" t="str">
        <f>'MPIO_SFIO Table'!O110</f>
        <v>hold</v>
      </c>
      <c r="O107" s="1" t="str">
        <f>'MPIO_SFIO Table'!P110</f>
        <v/>
      </c>
      <c r="P107" s="2" t="str">
        <f>'MPIO_SFIO Table'!Q110</f>
        <v>VDDIO_LCD</v>
      </c>
      <c r="Q107" s="1" t="str">
        <f>'MPIO_SFIO Table'!R110</f>
        <v>ST</v>
      </c>
      <c r="R107" s="1">
        <f>'MPIO_SFIO Table'!S110</f>
        <v>100</v>
      </c>
      <c r="S107" s="1" t="str">
        <f>'MPIO_SFIO Table'!T110</f>
        <v>lcdcfg2</v>
      </c>
      <c r="T107" s="2">
        <f>'MPIO_SFIO Table'!U110</f>
        <v>0</v>
      </c>
      <c r="U107" s="1">
        <f>'MPIO_SFIO Table'!V110</f>
        <v>1</v>
      </c>
      <c r="V107" s="1">
        <f>'MPIO_SFIO Table'!W110</f>
        <v>0</v>
      </c>
      <c r="W107" s="1" t="str">
        <f>'MPIO_SFIO Table'!X110</f>
        <v>up</v>
      </c>
      <c r="X107" s="1" t="str">
        <f>'MPIO_SFIO Table'!Y110</f>
        <v>pu</v>
      </c>
      <c r="Y107" s="88" t="str">
        <f>'MPIO_SFIO Table'!Z110</f>
        <v>pu</v>
      </c>
    </row>
    <row r="108" spans="1:25" x14ac:dyDescent="0.25">
      <c r="A108" s="1" t="str">
        <f>'MPIO_SFIO Table'!A111</f>
        <v>LCD_D0</v>
      </c>
      <c r="B108" s="1" t="str">
        <f>'MPIO_SFIO Table'!C111</f>
        <v>AE8</v>
      </c>
      <c r="C108" s="1" t="str">
        <f>'MPIO_SFIO Table'!D111</f>
        <v>AR17</v>
      </c>
      <c r="D108" s="1" t="str">
        <f>'MPIO_SFIO Table'!E111</f>
        <v>AR17</v>
      </c>
      <c r="E108" s="1" t="str">
        <f>'MPIO_SFIO Table'!F111</f>
        <v>unused_LCD_D0</v>
      </c>
      <c r="F108" s="2" t="str">
        <f>'MPIO_SFIO Table'!G111</f>
        <v>GPIO-E.00</v>
      </c>
      <c r="G108" s="1" t="str">
        <f>'MPIO_SFIO Table'!H111</f>
        <v>LCD0-D0</v>
      </c>
      <c r="H108" s="1" t="str">
        <f>'MPIO_SFIO Table'!I111</f>
        <v>LCD1-D0</v>
      </c>
      <c r="I108" s="1" t="str">
        <f>'MPIO_SFIO Table'!J111</f>
        <v>RSVD1</v>
      </c>
      <c r="J108" s="1" t="str">
        <f>'MPIO_SFIO Table'!K111</f>
        <v>RSVD2</v>
      </c>
      <c r="K108" s="2" t="str">
        <f>'MPIO_SFIO Table'!L111</f>
        <v>config</v>
      </c>
      <c r="L108" s="1" t="str">
        <f>'MPIO_SFIO Table'!M111</f>
        <v>disabled</v>
      </c>
      <c r="M108" s="1" t="str">
        <f>'MPIO_SFIO Table'!N111</f>
        <v>disabled</v>
      </c>
      <c r="N108" s="1" t="str">
        <f>'MPIO_SFIO Table'!O111</f>
        <v>hold</v>
      </c>
      <c r="O108" s="1" t="str">
        <f>'MPIO_SFIO Table'!P111</f>
        <v/>
      </c>
      <c r="P108" s="2" t="str">
        <f>'MPIO_SFIO Table'!Q111</f>
        <v>VDDIO_LCD</v>
      </c>
      <c r="Q108" s="1" t="str">
        <f>'MPIO_SFIO Table'!R111</f>
        <v>ST</v>
      </c>
      <c r="R108" s="1">
        <f>'MPIO_SFIO Table'!S111</f>
        <v>100</v>
      </c>
      <c r="S108" s="1" t="str">
        <f>'MPIO_SFIO Table'!T111</f>
        <v>lcdcfg2</v>
      </c>
      <c r="T108" s="2">
        <f>'MPIO_SFIO Table'!U111</f>
        <v>0</v>
      </c>
      <c r="U108" s="1">
        <f>'MPIO_SFIO Table'!V111</f>
        <v>1</v>
      </c>
      <c r="V108" s="1">
        <f>'MPIO_SFIO Table'!W111</f>
        <v>0</v>
      </c>
      <c r="W108" s="1" t="str">
        <f>'MPIO_SFIO Table'!X111</f>
        <v>down</v>
      </c>
      <c r="X108" s="1" t="str">
        <f>'MPIO_SFIO Table'!Y111</f>
        <v>pd</v>
      </c>
      <c r="Y108" s="88" t="str">
        <f>'MPIO_SFIO Table'!Z111</f>
        <v>pd</v>
      </c>
    </row>
    <row r="109" spans="1:25" x14ac:dyDescent="0.25">
      <c r="A109" s="1" t="str">
        <f>'MPIO_SFIO Table'!A112</f>
        <v>LCD_D1</v>
      </c>
      <c r="B109" s="1" t="str">
        <f>'MPIO_SFIO Table'!C112</f>
        <v>AF12</v>
      </c>
      <c r="C109" s="1" t="str">
        <f>'MPIO_SFIO Table'!D112</f>
        <v>AP26</v>
      </c>
      <c r="D109" s="1" t="str">
        <f>'MPIO_SFIO Table'!E112</f>
        <v>AP26</v>
      </c>
      <c r="E109" s="1" t="str">
        <f>'MPIO_SFIO Table'!F112</f>
        <v>unused_LCD_D1</v>
      </c>
      <c r="F109" s="2" t="str">
        <f>'MPIO_SFIO Table'!G112</f>
        <v>GPIO-E.01</v>
      </c>
      <c r="G109" s="1" t="str">
        <f>'MPIO_SFIO Table'!H112</f>
        <v>LCD0-D1</v>
      </c>
      <c r="H109" s="1" t="str">
        <f>'MPIO_SFIO Table'!I112</f>
        <v>LCD1-D1</v>
      </c>
      <c r="I109" s="1" t="str">
        <f>'MPIO_SFIO Table'!J112</f>
        <v>RSVD1</v>
      </c>
      <c r="J109" s="1" t="str">
        <f>'MPIO_SFIO Table'!K112</f>
        <v>RSVD2</v>
      </c>
      <c r="K109" s="2" t="str">
        <f>'MPIO_SFIO Table'!L112</f>
        <v>config</v>
      </c>
      <c r="L109" s="1" t="str">
        <f>'MPIO_SFIO Table'!M112</f>
        <v>disabled</v>
      </c>
      <c r="M109" s="1" t="str">
        <f>'MPIO_SFIO Table'!N112</f>
        <v>disabled</v>
      </c>
      <c r="N109" s="1" t="str">
        <f>'MPIO_SFIO Table'!O112</f>
        <v>hold</v>
      </c>
      <c r="O109" s="1" t="str">
        <f>'MPIO_SFIO Table'!P112</f>
        <v/>
      </c>
      <c r="P109" s="2" t="str">
        <f>'MPIO_SFIO Table'!Q112</f>
        <v>VDDIO_LCD</v>
      </c>
      <c r="Q109" s="1" t="str">
        <f>'MPIO_SFIO Table'!R112</f>
        <v>ST</v>
      </c>
      <c r="R109" s="1">
        <f>'MPIO_SFIO Table'!S112</f>
        <v>100</v>
      </c>
      <c r="S109" s="1" t="str">
        <f>'MPIO_SFIO Table'!T112</f>
        <v>lcdcfg2</v>
      </c>
      <c r="T109" s="2">
        <f>'MPIO_SFIO Table'!U112</f>
        <v>0</v>
      </c>
      <c r="U109" s="1">
        <f>'MPIO_SFIO Table'!V112</f>
        <v>1</v>
      </c>
      <c r="V109" s="1">
        <f>'MPIO_SFIO Table'!W112</f>
        <v>0</v>
      </c>
      <c r="W109" s="1" t="str">
        <f>'MPIO_SFIO Table'!X112</f>
        <v>down</v>
      </c>
      <c r="X109" s="1" t="str">
        <f>'MPIO_SFIO Table'!Y112</f>
        <v>pd</v>
      </c>
      <c r="Y109" s="88" t="str">
        <f>'MPIO_SFIO Table'!Z112</f>
        <v>pd</v>
      </c>
    </row>
    <row r="110" spans="1:25" x14ac:dyDescent="0.25">
      <c r="A110" s="1" t="str">
        <f>'MPIO_SFIO Table'!A113</f>
        <v>LCD_D10</v>
      </c>
      <c r="B110" s="1" t="str">
        <f>'MPIO_SFIO Table'!C113</f>
        <v>AK9</v>
      </c>
      <c r="C110" s="1" t="str">
        <f>'MPIO_SFIO Table'!D113</f>
        <v>AR21</v>
      </c>
      <c r="D110" s="1" t="str">
        <f>'MPIO_SFIO Table'!E113</f>
        <v>AR21</v>
      </c>
      <c r="E110" s="1" t="str">
        <f>'MPIO_SFIO Table'!F113</f>
        <v>unused_LCD_D10</v>
      </c>
      <c r="F110" s="2" t="str">
        <f>'MPIO_SFIO Table'!G113</f>
        <v>GPIO-F.02</v>
      </c>
      <c r="G110" s="1" t="str">
        <f>'MPIO_SFIO Table'!H113</f>
        <v>LCD0-D10</v>
      </c>
      <c r="H110" s="1" t="str">
        <f>'MPIO_SFIO Table'!I113</f>
        <v>LCD1-D10</v>
      </c>
      <c r="I110" s="1" t="str">
        <f>'MPIO_SFIO Table'!J113</f>
        <v>RSVD1</v>
      </c>
      <c r="J110" s="1" t="str">
        <f>'MPIO_SFIO Table'!K113</f>
        <v>RSVD2</v>
      </c>
      <c r="K110" s="2" t="str">
        <f>'MPIO_SFIO Table'!L113</f>
        <v>config</v>
      </c>
      <c r="L110" s="1" t="str">
        <f>'MPIO_SFIO Table'!M113</f>
        <v>disabled</v>
      </c>
      <c r="M110" s="1" t="str">
        <f>'MPIO_SFIO Table'!N113</f>
        <v>disabled</v>
      </c>
      <c r="N110" s="1" t="str">
        <f>'MPIO_SFIO Table'!O113</f>
        <v>hold</v>
      </c>
      <c r="O110" s="1" t="str">
        <f>'MPIO_SFIO Table'!P113</f>
        <v/>
      </c>
      <c r="P110" s="2" t="str">
        <f>'MPIO_SFIO Table'!Q113</f>
        <v>VDDIO_LCD</v>
      </c>
      <c r="Q110" s="1" t="str">
        <f>'MPIO_SFIO Table'!R113</f>
        <v>ST</v>
      </c>
      <c r="R110" s="1">
        <f>'MPIO_SFIO Table'!S113</f>
        <v>100</v>
      </c>
      <c r="S110" s="1" t="str">
        <f>'MPIO_SFIO Table'!T113</f>
        <v>lcdcfg2</v>
      </c>
      <c r="T110" s="2">
        <f>'MPIO_SFIO Table'!U113</f>
        <v>0</v>
      </c>
      <c r="U110" s="1">
        <f>'MPIO_SFIO Table'!V113</f>
        <v>1</v>
      </c>
      <c r="V110" s="1">
        <f>'MPIO_SFIO Table'!W113</f>
        <v>0</v>
      </c>
      <c r="W110" s="1" t="str">
        <f>'MPIO_SFIO Table'!X113</f>
        <v>down</v>
      </c>
      <c r="X110" s="1" t="str">
        <f>'MPIO_SFIO Table'!Y113</f>
        <v>pd</v>
      </c>
      <c r="Y110" s="88" t="str">
        <f>'MPIO_SFIO Table'!Z113</f>
        <v>pd</v>
      </c>
    </row>
    <row r="111" spans="1:25" x14ac:dyDescent="0.25">
      <c r="A111" s="1" t="str">
        <f>'MPIO_SFIO Table'!A114</f>
        <v>LCD_D11</v>
      </c>
      <c r="B111" s="1" t="str">
        <f>'MPIO_SFIO Table'!C114</f>
        <v>AJ12</v>
      </c>
      <c r="C111" s="1" t="str">
        <f>'MPIO_SFIO Table'!D114</f>
        <v>AU27</v>
      </c>
      <c r="D111" s="1" t="str">
        <f>'MPIO_SFIO Table'!E114</f>
        <v>AU27</v>
      </c>
      <c r="E111" s="1" t="str">
        <f>'MPIO_SFIO Table'!F114</f>
        <v>unused_LCD_D11</v>
      </c>
      <c r="F111" s="2" t="str">
        <f>'MPIO_SFIO Table'!G114</f>
        <v>GPIO-F.03</v>
      </c>
      <c r="G111" s="1" t="str">
        <f>'MPIO_SFIO Table'!H114</f>
        <v>LCD0-D11</v>
      </c>
      <c r="H111" s="1" t="str">
        <f>'MPIO_SFIO Table'!I114</f>
        <v>LCD1-D11</v>
      </c>
      <c r="I111" s="1" t="str">
        <f>'MPIO_SFIO Table'!J114</f>
        <v>RSVD1</v>
      </c>
      <c r="J111" s="1" t="str">
        <f>'MPIO_SFIO Table'!K114</f>
        <v>RSVD2</v>
      </c>
      <c r="K111" s="2" t="str">
        <f>'MPIO_SFIO Table'!L114</f>
        <v>config</v>
      </c>
      <c r="L111" s="1" t="str">
        <f>'MPIO_SFIO Table'!M114</f>
        <v>disabled</v>
      </c>
      <c r="M111" s="1" t="str">
        <f>'MPIO_SFIO Table'!N114</f>
        <v>disabled</v>
      </c>
      <c r="N111" s="1" t="str">
        <f>'MPIO_SFIO Table'!O114</f>
        <v>hold</v>
      </c>
      <c r="O111" s="1" t="str">
        <f>'MPIO_SFIO Table'!P114</f>
        <v/>
      </c>
      <c r="P111" s="2" t="str">
        <f>'MPIO_SFIO Table'!Q114</f>
        <v>VDDIO_LCD</v>
      </c>
      <c r="Q111" s="1" t="str">
        <f>'MPIO_SFIO Table'!R114</f>
        <v>ST</v>
      </c>
      <c r="R111" s="1">
        <f>'MPIO_SFIO Table'!S114</f>
        <v>100</v>
      </c>
      <c r="S111" s="1" t="str">
        <f>'MPIO_SFIO Table'!T114</f>
        <v>lcdcfg2</v>
      </c>
      <c r="T111" s="2">
        <f>'MPIO_SFIO Table'!U114</f>
        <v>0</v>
      </c>
      <c r="U111" s="1">
        <f>'MPIO_SFIO Table'!V114</f>
        <v>1</v>
      </c>
      <c r="V111" s="1">
        <f>'MPIO_SFIO Table'!W114</f>
        <v>0</v>
      </c>
      <c r="W111" s="1" t="str">
        <f>'MPIO_SFIO Table'!X114</f>
        <v>down</v>
      </c>
      <c r="X111" s="1" t="str">
        <f>'MPIO_SFIO Table'!Y114</f>
        <v>pd</v>
      </c>
      <c r="Y111" s="88" t="str">
        <f>'MPIO_SFIO Table'!Z114</f>
        <v>pd</v>
      </c>
    </row>
    <row r="112" spans="1:25" x14ac:dyDescent="0.25">
      <c r="A112" s="1" t="str">
        <f>'MPIO_SFIO Table'!A115</f>
        <v>LCD_D12</v>
      </c>
      <c r="B112" s="1" t="str">
        <f>'MPIO_SFIO Table'!C115</f>
        <v>AF9</v>
      </c>
      <c r="C112" s="1" t="str">
        <f>'MPIO_SFIO Table'!D115</f>
        <v>AT18</v>
      </c>
      <c r="D112" s="1" t="str">
        <f>'MPIO_SFIO Table'!E115</f>
        <v>AT18</v>
      </c>
      <c r="E112" s="1" t="str">
        <f>'MPIO_SFIO Table'!F115</f>
        <v>unused_LCD_D12</v>
      </c>
      <c r="F112" s="2" t="str">
        <f>'MPIO_SFIO Table'!G115</f>
        <v>GPIO-F.04</v>
      </c>
      <c r="G112" s="1" t="str">
        <f>'MPIO_SFIO Table'!H115</f>
        <v>LCD0-D12</v>
      </c>
      <c r="H112" s="1" t="str">
        <f>'MPIO_SFIO Table'!I115</f>
        <v>LCD1-D12</v>
      </c>
      <c r="I112" s="1" t="str">
        <f>'MPIO_SFIO Table'!J115</f>
        <v>RSVD1</v>
      </c>
      <c r="J112" s="1" t="str">
        <f>'MPIO_SFIO Table'!K115</f>
        <v>RSVD2</v>
      </c>
      <c r="K112" s="2" t="str">
        <f>'MPIO_SFIO Table'!L115</f>
        <v>config</v>
      </c>
      <c r="L112" s="1" t="str">
        <f>'MPIO_SFIO Table'!M115</f>
        <v>disabled</v>
      </c>
      <c r="M112" s="1" t="str">
        <f>'MPIO_SFIO Table'!N115</f>
        <v>disabled</v>
      </c>
      <c r="N112" s="1" t="str">
        <f>'MPIO_SFIO Table'!O115</f>
        <v>hold</v>
      </c>
      <c r="O112" s="1" t="str">
        <f>'MPIO_SFIO Table'!P115</f>
        <v/>
      </c>
      <c r="P112" s="2" t="str">
        <f>'MPIO_SFIO Table'!Q115</f>
        <v>VDDIO_LCD</v>
      </c>
      <c r="Q112" s="1" t="str">
        <f>'MPIO_SFIO Table'!R115</f>
        <v>ST</v>
      </c>
      <c r="R112" s="1">
        <f>'MPIO_SFIO Table'!S115</f>
        <v>100</v>
      </c>
      <c r="S112" s="1" t="str">
        <f>'MPIO_SFIO Table'!T115</f>
        <v>lcdcfg2</v>
      </c>
      <c r="T112" s="2">
        <f>'MPIO_SFIO Table'!U115</f>
        <v>0</v>
      </c>
      <c r="U112" s="1">
        <f>'MPIO_SFIO Table'!V115</f>
        <v>1</v>
      </c>
      <c r="V112" s="1">
        <f>'MPIO_SFIO Table'!W115</f>
        <v>0</v>
      </c>
      <c r="W112" s="1" t="str">
        <f>'MPIO_SFIO Table'!X115</f>
        <v>down</v>
      </c>
      <c r="X112" s="1" t="str">
        <f>'MPIO_SFIO Table'!Y115</f>
        <v>pd</v>
      </c>
      <c r="Y112" s="88" t="str">
        <f>'MPIO_SFIO Table'!Z115</f>
        <v>pd</v>
      </c>
    </row>
    <row r="113" spans="1:25" x14ac:dyDescent="0.25">
      <c r="A113" s="1" t="str">
        <f>'MPIO_SFIO Table'!A116</f>
        <v>LCD_D13</v>
      </c>
      <c r="B113" s="1" t="str">
        <f>'MPIO_SFIO Table'!C116</f>
        <v>AC12</v>
      </c>
      <c r="C113" s="1" t="str">
        <f>'MPIO_SFIO Table'!D116</f>
        <v>AJ17</v>
      </c>
      <c r="D113" s="1" t="str">
        <f>'MPIO_SFIO Table'!E116</f>
        <v>AJ17</v>
      </c>
      <c r="E113" s="1" t="str">
        <f>'MPIO_SFIO Table'!F116</f>
        <v>unused_LCD_D13</v>
      </c>
      <c r="F113" s="2" t="str">
        <f>'MPIO_SFIO Table'!G116</f>
        <v>GPIO-F.05</v>
      </c>
      <c r="G113" s="1" t="str">
        <f>'MPIO_SFIO Table'!H116</f>
        <v>LCD0-D13</v>
      </c>
      <c r="H113" s="1" t="str">
        <f>'MPIO_SFIO Table'!I116</f>
        <v>LCD1-D13</v>
      </c>
      <c r="I113" s="1" t="str">
        <f>'MPIO_SFIO Table'!J116</f>
        <v>RSVD1</v>
      </c>
      <c r="J113" s="1" t="str">
        <f>'MPIO_SFIO Table'!K116</f>
        <v>RSVD2</v>
      </c>
      <c r="K113" s="2" t="str">
        <f>'MPIO_SFIO Table'!L116</f>
        <v>config</v>
      </c>
      <c r="L113" s="1" t="str">
        <f>'MPIO_SFIO Table'!M116</f>
        <v>disabled</v>
      </c>
      <c r="M113" s="1" t="str">
        <f>'MPIO_SFIO Table'!N116</f>
        <v>disabled</v>
      </c>
      <c r="N113" s="1" t="str">
        <f>'MPIO_SFIO Table'!O116</f>
        <v>hold</v>
      </c>
      <c r="O113" s="1" t="str">
        <f>'MPIO_SFIO Table'!P116</f>
        <v/>
      </c>
      <c r="P113" s="2" t="str">
        <f>'MPIO_SFIO Table'!Q116</f>
        <v>VDDIO_LCD</v>
      </c>
      <c r="Q113" s="1" t="str">
        <f>'MPIO_SFIO Table'!R116</f>
        <v>ST</v>
      </c>
      <c r="R113" s="1">
        <f>'MPIO_SFIO Table'!S116</f>
        <v>100</v>
      </c>
      <c r="S113" s="1" t="str">
        <f>'MPIO_SFIO Table'!T116</f>
        <v>lcdcfg2</v>
      </c>
      <c r="T113" s="2">
        <f>'MPIO_SFIO Table'!U116</f>
        <v>0</v>
      </c>
      <c r="U113" s="1">
        <f>'MPIO_SFIO Table'!V116</f>
        <v>1</v>
      </c>
      <c r="V113" s="1">
        <f>'MPIO_SFIO Table'!W116</f>
        <v>0</v>
      </c>
      <c r="W113" s="1" t="str">
        <f>'MPIO_SFIO Table'!X116</f>
        <v>down</v>
      </c>
      <c r="X113" s="1" t="str">
        <f>'MPIO_SFIO Table'!Y116</f>
        <v>pd</v>
      </c>
      <c r="Y113" s="88" t="str">
        <f>'MPIO_SFIO Table'!Z116</f>
        <v>pd</v>
      </c>
    </row>
    <row r="114" spans="1:25" x14ac:dyDescent="0.25">
      <c r="A114" s="1" t="str">
        <f>'MPIO_SFIO Table'!A117</f>
        <v>LCD_D14</v>
      </c>
      <c r="B114" s="1" t="str">
        <f>'MPIO_SFIO Table'!C117</f>
        <v>AD12</v>
      </c>
      <c r="C114" s="1" t="str">
        <f>'MPIO_SFIO Table'!D117</f>
        <v>AH18</v>
      </c>
      <c r="D114" s="1" t="str">
        <f>'MPIO_SFIO Table'!E117</f>
        <v>AH18</v>
      </c>
      <c r="E114" s="1" t="str">
        <f>'MPIO_SFIO Table'!F117</f>
        <v>unused_LCD_D14</v>
      </c>
      <c r="F114" s="2" t="str">
        <f>'MPIO_SFIO Table'!G117</f>
        <v>GPIO-F.06</v>
      </c>
      <c r="G114" s="1" t="str">
        <f>'MPIO_SFIO Table'!H117</f>
        <v>LCD0-D14</v>
      </c>
      <c r="H114" s="1" t="str">
        <f>'MPIO_SFIO Table'!I117</f>
        <v>LCD1-D14</v>
      </c>
      <c r="I114" s="1" t="str">
        <f>'MPIO_SFIO Table'!J117</f>
        <v>RSVD1</v>
      </c>
      <c r="J114" s="1" t="str">
        <f>'MPIO_SFIO Table'!K117</f>
        <v>RSVD2</v>
      </c>
      <c r="K114" s="2" t="str">
        <f>'MPIO_SFIO Table'!L117</f>
        <v>config</v>
      </c>
      <c r="L114" s="1" t="str">
        <f>'MPIO_SFIO Table'!M117</f>
        <v>disabled</v>
      </c>
      <c r="M114" s="1" t="str">
        <f>'MPIO_SFIO Table'!N117</f>
        <v>disabled</v>
      </c>
      <c r="N114" s="1" t="str">
        <f>'MPIO_SFIO Table'!O117</f>
        <v>hold</v>
      </c>
      <c r="O114" s="1" t="str">
        <f>'MPIO_SFIO Table'!P117</f>
        <v/>
      </c>
      <c r="P114" s="2" t="str">
        <f>'MPIO_SFIO Table'!Q117</f>
        <v>VDDIO_LCD</v>
      </c>
      <c r="Q114" s="1" t="str">
        <f>'MPIO_SFIO Table'!R117</f>
        <v>ST</v>
      </c>
      <c r="R114" s="1">
        <f>'MPIO_SFIO Table'!S117</f>
        <v>100</v>
      </c>
      <c r="S114" s="1" t="str">
        <f>'MPIO_SFIO Table'!T117</f>
        <v>lcdcfg2</v>
      </c>
      <c r="T114" s="2">
        <f>'MPIO_SFIO Table'!U117</f>
        <v>0</v>
      </c>
      <c r="U114" s="1">
        <f>'MPIO_SFIO Table'!V117</f>
        <v>1</v>
      </c>
      <c r="V114" s="1">
        <f>'MPIO_SFIO Table'!W117</f>
        <v>0</v>
      </c>
      <c r="W114" s="1" t="str">
        <f>'MPIO_SFIO Table'!X117</f>
        <v>down</v>
      </c>
      <c r="X114" s="1" t="str">
        <f>'MPIO_SFIO Table'!Y117</f>
        <v>pd</v>
      </c>
      <c r="Y114" s="88" t="str">
        <f>'MPIO_SFIO Table'!Z117</f>
        <v>pd</v>
      </c>
    </row>
    <row r="115" spans="1:25" x14ac:dyDescent="0.25">
      <c r="A115" s="1" t="str">
        <f>'MPIO_SFIO Table'!A118</f>
        <v>LCD_D15</v>
      </c>
      <c r="B115" s="1" t="str">
        <f>'MPIO_SFIO Table'!C118</f>
        <v>AE18</v>
      </c>
      <c r="C115" s="1" t="str">
        <f>'MPIO_SFIO Table'!D118</f>
        <v>AL21</v>
      </c>
      <c r="D115" s="1" t="str">
        <f>'MPIO_SFIO Table'!E118</f>
        <v>AL21</v>
      </c>
      <c r="E115" s="1" t="str">
        <f>'MPIO_SFIO Table'!F118</f>
        <v>unused_LCD_D15</v>
      </c>
      <c r="F115" s="2" t="str">
        <f>'MPIO_SFIO Table'!G118</f>
        <v>GPIO-F.07</v>
      </c>
      <c r="G115" s="1" t="str">
        <f>'MPIO_SFIO Table'!H118</f>
        <v>LCD0-D15</v>
      </c>
      <c r="H115" s="1" t="str">
        <f>'MPIO_SFIO Table'!I118</f>
        <v>LCD1-D15</v>
      </c>
      <c r="I115" s="1" t="str">
        <f>'MPIO_SFIO Table'!J118</f>
        <v>RSVD1</v>
      </c>
      <c r="J115" s="1" t="str">
        <f>'MPIO_SFIO Table'!K118</f>
        <v>RSVD2</v>
      </c>
      <c r="K115" s="2" t="str">
        <f>'MPIO_SFIO Table'!L118</f>
        <v>config</v>
      </c>
      <c r="L115" s="1" t="str">
        <f>'MPIO_SFIO Table'!M118</f>
        <v>disabled</v>
      </c>
      <c r="M115" s="1" t="str">
        <f>'MPIO_SFIO Table'!N118</f>
        <v>disabled</v>
      </c>
      <c r="N115" s="1" t="str">
        <f>'MPIO_SFIO Table'!O118</f>
        <v>hold</v>
      </c>
      <c r="O115" s="1" t="str">
        <f>'MPIO_SFIO Table'!P118</f>
        <v/>
      </c>
      <c r="P115" s="2" t="str">
        <f>'MPIO_SFIO Table'!Q118</f>
        <v>VDDIO_LCD</v>
      </c>
      <c r="Q115" s="1" t="str">
        <f>'MPIO_SFIO Table'!R118</f>
        <v>ST</v>
      </c>
      <c r="R115" s="1">
        <f>'MPIO_SFIO Table'!S118</f>
        <v>100</v>
      </c>
      <c r="S115" s="1" t="str">
        <f>'MPIO_SFIO Table'!T118</f>
        <v>lcdcfg2</v>
      </c>
      <c r="T115" s="2">
        <f>'MPIO_SFIO Table'!U118</f>
        <v>0</v>
      </c>
      <c r="U115" s="1">
        <f>'MPIO_SFIO Table'!V118</f>
        <v>1</v>
      </c>
      <c r="V115" s="1">
        <f>'MPIO_SFIO Table'!W118</f>
        <v>0</v>
      </c>
      <c r="W115" s="1" t="str">
        <f>'MPIO_SFIO Table'!X118</f>
        <v>down</v>
      </c>
      <c r="X115" s="1" t="str">
        <f>'MPIO_SFIO Table'!Y118</f>
        <v>pd</v>
      </c>
      <c r="Y115" s="88" t="str">
        <f>'MPIO_SFIO Table'!Z118</f>
        <v>pd</v>
      </c>
    </row>
    <row r="116" spans="1:25" x14ac:dyDescent="0.25">
      <c r="A116" s="1" t="str">
        <f>'MPIO_SFIO Table'!A119</f>
        <v>LCD_D16</v>
      </c>
      <c r="B116" s="1" t="str">
        <f>'MPIO_SFIO Table'!C119</f>
        <v>AF13</v>
      </c>
      <c r="C116" s="1" t="str">
        <f>'MPIO_SFIO Table'!D119</f>
        <v>AM22</v>
      </c>
      <c r="D116" s="1" t="str">
        <f>'MPIO_SFIO Table'!E119</f>
        <v>AM22</v>
      </c>
      <c r="E116" s="1" t="str">
        <f>'MPIO_SFIO Table'!F119</f>
        <v>unused_LCD_D16</v>
      </c>
      <c r="F116" s="2" t="str">
        <f>'MPIO_SFIO Table'!G119</f>
        <v>GPIO-M.00</v>
      </c>
      <c r="G116" s="1" t="str">
        <f>'MPIO_SFIO Table'!H119</f>
        <v>LCD0-D16</v>
      </c>
      <c r="H116" s="1" t="str">
        <f>'MPIO_SFIO Table'!I119</f>
        <v>LCD1-D16</v>
      </c>
      <c r="I116" s="1" t="str">
        <f>'MPIO_SFIO Table'!J119</f>
        <v>RSVD1</v>
      </c>
      <c r="J116" s="1" t="str">
        <f>'MPIO_SFIO Table'!K119</f>
        <v>RSVD2</v>
      </c>
      <c r="K116" s="2" t="str">
        <f>'MPIO_SFIO Table'!L119</f>
        <v>config</v>
      </c>
      <c r="L116" s="1" t="str">
        <f>'MPIO_SFIO Table'!M119</f>
        <v>disabled</v>
      </c>
      <c r="M116" s="1" t="str">
        <f>'MPIO_SFIO Table'!N119</f>
        <v>disabled</v>
      </c>
      <c r="N116" s="1" t="str">
        <f>'MPIO_SFIO Table'!O119</f>
        <v>hold</v>
      </c>
      <c r="O116" s="1" t="str">
        <f>'MPIO_SFIO Table'!P119</f>
        <v/>
      </c>
      <c r="P116" s="2" t="str">
        <f>'MPIO_SFIO Table'!Q119</f>
        <v>VDDIO_LCD</v>
      </c>
      <c r="Q116" s="1" t="str">
        <f>'MPIO_SFIO Table'!R119</f>
        <v>ST</v>
      </c>
      <c r="R116" s="1">
        <f>'MPIO_SFIO Table'!S119</f>
        <v>100</v>
      </c>
      <c r="S116" s="1" t="str">
        <f>'MPIO_SFIO Table'!T119</f>
        <v>lcdcfg2</v>
      </c>
      <c r="T116" s="2">
        <f>'MPIO_SFIO Table'!U119</f>
        <v>0</v>
      </c>
      <c r="U116" s="1">
        <f>'MPIO_SFIO Table'!V119</f>
        <v>1</v>
      </c>
      <c r="V116" s="1">
        <f>'MPIO_SFIO Table'!W119</f>
        <v>0</v>
      </c>
      <c r="W116" s="1" t="str">
        <f>'MPIO_SFIO Table'!X119</f>
        <v>down</v>
      </c>
      <c r="X116" s="1" t="str">
        <f>'MPIO_SFIO Table'!Y119</f>
        <v>pd</v>
      </c>
      <c r="Y116" s="88" t="str">
        <f>'MPIO_SFIO Table'!Z119</f>
        <v>pd</v>
      </c>
    </row>
    <row r="117" spans="1:25" x14ac:dyDescent="0.25">
      <c r="A117" s="1" t="str">
        <f>'MPIO_SFIO Table'!A120</f>
        <v>LCD_D17</v>
      </c>
      <c r="B117" s="1" t="str">
        <f>'MPIO_SFIO Table'!C120</f>
        <v>AH15</v>
      </c>
      <c r="C117" s="1" t="str">
        <f>'MPIO_SFIO Table'!D120</f>
        <v>AJ19</v>
      </c>
      <c r="D117" s="1" t="str">
        <f>'MPIO_SFIO Table'!E120</f>
        <v>AJ19</v>
      </c>
      <c r="E117" s="1" t="str">
        <f>'MPIO_SFIO Table'!F120</f>
        <v>unused_LCD_D17</v>
      </c>
      <c r="F117" s="2" t="str">
        <f>'MPIO_SFIO Table'!G120</f>
        <v>GPIO-M.01</v>
      </c>
      <c r="G117" s="1" t="str">
        <f>'MPIO_SFIO Table'!H120</f>
        <v>LCD0-D17</v>
      </c>
      <c r="H117" s="1" t="str">
        <f>'MPIO_SFIO Table'!I120</f>
        <v>LCD1-D17</v>
      </c>
      <c r="I117" s="1" t="str">
        <f>'MPIO_SFIO Table'!J120</f>
        <v>RSVD1</v>
      </c>
      <c r="J117" s="1" t="str">
        <f>'MPIO_SFIO Table'!K120</f>
        <v>RSVD2</v>
      </c>
      <c r="K117" s="2" t="str">
        <f>'MPIO_SFIO Table'!L120</f>
        <v>config</v>
      </c>
      <c r="L117" s="1" t="str">
        <f>'MPIO_SFIO Table'!M120</f>
        <v>disabled</v>
      </c>
      <c r="M117" s="1" t="str">
        <f>'MPIO_SFIO Table'!N120</f>
        <v>disabled</v>
      </c>
      <c r="N117" s="1" t="str">
        <f>'MPIO_SFIO Table'!O120</f>
        <v>hold</v>
      </c>
      <c r="O117" s="1" t="str">
        <f>'MPIO_SFIO Table'!P120</f>
        <v/>
      </c>
      <c r="P117" s="2" t="str">
        <f>'MPIO_SFIO Table'!Q120</f>
        <v>VDDIO_LCD</v>
      </c>
      <c r="Q117" s="1" t="str">
        <f>'MPIO_SFIO Table'!R120</f>
        <v>ST</v>
      </c>
      <c r="R117" s="1">
        <f>'MPIO_SFIO Table'!S120</f>
        <v>100</v>
      </c>
      <c r="S117" s="1" t="str">
        <f>'MPIO_SFIO Table'!T120</f>
        <v>lcdcfg2</v>
      </c>
      <c r="T117" s="2">
        <f>'MPIO_SFIO Table'!U120</f>
        <v>0</v>
      </c>
      <c r="U117" s="1">
        <f>'MPIO_SFIO Table'!V120</f>
        <v>1</v>
      </c>
      <c r="V117" s="1">
        <f>'MPIO_SFIO Table'!W120</f>
        <v>0</v>
      </c>
      <c r="W117" s="1" t="str">
        <f>'MPIO_SFIO Table'!X120</f>
        <v>down</v>
      </c>
      <c r="X117" s="1" t="str">
        <f>'MPIO_SFIO Table'!Y120</f>
        <v>pd</v>
      </c>
      <c r="Y117" s="88" t="str">
        <f>'MPIO_SFIO Table'!Z120</f>
        <v>pd</v>
      </c>
    </row>
    <row r="118" spans="1:25" x14ac:dyDescent="0.25">
      <c r="A118" s="1" t="str">
        <f>'MPIO_SFIO Table'!A121</f>
        <v>LCD_D18</v>
      </c>
      <c r="B118" s="1" t="str">
        <f>'MPIO_SFIO Table'!C121</f>
        <v>AE9</v>
      </c>
      <c r="C118" s="1" t="str">
        <f>'MPIO_SFIO Table'!D121</f>
        <v>AT20</v>
      </c>
      <c r="D118" s="1" t="str">
        <f>'MPIO_SFIO Table'!E121</f>
        <v>AT20</v>
      </c>
      <c r="E118" s="1" t="str">
        <f>'MPIO_SFIO Table'!F121</f>
        <v>unused_LCD_D18</v>
      </c>
      <c r="F118" s="2" t="str">
        <f>'MPIO_SFIO Table'!G121</f>
        <v>GPIO-M.02</v>
      </c>
      <c r="G118" s="1" t="str">
        <f>'MPIO_SFIO Table'!H121</f>
        <v>LCD0-HP1</v>
      </c>
      <c r="H118" s="1" t="str">
        <f>'MPIO_SFIO Table'!I121</f>
        <v>LCD1-HP1</v>
      </c>
      <c r="I118" s="1" t="str">
        <f>'MPIO_SFIO Table'!J121</f>
        <v>RSVD1</v>
      </c>
      <c r="J118" s="1" t="str">
        <f>'MPIO_SFIO Table'!K121</f>
        <v>RSVD2</v>
      </c>
      <c r="K118" s="2" t="str">
        <f>'MPIO_SFIO Table'!L121</f>
        <v>config</v>
      </c>
      <c r="L118" s="1" t="str">
        <f>'MPIO_SFIO Table'!M121</f>
        <v>disabled</v>
      </c>
      <c r="M118" s="1" t="str">
        <f>'MPIO_SFIO Table'!N121</f>
        <v>disabled</v>
      </c>
      <c r="N118" s="1" t="str">
        <f>'MPIO_SFIO Table'!O121</f>
        <v>hold</v>
      </c>
      <c r="O118" s="1" t="str">
        <f>'MPIO_SFIO Table'!P121</f>
        <v/>
      </c>
      <c r="P118" s="2" t="str">
        <f>'MPIO_SFIO Table'!Q121</f>
        <v>VDDIO_LCD</v>
      </c>
      <c r="Q118" s="1" t="str">
        <f>'MPIO_SFIO Table'!R121</f>
        <v>ST</v>
      </c>
      <c r="R118" s="1">
        <f>'MPIO_SFIO Table'!S121</f>
        <v>100</v>
      </c>
      <c r="S118" s="1" t="str">
        <f>'MPIO_SFIO Table'!T121</f>
        <v>lcdcfg2</v>
      </c>
      <c r="T118" s="2">
        <f>'MPIO_SFIO Table'!U121</f>
        <v>0</v>
      </c>
      <c r="U118" s="1">
        <f>'MPIO_SFIO Table'!V121</f>
        <v>1</v>
      </c>
      <c r="V118" s="1">
        <f>'MPIO_SFIO Table'!W121</f>
        <v>0</v>
      </c>
      <c r="W118" s="1" t="str">
        <f>'MPIO_SFIO Table'!X121</f>
        <v>down</v>
      </c>
      <c r="X118" s="1" t="str">
        <f>'MPIO_SFIO Table'!Y121</f>
        <v>pd</v>
      </c>
      <c r="Y118" s="88" t="str">
        <f>'MPIO_SFIO Table'!Z121</f>
        <v>pd</v>
      </c>
    </row>
    <row r="119" spans="1:25" x14ac:dyDescent="0.25">
      <c r="A119" s="1" t="str">
        <f>'MPIO_SFIO Table'!A122</f>
        <v>LCD_D19</v>
      </c>
      <c r="B119" s="1" t="str">
        <f>'MPIO_SFIO Table'!C122</f>
        <v>AE10</v>
      </c>
      <c r="C119" s="1" t="str">
        <f>'MPIO_SFIO Table'!D122</f>
        <v>AT24</v>
      </c>
      <c r="D119" s="1" t="str">
        <f>'MPIO_SFIO Table'!E122</f>
        <v>AT24</v>
      </c>
      <c r="E119" s="1" t="str">
        <f>'MPIO_SFIO Table'!F122</f>
        <v>unused_LCD_D19</v>
      </c>
      <c r="F119" s="2" t="str">
        <f>'MPIO_SFIO Table'!G122</f>
        <v>GPIO-M.03</v>
      </c>
      <c r="G119" s="1" t="str">
        <f>'MPIO_SFIO Table'!H122</f>
        <v>LCD0-HP2</v>
      </c>
      <c r="H119" s="1" t="str">
        <f>'MPIO_SFIO Table'!I122</f>
        <v>LCD1-HP2</v>
      </c>
      <c r="I119" s="1" t="str">
        <f>'MPIO_SFIO Table'!J122</f>
        <v>RSVD1</v>
      </c>
      <c r="J119" s="1" t="str">
        <f>'MPIO_SFIO Table'!K122</f>
        <v>RSVD2</v>
      </c>
      <c r="K119" s="2" t="str">
        <f>'MPIO_SFIO Table'!L122</f>
        <v>config</v>
      </c>
      <c r="L119" s="1" t="str">
        <f>'MPIO_SFIO Table'!M122</f>
        <v>disabled</v>
      </c>
      <c r="M119" s="1" t="str">
        <f>'MPIO_SFIO Table'!N122</f>
        <v>disabled</v>
      </c>
      <c r="N119" s="1" t="str">
        <f>'MPIO_SFIO Table'!O122</f>
        <v>hold</v>
      </c>
      <c r="O119" s="1" t="str">
        <f>'MPIO_SFIO Table'!P122</f>
        <v/>
      </c>
      <c r="P119" s="2" t="str">
        <f>'MPIO_SFIO Table'!Q122</f>
        <v>VDDIO_LCD</v>
      </c>
      <c r="Q119" s="1" t="str">
        <f>'MPIO_SFIO Table'!R122</f>
        <v>ST</v>
      </c>
      <c r="R119" s="1">
        <f>'MPIO_SFIO Table'!S122</f>
        <v>100</v>
      </c>
      <c r="S119" s="1" t="str">
        <f>'MPIO_SFIO Table'!T122</f>
        <v>lcdcfg2</v>
      </c>
      <c r="T119" s="2">
        <f>'MPIO_SFIO Table'!U122</f>
        <v>0</v>
      </c>
      <c r="U119" s="1">
        <f>'MPIO_SFIO Table'!V122</f>
        <v>1</v>
      </c>
      <c r="V119" s="1">
        <f>'MPIO_SFIO Table'!W122</f>
        <v>0</v>
      </c>
      <c r="W119" s="1" t="str">
        <f>'MPIO_SFIO Table'!X122</f>
        <v>down</v>
      </c>
      <c r="X119" s="1" t="str">
        <f>'MPIO_SFIO Table'!Y122</f>
        <v>pd</v>
      </c>
      <c r="Y119" s="88" t="str">
        <f>'MPIO_SFIO Table'!Z122</f>
        <v>pd</v>
      </c>
    </row>
    <row r="120" spans="1:25" x14ac:dyDescent="0.25">
      <c r="A120" s="1" t="str">
        <f>'MPIO_SFIO Table'!A123</f>
        <v>LCD_D2</v>
      </c>
      <c r="B120" s="1" t="str">
        <f>'MPIO_SFIO Table'!C123</f>
        <v>AD10</v>
      </c>
      <c r="C120" s="1" t="str">
        <f>'MPIO_SFIO Table'!D123</f>
        <v>AM18</v>
      </c>
      <c r="D120" s="1" t="str">
        <f>'MPIO_SFIO Table'!E123</f>
        <v>AM18</v>
      </c>
      <c r="E120" s="1" t="str">
        <f>'MPIO_SFIO Table'!F123</f>
        <v>unused_LCD_D2</v>
      </c>
      <c r="F120" s="2" t="str">
        <f>'MPIO_SFIO Table'!G123</f>
        <v>GPIO-E.02</v>
      </c>
      <c r="G120" s="1" t="str">
        <f>'MPIO_SFIO Table'!H123</f>
        <v>LCD0-D2</v>
      </c>
      <c r="H120" s="1" t="str">
        <f>'MPIO_SFIO Table'!I123</f>
        <v>LCD1-D2</v>
      </c>
      <c r="I120" s="1" t="str">
        <f>'MPIO_SFIO Table'!J123</f>
        <v>RSVD1</v>
      </c>
      <c r="J120" s="1" t="str">
        <f>'MPIO_SFIO Table'!K123</f>
        <v>RSVD2</v>
      </c>
      <c r="K120" s="2" t="str">
        <f>'MPIO_SFIO Table'!L123</f>
        <v>config</v>
      </c>
      <c r="L120" s="1" t="str">
        <f>'MPIO_SFIO Table'!M123</f>
        <v>disabled</v>
      </c>
      <c r="M120" s="1" t="str">
        <f>'MPIO_SFIO Table'!N123</f>
        <v>disabled</v>
      </c>
      <c r="N120" s="1" t="str">
        <f>'MPIO_SFIO Table'!O123</f>
        <v>hold</v>
      </c>
      <c r="O120" s="1" t="str">
        <f>'MPIO_SFIO Table'!P123</f>
        <v/>
      </c>
      <c r="P120" s="2" t="str">
        <f>'MPIO_SFIO Table'!Q123</f>
        <v>VDDIO_LCD</v>
      </c>
      <c r="Q120" s="1" t="str">
        <f>'MPIO_SFIO Table'!R123</f>
        <v>ST</v>
      </c>
      <c r="R120" s="1">
        <f>'MPIO_SFIO Table'!S123</f>
        <v>100</v>
      </c>
      <c r="S120" s="1" t="str">
        <f>'MPIO_SFIO Table'!T123</f>
        <v>lcdcfg2</v>
      </c>
      <c r="T120" s="2">
        <f>'MPIO_SFIO Table'!U123</f>
        <v>0</v>
      </c>
      <c r="U120" s="1">
        <f>'MPIO_SFIO Table'!V123</f>
        <v>1</v>
      </c>
      <c r="V120" s="1">
        <f>'MPIO_SFIO Table'!W123</f>
        <v>0</v>
      </c>
      <c r="W120" s="1" t="str">
        <f>'MPIO_SFIO Table'!X123</f>
        <v>down</v>
      </c>
      <c r="X120" s="1" t="str">
        <f>'MPIO_SFIO Table'!Y123</f>
        <v>pd</v>
      </c>
      <c r="Y120" s="88" t="str">
        <f>'MPIO_SFIO Table'!Z123</f>
        <v>pd</v>
      </c>
    </row>
    <row r="121" spans="1:25" x14ac:dyDescent="0.25">
      <c r="A121" s="1" t="str">
        <f>'MPIO_SFIO Table'!A124</f>
        <v>LCD_D20</v>
      </c>
      <c r="B121" s="1" t="str">
        <f>'MPIO_SFIO Table'!C124</f>
        <v>AH13</v>
      </c>
      <c r="C121" s="1" t="str">
        <f>'MPIO_SFIO Table'!D124</f>
        <v>AN27</v>
      </c>
      <c r="D121" s="1" t="str">
        <f>'MPIO_SFIO Table'!E124</f>
        <v>AN27</v>
      </c>
      <c r="E121" s="1" t="str">
        <f>'MPIO_SFIO Table'!F124</f>
        <v>unused_LCD_D20</v>
      </c>
      <c r="F121" s="2" t="str">
        <f>'MPIO_SFIO Table'!G124</f>
        <v>GPIO-M.04</v>
      </c>
      <c r="G121" s="1" t="str">
        <f>'MPIO_SFIO Table'!H124</f>
        <v>LCD0-VP1</v>
      </c>
      <c r="H121" s="1" t="str">
        <f>'MPIO_SFIO Table'!I124</f>
        <v>LCD1-VP1</v>
      </c>
      <c r="I121" s="1" t="str">
        <f>'MPIO_SFIO Table'!J124</f>
        <v>RSVD1</v>
      </c>
      <c r="J121" s="1" t="str">
        <f>'MPIO_SFIO Table'!K124</f>
        <v>RSVD2</v>
      </c>
      <c r="K121" s="2" t="str">
        <f>'MPIO_SFIO Table'!L124</f>
        <v>config</v>
      </c>
      <c r="L121" s="1" t="str">
        <f>'MPIO_SFIO Table'!M124</f>
        <v>disabled</v>
      </c>
      <c r="M121" s="1" t="str">
        <f>'MPIO_SFIO Table'!N124</f>
        <v>disabled</v>
      </c>
      <c r="N121" s="1" t="str">
        <f>'MPIO_SFIO Table'!O124</f>
        <v>hold</v>
      </c>
      <c r="O121" s="1" t="str">
        <f>'MPIO_SFIO Table'!P124</f>
        <v/>
      </c>
      <c r="P121" s="2" t="str">
        <f>'MPIO_SFIO Table'!Q124</f>
        <v>VDDIO_LCD</v>
      </c>
      <c r="Q121" s="1" t="str">
        <f>'MPIO_SFIO Table'!R124</f>
        <v>ST</v>
      </c>
      <c r="R121" s="1">
        <f>'MPIO_SFIO Table'!S124</f>
        <v>100</v>
      </c>
      <c r="S121" s="1" t="str">
        <f>'MPIO_SFIO Table'!T124</f>
        <v>lcdcfg2</v>
      </c>
      <c r="T121" s="2">
        <f>'MPIO_SFIO Table'!U124</f>
        <v>0</v>
      </c>
      <c r="U121" s="1">
        <f>'MPIO_SFIO Table'!V124</f>
        <v>1</v>
      </c>
      <c r="V121" s="1">
        <f>'MPIO_SFIO Table'!W124</f>
        <v>0</v>
      </c>
      <c r="W121" s="1" t="str">
        <f>'MPIO_SFIO Table'!X124</f>
        <v>down</v>
      </c>
      <c r="X121" s="1" t="str">
        <f>'MPIO_SFIO Table'!Y124</f>
        <v>pd</v>
      </c>
      <c r="Y121" s="88" t="str">
        <f>'MPIO_SFIO Table'!Z124</f>
        <v>pd</v>
      </c>
    </row>
    <row r="122" spans="1:25" x14ac:dyDescent="0.25">
      <c r="A122" s="1" t="str">
        <f>'MPIO_SFIO Table'!A125</f>
        <v>LCD_D21</v>
      </c>
      <c r="B122" s="1" t="str">
        <f>'MPIO_SFIO Table'!C125</f>
        <v>AH9</v>
      </c>
      <c r="C122" s="1" t="str">
        <f>'MPIO_SFIO Table'!D125</f>
        <v>AU23</v>
      </c>
      <c r="D122" s="1" t="str">
        <f>'MPIO_SFIO Table'!E125</f>
        <v>AU23</v>
      </c>
      <c r="E122" s="1" t="str">
        <f>'MPIO_SFIO Table'!F125</f>
        <v>unused_LCD_D21</v>
      </c>
      <c r="F122" s="2" t="str">
        <f>'MPIO_SFIO Table'!G125</f>
        <v>GPIO-M.05</v>
      </c>
      <c r="G122" s="1" t="str">
        <f>'MPIO_SFIO Table'!H125</f>
        <v>LCD0-HP0</v>
      </c>
      <c r="H122" s="1" t="str">
        <f>'MPIO_SFIO Table'!I125</f>
        <v>LCD1-HP0</v>
      </c>
      <c r="I122" s="1" t="str">
        <f>'MPIO_SFIO Table'!J125</f>
        <v>RSVD1</v>
      </c>
      <c r="J122" s="1" t="str">
        <f>'MPIO_SFIO Table'!K125</f>
        <v>RSVD2</v>
      </c>
      <c r="K122" s="2" t="str">
        <f>'MPIO_SFIO Table'!L125</f>
        <v>config</v>
      </c>
      <c r="L122" s="1" t="str">
        <f>'MPIO_SFIO Table'!M125</f>
        <v>disabled</v>
      </c>
      <c r="M122" s="1" t="str">
        <f>'MPIO_SFIO Table'!N125</f>
        <v>disabled</v>
      </c>
      <c r="N122" s="1" t="str">
        <f>'MPIO_SFIO Table'!O125</f>
        <v>hold</v>
      </c>
      <c r="O122" s="1" t="str">
        <f>'MPIO_SFIO Table'!P125</f>
        <v/>
      </c>
      <c r="P122" s="2" t="str">
        <f>'MPIO_SFIO Table'!Q125</f>
        <v>VDDIO_LCD</v>
      </c>
      <c r="Q122" s="1" t="str">
        <f>'MPIO_SFIO Table'!R125</f>
        <v>ST</v>
      </c>
      <c r="R122" s="1">
        <f>'MPIO_SFIO Table'!S125</f>
        <v>100</v>
      </c>
      <c r="S122" s="1" t="str">
        <f>'MPIO_SFIO Table'!T125</f>
        <v>lcdcfg2</v>
      </c>
      <c r="T122" s="2">
        <f>'MPIO_SFIO Table'!U125</f>
        <v>0</v>
      </c>
      <c r="U122" s="1">
        <f>'MPIO_SFIO Table'!V125</f>
        <v>1</v>
      </c>
      <c r="V122" s="1">
        <f>'MPIO_SFIO Table'!W125</f>
        <v>0</v>
      </c>
      <c r="W122" s="1" t="str">
        <f>'MPIO_SFIO Table'!X125</f>
        <v>down</v>
      </c>
      <c r="X122" s="1" t="str">
        <f>'MPIO_SFIO Table'!Y125</f>
        <v>pd</v>
      </c>
      <c r="Y122" s="88" t="str">
        <f>'MPIO_SFIO Table'!Z125</f>
        <v>pd</v>
      </c>
    </row>
    <row r="123" spans="1:25" x14ac:dyDescent="0.25">
      <c r="A123" s="1" t="str">
        <f>'MPIO_SFIO Table'!A126</f>
        <v>LCD_D22</v>
      </c>
      <c r="B123" s="1" t="str">
        <f>'MPIO_SFIO Table'!C126</f>
        <v>AE13</v>
      </c>
      <c r="C123" s="1" t="str">
        <f>'MPIO_SFIO Table'!D126</f>
        <v>AR27</v>
      </c>
      <c r="D123" s="1" t="str">
        <f>'MPIO_SFIO Table'!E126</f>
        <v>AR27</v>
      </c>
      <c r="E123" s="1" t="str">
        <f>'MPIO_SFIO Table'!F126</f>
        <v>unused_LCD_D22</v>
      </c>
      <c r="F123" s="2" t="str">
        <f>'MPIO_SFIO Table'!G126</f>
        <v>GPIO-M.06</v>
      </c>
      <c r="G123" s="1" t="str">
        <f>'MPIO_SFIO Table'!H126</f>
        <v>LCD0-DI</v>
      </c>
      <c r="H123" s="1" t="str">
        <f>'MPIO_SFIO Table'!I126</f>
        <v>LCD1-DI</v>
      </c>
      <c r="I123" s="1" t="str">
        <f>'MPIO_SFIO Table'!J126</f>
        <v>RSVD1</v>
      </c>
      <c r="J123" s="1" t="str">
        <f>'MPIO_SFIO Table'!K126</f>
        <v>RSVD2</v>
      </c>
      <c r="K123" s="2" t="str">
        <f>'MPIO_SFIO Table'!L126</f>
        <v>config</v>
      </c>
      <c r="L123" s="1" t="str">
        <f>'MPIO_SFIO Table'!M126</f>
        <v>disabled</v>
      </c>
      <c r="M123" s="1" t="str">
        <f>'MPIO_SFIO Table'!N126</f>
        <v>disabled</v>
      </c>
      <c r="N123" s="1" t="str">
        <f>'MPIO_SFIO Table'!O126</f>
        <v>hold</v>
      </c>
      <c r="O123" s="1" t="str">
        <f>'MPIO_SFIO Table'!P126</f>
        <v/>
      </c>
      <c r="P123" s="2" t="str">
        <f>'MPIO_SFIO Table'!Q126</f>
        <v>VDDIO_LCD</v>
      </c>
      <c r="Q123" s="1" t="str">
        <f>'MPIO_SFIO Table'!R126</f>
        <v>ST</v>
      </c>
      <c r="R123" s="1">
        <f>'MPIO_SFIO Table'!S126</f>
        <v>100</v>
      </c>
      <c r="S123" s="1" t="str">
        <f>'MPIO_SFIO Table'!T126</f>
        <v>lcdcfg2</v>
      </c>
      <c r="T123" s="2">
        <f>'MPIO_SFIO Table'!U126</f>
        <v>0</v>
      </c>
      <c r="U123" s="1">
        <f>'MPIO_SFIO Table'!V126</f>
        <v>1</v>
      </c>
      <c r="V123" s="1">
        <f>'MPIO_SFIO Table'!W126</f>
        <v>0</v>
      </c>
      <c r="W123" s="1" t="str">
        <f>'MPIO_SFIO Table'!X126</f>
        <v>down</v>
      </c>
      <c r="X123" s="1" t="str">
        <f>'MPIO_SFIO Table'!Y126</f>
        <v>pd</v>
      </c>
      <c r="Y123" s="88" t="str">
        <f>'MPIO_SFIO Table'!Z126</f>
        <v>pd</v>
      </c>
    </row>
    <row r="124" spans="1:25" x14ac:dyDescent="0.25">
      <c r="A124" s="1" t="str">
        <f>'MPIO_SFIO Table'!A127</f>
        <v>LCD_D23</v>
      </c>
      <c r="B124" s="1" t="str">
        <f>'MPIO_SFIO Table'!C127</f>
        <v>AK13</v>
      </c>
      <c r="C124" s="1" t="str">
        <f>'MPIO_SFIO Table'!D127</f>
        <v>AM24</v>
      </c>
      <c r="D124" s="1" t="str">
        <f>'MPIO_SFIO Table'!E127</f>
        <v>AM24</v>
      </c>
      <c r="E124" s="1" t="str">
        <f>'MPIO_SFIO Table'!F127</f>
        <v>unused_LCD_D23</v>
      </c>
      <c r="F124" s="2" t="str">
        <f>'MPIO_SFIO Table'!G127</f>
        <v>GPIO-M.07</v>
      </c>
      <c r="G124" s="1" t="str">
        <f>'MPIO_SFIO Table'!H127</f>
        <v>LCD0-PP</v>
      </c>
      <c r="H124" s="1" t="str">
        <f>'MPIO_SFIO Table'!I127</f>
        <v>LCD1-PP</v>
      </c>
      <c r="I124" s="1" t="str">
        <f>'MPIO_SFIO Table'!J127</f>
        <v>RSVD1</v>
      </c>
      <c r="J124" s="1" t="str">
        <f>'MPIO_SFIO Table'!K127</f>
        <v>RSVD2</v>
      </c>
      <c r="K124" s="2" t="str">
        <f>'MPIO_SFIO Table'!L127</f>
        <v>config</v>
      </c>
      <c r="L124" s="1" t="str">
        <f>'MPIO_SFIO Table'!M127</f>
        <v>disabled</v>
      </c>
      <c r="M124" s="1" t="str">
        <f>'MPIO_SFIO Table'!N127</f>
        <v>disabled</v>
      </c>
      <c r="N124" s="1" t="str">
        <f>'MPIO_SFIO Table'!O127</f>
        <v>hold</v>
      </c>
      <c r="O124" s="1" t="str">
        <f>'MPIO_SFIO Table'!P127</f>
        <v/>
      </c>
      <c r="P124" s="2" t="str">
        <f>'MPIO_SFIO Table'!Q127</f>
        <v>VDDIO_LCD</v>
      </c>
      <c r="Q124" s="1" t="str">
        <f>'MPIO_SFIO Table'!R127</f>
        <v>ST</v>
      </c>
      <c r="R124" s="1">
        <f>'MPIO_SFIO Table'!S127</f>
        <v>100</v>
      </c>
      <c r="S124" s="1" t="str">
        <f>'MPIO_SFIO Table'!T127</f>
        <v>lcdcfg2</v>
      </c>
      <c r="T124" s="2">
        <f>'MPIO_SFIO Table'!U127</f>
        <v>0</v>
      </c>
      <c r="U124" s="1">
        <f>'MPIO_SFIO Table'!V127</f>
        <v>1</v>
      </c>
      <c r="V124" s="1">
        <f>'MPIO_SFIO Table'!W127</f>
        <v>0</v>
      </c>
      <c r="W124" s="1" t="str">
        <f>'MPIO_SFIO Table'!X127</f>
        <v>down</v>
      </c>
      <c r="X124" s="1" t="str">
        <f>'MPIO_SFIO Table'!Y127</f>
        <v>pd</v>
      </c>
      <c r="Y124" s="88" t="str">
        <f>'MPIO_SFIO Table'!Z127</f>
        <v>pd</v>
      </c>
    </row>
    <row r="125" spans="1:25" x14ac:dyDescent="0.25">
      <c r="A125" s="1" t="str">
        <f>'MPIO_SFIO Table'!A128</f>
        <v>LCD_D3</v>
      </c>
      <c r="B125" s="1" t="str">
        <f>'MPIO_SFIO Table'!C128</f>
        <v>AK15</v>
      </c>
      <c r="C125" s="1" t="str">
        <f>'MPIO_SFIO Table'!D128</f>
        <v>AN19</v>
      </c>
      <c r="D125" s="1" t="str">
        <f>'MPIO_SFIO Table'!E128</f>
        <v>AN19</v>
      </c>
      <c r="E125" s="1" t="str">
        <f>'MPIO_SFIO Table'!F128</f>
        <v>unused_LCD_D3</v>
      </c>
      <c r="F125" s="2" t="str">
        <f>'MPIO_SFIO Table'!G128</f>
        <v>GPIO-E.03</v>
      </c>
      <c r="G125" s="1" t="str">
        <f>'MPIO_SFIO Table'!H128</f>
        <v>LCD0-D3</v>
      </c>
      <c r="H125" s="1" t="str">
        <f>'MPIO_SFIO Table'!I128</f>
        <v>LCD1-D3</v>
      </c>
      <c r="I125" s="1" t="str">
        <f>'MPIO_SFIO Table'!J128</f>
        <v>RSVD1</v>
      </c>
      <c r="J125" s="1" t="str">
        <f>'MPIO_SFIO Table'!K128</f>
        <v>RSVD2</v>
      </c>
      <c r="K125" s="2" t="str">
        <f>'MPIO_SFIO Table'!L128</f>
        <v>config</v>
      </c>
      <c r="L125" s="1" t="str">
        <f>'MPIO_SFIO Table'!M128</f>
        <v>disabled</v>
      </c>
      <c r="M125" s="1" t="str">
        <f>'MPIO_SFIO Table'!N128</f>
        <v>disabled</v>
      </c>
      <c r="N125" s="1" t="str">
        <f>'MPIO_SFIO Table'!O128</f>
        <v>hold</v>
      </c>
      <c r="O125" s="1" t="str">
        <f>'MPIO_SFIO Table'!P128</f>
        <v/>
      </c>
      <c r="P125" s="2" t="str">
        <f>'MPIO_SFIO Table'!Q128</f>
        <v>VDDIO_LCD</v>
      </c>
      <c r="Q125" s="1" t="str">
        <f>'MPIO_SFIO Table'!R128</f>
        <v>ST</v>
      </c>
      <c r="R125" s="1">
        <f>'MPIO_SFIO Table'!S128</f>
        <v>100</v>
      </c>
      <c r="S125" s="1" t="str">
        <f>'MPIO_SFIO Table'!T128</f>
        <v>lcdcfg2</v>
      </c>
      <c r="T125" s="2">
        <f>'MPIO_SFIO Table'!U128</f>
        <v>0</v>
      </c>
      <c r="U125" s="1">
        <f>'MPIO_SFIO Table'!V128</f>
        <v>1</v>
      </c>
      <c r="V125" s="1">
        <f>'MPIO_SFIO Table'!W128</f>
        <v>0</v>
      </c>
      <c r="W125" s="1" t="str">
        <f>'MPIO_SFIO Table'!X128</f>
        <v>down</v>
      </c>
      <c r="X125" s="1" t="str">
        <f>'MPIO_SFIO Table'!Y128</f>
        <v>pd</v>
      </c>
      <c r="Y125" s="88" t="str">
        <f>'MPIO_SFIO Table'!Z128</f>
        <v>pd</v>
      </c>
    </row>
    <row r="126" spans="1:25" x14ac:dyDescent="0.25">
      <c r="A126" s="1" t="str">
        <f>'MPIO_SFIO Table'!A129</f>
        <v>LCD_D4</v>
      </c>
      <c r="B126" s="1" t="str">
        <f>'MPIO_SFIO Table'!C129</f>
        <v>AK16</v>
      </c>
      <c r="C126" s="1" t="str">
        <f>'MPIO_SFIO Table'!D129</f>
        <v>AJ23</v>
      </c>
      <c r="D126" s="1" t="str">
        <f>'MPIO_SFIO Table'!E129</f>
        <v>AJ23</v>
      </c>
      <c r="E126" s="1" t="str">
        <f>'MPIO_SFIO Table'!F129</f>
        <v>unused_LCD_D4</v>
      </c>
      <c r="F126" s="2" t="str">
        <f>'MPIO_SFIO Table'!G129</f>
        <v>GPIO-E.04</v>
      </c>
      <c r="G126" s="1" t="str">
        <f>'MPIO_SFIO Table'!H129</f>
        <v>LCD0-D4</v>
      </c>
      <c r="H126" s="1" t="str">
        <f>'MPIO_SFIO Table'!I129</f>
        <v>LCD1-D4</v>
      </c>
      <c r="I126" s="1" t="str">
        <f>'MPIO_SFIO Table'!J129</f>
        <v>RSVD1</v>
      </c>
      <c r="J126" s="1" t="str">
        <f>'MPIO_SFIO Table'!K129</f>
        <v>RSVD2</v>
      </c>
      <c r="K126" s="2" t="str">
        <f>'MPIO_SFIO Table'!L129</f>
        <v>config</v>
      </c>
      <c r="L126" s="1" t="str">
        <f>'MPIO_SFIO Table'!M129</f>
        <v>disabled</v>
      </c>
      <c r="M126" s="1" t="str">
        <f>'MPIO_SFIO Table'!N129</f>
        <v>disabled</v>
      </c>
      <c r="N126" s="1" t="str">
        <f>'MPIO_SFIO Table'!O129</f>
        <v>hold</v>
      </c>
      <c r="O126" s="1" t="str">
        <f>'MPIO_SFIO Table'!P129</f>
        <v/>
      </c>
      <c r="P126" s="2" t="str">
        <f>'MPIO_SFIO Table'!Q129</f>
        <v>VDDIO_LCD</v>
      </c>
      <c r="Q126" s="1" t="str">
        <f>'MPIO_SFIO Table'!R129</f>
        <v>ST</v>
      </c>
      <c r="R126" s="1">
        <f>'MPIO_SFIO Table'!S129</f>
        <v>100</v>
      </c>
      <c r="S126" s="1" t="str">
        <f>'MPIO_SFIO Table'!T129</f>
        <v>lcdcfg2</v>
      </c>
      <c r="T126" s="2">
        <f>'MPIO_SFIO Table'!U129</f>
        <v>0</v>
      </c>
      <c r="U126" s="1">
        <f>'MPIO_SFIO Table'!V129</f>
        <v>1</v>
      </c>
      <c r="V126" s="1">
        <f>'MPIO_SFIO Table'!W129</f>
        <v>0</v>
      </c>
      <c r="W126" s="1" t="str">
        <f>'MPIO_SFIO Table'!X129</f>
        <v>down</v>
      </c>
      <c r="X126" s="1" t="str">
        <f>'MPIO_SFIO Table'!Y129</f>
        <v>pd</v>
      </c>
      <c r="Y126" s="88" t="str">
        <f>'MPIO_SFIO Table'!Z129</f>
        <v>pd</v>
      </c>
    </row>
    <row r="127" spans="1:25" x14ac:dyDescent="0.25">
      <c r="A127" s="1" t="str">
        <f>'MPIO_SFIO Table'!A130</f>
        <v>LCD_D5</v>
      </c>
      <c r="B127" s="1" t="str">
        <f>'MPIO_SFIO Table'!C130</f>
        <v>AK10</v>
      </c>
      <c r="C127" s="1" t="str">
        <f>'MPIO_SFIO Table'!D130</f>
        <v>AR23</v>
      </c>
      <c r="D127" s="1" t="str">
        <f>'MPIO_SFIO Table'!E130</f>
        <v>AR23</v>
      </c>
      <c r="E127" s="1" t="str">
        <f>'MPIO_SFIO Table'!F130</f>
        <v>unused_LCD_D5</v>
      </c>
      <c r="F127" s="2" t="str">
        <f>'MPIO_SFIO Table'!G130</f>
        <v>GPIO-E.05</v>
      </c>
      <c r="G127" s="1" t="str">
        <f>'MPIO_SFIO Table'!H130</f>
        <v>LCD0-D5</v>
      </c>
      <c r="H127" s="1" t="str">
        <f>'MPIO_SFIO Table'!I130</f>
        <v>LCD1-D5</v>
      </c>
      <c r="I127" s="1" t="str">
        <f>'MPIO_SFIO Table'!J130</f>
        <v>RSVD1</v>
      </c>
      <c r="J127" s="1" t="str">
        <f>'MPIO_SFIO Table'!K130</f>
        <v>RSVD2</v>
      </c>
      <c r="K127" s="2" t="str">
        <f>'MPIO_SFIO Table'!L130</f>
        <v>config</v>
      </c>
      <c r="L127" s="1" t="str">
        <f>'MPIO_SFIO Table'!M130</f>
        <v>disabled</v>
      </c>
      <c r="M127" s="1" t="str">
        <f>'MPIO_SFIO Table'!N130</f>
        <v>disabled</v>
      </c>
      <c r="N127" s="1" t="str">
        <f>'MPIO_SFIO Table'!O130</f>
        <v>hold</v>
      </c>
      <c r="O127" s="1" t="str">
        <f>'MPIO_SFIO Table'!P130</f>
        <v/>
      </c>
      <c r="P127" s="2" t="str">
        <f>'MPIO_SFIO Table'!Q130</f>
        <v>VDDIO_LCD</v>
      </c>
      <c r="Q127" s="1" t="str">
        <f>'MPIO_SFIO Table'!R130</f>
        <v>ST</v>
      </c>
      <c r="R127" s="1">
        <f>'MPIO_SFIO Table'!S130</f>
        <v>100</v>
      </c>
      <c r="S127" s="1" t="str">
        <f>'MPIO_SFIO Table'!T130</f>
        <v>lcdcfg2</v>
      </c>
      <c r="T127" s="2">
        <f>'MPIO_SFIO Table'!U130</f>
        <v>0</v>
      </c>
      <c r="U127" s="1">
        <f>'MPIO_SFIO Table'!V130</f>
        <v>1</v>
      </c>
      <c r="V127" s="1">
        <f>'MPIO_SFIO Table'!W130</f>
        <v>0</v>
      </c>
      <c r="W127" s="1" t="str">
        <f>'MPIO_SFIO Table'!X130</f>
        <v>down</v>
      </c>
      <c r="X127" s="1" t="str">
        <f>'MPIO_SFIO Table'!Y130</f>
        <v>pd</v>
      </c>
      <c r="Y127" s="88" t="str">
        <f>'MPIO_SFIO Table'!Z130</f>
        <v>pd</v>
      </c>
    </row>
    <row r="128" spans="1:25" x14ac:dyDescent="0.25">
      <c r="A128" s="1" t="str">
        <f>'MPIO_SFIO Table'!A131</f>
        <v>LCD_D6</v>
      </c>
      <c r="B128" s="1" t="str">
        <f>'MPIO_SFIO Table'!C131</f>
        <v>AK12</v>
      </c>
      <c r="C128" s="1" t="str">
        <f>'MPIO_SFIO Table'!D131</f>
        <v>AK16</v>
      </c>
      <c r="D128" s="1" t="str">
        <f>'MPIO_SFIO Table'!E131</f>
        <v>AK16</v>
      </c>
      <c r="E128" s="1" t="str">
        <f>'MPIO_SFIO Table'!F131</f>
        <v>unused_LCD_D6</v>
      </c>
      <c r="F128" s="2" t="str">
        <f>'MPIO_SFIO Table'!G131</f>
        <v>GPIO-E.06</v>
      </c>
      <c r="G128" s="1" t="str">
        <f>'MPIO_SFIO Table'!H131</f>
        <v>LCD0-D6</v>
      </c>
      <c r="H128" s="1" t="str">
        <f>'MPIO_SFIO Table'!I131</f>
        <v>LCD1-D6</v>
      </c>
      <c r="I128" s="1" t="str">
        <f>'MPIO_SFIO Table'!J131</f>
        <v>RSVD1</v>
      </c>
      <c r="J128" s="1" t="str">
        <f>'MPIO_SFIO Table'!K131</f>
        <v>RSVD2</v>
      </c>
      <c r="K128" s="2" t="str">
        <f>'MPIO_SFIO Table'!L131</f>
        <v>config</v>
      </c>
      <c r="L128" s="1" t="str">
        <f>'MPIO_SFIO Table'!M131</f>
        <v>disabled</v>
      </c>
      <c r="M128" s="1" t="str">
        <f>'MPIO_SFIO Table'!N131</f>
        <v>disabled</v>
      </c>
      <c r="N128" s="1" t="str">
        <f>'MPIO_SFIO Table'!O131</f>
        <v>hold</v>
      </c>
      <c r="O128" s="1" t="str">
        <f>'MPIO_SFIO Table'!P131</f>
        <v/>
      </c>
      <c r="P128" s="2" t="str">
        <f>'MPIO_SFIO Table'!Q131</f>
        <v>VDDIO_LCD</v>
      </c>
      <c r="Q128" s="1" t="str">
        <f>'MPIO_SFIO Table'!R131</f>
        <v>ST</v>
      </c>
      <c r="R128" s="1">
        <f>'MPIO_SFIO Table'!S131</f>
        <v>100</v>
      </c>
      <c r="S128" s="1" t="str">
        <f>'MPIO_SFIO Table'!T131</f>
        <v>lcdcfg2</v>
      </c>
      <c r="T128" s="2">
        <f>'MPIO_SFIO Table'!U131</f>
        <v>0</v>
      </c>
      <c r="U128" s="1">
        <f>'MPIO_SFIO Table'!V131</f>
        <v>1</v>
      </c>
      <c r="V128" s="1">
        <f>'MPIO_SFIO Table'!W131</f>
        <v>0</v>
      </c>
      <c r="W128" s="1" t="str">
        <f>'MPIO_SFIO Table'!X131</f>
        <v>down</v>
      </c>
      <c r="X128" s="1" t="str">
        <f>'MPIO_SFIO Table'!Y131</f>
        <v>pd</v>
      </c>
      <c r="Y128" s="88" t="str">
        <f>'MPIO_SFIO Table'!Z131</f>
        <v>pd</v>
      </c>
    </row>
    <row r="129" spans="1:25" x14ac:dyDescent="0.25">
      <c r="A129" s="1" t="str">
        <f>'MPIO_SFIO Table'!A132</f>
        <v>LCD_D7</v>
      </c>
      <c r="B129" s="1" t="str">
        <f>'MPIO_SFIO Table'!C132</f>
        <v>AG16</v>
      </c>
      <c r="C129" s="1" t="str">
        <f>'MPIO_SFIO Table'!D132</f>
        <v>AK22</v>
      </c>
      <c r="D129" s="1" t="str">
        <f>'MPIO_SFIO Table'!E132</f>
        <v>AK22</v>
      </c>
      <c r="E129" s="1" t="str">
        <f>'MPIO_SFIO Table'!F132</f>
        <v>unused_LCD_D7</v>
      </c>
      <c r="F129" s="2" t="str">
        <f>'MPIO_SFIO Table'!G132</f>
        <v>GPIO-E.07</v>
      </c>
      <c r="G129" s="1" t="str">
        <f>'MPIO_SFIO Table'!H132</f>
        <v>LCD0-D7</v>
      </c>
      <c r="H129" s="1" t="str">
        <f>'MPIO_SFIO Table'!I132</f>
        <v>LCD1-D7</v>
      </c>
      <c r="I129" s="1" t="str">
        <f>'MPIO_SFIO Table'!J132</f>
        <v>RSVD1</v>
      </c>
      <c r="J129" s="1" t="str">
        <f>'MPIO_SFIO Table'!K132</f>
        <v>RSVD2</v>
      </c>
      <c r="K129" s="2" t="str">
        <f>'MPIO_SFIO Table'!L132</f>
        <v>config</v>
      </c>
      <c r="L129" s="1" t="str">
        <f>'MPIO_SFIO Table'!M132</f>
        <v>disabled</v>
      </c>
      <c r="M129" s="1" t="str">
        <f>'MPIO_SFIO Table'!N132</f>
        <v>disabled</v>
      </c>
      <c r="N129" s="1" t="str">
        <f>'MPIO_SFIO Table'!O132</f>
        <v>hold</v>
      </c>
      <c r="O129" s="1" t="str">
        <f>'MPIO_SFIO Table'!P132</f>
        <v/>
      </c>
      <c r="P129" s="2" t="str">
        <f>'MPIO_SFIO Table'!Q132</f>
        <v>VDDIO_LCD</v>
      </c>
      <c r="Q129" s="1" t="str">
        <f>'MPIO_SFIO Table'!R132</f>
        <v>ST</v>
      </c>
      <c r="R129" s="1">
        <f>'MPIO_SFIO Table'!S132</f>
        <v>100</v>
      </c>
      <c r="S129" s="1" t="str">
        <f>'MPIO_SFIO Table'!T132</f>
        <v>lcdcfg2</v>
      </c>
      <c r="T129" s="2">
        <f>'MPIO_SFIO Table'!U132</f>
        <v>0</v>
      </c>
      <c r="U129" s="1">
        <f>'MPIO_SFIO Table'!V132</f>
        <v>1</v>
      </c>
      <c r="V129" s="1">
        <f>'MPIO_SFIO Table'!W132</f>
        <v>0</v>
      </c>
      <c r="W129" s="1" t="str">
        <f>'MPIO_SFIO Table'!X132</f>
        <v>down</v>
      </c>
      <c r="X129" s="1" t="str">
        <f>'MPIO_SFIO Table'!Y132</f>
        <v>pd</v>
      </c>
      <c r="Y129" s="88" t="str">
        <f>'MPIO_SFIO Table'!Z132</f>
        <v>pd</v>
      </c>
    </row>
    <row r="130" spans="1:25" x14ac:dyDescent="0.25">
      <c r="A130" s="1" t="str">
        <f>'MPIO_SFIO Table'!A133</f>
        <v>LCD_D8</v>
      </c>
      <c r="B130" s="1" t="str">
        <f>'MPIO_SFIO Table'!C133</f>
        <v>AG8</v>
      </c>
      <c r="C130" s="1" t="str">
        <f>'MPIO_SFIO Table'!D133</f>
        <v>AU21</v>
      </c>
      <c r="D130" s="1" t="str">
        <f>'MPIO_SFIO Table'!E133</f>
        <v>AU21</v>
      </c>
      <c r="E130" s="1" t="str">
        <f>'MPIO_SFIO Table'!F133</f>
        <v>unused_LCD_D8</v>
      </c>
      <c r="F130" s="2" t="str">
        <f>'MPIO_SFIO Table'!G133</f>
        <v>GPIO-F.00</v>
      </c>
      <c r="G130" s="1" t="str">
        <f>'MPIO_SFIO Table'!H133</f>
        <v>LCD0-D8</v>
      </c>
      <c r="H130" s="1" t="str">
        <f>'MPIO_SFIO Table'!I133</f>
        <v>LCD1-D8</v>
      </c>
      <c r="I130" s="1" t="str">
        <f>'MPIO_SFIO Table'!J133</f>
        <v>RSVD1</v>
      </c>
      <c r="J130" s="1" t="str">
        <f>'MPIO_SFIO Table'!K133</f>
        <v>RSVD2</v>
      </c>
      <c r="K130" s="2" t="str">
        <f>'MPIO_SFIO Table'!L133</f>
        <v>config</v>
      </c>
      <c r="L130" s="1" t="str">
        <f>'MPIO_SFIO Table'!M133</f>
        <v>disabled</v>
      </c>
      <c r="M130" s="1" t="str">
        <f>'MPIO_SFIO Table'!N133</f>
        <v>disabled</v>
      </c>
      <c r="N130" s="1" t="str">
        <f>'MPIO_SFIO Table'!O133</f>
        <v>hold</v>
      </c>
      <c r="O130" s="1" t="str">
        <f>'MPIO_SFIO Table'!P133</f>
        <v/>
      </c>
      <c r="P130" s="2" t="str">
        <f>'MPIO_SFIO Table'!Q133</f>
        <v>VDDIO_LCD</v>
      </c>
      <c r="Q130" s="1" t="str">
        <f>'MPIO_SFIO Table'!R133</f>
        <v>ST</v>
      </c>
      <c r="R130" s="1">
        <f>'MPIO_SFIO Table'!S133</f>
        <v>100</v>
      </c>
      <c r="S130" s="1" t="str">
        <f>'MPIO_SFIO Table'!T133</f>
        <v>lcdcfg2</v>
      </c>
      <c r="T130" s="2">
        <f>'MPIO_SFIO Table'!U133</f>
        <v>0</v>
      </c>
      <c r="U130" s="1">
        <f>'MPIO_SFIO Table'!V133</f>
        <v>1</v>
      </c>
      <c r="V130" s="1">
        <f>'MPIO_SFIO Table'!W133</f>
        <v>0</v>
      </c>
      <c r="W130" s="1" t="str">
        <f>'MPIO_SFIO Table'!X133</f>
        <v>down</v>
      </c>
      <c r="X130" s="1" t="str">
        <f>'MPIO_SFIO Table'!Y133</f>
        <v>pd</v>
      </c>
      <c r="Y130" s="88" t="str">
        <f>'MPIO_SFIO Table'!Z133</f>
        <v>pd</v>
      </c>
    </row>
    <row r="131" spans="1:25" x14ac:dyDescent="0.25">
      <c r="A131" s="1" t="str">
        <f>'MPIO_SFIO Table'!A134</f>
        <v>LCD_D9</v>
      </c>
      <c r="B131" s="1" t="str">
        <f>'MPIO_SFIO Table'!C134</f>
        <v>AD15</v>
      </c>
      <c r="C131" s="1" t="str">
        <f>'MPIO_SFIO Table'!D134</f>
        <v>AM26</v>
      </c>
      <c r="D131" s="1" t="str">
        <f>'MPIO_SFIO Table'!E134</f>
        <v>AM26</v>
      </c>
      <c r="E131" s="1" t="str">
        <f>'MPIO_SFIO Table'!F134</f>
        <v>unused_LCD_D9</v>
      </c>
      <c r="F131" s="2" t="str">
        <f>'MPIO_SFIO Table'!G134</f>
        <v>GPIO-F.01</v>
      </c>
      <c r="G131" s="1" t="str">
        <f>'MPIO_SFIO Table'!H134</f>
        <v>LCD0-D9</v>
      </c>
      <c r="H131" s="1" t="str">
        <f>'MPIO_SFIO Table'!I134</f>
        <v>LCD1-D9</v>
      </c>
      <c r="I131" s="1" t="str">
        <f>'MPIO_SFIO Table'!J134</f>
        <v>RSVD1</v>
      </c>
      <c r="J131" s="1" t="str">
        <f>'MPIO_SFIO Table'!K134</f>
        <v>RSVD2</v>
      </c>
      <c r="K131" s="2" t="str">
        <f>'MPIO_SFIO Table'!L134</f>
        <v>config</v>
      </c>
      <c r="L131" s="1" t="str">
        <f>'MPIO_SFIO Table'!M134</f>
        <v>disabled</v>
      </c>
      <c r="M131" s="1" t="str">
        <f>'MPIO_SFIO Table'!N134</f>
        <v>disabled</v>
      </c>
      <c r="N131" s="1" t="str">
        <f>'MPIO_SFIO Table'!O134</f>
        <v>hold</v>
      </c>
      <c r="O131" s="1" t="str">
        <f>'MPIO_SFIO Table'!P134</f>
        <v/>
      </c>
      <c r="P131" s="2" t="str">
        <f>'MPIO_SFIO Table'!Q134</f>
        <v>VDDIO_LCD</v>
      </c>
      <c r="Q131" s="1" t="str">
        <f>'MPIO_SFIO Table'!R134</f>
        <v>ST</v>
      </c>
      <c r="R131" s="1">
        <f>'MPIO_SFIO Table'!S134</f>
        <v>100</v>
      </c>
      <c r="S131" s="1" t="str">
        <f>'MPIO_SFIO Table'!T134</f>
        <v>lcdcfg2</v>
      </c>
      <c r="T131" s="2">
        <f>'MPIO_SFIO Table'!U134</f>
        <v>0</v>
      </c>
      <c r="U131" s="1">
        <f>'MPIO_SFIO Table'!V134</f>
        <v>1</v>
      </c>
      <c r="V131" s="1">
        <f>'MPIO_SFIO Table'!W134</f>
        <v>0</v>
      </c>
      <c r="W131" s="1" t="str">
        <f>'MPIO_SFIO Table'!X134</f>
        <v>down</v>
      </c>
      <c r="X131" s="1" t="str">
        <f>'MPIO_SFIO Table'!Y134</f>
        <v>pd</v>
      </c>
      <c r="Y131" s="88" t="str">
        <f>'MPIO_SFIO Table'!Z134</f>
        <v>pd</v>
      </c>
    </row>
    <row r="132" spans="1:25" x14ac:dyDescent="0.25">
      <c r="A132" s="1" t="str">
        <f>'MPIO_SFIO Table'!A135</f>
        <v>LCD_DC0</v>
      </c>
      <c r="B132" s="1" t="str">
        <f>'MPIO_SFIO Table'!C135</f>
        <v>AE15</v>
      </c>
      <c r="C132" s="1" t="str">
        <f>'MPIO_SFIO Table'!D135</f>
        <v>AL27</v>
      </c>
      <c r="D132" s="1" t="str">
        <f>'MPIO_SFIO Table'!E135</f>
        <v>AL27</v>
      </c>
      <c r="E132" s="1" t="str">
        <f>'MPIO_SFIO Table'!F135</f>
        <v>unused_LCD_DC0</v>
      </c>
      <c r="F132" s="2" t="str">
        <f>'MPIO_SFIO Table'!G135</f>
        <v>GPIO-N.06</v>
      </c>
      <c r="G132" s="1" t="str">
        <f>'MPIO_SFIO Table'!H135</f>
        <v>LCD0-DC</v>
      </c>
      <c r="H132" s="1" t="str">
        <f>'MPIO_SFIO Table'!I135</f>
        <v>LCD1-DC</v>
      </c>
      <c r="I132" s="1" t="str">
        <f>'MPIO_SFIO Table'!J135</f>
        <v>RSVD1</v>
      </c>
      <c r="J132" s="1" t="str">
        <f>'MPIO_SFIO Table'!K135</f>
        <v>RSVD2</v>
      </c>
      <c r="K132" s="2" t="str">
        <f>'MPIO_SFIO Table'!L135</f>
        <v>config</v>
      </c>
      <c r="L132" s="1" t="str">
        <f>'MPIO_SFIO Table'!M135</f>
        <v>disabled</v>
      </c>
      <c r="M132" s="1" t="str">
        <f>'MPIO_SFIO Table'!N135</f>
        <v>disabled</v>
      </c>
      <c r="N132" s="1" t="str">
        <f>'MPIO_SFIO Table'!O135</f>
        <v>hold</v>
      </c>
      <c r="O132" s="1" t="str">
        <f>'MPIO_SFIO Table'!P135</f>
        <v/>
      </c>
      <c r="P132" s="2" t="str">
        <f>'MPIO_SFIO Table'!Q135</f>
        <v>VDDIO_LCD</v>
      </c>
      <c r="Q132" s="1" t="str">
        <f>'MPIO_SFIO Table'!R135</f>
        <v>ST</v>
      </c>
      <c r="R132" s="1">
        <f>'MPIO_SFIO Table'!S135</f>
        <v>100</v>
      </c>
      <c r="S132" s="1" t="str">
        <f>'MPIO_SFIO Table'!T135</f>
        <v>lcdcfg1</v>
      </c>
      <c r="T132" s="2">
        <f>'MPIO_SFIO Table'!U135</f>
        <v>0</v>
      </c>
      <c r="U132" s="1">
        <f>'MPIO_SFIO Table'!V135</f>
        <v>1</v>
      </c>
      <c r="V132" s="1">
        <f>'MPIO_SFIO Table'!W135</f>
        <v>0</v>
      </c>
      <c r="W132" s="1" t="str">
        <f>'MPIO_SFIO Table'!X135</f>
        <v>down</v>
      </c>
      <c r="X132" s="1" t="str">
        <f>'MPIO_SFIO Table'!Y135</f>
        <v>pd</v>
      </c>
      <c r="Y132" s="88" t="str">
        <f>'MPIO_SFIO Table'!Z135</f>
        <v>pd</v>
      </c>
    </row>
    <row r="133" spans="1:25" x14ac:dyDescent="0.25">
      <c r="A133" s="1" t="str">
        <f>'MPIO_SFIO Table'!A136</f>
        <v>LCD_DC1</v>
      </c>
      <c r="B133" s="1" t="str">
        <f>'MPIO_SFIO Table'!C136</f>
        <v>AE12</v>
      </c>
      <c r="C133" s="1" t="str">
        <f>'MPIO_SFIO Table'!D136</f>
        <v>AP24</v>
      </c>
      <c r="D133" s="1" t="str">
        <f>'MPIO_SFIO Table'!E136</f>
        <v>AP24</v>
      </c>
      <c r="E133" s="1" t="str">
        <f>'MPIO_SFIO Table'!F136</f>
        <v>unused_LCD_DC1</v>
      </c>
      <c r="F133" s="2" t="str">
        <f>'MPIO_SFIO Table'!G136</f>
        <v>GPIO-D.02</v>
      </c>
      <c r="G133" s="1" t="str">
        <f>'MPIO_SFIO Table'!H136</f>
        <v>LCD0-VP0</v>
      </c>
      <c r="H133" s="1" t="str">
        <f>'MPIO_SFIO Table'!I136</f>
        <v>LCD1-VP0</v>
      </c>
      <c r="I133" s="1" t="str">
        <f>'MPIO_SFIO Table'!J136</f>
        <v>RSVD1</v>
      </c>
      <c r="J133" s="1" t="str">
        <f>'MPIO_SFIO Table'!K136</f>
        <v>RSVD2</v>
      </c>
      <c r="K133" s="2" t="str">
        <f>'MPIO_SFIO Table'!L136</f>
        <v>config</v>
      </c>
      <c r="L133" s="1" t="str">
        <f>'MPIO_SFIO Table'!M136</f>
        <v>disabled</v>
      </c>
      <c r="M133" s="1" t="str">
        <f>'MPIO_SFIO Table'!N136</f>
        <v>disabled</v>
      </c>
      <c r="N133" s="1" t="str">
        <f>'MPIO_SFIO Table'!O136</f>
        <v>hold</v>
      </c>
      <c r="O133" s="1" t="str">
        <f>'MPIO_SFIO Table'!P136</f>
        <v/>
      </c>
      <c r="P133" s="2" t="str">
        <f>'MPIO_SFIO Table'!Q136</f>
        <v>VDDIO_LCD</v>
      </c>
      <c r="Q133" s="1" t="str">
        <f>'MPIO_SFIO Table'!R136</f>
        <v>ST</v>
      </c>
      <c r="R133" s="1">
        <f>'MPIO_SFIO Table'!S136</f>
        <v>100</v>
      </c>
      <c r="S133" s="1" t="str">
        <f>'MPIO_SFIO Table'!T136</f>
        <v>lcdcfg2</v>
      </c>
      <c r="T133" s="2">
        <f>'MPIO_SFIO Table'!U136</f>
        <v>0</v>
      </c>
      <c r="U133" s="1">
        <f>'MPIO_SFIO Table'!V136</f>
        <v>1</v>
      </c>
      <c r="V133" s="1">
        <f>'MPIO_SFIO Table'!W136</f>
        <v>0</v>
      </c>
      <c r="W133" s="1" t="str">
        <f>'MPIO_SFIO Table'!X136</f>
        <v>down</v>
      </c>
      <c r="X133" s="1" t="str">
        <f>'MPIO_SFIO Table'!Y136</f>
        <v>pd</v>
      </c>
      <c r="Y133" s="88" t="str">
        <f>'MPIO_SFIO Table'!Z136</f>
        <v>pd</v>
      </c>
    </row>
    <row r="134" spans="1:25" x14ac:dyDescent="0.25">
      <c r="A134" s="1" t="str">
        <f>'MPIO_SFIO Table'!A137</f>
        <v>LCD_DE</v>
      </c>
      <c r="B134" s="1" t="str">
        <f>'MPIO_SFIO Table'!C137</f>
        <v>AG9</v>
      </c>
      <c r="C134" s="1" t="str">
        <f>'MPIO_SFIO Table'!D137</f>
        <v>AR19</v>
      </c>
      <c r="D134" s="1" t="str">
        <f>'MPIO_SFIO Table'!E137</f>
        <v>AR19</v>
      </c>
      <c r="E134" s="1" t="str">
        <f>'MPIO_SFIO Table'!F137</f>
        <v>unused_LCD_DE</v>
      </c>
      <c r="F134" s="2" t="str">
        <f>'MPIO_SFIO Table'!G137</f>
        <v>GPIO-J.01</v>
      </c>
      <c r="G134" s="1" t="str">
        <f>'MPIO_SFIO Table'!H137</f>
        <v>LCD0.A-DE</v>
      </c>
      <c r="H134" s="1" t="str">
        <f>'MPIO_SFIO Table'!I137</f>
        <v>LCD1.A-DE</v>
      </c>
      <c r="I134" s="1" t="str">
        <f>'MPIO_SFIO Table'!J137</f>
        <v>RSVD1</v>
      </c>
      <c r="J134" s="1" t="str">
        <f>'MPIO_SFIO Table'!K137</f>
        <v>RSVD2</v>
      </c>
      <c r="K134" s="2" t="str">
        <f>'MPIO_SFIO Table'!L137</f>
        <v>config</v>
      </c>
      <c r="L134" s="1" t="str">
        <f>'MPIO_SFIO Table'!M137</f>
        <v>disabled</v>
      </c>
      <c r="M134" s="1" t="str">
        <f>'MPIO_SFIO Table'!N137</f>
        <v>disabled</v>
      </c>
      <c r="N134" s="1" t="str">
        <f>'MPIO_SFIO Table'!O137</f>
        <v>hold</v>
      </c>
      <c r="O134" s="1" t="str">
        <f>'MPIO_SFIO Table'!P137</f>
        <v/>
      </c>
      <c r="P134" s="2" t="str">
        <f>'MPIO_SFIO Table'!Q137</f>
        <v>VDDIO_LCD</v>
      </c>
      <c r="Q134" s="1" t="str">
        <f>'MPIO_SFIO Table'!R137</f>
        <v>ST</v>
      </c>
      <c r="R134" s="1">
        <f>'MPIO_SFIO Table'!S137</f>
        <v>100</v>
      </c>
      <c r="S134" s="1" t="str">
        <f>'MPIO_SFIO Table'!T137</f>
        <v>lcdcfg2</v>
      </c>
      <c r="T134" s="2">
        <f>'MPIO_SFIO Table'!U137</f>
        <v>0</v>
      </c>
      <c r="U134" s="1">
        <f>'MPIO_SFIO Table'!V137</f>
        <v>1</v>
      </c>
      <c r="V134" s="1">
        <f>'MPIO_SFIO Table'!W137</f>
        <v>0</v>
      </c>
      <c r="W134" s="1" t="str">
        <f>'MPIO_SFIO Table'!X137</f>
        <v>down</v>
      </c>
      <c r="X134" s="1" t="str">
        <f>'MPIO_SFIO Table'!Y137</f>
        <v>pd</v>
      </c>
      <c r="Y134" s="88" t="str">
        <f>'MPIO_SFIO Table'!Z137</f>
        <v>pd</v>
      </c>
    </row>
    <row r="135" spans="1:25" x14ac:dyDescent="0.25">
      <c r="A135" s="1" t="str">
        <f>'MPIO_SFIO Table'!A138</f>
        <v>LCD_HSYNC</v>
      </c>
      <c r="B135" s="1" t="str">
        <f>'MPIO_SFIO Table'!C138</f>
        <v>AF16</v>
      </c>
      <c r="C135" s="1" t="str">
        <f>'MPIO_SFIO Table'!D138</f>
        <v>AK20</v>
      </c>
      <c r="D135" s="1" t="str">
        <f>'MPIO_SFIO Table'!E138</f>
        <v>AK20</v>
      </c>
      <c r="E135" s="1" t="str">
        <f>'MPIO_SFIO Table'!F138</f>
        <v>unused_LCD_HSYNC</v>
      </c>
      <c r="F135" s="2" t="str">
        <f>'MPIO_SFIO Table'!G138</f>
        <v>GPIO-J.03</v>
      </c>
      <c r="G135" s="1" t="str">
        <f>'MPIO_SFIO Table'!H138</f>
        <v>LCD0.A-HSYNC</v>
      </c>
      <c r="H135" s="1" t="str">
        <f>'MPIO_SFIO Table'!I138</f>
        <v>LCD1.A-HSYNC</v>
      </c>
      <c r="I135" s="1" t="str">
        <f>'MPIO_SFIO Table'!J138</f>
        <v>RSVD1</v>
      </c>
      <c r="J135" s="1" t="str">
        <f>'MPIO_SFIO Table'!K138</f>
        <v>RSVD2</v>
      </c>
      <c r="K135" s="2" t="str">
        <f>'MPIO_SFIO Table'!L138</f>
        <v>config</v>
      </c>
      <c r="L135" s="1" t="str">
        <f>'MPIO_SFIO Table'!M138</f>
        <v>disabled</v>
      </c>
      <c r="M135" s="1" t="str">
        <f>'MPIO_SFIO Table'!N138</f>
        <v>disabled</v>
      </c>
      <c r="N135" s="1" t="str">
        <f>'MPIO_SFIO Table'!O138</f>
        <v>hold</v>
      </c>
      <c r="O135" s="1" t="str">
        <f>'MPIO_SFIO Table'!P138</f>
        <v/>
      </c>
      <c r="P135" s="2" t="str">
        <f>'MPIO_SFIO Table'!Q138</f>
        <v>VDDIO_LCD</v>
      </c>
      <c r="Q135" s="1" t="str">
        <f>'MPIO_SFIO Table'!R138</f>
        <v>ST</v>
      </c>
      <c r="R135" s="1">
        <f>'MPIO_SFIO Table'!S138</f>
        <v>100</v>
      </c>
      <c r="S135" s="1" t="str">
        <f>'MPIO_SFIO Table'!T138</f>
        <v>lcdcfg2</v>
      </c>
      <c r="T135" s="2">
        <f>'MPIO_SFIO Table'!U138</f>
        <v>0</v>
      </c>
      <c r="U135" s="1">
        <f>'MPIO_SFIO Table'!V138</f>
        <v>1</v>
      </c>
      <c r="V135" s="1">
        <f>'MPIO_SFIO Table'!W138</f>
        <v>0</v>
      </c>
      <c r="W135" s="1" t="str">
        <f>'MPIO_SFIO Table'!X138</f>
        <v>up</v>
      </c>
      <c r="X135" s="1" t="str">
        <f>'MPIO_SFIO Table'!Y138</f>
        <v>pu</v>
      </c>
      <c r="Y135" s="88" t="str">
        <f>'MPIO_SFIO Table'!Z138</f>
        <v>pu</v>
      </c>
    </row>
    <row r="136" spans="1:25" x14ac:dyDescent="0.25">
      <c r="A136" s="1" t="str">
        <f>'MPIO_SFIO Table'!A139</f>
        <v>LCD_M1</v>
      </c>
      <c r="B136" s="1" t="str">
        <f>'MPIO_SFIO Table'!C139</f>
        <v>AG12</v>
      </c>
      <c r="C136" s="1" t="str">
        <f>'MPIO_SFIO Table'!D139</f>
        <v>AM20</v>
      </c>
      <c r="D136" s="1" t="str">
        <f>'MPIO_SFIO Table'!E139</f>
        <v>AM20</v>
      </c>
      <c r="E136" s="1" t="str">
        <f>'MPIO_SFIO Table'!F139</f>
        <v>unused_LCD_M1</v>
      </c>
      <c r="F136" s="2" t="str">
        <f>'MPIO_SFIO Table'!G139</f>
        <v>GPIO-W.01</v>
      </c>
      <c r="G136" s="1" t="str">
        <f>'MPIO_SFIO Table'!H139</f>
        <v>LCD0-M1</v>
      </c>
      <c r="H136" s="1" t="str">
        <f>'MPIO_SFIO Table'!I139</f>
        <v>LCD1-M1</v>
      </c>
      <c r="I136" s="1" t="str">
        <f>'MPIO_SFIO Table'!J139</f>
        <v>RSVD1</v>
      </c>
      <c r="J136" s="1" t="str">
        <f>'MPIO_SFIO Table'!K139</f>
        <v>RSVD2</v>
      </c>
      <c r="K136" s="2" t="str">
        <f>'MPIO_SFIO Table'!L139</f>
        <v>config</v>
      </c>
      <c r="L136" s="1" t="str">
        <f>'MPIO_SFIO Table'!M139</f>
        <v>disabled</v>
      </c>
      <c r="M136" s="1" t="str">
        <f>'MPIO_SFIO Table'!N139</f>
        <v>disabled</v>
      </c>
      <c r="N136" s="1" t="str">
        <f>'MPIO_SFIO Table'!O139</f>
        <v>hold</v>
      </c>
      <c r="O136" s="1" t="str">
        <f>'MPIO_SFIO Table'!P139</f>
        <v/>
      </c>
      <c r="P136" s="2" t="str">
        <f>'MPIO_SFIO Table'!Q139</f>
        <v>VDDIO_LCD</v>
      </c>
      <c r="Q136" s="1" t="str">
        <f>'MPIO_SFIO Table'!R139</f>
        <v>ST</v>
      </c>
      <c r="R136" s="1">
        <f>'MPIO_SFIO Table'!S139</f>
        <v>100</v>
      </c>
      <c r="S136" s="1" t="str">
        <f>'MPIO_SFIO Table'!T139</f>
        <v>lcdcfg2</v>
      </c>
      <c r="T136" s="2">
        <f>'MPIO_SFIO Table'!U139</f>
        <v>0</v>
      </c>
      <c r="U136" s="1">
        <f>'MPIO_SFIO Table'!V139</f>
        <v>1</v>
      </c>
      <c r="V136" s="1">
        <f>'MPIO_SFIO Table'!W139</f>
        <v>0</v>
      </c>
      <c r="W136" s="1" t="str">
        <f>'MPIO_SFIO Table'!X139</f>
        <v>down</v>
      </c>
      <c r="X136" s="1" t="str">
        <f>'MPIO_SFIO Table'!Y139</f>
        <v>pd</v>
      </c>
      <c r="Y136" s="88" t="str">
        <f>'MPIO_SFIO Table'!Z139</f>
        <v>pd</v>
      </c>
    </row>
    <row r="137" spans="1:25" x14ac:dyDescent="0.25">
      <c r="A137" s="1" t="str">
        <f>'MPIO_SFIO Table'!A140</f>
        <v>LCD_PCLK</v>
      </c>
      <c r="B137" s="1" t="str">
        <f>'MPIO_SFIO Table'!C140</f>
        <v>AG11</v>
      </c>
      <c r="C137" s="1" t="str">
        <f>'MPIO_SFIO Table'!D140</f>
        <v>AN21</v>
      </c>
      <c r="D137" s="1" t="str">
        <f>'MPIO_SFIO Table'!E140</f>
        <v>AN21</v>
      </c>
      <c r="E137" s="1" t="str">
        <f>'MPIO_SFIO Table'!F140</f>
        <v>unused_LCD_PCLK</v>
      </c>
      <c r="F137" s="2" t="str">
        <f>'MPIO_SFIO Table'!G140</f>
        <v>GPIO-B.03</v>
      </c>
      <c r="G137" s="1" t="str">
        <f>'MPIO_SFIO Table'!H140</f>
        <v>LCD0.A-PCLK</v>
      </c>
      <c r="H137" s="1" t="str">
        <f>'MPIO_SFIO Table'!I140</f>
        <v>LCD1.A-PCLK</v>
      </c>
      <c r="I137" s="1" t="str">
        <f>'MPIO_SFIO Table'!J140</f>
        <v>RSVD1</v>
      </c>
      <c r="J137" s="1" t="str">
        <f>'MPIO_SFIO Table'!K140</f>
        <v>RSVD2</v>
      </c>
      <c r="K137" s="2" t="str">
        <f>'MPIO_SFIO Table'!L140</f>
        <v>config</v>
      </c>
      <c r="L137" s="1" t="str">
        <f>'MPIO_SFIO Table'!M140</f>
        <v>disabled</v>
      </c>
      <c r="M137" s="1" t="str">
        <f>'MPIO_SFIO Table'!N140</f>
        <v>disabled</v>
      </c>
      <c r="N137" s="1" t="str">
        <f>'MPIO_SFIO Table'!O140</f>
        <v>hold</v>
      </c>
      <c r="O137" s="1" t="str">
        <f>'MPIO_SFIO Table'!P140</f>
        <v/>
      </c>
      <c r="P137" s="2" t="str">
        <f>'MPIO_SFIO Table'!Q140</f>
        <v>VDDIO_LCD</v>
      </c>
      <c r="Q137" s="1" t="str">
        <f>'MPIO_SFIO Table'!R140</f>
        <v>ST</v>
      </c>
      <c r="R137" s="1">
        <f>'MPIO_SFIO Table'!S140</f>
        <v>100</v>
      </c>
      <c r="S137" s="1" t="str">
        <f>'MPIO_SFIO Table'!T140</f>
        <v>lcdcfg2</v>
      </c>
      <c r="T137" s="2">
        <f>'MPIO_SFIO Table'!U140</f>
        <v>0</v>
      </c>
      <c r="U137" s="1">
        <f>'MPIO_SFIO Table'!V140</f>
        <v>1</v>
      </c>
      <c r="V137" s="1">
        <f>'MPIO_SFIO Table'!W140</f>
        <v>0</v>
      </c>
      <c r="W137" s="1" t="str">
        <f>'MPIO_SFIO Table'!X140</f>
        <v>down</v>
      </c>
      <c r="X137" s="1" t="str">
        <f>'MPIO_SFIO Table'!Y140</f>
        <v>pd</v>
      </c>
      <c r="Y137" s="88" t="str">
        <f>'MPIO_SFIO Table'!Z140</f>
        <v>pd</v>
      </c>
    </row>
    <row r="138" spans="1:25" x14ac:dyDescent="0.25">
      <c r="A138" s="1" t="str">
        <f>'MPIO_SFIO Table'!A141</f>
        <v>LCD_PWR0</v>
      </c>
      <c r="B138" s="1" t="str">
        <f>'MPIO_SFIO Table'!C141</f>
        <v>AJ9</v>
      </c>
      <c r="C138" s="1" t="str">
        <f>'MPIO_SFIO Table'!D141</f>
        <v>AN17</v>
      </c>
      <c r="D138" s="1" t="str">
        <f>'MPIO_SFIO Table'!E141</f>
        <v>AN17</v>
      </c>
      <c r="E138" s="1" t="str">
        <f>'MPIO_SFIO Table'!F141</f>
        <v>unused_LCD_PWR0</v>
      </c>
      <c r="F138" s="2" t="str">
        <f>'MPIO_SFIO Table'!G141</f>
        <v>GPIO-B.02</v>
      </c>
      <c r="G138" s="1" t="str">
        <f>'MPIO_SFIO Table'!H141</f>
        <v>LCD0-PW0</v>
      </c>
      <c r="H138" s="1" t="str">
        <f>'MPIO_SFIO Table'!I141</f>
        <v>LCD1-PW0</v>
      </c>
      <c r="I138" s="1" t="str">
        <f>'MPIO_SFIO Table'!J141</f>
        <v>SPI5.B-MOSI</v>
      </c>
      <c r="J138" s="1" t="str">
        <f>'MPIO_SFIO Table'!K141</f>
        <v>INVALID</v>
      </c>
      <c r="K138" s="2" t="str">
        <f>'MPIO_SFIO Table'!L141</f>
        <v>config</v>
      </c>
      <c r="L138" s="1" t="str">
        <f>'MPIO_SFIO Table'!M141</f>
        <v>disabled</v>
      </c>
      <c r="M138" s="1" t="str">
        <f>'MPIO_SFIO Table'!N141</f>
        <v>disabled</v>
      </c>
      <c r="N138" s="1" t="str">
        <f>'MPIO_SFIO Table'!O141</f>
        <v>hold</v>
      </c>
      <c r="O138" s="1" t="str">
        <f>'MPIO_SFIO Table'!P141</f>
        <v/>
      </c>
      <c r="P138" s="2" t="str">
        <f>'MPIO_SFIO Table'!Q141</f>
        <v>VDDIO_LCD</v>
      </c>
      <c r="Q138" s="1" t="str">
        <f>'MPIO_SFIO Table'!R141</f>
        <v>ST</v>
      </c>
      <c r="R138" s="1">
        <f>'MPIO_SFIO Table'!S141</f>
        <v>100</v>
      </c>
      <c r="S138" s="1" t="str">
        <f>'MPIO_SFIO Table'!T141</f>
        <v>lcdcfg2</v>
      </c>
      <c r="T138" s="2">
        <f>'MPIO_SFIO Table'!U141</f>
        <v>0</v>
      </c>
      <c r="U138" s="1">
        <f>'MPIO_SFIO Table'!V141</f>
        <v>1</v>
      </c>
      <c r="V138" s="1">
        <f>'MPIO_SFIO Table'!W141</f>
        <v>0</v>
      </c>
      <c r="W138" s="1" t="str">
        <f>'MPIO_SFIO Table'!X141</f>
        <v>down</v>
      </c>
      <c r="X138" s="1" t="str">
        <f>'MPIO_SFIO Table'!Y141</f>
        <v>pd</v>
      </c>
      <c r="Y138" s="88" t="str">
        <f>'MPIO_SFIO Table'!Z141</f>
        <v>pd</v>
      </c>
    </row>
    <row r="139" spans="1:25" x14ac:dyDescent="0.25">
      <c r="A139" s="1" t="str">
        <f>'MPIO_SFIO Table'!A142</f>
        <v>LCD_PWR1</v>
      </c>
      <c r="B139" s="1" t="str">
        <f>'MPIO_SFIO Table'!C142</f>
        <v>AG10</v>
      </c>
      <c r="C139" s="1" t="str">
        <f>'MPIO_SFIO Table'!D142</f>
        <v>AP20</v>
      </c>
      <c r="D139" s="1" t="str">
        <f>'MPIO_SFIO Table'!E142</f>
        <v>AP20</v>
      </c>
      <c r="E139" s="1" t="str">
        <f>'MPIO_SFIO Table'!F142</f>
        <v>unused_LCD_PWR1</v>
      </c>
      <c r="F139" s="2" t="str">
        <f>'MPIO_SFIO Table'!G142</f>
        <v>GPIO-C.01</v>
      </c>
      <c r="G139" s="1" t="str">
        <f>'MPIO_SFIO Table'!H142</f>
        <v>LCD0-PW1</v>
      </c>
      <c r="H139" s="1" t="str">
        <f>'MPIO_SFIO Table'!I142</f>
        <v>LCD1-PW1</v>
      </c>
      <c r="I139" s="1" t="str">
        <f>'MPIO_SFIO Table'!J142</f>
        <v>RSVD1</v>
      </c>
      <c r="J139" s="1" t="str">
        <f>'MPIO_SFIO Table'!K142</f>
        <v>RSVD2</v>
      </c>
      <c r="K139" s="2" t="str">
        <f>'MPIO_SFIO Table'!L142</f>
        <v>config</v>
      </c>
      <c r="L139" s="1" t="str">
        <f>'MPIO_SFIO Table'!M142</f>
        <v>disabled</v>
      </c>
      <c r="M139" s="1" t="str">
        <f>'MPIO_SFIO Table'!N142</f>
        <v>disabled</v>
      </c>
      <c r="N139" s="1" t="str">
        <f>'MPIO_SFIO Table'!O142</f>
        <v>hold</v>
      </c>
      <c r="O139" s="1" t="str">
        <f>'MPIO_SFIO Table'!P142</f>
        <v/>
      </c>
      <c r="P139" s="2" t="str">
        <f>'MPIO_SFIO Table'!Q142</f>
        <v>VDDIO_LCD</v>
      </c>
      <c r="Q139" s="1" t="str">
        <f>'MPIO_SFIO Table'!R142</f>
        <v>ST</v>
      </c>
      <c r="R139" s="1">
        <f>'MPIO_SFIO Table'!S142</f>
        <v>100</v>
      </c>
      <c r="S139" s="1" t="str">
        <f>'MPIO_SFIO Table'!T142</f>
        <v>lcdcfg1</v>
      </c>
      <c r="T139" s="2">
        <f>'MPIO_SFIO Table'!U142</f>
        <v>0</v>
      </c>
      <c r="U139" s="1">
        <f>'MPIO_SFIO Table'!V142</f>
        <v>1</v>
      </c>
      <c r="V139" s="1">
        <f>'MPIO_SFIO Table'!W142</f>
        <v>0</v>
      </c>
      <c r="W139" s="1" t="str">
        <f>'MPIO_SFIO Table'!X142</f>
        <v>down</v>
      </c>
      <c r="X139" s="1" t="str">
        <f>'MPIO_SFIO Table'!Y142</f>
        <v>pd</v>
      </c>
      <c r="Y139" s="88" t="str">
        <f>'MPIO_SFIO Table'!Z142</f>
        <v>pd</v>
      </c>
    </row>
    <row r="140" spans="1:25" x14ac:dyDescent="0.25">
      <c r="A140" s="1" t="str">
        <f>'MPIO_SFIO Table'!A143</f>
        <v>LCD_PWR2</v>
      </c>
      <c r="B140" s="1" t="str">
        <f>'MPIO_SFIO Table'!C143</f>
        <v>AH12</v>
      </c>
      <c r="C140" s="1" t="str">
        <f>'MPIO_SFIO Table'!D143</f>
        <v>AN25</v>
      </c>
      <c r="D140" s="1" t="str">
        <f>'MPIO_SFIO Table'!E143</f>
        <v>AN25</v>
      </c>
      <c r="E140" s="1" t="str">
        <f>'MPIO_SFIO Table'!F143</f>
        <v>unused_LCD_PWR2</v>
      </c>
      <c r="F140" s="2" t="str">
        <f>'MPIO_SFIO Table'!G143</f>
        <v>GPIO-C.06</v>
      </c>
      <c r="G140" s="1" t="str">
        <f>'MPIO_SFIO Table'!H143</f>
        <v>LCD0-PW2</v>
      </c>
      <c r="H140" s="1" t="str">
        <f>'MPIO_SFIO Table'!I143</f>
        <v>LCD1-PW2</v>
      </c>
      <c r="I140" s="1" t="str">
        <f>'MPIO_SFIO Table'!J143</f>
        <v>SPI5.B-MISO</v>
      </c>
      <c r="J140" s="1" t="str">
        <f>'MPIO_SFIO Table'!K143</f>
        <v>INVALID</v>
      </c>
      <c r="K140" s="2" t="str">
        <f>'MPIO_SFIO Table'!L143</f>
        <v>config</v>
      </c>
      <c r="L140" s="1" t="str">
        <f>'MPIO_SFIO Table'!M143</f>
        <v>disabled</v>
      </c>
      <c r="M140" s="1" t="str">
        <f>'MPIO_SFIO Table'!N143</f>
        <v>disabled</v>
      </c>
      <c r="N140" s="1" t="str">
        <f>'MPIO_SFIO Table'!O143</f>
        <v>hold</v>
      </c>
      <c r="O140" s="1" t="str">
        <f>'MPIO_SFIO Table'!P143</f>
        <v/>
      </c>
      <c r="P140" s="2" t="str">
        <f>'MPIO_SFIO Table'!Q143</f>
        <v>VDDIO_LCD</v>
      </c>
      <c r="Q140" s="1" t="str">
        <f>'MPIO_SFIO Table'!R143</f>
        <v>ST</v>
      </c>
      <c r="R140" s="1">
        <f>'MPIO_SFIO Table'!S143</f>
        <v>100</v>
      </c>
      <c r="S140" s="1" t="str">
        <f>'MPIO_SFIO Table'!T143</f>
        <v>lcdcfg1</v>
      </c>
      <c r="T140" s="2">
        <f>'MPIO_SFIO Table'!U143</f>
        <v>0</v>
      </c>
      <c r="U140" s="1">
        <f>'MPIO_SFIO Table'!V143</f>
        <v>1</v>
      </c>
      <c r="V140" s="1">
        <f>'MPIO_SFIO Table'!W143</f>
        <v>0</v>
      </c>
      <c r="W140" s="1" t="str">
        <f>'MPIO_SFIO Table'!X143</f>
        <v>down</v>
      </c>
      <c r="X140" s="1" t="str">
        <f>'MPIO_SFIO Table'!Y143</f>
        <v>pd</v>
      </c>
      <c r="Y140" s="88" t="str">
        <f>'MPIO_SFIO Table'!Z143</f>
        <v>pd</v>
      </c>
    </row>
    <row r="141" spans="1:25" x14ac:dyDescent="0.25">
      <c r="A141" s="1" t="str">
        <f>'MPIO_SFIO Table'!A144</f>
        <v>LCD_SCK</v>
      </c>
      <c r="B141" s="1" t="str">
        <f>'MPIO_SFIO Table'!C144</f>
        <v>AG15</v>
      </c>
      <c r="C141" s="1" t="str">
        <f>'MPIO_SFIO Table'!D144</f>
        <v>AK26</v>
      </c>
      <c r="D141" s="1" t="str">
        <f>'MPIO_SFIO Table'!E144</f>
        <v>AK26</v>
      </c>
      <c r="E141" s="1" t="str">
        <f>'MPIO_SFIO Table'!F144</f>
        <v>unused_LCD_SCK</v>
      </c>
      <c r="F141" s="2" t="str">
        <f>'MPIO_SFIO Table'!G144</f>
        <v>GPIO-Z.04</v>
      </c>
      <c r="G141" s="1" t="str">
        <f>'MPIO_SFIO Table'!H144</f>
        <v>LCD0-SCK</v>
      </c>
      <c r="H141" s="1" t="str">
        <f>'MPIO_SFIO Table'!I144</f>
        <v>LCD1-SCK</v>
      </c>
      <c r="I141" s="1" t="str">
        <f>'MPIO_SFIO Table'!J144</f>
        <v>SPI5.A-SCK</v>
      </c>
      <c r="J141" s="1" t="str">
        <f>'MPIO_SFIO Table'!K144</f>
        <v>INVALID</v>
      </c>
      <c r="K141" s="2" t="str">
        <f>'MPIO_SFIO Table'!L144</f>
        <v>config</v>
      </c>
      <c r="L141" s="1" t="str">
        <f>'MPIO_SFIO Table'!M144</f>
        <v>disabled</v>
      </c>
      <c r="M141" s="1" t="str">
        <f>'MPIO_SFIO Table'!N144</f>
        <v>disabled</v>
      </c>
      <c r="N141" s="1" t="str">
        <f>'MPIO_SFIO Table'!O144</f>
        <v>hold</v>
      </c>
      <c r="O141" s="1" t="str">
        <f>'MPIO_SFIO Table'!P144</f>
        <v/>
      </c>
      <c r="P141" s="2" t="str">
        <f>'MPIO_SFIO Table'!Q144</f>
        <v>VDDIO_LCD</v>
      </c>
      <c r="Q141" s="1" t="str">
        <f>'MPIO_SFIO Table'!R144</f>
        <v>ST</v>
      </c>
      <c r="R141" s="1">
        <f>'MPIO_SFIO Table'!S144</f>
        <v>100</v>
      </c>
      <c r="S141" s="1" t="str">
        <f>'MPIO_SFIO Table'!T144</f>
        <v>lcdcfg1</v>
      </c>
      <c r="T141" s="2">
        <f>'MPIO_SFIO Table'!U144</f>
        <v>0</v>
      </c>
      <c r="U141" s="1">
        <f>'MPIO_SFIO Table'!V144</f>
        <v>1</v>
      </c>
      <c r="V141" s="1">
        <f>'MPIO_SFIO Table'!W144</f>
        <v>0</v>
      </c>
      <c r="W141" s="1" t="str">
        <f>'MPIO_SFIO Table'!X144</f>
        <v>up</v>
      </c>
      <c r="X141" s="1" t="str">
        <f>'MPIO_SFIO Table'!Y144</f>
        <v>pu</v>
      </c>
      <c r="Y141" s="88" t="str">
        <f>'MPIO_SFIO Table'!Z144</f>
        <v>pu</v>
      </c>
    </row>
    <row r="142" spans="1:25" x14ac:dyDescent="0.25">
      <c r="A142" s="1" t="str">
        <f>'MPIO_SFIO Table'!A145</f>
        <v>LCD_SDIN</v>
      </c>
      <c r="B142" s="1" t="str">
        <f>'MPIO_SFIO Table'!C145</f>
        <v>AH10</v>
      </c>
      <c r="C142" s="1" t="str">
        <f>'MPIO_SFIO Table'!D145</f>
        <v>AR25</v>
      </c>
      <c r="D142" s="1" t="str">
        <f>'MPIO_SFIO Table'!E145</f>
        <v>AR25</v>
      </c>
      <c r="E142" s="1" t="str">
        <f>'MPIO_SFIO Table'!F145</f>
        <v>unused_LCD_SDIN</v>
      </c>
      <c r="F142" s="2" t="str">
        <f>'MPIO_SFIO Table'!G145</f>
        <v>GPIO-Z.02</v>
      </c>
      <c r="G142" s="1" t="str">
        <f>'MPIO_SFIO Table'!H145</f>
        <v>LCD0-SDI</v>
      </c>
      <c r="H142" s="1" t="str">
        <f>'MPIO_SFIO Table'!I145</f>
        <v>LCD1-SDI</v>
      </c>
      <c r="I142" s="1" t="str">
        <f>'MPIO_SFIO Table'!J145</f>
        <v>SPI5.A-MISO</v>
      </c>
      <c r="J142" s="1" t="str">
        <f>'MPIO_SFIO Table'!K145</f>
        <v>RSVD</v>
      </c>
      <c r="K142" s="2" t="str">
        <f>'MPIO_SFIO Table'!L145</f>
        <v>config</v>
      </c>
      <c r="L142" s="1" t="str">
        <f>'MPIO_SFIO Table'!M145</f>
        <v>disabled</v>
      </c>
      <c r="M142" s="1" t="str">
        <f>'MPIO_SFIO Table'!N145</f>
        <v>disabled</v>
      </c>
      <c r="N142" s="1" t="str">
        <f>'MPIO_SFIO Table'!O145</f>
        <v>hold</v>
      </c>
      <c r="O142" s="1" t="str">
        <f>'MPIO_SFIO Table'!P145</f>
        <v/>
      </c>
      <c r="P142" s="2" t="str">
        <f>'MPIO_SFIO Table'!Q145</f>
        <v>VDDIO_LCD</v>
      </c>
      <c r="Q142" s="1" t="str">
        <f>'MPIO_SFIO Table'!R145</f>
        <v>ST</v>
      </c>
      <c r="R142" s="1">
        <f>'MPIO_SFIO Table'!S145</f>
        <v>100</v>
      </c>
      <c r="S142" s="1" t="str">
        <f>'MPIO_SFIO Table'!T145</f>
        <v>lcdcfg1</v>
      </c>
      <c r="T142" s="2">
        <f>'MPIO_SFIO Table'!U145</f>
        <v>0</v>
      </c>
      <c r="U142" s="1">
        <f>'MPIO_SFIO Table'!V145</f>
        <v>1</v>
      </c>
      <c r="V142" s="1">
        <f>'MPIO_SFIO Table'!W145</f>
        <v>0</v>
      </c>
      <c r="W142" s="1" t="str">
        <f>'MPIO_SFIO Table'!X145</f>
        <v>up</v>
      </c>
      <c r="X142" s="1" t="str">
        <f>'MPIO_SFIO Table'!Y145</f>
        <v>pu</v>
      </c>
      <c r="Y142" s="88" t="str">
        <f>'MPIO_SFIO Table'!Z145</f>
        <v>pu</v>
      </c>
    </row>
    <row r="143" spans="1:25" x14ac:dyDescent="0.25">
      <c r="A143" s="1" t="str">
        <f>'MPIO_SFIO Table'!A146</f>
        <v>LCD_SDOUT</v>
      </c>
      <c r="B143" s="1" t="str">
        <f>'MPIO_SFIO Table'!C146</f>
        <v>AJ13</v>
      </c>
      <c r="C143" s="1" t="str">
        <f>'MPIO_SFIO Table'!D146</f>
        <v>AM28</v>
      </c>
      <c r="D143" s="1" t="str">
        <f>'MPIO_SFIO Table'!E146</f>
        <v>AM28</v>
      </c>
      <c r="E143" s="1" t="str">
        <f>'MPIO_SFIO Table'!F146</f>
        <v>unused_LCD_SDOUT</v>
      </c>
      <c r="F143" s="2" t="str">
        <f>'MPIO_SFIO Table'!G146</f>
        <v>GPIO-N.05</v>
      </c>
      <c r="G143" s="1" t="str">
        <f>'MPIO_SFIO Table'!H146</f>
        <v>LCD0-SDA</v>
      </c>
      <c r="H143" s="1" t="str">
        <f>'MPIO_SFIO Table'!I146</f>
        <v>LCD1-SDA</v>
      </c>
      <c r="I143" s="1" t="str">
        <f>'MPIO_SFIO Table'!J146</f>
        <v>SPI5.A-MOSI</v>
      </c>
      <c r="J143" s="1" t="str">
        <f>'MPIO_SFIO Table'!K146</f>
        <v>INVALID</v>
      </c>
      <c r="K143" s="2" t="str">
        <f>'MPIO_SFIO Table'!L146</f>
        <v>config</v>
      </c>
      <c r="L143" s="1" t="str">
        <f>'MPIO_SFIO Table'!M146</f>
        <v>disabled</v>
      </c>
      <c r="M143" s="1" t="str">
        <f>'MPIO_SFIO Table'!N146</f>
        <v>disabled</v>
      </c>
      <c r="N143" s="1" t="str">
        <f>'MPIO_SFIO Table'!O146</f>
        <v>hold</v>
      </c>
      <c r="O143" s="1" t="str">
        <f>'MPIO_SFIO Table'!P146</f>
        <v/>
      </c>
      <c r="P143" s="2" t="str">
        <f>'MPIO_SFIO Table'!Q146</f>
        <v>VDDIO_LCD</v>
      </c>
      <c r="Q143" s="1" t="str">
        <f>'MPIO_SFIO Table'!R146</f>
        <v>ST</v>
      </c>
      <c r="R143" s="1">
        <f>'MPIO_SFIO Table'!S146</f>
        <v>100</v>
      </c>
      <c r="S143" s="1" t="str">
        <f>'MPIO_SFIO Table'!T146</f>
        <v>lcdcfg1</v>
      </c>
      <c r="T143" s="2">
        <f>'MPIO_SFIO Table'!U146</f>
        <v>0</v>
      </c>
      <c r="U143" s="1">
        <f>'MPIO_SFIO Table'!V146</f>
        <v>1</v>
      </c>
      <c r="V143" s="1">
        <f>'MPIO_SFIO Table'!W146</f>
        <v>0</v>
      </c>
      <c r="W143" s="1" t="str">
        <f>'MPIO_SFIO Table'!X146</f>
        <v>up</v>
      </c>
      <c r="X143" s="1" t="str">
        <f>'MPIO_SFIO Table'!Y146</f>
        <v>pu</v>
      </c>
      <c r="Y143" s="88" t="str">
        <f>'MPIO_SFIO Table'!Z146</f>
        <v>pu</v>
      </c>
    </row>
    <row r="144" spans="1:25" x14ac:dyDescent="0.25">
      <c r="A144" s="1" t="str">
        <f>'MPIO_SFIO Table'!A147</f>
        <v>LCD_VSYNC</v>
      </c>
      <c r="B144" s="1" t="str">
        <f>'MPIO_SFIO Table'!C147</f>
        <v>AF10</v>
      </c>
      <c r="C144" s="1" t="str">
        <f>'MPIO_SFIO Table'!D147</f>
        <v>AL17</v>
      </c>
      <c r="D144" s="1" t="str">
        <f>'MPIO_SFIO Table'!E147</f>
        <v>AL17</v>
      </c>
      <c r="E144" s="1" t="str">
        <f>'MPIO_SFIO Table'!F147</f>
        <v>unused_LCD_VSYNC</v>
      </c>
      <c r="F144" s="2" t="str">
        <f>'MPIO_SFIO Table'!G147</f>
        <v>GPIO-J.04</v>
      </c>
      <c r="G144" s="1" t="str">
        <f>'MPIO_SFIO Table'!H147</f>
        <v>LCD0.A-VSYNC</v>
      </c>
      <c r="H144" s="1" t="str">
        <f>'MPIO_SFIO Table'!I147</f>
        <v>LCD1.A-VSYNC</v>
      </c>
      <c r="I144" s="1" t="str">
        <f>'MPIO_SFIO Table'!J147</f>
        <v>RSVD1</v>
      </c>
      <c r="J144" s="1" t="str">
        <f>'MPIO_SFIO Table'!K147</f>
        <v>RSVD2</v>
      </c>
      <c r="K144" s="2" t="str">
        <f>'MPIO_SFIO Table'!L147</f>
        <v>config</v>
      </c>
      <c r="L144" s="1" t="str">
        <f>'MPIO_SFIO Table'!M147</f>
        <v>disabled</v>
      </c>
      <c r="M144" s="1" t="str">
        <f>'MPIO_SFIO Table'!N147</f>
        <v>disabled</v>
      </c>
      <c r="N144" s="1" t="str">
        <f>'MPIO_SFIO Table'!O147</f>
        <v>hold</v>
      </c>
      <c r="O144" s="1" t="str">
        <f>'MPIO_SFIO Table'!P147</f>
        <v/>
      </c>
      <c r="P144" s="2" t="str">
        <f>'MPIO_SFIO Table'!Q147</f>
        <v>VDDIO_LCD</v>
      </c>
      <c r="Q144" s="1" t="str">
        <f>'MPIO_SFIO Table'!R147</f>
        <v>ST</v>
      </c>
      <c r="R144" s="1">
        <f>'MPIO_SFIO Table'!S147</f>
        <v>100</v>
      </c>
      <c r="S144" s="1" t="str">
        <f>'MPIO_SFIO Table'!T147</f>
        <v>lcdcfg2</v>
      </c>
      <c r="T144" s="2">
        <f>'MPIO_SFIO Table'!U147</f>
        <v>0</v>
      </c>
      <c r="U144" s="1">
        <f>'MPIO_SFIO Table'!V147</f>
        <v>1</v>
      </c>
      <c r="V144" s="1">
        <f>'MPIO_SFIO Table'!W147</f>
        <v>0</v>
      </c>
      <c r="W144" s="1" t="str">
        <f>'MPIO_SFIO Table'!X147</f>
        <v>up</v>
      </c>
      <c r="X144" s="1" t="str">
        <f>'MPIO_SFIO Table'!Y147</f>
        <v>pu</v>
      </c>
      <c r="Y144" s="88" t="str">
        <f>'MPIO_SFIO Table'!Z147</f>
        <v>pu</v>
      </c>
    </row>
    <row r="145" spans="1:25" x14ac:dyDescent="0.25">
      <c r="A145" s="1" t="str">
        <f>'MPIO_SFIO Table'!A148</f>
        <v>LCD_WR_N</v>
      </c>
      <c r="B145" s="1" t="str">
        <f>'MPIO_SFIO Table'!C148</f>
        <v>AH16</v>
      </c>
      <c r="C145" s="1" t="str">
        <f>'MPIO_SFIO Table'!D148</f>
        <v>AK24</v>
      </c>
      <c r="D145" s="1" t="str">
        <f>'MPIO_SFIO Table'!E148</f>
        <v>AK24</v>
      </c>
      <c r="E145" s="1" t="str">
        <f>'MPIO_SFIO Table'!F148</f>
        <v>unused_LCD_WR_N</v>
      </c>
      <c r="F145" s="2" t="str">
        <f>'MPIO_SFIO Table'!G148</f>
        <v>GPIO-Z.03</v>
      </c>
      <c r="G145" s="1" t="str">
        <f>'MPIO_SFIO Table'!H148</f>
        <v>LCD0-SC1</v>
      </c>
      <c r="H145" s="1" t="str">
        <f>'MPIO_SFIO Table'!I148</f>
        <v>LCD1-SC1</v>
      </c>
      <c r="I145" s="1" t="str">
        <f>'MPIO_SFIO Table'!J148</f>
        <v>SPI5.B-SCK</v>
      </c>
      <c r="J145" s="1" t="str">
        <f>'MPIO_SFIO Table'!K148</f>
        <v>INVALID</v>
      </c>
      <c r="K145" s="2" t="str">
        <f>'MPIO_SFIO Table'!L148</f>
        <v>config</v>
      </c>
      <c r="L145" s="1" t="str">
        <f>'MPIO_SFIO Table'!M148</f>
        <v>disabled</v>
      </c>
      <c r="M145" s="1" t="str">
        <f>'MPIO_SFIO Table'!N148</f>
        <v>disabled</v>
      </c>
      <c r="N145" s="1" t="str">
        <f>'MPIO_SFIO Table'!O148</f>
        <v>hold</v>
      </c>
      <c r="O145" s="1" t="str">
        <f>'MPIO_SFIO Table'!P148</f>
        <v/>
      </c>
      <c r="P145" s="2" t="str">
        <f>'MPIO_SFIO Table'!Q148</f>
        <v>VDDIO_LCD</v>
      </c>
      <c r="Q145" s="1" t="str">
        <f>'MPIO_SFIO Table'!R148</f>
        <v>ST</v>
      </c>
      <c r="R145" s="1">
        <f>'MPIO_SFIO Table'!S148</f>
        <v>100</v>
      </c>
      <c r="S145" s="1" t="str">
        <f>'MPIO_SFIO Table'!T148</f>
        <v>lcdcfg1</v>
      </c>
      <c r="T145" s="2">
        <f>'MPIO_SFIO Table'!U148</f>
        <v>0</v>
      </c>
      <c r="U145" s="1">
        <f>'MPIO_SFIO Table'!V148</f>
        <v>1</v>
      </c>
      <c r="V145" s="1">
        <f>'MPIO_SFIO Table'!W148</f>
        <v>0</v>
      </c>
      <c r="W145" s="1" t="str">
        <f>'MPIO_SFIO Table'!X148</f>
        <v>up</v>
      </c>
      <c r="X145" s="1" t="str">
        <f>'MPIO_SFIO Table'!Y148</f>
        <v>pu</v>
      </c>
      <c r="Y145" s="88" t="str">
        <f>'MPIO_SFIO Table'!Z148</f>
        <v>pu</v>
      </c>
    </row>
    <row r="146" spans="1:25" ht="15.75" x14ac:dyDescent="0.25">
      <c r="A146" s="32" t="str">
        <f>'MPIO_SFIO Table'!A149</f>
        <v>PEX_CTL</v>
      </c>
      <c r="B146" s="32"/>
      <c r="C146" s="32"/>
      <c r="D146" s="32"/>
      <c r="E146" s="32"/>
      <c r="F146" s="33"/>
      <c r="G146" s="32"/>
      <c r="H146" s="32"/>
      <c r="I146" s="32"/>
      <c r="J146" s="32"/>
      <c r="K146" s="33"/>
      <c r="L146" s="32"/>
      <c r="M146" s="32"/>
      <c r="N146" s="32"/>
      <c r="O146" s="32"/>
      <c r="P146" s="33"/>
      <c r="Q146" s="32"/>
      <c r="R146" s="32"/>
      <c r="S146" s="32"/>
      <c r="T146" s="34"/>
      <c r="U146" s="35"/>
      <c r="V146" s="35"/>
      <c r="W146" s="35"/>
      <c r="X146" s="35"/>
      <c r="Y146" s="87"/>
    </row>
    <row r="147" spans="1:25" x14ac:dyDescent="0.25">
      <c r="A147" s="1" t="str">
        <f>'MPIO_SFIO Table'!A150</f>
        <v>PEX_L0_CLKREQ_N</v>
      </c>
      <c r="B147" s="1" t="str">
        <f>'MPIO_SFIO Table'!C150</f>
        <v>AG24</v>
      </c>
      <c r="C147" s="457">
        <f>'MPIO_SFIO Table'!D150</f>
        <v>0</v>
      </c>
      <c r="D147" s="457">
        <f>'MPIO_SFIO Table'!E150</f>
        <v>0</v>
      </c>
      <c r="E147" s="1" t="str">
        <f>'MPIO_SFIO Table'!F150</f>
        <v>unused_PEX_L0_CLKREQ_N</v>
      </c>
      <c r="F147" s="2" t="str">
        <f>'MPIO_SFIO Table'!G150</f>
        <v>GPIO-DD.02</v>
      </c>
      <c r="G147" s="1" t="str">
        <f>'MPIO_SFIO Table'!H150</f>
        <v>PEXCLK0-CLKREQ_N</v>
      </c>
      <c r="H147" s="1" t="str">
        <f>'MPIO_SFIO Table'!I150</f>
        <v>HDA.C-SDO</v>
      </c>
      <c r="I147" s="1" t="str">
        <f>'MPIO_SFIO Table'!J150</f>
        <v>RSVD2</v>
      </c>
      <c r="J147" s="1" t="str">
        <f>'MPIO_SFIO Table'!K150</f>
        <v>RSVD3</v>
      </c>
      <c r="K147" s="2" t="str">
        <f>'MPIO_SFIO Table'!L150</f>
        <v>config</v>
      </c>
      <c r="L147" s="1" t="str">
        <f>'MPIO_SFIO Table'!M150</f>
        <v>disabled</v>
      </c>
      <c r="M147" s="1" t="str">
        <f>'MPIO_SFIO Table'!N150</f>
        <v>disabled</v>
      </c>
      <c r="N147" s="1" t="str">
        <f>'MPIO_SFIO Table'!O150</f>
        <v>hold</v>
      </c>
      <c r="O147" s="1" t="str">
        <f>'MPIO_SFIO Table'!P150</f>
        <v/>
      </c>
      <c r="P147" s="2" t="str">
        <f>'MPIO_SFIO Table'!Q150</f>
        <v>VDDIO_PEX_CTL</v>
      </c>
      <c r="Q147" s="1" t="str">
        <f>'MPIO_SFIO Table'!R150</f>
        <v>ST</v>
      </c>
      <c r="R147" s="1">
        <f>'MPIO_SFIO Table'!S150</f>
        <v>100</v>
      </c>
      <c r="S147" s="1" t="str">
        <f>'MPIO_SFIO Table'!T150</f>
        <v>gpvcfg</v>
      </c>
      <c r="T147" s="2">
        <f>'MPIO_SFIO Table'!U150</f>
        <v>0</v>
      </c>
      <c r="U147" s="1">
        <f>'MPIO_SFIO Table'!V150</f>
        <v>1</v>
      </c>
      <c r="V147" s="1">
        <f>'MPIO_SFIO Table'!W150</f>
        <v>1</v>
      </c>
      <c r="W147" s="1" t="str">
        <f>'MPIO_SFIO Table'!X150</f>
        <v>none</v>
      </c>
      <c r="X147" s="1" t="str">
        <f>'MPIO_SFIO Table'!Y150</f>
        <v>z</v>
      </c>
      <c r="Y147" s="88" t="str">
        <f>'MPIO_SFIO Table'!Z150</f>
        <v>z</v>
      </c>
    </row>
    <row r="148" spans="1:25" x14ac:dyDescent="0.25">
      <c r="A148" s="1" t="str">
        <f>'MPIO_SFIO Table'!A151</f>
        <v>PEX_L0_PRSNT_N</v>
      </c>
      <c r="B148" s="1" t="str">
        <f>'MPIO_SFIO Table'!C151</f>
        <v>AD25</v>
      </c>
      <c r="C148" s="458">
        <f>'MPIO_SFIO Table'!D151</f>
        <v>0</v>
      </c>
      <c r="D148" s="458">
        <f>'MPIO_SFIO Table'!E151</f>
        <v>0</v>
      </c>
      <c r="E148" s="1" t="str">
        <f>'MPIO_SFIO Table'!F151</f>
        <v>unused_PEX_L0_PRSNT_N</v>
      </c>
      <c r="F148" s="2" t="str">
        <f>'MPIO_SFIO Table'!G151</f>
        <v>GPIO-DD.00</v>
      </c>
      <c r="G148" s="1" t="str">
        <f>'MPIO_SFIO Table'!H151</f>
        <v>PEX0-PRSNT_N</v>
      </c>
      <c r="H148" s="1" t="str">
        <f>'MPIO_SFIO Table'!I151</f>
        <v>HDA.C-SYNC</v>
      </c>
      <c r="I148" s="1" t="str">
        <f>'MPIO_SFIO Table'!J151</f>
        <v>RSVD2</v>
      </c>
      <c r="J148" s="1" t="str">
        <f>'MPIO_SFIO Table'!K151</f>
        <v>RSVD3</v>
      </c>
      <c r="K148" s="2" t="str">
        <f>'MPIO_SFIO Table'!L151</f>
        <v>config</v>
      </c>
      <c r="L148" s="1" t="str">
        <f>'MPIO_SFIO Table'!M151</f>
        <v>disabled</v>
      </c>
      <c r="M148" s="1" t="str">
        <f>'MPIO_SFIO Table'!N151</f>
        <v>disabled</v>
      </c>
      <c r="N148" s="1" t="str">
        <f>'MPIO_SFIO Table'!O151</f>
        <v>hold</v>
      </c>
      <c r="O148" s="1" t="str">
        <f>'MPIO_SFIO Table'!P151</f>
        <v/>
      </c>
      <c r="P148" s="2" t="str">
        <f>'MPIO_SFIO Table'!Q151</f>
        <v>VDDIO_PEX_CTL</v>
      </c>
      <c r="Q148" s="1" t="str">
        <f>'MPIO_SFIO Table'!R151</f>
        <v>ST</v>
      </c>
      <c r="R148" s="1">
        <f>'MPIO_SFIO Table'!S151</f>
        <v>100</v>
      </c>
      <c r="S148" s="1" t="str">
        <f>'MPIO_SFIO Table'!T151</f>
        <v>gpvcfg</v>
      </c>
      <c r="T148" s="2">
        <f>'MPIO_SFIO Table'!U151</f>
        <v>0</v>
      </c>
      <c r="U148" s="1">
        <f>'MPIO_SFIO Table'!V151</f>
        <v>1</v>
      </c>
      <c r="V148" s="1">
        <f>'MPIO_SFIO Table'!W151</f>
        <v>1</v>
      </c>
      <c r="W148" s="1" t="str">
        <f>'MPIO_SFIO Table'!X151</f>
        <v>none</v>
      </c>
      <c r="X148" s="1" t="str">
        <f>'MPIO_SFIO Table'!Y151</f>
        <v>z</v>
      </c>
      <c r="Y148" s="88" t="str">
        <f>'MPIO_SFIO Table'!Z151</f>
        <v>z</v>
      </c>
    </row>
    <row r="149" spans="1:25" x14ac:dyDescent="0.25">
      <c r="A149" s="1" t="str">
        <f>'MPIO_SFIO Table'!A152</f>
        <v>PEX_L0_RST_N</v>
      </c>
      <c r="B149" s="1" t="str">
        <f>'MPIO_SFIO Table'!C152</f>
        <v>AG26</v>
      </c>
      <c r="C149" s="458">
        <f>'MPIO_SFIO Table'!D152</f>
        <v>0</v>
      </c>
      <c r="D149" s="458">
        <f>'MPIO_SFIO Table'!E152</f>
        <v>0</v>
      </c>
      <c r="E149" s="1" t="str">
        <f>'MPIO_SFIO Table'!F152</f>
        <v>unused_PEX_L0_RST_N</v>
      </c>
      <c r="F149" s="2" t="str">
        <f>'MPIO_SFIO Table'!G152</f>
        <v>GPIO-DD.01</v>
      </c>
      <c r="G149" s="1" t="str">
        <f>'MPIO_SFIO Table'!H152</f>
        <v>PEX0-RST_N</v>
      </c>
      <c r="H149" s="1" t="str">
        <f>'MPIO_SFIO Table'!I152</f>
        <v>HDA.C-SDI</v>
      </c>
      <c r="I149" s="1" t="str">
        <f>'MPIO_SFIO Table'!J152</f>
        <v>RSVD2</v>
      </c>
      <c r="J149" s="1" t="str">
        <f>'MPIO_SFIO Table'!K152</f>
        <v>RSVD3</v>
      </c>
      <c r="K149" s="2" t="str">
        <f>'MPIO_SFIO Table'!L152</f>
        <v>config</v>
      </c>
      <c r="L149" s="1" t="str">
        <f>'MPIO_SFIO Table'!M152</f>
        <v>disabled</v>
      </c>
      <c r="M149" s="1" t="str">
        <f>'MPIO_SFIO Table'!N152</f>
        <v>disabled</v>
      </c>
      <c r="N149" s="1" t="str">
        <f>'MPIO_SFIO Table'!O152</f>
        <v>hold</v>
      </c>
      <c r="O149" s="1" t="str">
        <f>'MPIO_SFIO Table'!P152</f>
        <v/>
      </c>
      <c r="P149" s="2" t="str">
        <f>'MPIO_SFIO Table'!Q152</f>
        <v>VDDIO_PEX_CTL</v>
      </c>
      <c r="Q149" s="1" t="str">
        <f>'MPIO_SFIO Table'!R152</f>
        <v>ST</v>
      </c>
      <c r="R149" s="1">
        <f>'MPIO_SFIO Table'!S152</f>
        <v>100</v>
      </c>
      <c r="S149" s="1" t="str">
        <f>'MPIO_SFIO Table'!T152</f>
        <v>gpvcfg</v>
      </c>
      <c r="T149" s="2">
        <f>'MPIO_SFIO Table'!U152</f>
        <v>0</v>
      </c>
      <c r="U149" s="1">
        <f>'MPIO_SFIO Table'!V152</f>
        <v>1</v>
      </c>
      <c r="V149" s="1">
        <f>'MPIO_SFIO Table'!W152</f>
        <v>1</v>
      </c>
      <c r="W149" s="1" t="str">
        <f>'MPIO_SFIO Table'!X152</f>
        <v>none</v>
      </c>
      <c r="X149" s="1" t="str">
        <f>'MPIO_SFIO Table'!Y152</f>
        <v>z</v>
      </c>
      <c r="Y149" s="88" t="str">
        <f>'MPIO_SFIO Table'!Z152</f>
        <v>z</v>
      </c>
    </row>
    <row r="150" spans="1:25" x14ac:dyDescent="0.25">
      <c r="A150" s="1" t="str">
        <f>'MPIO_SFIO Table'!A153</f>
        <v>PEX_L1_CLKREQ_N</v>
      </c>
      <c r="B150" s="1" t="str">
        <f>'MPIO_SFIO Table'!C153</f>
        <v>AD26</v>
      </c>
      <c r="C150" s="458">
        <f>'MPIO_SFIO Table'!D153</f>
        <v>0</v>
      </c>
      <c r="D150" s="458">
        <f>'MPIO_SFIO Table'!E153</f>
        <v>0</v>
      </c>
      <c r="E150" s="1" t="str">
        <f>'MPIO_SFIO Table'!F153</f>
        <v>unused_PEX_L1_CLKREQ_N</v>
      </c>
      <c r="F150" s="2" t="str">
        <f>'MPIO_SFIO Table'!G153</f>
        <v>GPIO-DD.06</v>
      </c>
      <c r="G150" s="1" t="str">
        <f>'MPIO_SFIO Table'!H153</f>
        <v>PEXCLK1-CLKREQ_N</v>
      </c>
      <c r="H150" s="1" t="str">
        <f>'MPIO_SFIO Table'!I153</f>
        <v>HDA.D-BCLK</v>
      </c>
      <c r="I150" s="1" t="str">
        <f>'MPIO_SFIO Table'!J153</f>
        <v>RSVD2</v>
      </c>
      <c r="J150" s="1" t="str">
        <f>'MPIO_SFIO Table'!K153</f>
        <v>RSVD3</v>
      </c>
      <c r="K150" s="2" t="str">
        <f>'MPIO_SFIO Table'!L153</f>
        <v>config</v>
      </c>
      <c r="L150" s="1" t="str">
        <f>'MPIO_SFIO Table'!M153</f>
        <v>disabled</v>
      </c>
      <c r="M150" s="1" t="str">
        <f>'MPIO_SFIO Table'!N153</f>
        <v>disabled</v>
      </c>
      <c r="N150" s="1" t="str">
        <f>'MPIO_SFIO Table'!O153</f>
        <v>hold</v>
      </c>
      <c r="O150" s="1" t="str">
        <f>'MPIO_SFIO Table'!P153</f>
        <v/>
      </c>
      <c r="P150" s="2" t="str">
        <f>'MPIO_SFIO Table'!Q153</f>
        <v>VDDIO_PEX_CTL</v>
      </c>
      <c r="Q150" s="1" t="str">
        <f>'MPIO_SFIO Table'!R153</f>
        <v>ST</v>
      </c>
      <c r="R150" s="1">
        <f>'MPIO_SFIO Table'!S153</f>
        <v>100</v>
      </c>
      <c r="S150" s="1" t="str">
        <f>'MPIO_SFIO Table'!T153</f>
        <v>gpvcfg</v>
      </c>
      <c r="T150" s="2">
        <f>'MPIO_SFIO Table'!U153</f>
        <v>0</v>
      </c>
      <c r="U150" s="1">
        <f>'MPIO_SFIO Table'!V153</f>
        <v>1</v>
      </c>
      <c r="V150" s="1">
        <f>'MPIO_SFIO Table'!W153</f>
        <v>1</v>
      </c>
      <c r="W150" s="1" t="str">
        <f>'MPIO_SFIO Table'!X153</f>
        <v>none</v>
      </c>
      <c r="X150" s="1" t="str">
        <f>'MPIO_SFIO Table'!Y153</f>
        <v>z</v>
      </c>
      <c r="Y150" s="88" t="str">
        <f>'MPIO_SFIO Table'!Z153</f>
        <v>z</v>
      </c>
    </row>
    <row r="151" spans="1:25" x14ac:dyDescent="0.25">
      <c r="A151" s="1" t="str">
        <f>'MPIO_SFIO Table'!A154</f>
        <v>PEX_L1_PRSNT_N</v>
      </c>
      <c r="B151" s="1" t="str">
        <f>'MPIO_SFIO Table'!C154</f>
        <v>AD24</v>
      </c>
      <c r="C151" s="458">
        <f>'MPIO_SFIO Table'!D154</f>
        <v>0</v>
      </c>
      <c r="D151" s="458">
        <f>'MPIO_SFIO Table'!E154</f>
        <v>0</v>
      </c>
      <c r="E151" s="1" t="str">
        <f>'MPIO_SFIO Table'!F154</f>
        <v>unused_PEX_L1_PRSNT_N</v>
      </c>
      <c r="F151" s="2" t="str">
        <f>'MPIO_SFIO Table'!G154</f>
        <v>GPIO-DD.04</v>
      </c>
      <c r="G151" s="1" t="str">
        <f>'MPIO_SFIO Table'!H154</f>
        <v>PEX1-PRSNT_N</v>
      </c>
      <c r="H151" s="1" t="str">
        <f>'MPIO_SFIO Table'!I154</f>
        <v>HDA.C-RESET</v>
      </c>
      <c r="I151" s="1" t="str">
        <f>'MPIO_SFIO Table'!J154</f>
        <v>RSVD2</v>
      </c>
      <c r="J151" s="1" t="str">
        <f>'MPIO_SFIO Table'!K154</f>
        <v>RSVD3</v>
      </c>
      <c r="K151" s="2" t="str">
        <f>'MPIO_SFIO Table'!L154</f>
        <v>config</v>
      </c>
      <c r="L151" s="1" t="str">
        <f>'MPIO_SFIO Table'!M154</f>
        <v>disabled</v>
      </c>
      <c r="M151" s="1" t="str">
        <f>'MPIO_SFIO Table'!N154</f>
        <v>disabled</v>
      </c>
      <c r="N151" s="1" t="str">
        <f>'MPIO_SFIO Table'!O154</f>
        <v>hold</v>
      </c>
      <c r="O151" s="1" t="str">
        <f>'MPIO_SFIO Table'!P154</f>
        <v/>
      </c>
      <c r="P151" s="2" t="str">
        <f>'MPIO_SFIO Table'!Q154</f>
        <v>VDDIO_PEX_CTL</v>
      </c>
      <c r="Q151" s="1" t="str">
        <f>'MPIO_SFIO Table'!R154</f>
        <v>ST</v>
      </c>
      <c r="R151" s="1">
        <f>'MPIO_SFIO Table'!S154</f>
        <v>100</v>
      </c>
      <c r="S151" s="1" t="str">
        <f>'MPIO_SFIO Table'!T154</f>
        <v>gpvcfg</v>
      </c>
      <c r="T151" s="2">
        <f>'MPIO_SFIO Table'!U154</f>
        <v>0</v>
      </c>
      <c r="U151" s="1">
        <f>'MPIO_SFIO Table'!V154</f>
        <v>1</v>
      </c>
      <c r="V151" s="1">
        <f>'MPIO_SFIO Table'!W154</f>
        <v>1</v>
      </c>
      <c r="W151" s="1" t="str">
        <f>'MPIO_SFIO Table'!X154</f>
        <v>none</v>
      </c>
      <c r="X151" s="1" t="str">
        <f>'MPIO_SFIO Table'!Y154</f>
        <v>z</v>
      </c>
      <c r="Y151" s="88" t="str">
        <f>'MPIO_SFIO Table'!Z154</f>
        <v>z</v>
      </c>
    </row>
    <row r="152" spans="1:25" x14ac:dyDescent="0.25">
      <c r="A152" s="1" t="str">
        <f>'MPIO_SFIO Table'!A155</f>
        <v>PEX_L1_RST_N</v>
      </c>
      <c r="B152" s="1" t="str">
        <f>'MPIO_SFIO Table'!C155</f>
        <v>AG27</v>
      </c>
      <c r="C152" s="458">
        <f>'MPIO_SFIO Table'!D155</f>
        <v>0</v>
      </c>
      <c r="D152" s="459">
        <f>'MPIO_SFIO Table'!E155</f>
        <v>0</v>
      </c>
      <c r="E152" s="1" t="str">
        <f>'MPIO_SFIO Table'!F155</f>
        <v>unused_PEX_L1_RST_N</v>
      </c>
      <c r="F152" s="2" t="str">
        <f>'MPIO_SFIO Table'!G155</f>
        <v>GPIO-DD.05</v>
      </c>
      <c r="G152" s="1" t="str">
        <f>'MPIO_SFIO Table'!H155</f>
        <v>PEX1-RST_N</v>
      </c>
      <c r="H152" s="1" t="str">
        <f>'MPIO_SFIO Table'!I155</f>
        <v>HDA.D-RESET</v>
      </c>
      <c r="I152" s="1" t="str">
        <f>'MPIO_SFIO Table'!J155</f>
        <v>RSVD2</v>
      </c>
      <c r="J152" s="1" t="str">
        <f>'MPIO_SFIO Table'!K155</f>
        <v>RSVD3</v>
      </c>
      <c r="K152" s="2" t="str">
        <f>'MPIO_SFIO Table'!L155</f>
        <v>config</v>
      </c>
      <c r="L152" s="1" t="str">
        <f>'MPIO_SFIO Table'!M155</f>
        <v>disabled</v>
      </c>
      <c r="M152" s="1" t="str">
        <f>'MPIO_SFIO Table'!N155</f>
        <v>disabled</v>
      </c>
      <c r="N152" s="1" t="str">
        <f>'MPIO_SFIO Table'!O155</f>
        <v>hold</v>
      </c>
      <c r="O152" s="1" t="str">
        <f>'MPIO_SFIO Table'!P155</f>
        <v/>
      </c>
      <c r="P152" s="2" t="str">
        <f>'MPIO_SFIO Table'!Q155</f>
        <v>VDDIO_PEX_CTL</v>
      </c>
      <c r="Q152" s="1" t="str">
        <f>'MPIO_SFIO Table'!R155</f>
        <v>ST</v>
      </c>
      <c r="R152" s="1">
        <f>'MPIO_SFIO Table'!S155</f>
        <v>100</v>
      </c>
      <c r="S152" s="1" t="str">
        <f>'MPIO_SFIO Table'!T155</f>
        <v>gpvcfg</v>
      </c>
      <c r="T152" s="2">
        <f>'MPIO_SFIO Table'!U155</f>
        <v>0</v>
      </c>
      <c r="U152" s="1">
        <f>'MPIO_SFIO Table'!V155</f>
        <v>1</v>
      </c>
      <c r="V152" s="1">
        <f>'MPIO_SFIO Table'!W155</f>
        <v>1</v>
      </c>
      <c r="W152" s="1" t="str">
        <f>'MPIO_SFIO Table'!X155</f>
        <v>none</v>
      </c>
      <c r="X152" s="1" t="str">
        <f>'MPIO_SFIO Table'!Y155</f>
        <v>z</v>
      </c>
      <c r="Y152" s="88" t="str">
        <f>'MPIO_SFIO Table'!Z155</f>
        <v>z</v>
      </c>
    </row>
    <row r="153" spans="1:25" x14ac:dyDescent="0.25">
      <c r="A153" s="1" t="str">
        <f>'MPIO_SFIO Table'!A156</f>
        <v>PEX_L2_CLKREQ_N</v>
      </c>
      <c r="B153" s="1" t="str">
        <f>'MPIO_SFIO Table'!C156</f>
        <v>AC21</v>
      </c>
      <c r="C153" s="73" t="str">
        <f>'MPIO_SFIO Table'!D156</f>
        <v>AR31</v>
      </c>
      <c r="D153" s="73" t="str">
        <f>'MPIO_SFIO Table'!E156</f>
        <v>AR31</v>
      </c>
      <c r="E153" s="1" t="str">
        <f>'MPIO_SFIO Table'!F156</f>
        <v>unused_PEX_L2_CLKREQ_N</v>
      </c>
      <c r="F153" s="2" t="str">
        <f>'MPIO_SFIO Table'!G156</f>
        <v>GPIO-CC.07</v>
      </c>
      <c r="G153" s="1" t="str">
        <f>'MPIO_SFIO Table'!H156</f>
        <v>PEXCLK2-CLKREQ_N</v>
      </c>
      <c r="H153" s="1" t="str">
        <f>'MPIO_SFIO Table'!I156</f>
        <v>HDA.D-SYNC</v>
      </c>
      <c r="I153" s="1" t="str">
        <f>'MPIO_SFIO Table'!J156</f>
        <v>RSVD2</v>
      </c>
      <c r="J153" s="1" t="str">
        <f>'MPIO_SFIO Table'!K156</f>
        <v>RSVD3</v>
      </c>
      <c r="K153" s="2" t="str">
        <f>'MPIO_SFIO Table'!L156</f>
        <v>config</v>
      </c>
      <c r="L153" s="1" t="str">
        <f>'MPIO_SFIO Table'!M156</f>
        <v>disabled</v>
      </c>
      <c r="M153" s="1" t="str">
        <f>'MPIO_SFIO Table'!N156</f>
        <v>disabled</v>
      </c>
      <c r="N153" s="1" t="str">
        <f>'MPIO_SFIO Table'!O156</f>
        <v>hold</v>
      </c>
      <c r="O153" s="1" t="str">
        <f>'MPIO_SFIO Table'!P156</f>
        <v/>
      </c>
      <c r="P153" s="2" t="str">
        <f>'MPIO_SFIO Table'!Q156</f>
        <v>VDDIO_PEX_CTL</v>
      </c>
      <c r="Q153" s="1" t="str">
        <f>'MPIO_SFIO Table'!R156</f>
        <v>ST</v>
      </c>
      <c r="R153" s="1">
        <f>'MPIO_SFIO Table'!S156</f>
        <v>100</v>
      </c>
      <c r="S153" s="1" t="str">
        <f>'MPIO_SFIO Table'!T156</f>
        <v>gpvcfg</v>
      </c>
      <c r="T153" s="2">
        <f>'MPIO_SFIO Table'!U156</f>
        <v>0</v>
      </c>
      <c r="U153" s="1">
        <f>'MPIO_SFIO Table'!V156</f>
        <v>1</v>
      </c>
      <c r="V153" s="1">
        <f>'MPIO_SFIO Table'!W156</f>
        <v>1</v>
      </c>
      <c r="W153" s="1" t="str">
        <f>'MPIO_SFIO Table'!X156</f>
        <v>none</v>
      </c>
      <c r="X153" s="1" t="str">
        <f>'MPIO_SFIO Table'!Y156</f>
        <v>z</v>
      </c>
      <c r="Y153" s="88" t="str">
        <f>'MPIO_SFIO Table'!Z156</f>
        <v>z</v>
      </c>
    </row>
    <row r="154" spans="1:25" x14ac:dyDescent="0.25">
      <c r="A154" s="1" t="str">
        <f>'MPIO_SFIO Table'!A157</f>
        <v>PEX_L2_PRSNT_N</v>
      </c>
      <c r="B154" s="1" t="str">
        <f>'MPIO_SFIO Table'!C157</f>
        <v>AE22</v>
      </c>
      <c r="C154" s="74" t="str">
        <f>'MPIO_SFIO Table'!D157</f>
        <v>AT32</v>
      </c>
      <c r="D154" s="74" t="str">
        <f>'MPIO_SFIO Table'!E157</f>
        <v>AT32</v>
      </c>
      <c r="E154" s="1" t="str">
        <f>'MPIO_SFIO Table'!F157</f>
        <v>unused_PEX_L2_PRSNT_N</v>
      </c>
      <c r="F154" s="2" t="str">
        <f>'MPIO_SFIO Table'!G157</f>
        <v>GPIO-DD.07</v>
      </c>
      <c r="G154" s="1" t="str">
        <f>'MPIO_SFIO Table'!H157</f>
        <v>PEX2-PRSNT_N</v>
      </c>
      <c r="H154" s="1" t="str">
        <f>'MPIO_SFIO Table'!I157</f>
        <v>HDA.D-SDI</v>
      </c>
      <c r="I154" s="1" t="str">
        <f>'MPIO_SFIO Table'!J157</f>
        <v>RSVD2</v>
      </c>
      <c r="J154" s="1" t="str">
        <f>'MPIO_SFIO Table'!K157</f>
        <v>RSVD3</v>
      </c>
      <c r="K154" s="2" t="str">
        <f>'MPIO_SFIO Table'!L157</f>
        <v>config</v>
      </c>
      <c r="L154" s="1" t="str">
        <f>'MPIO_SFIO Table'!M157</f>
        <v>disabled</v>
      </c>
      <c r="M154" s="1" t="str">
        <f>'MPIO_SFIO Table'!N157</f>
        <v>disabled</v>
      </c>
      <c r="N154" s="1" t="str">
        <f>'MPIO_SFIO Table'!O157</f>
        <v>hold</v>
      </c>
      <c r="O154" s="1" t="str">
        <f>'MPIO_SFIO Table'!P157</f>
        <v/>
      </c>
      <c r="P154" s="2" t="str">
        <f>'MPIO_SFIO Table'!Q157</f>
        <v>VDDIO_PEX_CTL</v>
      </c>
      <c r="Q154" s="1" t="str">
        <f>'MPIO_SFIO Table'!R157</f>
        <v>ST</v>
      </c>
      <c r="R154" s="1">
        <f>'MPIO_SFIO Table'!S157</f>
        <v>100</v>
      </c>
      <c r="S154" s="1" t="str">
        <f>'MPIO_SFIO Table'!T157</f>
        <v>gpvcfg</v>
      </c>
      <c r="T154" s="2">
        <f>'MPIO_SFIO Table'!U157</f>
        <v>0</v>
      </c>
      <c r="U154" s="1">
        <f>'MPIO_SFIO Table'!V157</f>
        <v>1</v>
      </c>
      <c r="V154" s="1">
        <f>'MPIO_SFIO Table'!W157</f>
        <v>1</v>
      </c>
      <c r="W154" s="1" t="str">
        <f>'MPIO_SFIO Table'!X157</f>
        <v>none</v>
      </c>
      <c r="X154" s="1" t="str">
        <f>'MPIO_SFIO Table'!Y157</f>
        <v>z</v>
      </c>
      <c r="Y154" s="88" t="str">
        <f>'MPIO_SFIO Table'!Z157</f>
        <v>z</v>
      </c>
    </row>
    <row r="155" spans="1:25" x14ac:dyDescent="0.25">
      <c r="A155" s="1" t="str">
        <f>'MPIO_SFIO Table'!A158</f>
        <v>PEX_L2_RST_N</v>
      </c>
      <c r="B155" s="1" t="str">
        <f>'MPIO_SFIO Table'!C158</f>
        <v>AG25</v>
      </c>
      <c r="C155" s="74" t="str">
        <f>'MPIO_SFIO Table'!D158</f>
        <v>AU33</v>
      </c>
      <c r="D155" s="74" t="str">
        <f>'MPIO_SFIO Table'!E158</f>
        <v>AU3</v>
      </c>
      <c r="E155" s="1" t="str">
        <f>'MPIO_SFIO Table'!F158</f>
        <v>unused_PEX_L2_RST_N</v>
      </c>
      <c r="F155" s="2" t="str">
        <f>'MPIO_SFIO Table'!G158</f>
        <v>GPIO-CC.06</v>
      </c>
      <c r="G155" s="1" t="str">
        <f>'MPIO_SFIO Table'!H158</f>
        <v>PEX2-RST_N</v>
      </c>
      <c r="H155" s="1" t="str">
        <f>'MPIO_SFIO Table'!I158</f>
        <v>HDA.D-SDO</v>
      </c>
      <c r="I155" s="1" t="str">
        <f>'MPIO_SFIO Table'!J158</f>
        <v>RSVD2</v>
      </c>
      <c r="J155" s="1" t="str">
        <f>'MPIO_SFIO Table'!K158</f>
        <v>RSVD3</v>
      </c>
      <c r="K155" s="2" t="str">
        <f>'MPIO_SFIO Table'!L158</f>
        <v>config</v>
      </c>
      <c r="L155" s="1" t="str">
        <f>'MPIO_SFIO Table'!M158</f>
        <v>disabled</v>
      </c>
      <c r="M155" s="1" t="str">
        <f>'MPIO_SFIO Table'!N158</f>
        <v>disabled</v>
      </c>
      <c r="N155" s="1" t="str">
        <f>'MPIO_SFIO Table'!O158</f>
        <v>hold</v>
      </c>
      <c r="O155" s="1" t="str">
        <f>'MPIO_SFIO Table'!P158</f>
        <v/>
      </c>
      <c r="P155" s="2" t="str">
        <f>'MPIO_SFIO Table'!Q158</f>
        <v>VDDIO_PEX_CTL</v>
      </c>
      <c r="Q155" s="1" t="str">
        <f>'MPIO_SFIO Table'!R158</f>
        <v>ST</v>
      </c>
      <c r="R155" s="1">
        <f>'MPIO_SFIO Table'!S158</f>
        <v>100</v>
      </c>
      <c r="S155" s="1" t="str">
        <f>'MPIO_SFIO Table'!T158</f>
        <v>gpvcfg</v>
      </c>
      <c r="T155" s="2">
        <f>'MPIO_SFIO Table'!U158</f>
        <v>0</v>
      </c>
      <c r="U155" s="1">
        <f>'MPIO_SFIO Table'!V158</f>
        <v>1</v>
      </c>
      <c r="V155" s="1">
        <f>'MPIO_SFIO Table'!W158</f>
        <v>1</v>
      </c>
      <c r="W155" s="1" t="str">
        <f>'MPIO_SFIO Table'!X158</f>
        <v>none</v>
      </c>
      <c r="X155" s="1" t="str">
        <f>'MPIO_SFIO Table'!Y158</f>
        <v>z</v>
      </c>
      <c r="Y155" s="88" t="str">
        <f>'MPIO_SFIO Table'!Z158</f>
        <v>z</v>
      </c>
    </row>
    <row r="156" spans="1:25" x14ac:dyDescent="0.25">
      <c r="A156" s="1" t="str">
        <f>'MPIO_SFIO Table'!A159</f>
        <v>PEX_WAKE_N</v>
      </c>
      <c r="B156" s="1" t="str">
        <f>'MPIO_SFIO Table'!C159</f>
        <v>AF22</v>
      </c>
      <c r="C156" s="75" t="str">
        <f>'MPIO_SFIO Table'!D159</f>
        <v>AP32</v>
      </c>
      <c r="D156" s="75" t="str">
        <f>'MPIO_SFIO Table'!E159</f>
        <v>AP32</v>
      </c>
      <c r="E156" s="1" t="str">
        <f>'MPIO_SFIO Table'!F159</f>
        <v>unused_PEX_WAKE_N</v>
      </c>
      <c r="F156" s="2" t="str">
        <f>'MPIO_SFIO Table'!G159</f>
        <v>GPIO-DD.03</v>
      </c>
      <c r="G156" s="1" t="str">
        <f>'MPIO_SFIO Table'!H159</f>
        <v>PEX-WAKE_N</v>
      </c>
      <c r="H156" s="1" t="str">
        <f>'MPIO_SFIO Table'!I159</f>
        <v>HDA.C-BCLK</v>
      </c>
      <c r="I156" s="1" t="str">
        <f>'MPIO_SFIO Table'!J159</f>
        <v>RSVD2</v>
      </c>
      <c r="J156" s="1" t="str">
        <f>'MPIO_SFIO Table'!K159</f>
        <v>RSVD3</v>
      </c>
      <c r="K156" s="2" t="str">
        <f>'MPIO_SFIO Table'!L159</f>
        <v>config</v>
      </c>
      <c r="L156" s="1" t="str">
        <f>'MPIO_SFIO Table'!M159</f>
        <v>special</v>
      </c>
      <c r="M156" s="1" t="str">
        <f>'MPIO_SFIO Table'!N159</f>
        <v>config</v>
      </c>
      <c r="N156" s="1" t="str">
        <f>'MPIO_SFIO Table'!O159</f>
        <v>hold</v>
      </c>
      <c r="O156" s="1">
        <f>'MPIO_SFIO Table'!P159</f>
        <v>14</v>
      </c>
      <c r="P156" s="2" t="str">
        <f>'MPIO_SFIO Table'!Q159</f>
        <v>VDDIO_PEX_CTL</v>
      </c>
      <c r="Q156" s="1" t="str">
        <f>'MPIO_SFIO Table'!R159</f>
        <v>ST</v>
      </c>
      <c r="R156" s="1">
        <f>'MPIO_SFIO Table'!S159</f>
        <v>100</v>
      </c>
      <c r="S156" s="1" t="str">
        <f>'MPIO_SFIO Table'!T159</f>
        <v>gpvcfg</v>
      </c>
      <c r="T156" s="2">
        <f>'MPIO_SFIO Table'!U159</f>
        <v>0</v>
      </c>
      <c r="U156" s="1">
        <f>'MPIO_SFIO Table'!V159</f>
        <v>1</v>
      </c>
      <c r="V156" s="1">
        <f>'MPIO_SFIO Table'!W159</f>
        <v>1</v>
      </c>
      <c r="W156" s="1" t="str">
        <f>'MPIO_SFIO Table'!X159</f>
        <v>none</v>
      </c>
      <c r="X156" s="1" t="str">
        <f>'MPIO_SFIO Table'!Y159</f>
        <v>z</v>
      </c>
      <c r="Y156" s="88" t="str">
        <f>'MPIO_SFIO Table'!Z159</f>
        <v>z</v>
      </c>
    </row>
    <row r="157" spans="1:25" ht="15.75" x14ac:dyDescent="0.25">
      <c r="A157" s="32" t="str">
        <f>'MPIO_SFIO Table'!A160</f>
        <v>SDMMC1</v>
      </c>
      <c r="B157" s="32"/>
      <c r="C157" s="32"/>
      <c r="D157" s="32"/>
      <c r="E157" s="32"/>
      <c r="F157" s="33"/>
      <c r="G157" s="32"/>
      <c r="H157" s="32"/>
      <c r="I157" s="32"/>
      <c r="J157" s="32"/>
      <c r="K157" s="33"/>
      <c r="L157" s="32"/>
      <c r="M157" s="32"/>
      <c r="N157" s="32"/>
      <c r="O157" s="32"/>
      <c r="P157" s="33"/>
      <c r="Q157" s="32"/>
      <c r="R157" s="32"/>
      <c r="S157" s="32"/>
      <c r="T157" s="34"/>
      <c r="U157" s="35"/>
      <c r="V157" s="35"/>
      <c r="W157" s="35"/>
      <c r="X157" s="35"/>
      <c r="Y157" s="87"/>
    </row>
    <row r="158" spans="1:25" x14ac:dyDescent="0.25">
      <c r="A158" s="1" t="str">
        <f>'MPIO_SFIO Table'!A161</f>
        <v>CLK2_OUT</v>
      </c>
      <c r="B158" s="1" t="str">
        <f>'MPIO_SFIO Table'!C161</f>
        <v>K5</v>
      </c>
      <c r="C158" s="1" t="str">
        <f>'MPIO_SFIO Table'!D161</f>
        <v>U3</v>
      </c>
      <c r="D158" s="1" t="str">
        <f>'MPIO_SFIO Table'!E161</f>
        <v>U3</v>
      </c>
      <c r="E158" s="1" t="str">
        <f>'MPIO_SFIO Table'!F161</f>
        <v>unused_CLK2_OUT</v>
      </c>
      <c r="F158" s="2" t="str">
        <f>'MPIO_SFIO Table'!G161</f>
        <v>GPIO-W.05</v>
      </c>
      <c r="G158" s="1" t="str">
        <f>'MPIO_SFIO Table'!H161</f>
        <v>CLK-EXTCLK2</v>
      </c>
      <c r="H158" s="1" t="str">
        <f>'MPIO_SFIO Table'!I161</f>
        <v>RSVD1</v>
      </c>
      <c r="I158" s="1" t="str">
        <f>'MPIO_SFIO Table'!J161</f>
        <v>RSVD2</v>
      </c>
      <c r="J158" s="1" t="str">
        <f>'MPIO_SFIO Table'!K161</f>
        <v>RSVD3</v>
      </c>
      <c r="K158" s="2" t="str">
        <f>'MPIO_SFIO Table'!L161</f>
        <v>special</v>
      </c>
      <c r="L158" s="1" t="str">
        <f>'MPIO_SFIO Table'!M161</f>
        <v>special</v>
      </c>
      <c r="M158" s="1" t="str">
        <f>'MPIO_SFIO Table'!N161</f>
        <v>config</v>
      </c>
      <c r="N158" s="1" t="str">
        <f>'MPIO_SFIO Table'!O161</f>
        <v>hold</v>
      </c>
      <c r="O158" s="1" t="str">
        <f>'MPIO_SFIO Table'!P161</f>
        <v/>
      </c>
      <c r="P158" s="2" t="str">
        <f>'MPIO_SFIO Table'!Q161</f>
        <v>VDDIO_SDMMC1</v>
      </c>
      <c r="Q158" s="1" t="str">
        <f>'MPIO_SFIO Table'!R161</f>
        <v>ST</v>
      </c>
      <c r="R158" s="1">
        <f>'MPIO_SFIO Table'!S161</f>
        <v>100</v>
      </c>
      <c r="S158" s="1" t="str">
        <f>'MPIO_SFIO Table'!T161</f>
        <v>cdev2cfg</v>
      </c>
      <c r="T158" s="2">
        <f>'MPIO_SFIO Table'!U161</f>
        <v>0</v>
      </c>
      <c r="U158" s="1">
        <f>'MPIO_SFIO Table'!V161</f>
        <v>1</v>
      </c>
      <c r="V158" s="1">
        <f>'MPIO_SFIO Table'!W161</f>
        <v>1</v>
      </c>
      <c r="W158" s="1" t="str">
        <f>'MPIO_SFIO Table'!X161</f>
        <v>down</v>
      </c>
      <c r="X158" s="1" t="str">
        <f>'MPIO_SFIO Table'!Y161</f>
        <v>pd</v>
      </c>
      <c r="Y158" s="88" t="str">
        <f>'MPIO_SFIO Table'!Z161</f>
        <v>pd</v>
      </c>
    </row>
    <row r="159" spans="1:25" x14ac:dyDescent="0.25">
      <c r="A159" s="1" t="str">
        <f>'MPIO_SFIO Table'!A162</f>
        <v>CLK2_REQ</v>
      </c>
      <c r="B159" s="1" t="str">
        <f>'MPIO_SFIO Table'!C162</f>
        <v>N5</v>
      </c>
      <c r="C159" s="1" t="str">
        <f>'MPIO_SFIO Table'!D162</f>
        <v>U5</v>
      </c>
      <c r="D159" s="1" t="str">
        <f>'MPIO_SFIO Table'!E162</f>
        <v>U5</v>
      </c>
      <c r="E159" s="1" t="str">
        <f>'MPIO_SFIO Table'!F162</f>
        <v>unused_CLK2_REQ</v>
      </c>
      <c r="F159" s="2" t="str">
        <f>'MPIO_SFIO Table'!G162</f>
        <v>GPIO-CC.05</v>
      </c>
      <c r="G159" s="1" t="str">
        <f>'MPIO_SFIO Table'!H162</f>
        <v>CLK-DAP_MCLK2_REQ</v>
      </c>
      <c r="H159" s="1" t="str">
        <f>'MPIO_SFIO Table'!I162</f>
        <v>RSVD1</v>
      </c>
      <c r="I159" s="1" t="str">
        <f>'MPIO_SFIO Table'!J162</f>
        <v>RSVD2</v>
      </c>
      <c r="J159" s="1" t="str">
        <f>'MPIO_SFIO Table'!K162</f>
        <v>RSVD3</v>
      </c>
      <c r="K159" s="2" t="str">
        <f>'MPIO_SFIO Table'!L162</f>
        <v>config</v>
      </c>
      <c r="L159" s="1" t="str">
        <f>'MPIO_SFIO Table'!M162</f>
        <v>special</v>
      </c>
      <c r="M159" s="1" t="str">
        <f>'MPIO_SFIO Table'!N162</f>
        <v>config</v>
      </c>
      <c r="N159" s="1" t="str">
        <f>'MPIO_SFIO Table'!O162</f>
        <v>hold</v>
      </c>
      <c r="O159" s="1" t="str">
        <f>'MPIO_SFIO Table'!P162</f>
        <v/>
      </c>
      <c r="P159" s="2" t="str">
        <f>'MPIO_SFIO Table'!Q162</f>
        <v>VDDIO_SDMMC1</v>
      </c>
      <c r="Q159" s="1" t="str">
        <f>'MPIO_SFIO Table'!R162</f>
        <v>ST</v>
      </c>
      <c r="R159" s="1">
        <f>'MPIO_SFIO Table'!S162</f>
        <v>100</v>
      </c>
      <c r="S159" s="1" t="str">
        <f>'MPIO_SFIO Table'!T162</f>
        <v>cdev2cfg</v>
      </c>
      <c r="T159" s="2">
        <f>'MPIO_SFIO Table'!U162</f>
        <v>0</v>
      </c>
      <c r="U159" s="1">
        <f>'MPIO_SFIO Table'!V162</f>
        <v>1</v>
      </c>
      <c r="V159" s="1">
        <f>'MPIO_SFIO Table'!W162</f>
        <v>1</v>
      </c>
      <c r="W159" s="1" t="str">
        <f>'MPIO_SFIO Table'!X162</f>
        <v>none</v>
      </c>
      <c r="X159" s="1" t="str">
        <f>'MPIO_SFIO Table'!Y162</f>
        <v>z</v>
      </c>
      <c r="Y159" s="88" t="str">
        <f>'MPIO_SFIO Table'!Z162</f>
        <v>z</v>
      </c>
    </row>
    <row r="160" spans="1:25" x14ac:dyDescent="0.25">
      <c r="A160" s="1" t="str">
        <f>'MPIO_SFIO Table'!A163</f>
        <v>GPIO_PV2</v>
      </c>
      <c r="B160" s="1" t="str">
        <f>'MPIO_SFIO Table'!C163</f>
        <v>M5</v>
      </c>
      <c r="C160" s="1" t="str">
        <f>'MPIO_SFIO Table'!D163</f>
        <v>Y6</v>
      </c>
      <c r="D160" s="1" t="str">
        <f>'MPIO_SFIO Table'!E163</f>
        <v>Y6</v>
      </c>
      <c r="E160" s="1" t="str">
        <f>'MPIO_SFIO Table'!F163</f>
        <v>unused_GPIO_PV2</v>
      </c>
      <c r="F160" s="2" t="str">
        <f>'MPIO_SFIO Table'!G163</f>
        <v>GPIO-V.02</v>
      </c>
      <c r="G160" s="1" t="str">
        <f>'MPIO_SFIO Table'!H163</f>
        <v>OWR-PCTLZ</v>
      </c>
      <c r="H160" s="1" t="str">
        <f>'MPIO_SFIO Table'!I163</f>
        <v>RSVD1</v>
      </c>
      <c r="I160" s="1" t="str">
        <f>'MPIO_SFIO Table'!J163</f>
        <v>RSVD2</v>
      </c>
      <c r="J160" s="1" t="str">
        <f>'MPIO_SFIO Table'!K163</f>
        <v>RSVD3</v>
      </c>
      <c r="K160" s="2" t="str">
        <f>'MPIO_SFIO Table'!L163</f>
        <v>config</v>
      </c>
      <c r="L160" s="1" t="str">
        <f>'MPIO_SFIO Table'!M163</f>
        <v>disabled</v>
      </c>
      <c r="M160" s="1" t="str">
        <f>'MPIO_SFIO Table'!N163</f>
        <v>disabled</v>
      </c>
      <c r="N160" s="1" t="str">
        <f>'MPIO_SFIO Table'!O163</f>
        <v>hold</v>
      </c>
      <c r="O160" s="1" t="str">
        <f>'MPIO_SFIO Table'!P163</f>
        <v/>
      </c>
      <c r="P160" s="2" t="str">
        <f>'MPIO_SFIO Table'!Q163</f>
        <v>VDDIO_SDMMC1</v>
      </c>
      <c r="Q160" s="1" t="str">
        <f>'MPIO_SFIO Table'!R163</f>
        <v>ST</v>
      </c>
      <c r="R160" s="1">
        <f>'MPIO_SFIO Table'!S163</f>
        <v>100</v>
      </c>
      <c r="S160" s="1" t="str">
        <f>'MPIO_SFIO Table'!T163</f>
        <v>uabcfg</v>
      </c>
      <c r="T160" s="2">
        <f>'MPIO_SFIO Table'!U163</f>
        <v>0</v>
      </c>
      <c r="U160" s="1">
        <f>'MPIO_SFIO Table'!V163</f>
        <v>1</v>
      </c>
      <c r="V160" s="1">
        <f>'MPIO_SFIO Table'!W163</f>
        <v>1</v>
      </c>
      <c r="W160" s="1" t="str">
        <f>'MPIO_SFIO Table'!X163</f>
        <v>none</v>
      </c>
      <c r="X160" s="1" t="str">
        <f>'MPIO_SFIO Table'!Y163</f>
        <v>z</v>
      </c>
      <c r="Y160" s="88" t="str">
        <f>'MPIO_SFIO Table'!Z163</f>
        <v>z</v>
      </c>
    </row>
    <row r="161" spans="1:25" x14ac:dyDescent="0.25">
      <c r="A161" s="1" t="str">
        <f>'MPIO_SFIO Table'!A164</f>
        <v>GPIO_PV3</v>
      </c>
      <c r="B161" s="1" t="str">
        <f>'MPIO_SFIO Table'!C164</f>
        <v>M1</v>
      </c>
      <c r="C161" s="1" t="str">
        <f>'MPIO_SFIO Table'!D164</f>
        <v>W9</v>
      </c>
      <c r="D161" s="1" t="str">
        <f>'MPIO_SFIO Table'!E164</f>
        <v>W9</v>
      </c>
      <c r="E161" s="1" t="str">
        <f>'MPIO_SFIO Table'!F164</f>
        <v>unused_GPIO_PV3</v>
      </c>
      <c r="F161" s="2" t="str">
        <f>'MPIO_SFIO Table'!G164</f>
        <v>GPIO-V.03</v>
      </c>
      <c r="G161" s="1" t="str">
        <f>'MPIO_SFIO Table'!H164</f>
        <v>INVALID</v>
      </c>
      <c r="H161" s="1" t="str">
        <f>'MPIO_SFIO Table'!I164</f>
        <v>RSVD1</v>
      </c>
      <c r="I161" s="1" t="str">
        <f>'MPIO_SFIO Table'!J164</f>
        <v>RSVD2</v>
      </c>
      <c r="J161" s="1" t="str">
        <f>'MPIO_SFIO Table'!K164</f>
        <v>RSVD3</v>
      </c>
      <c r="K161" s="2" t="str">
        <f>'MPIO_SFIO Table'!L164</f>
        <v>config</v>
      </c>
      <c r="L161" s="1" t="str">
        <f>'MPIO_SFIO Table'!M164</f>
        <v>disabled</v>
      </c>
      <c r="M161" s="1" t="str">
        <f>'MPIO_SFIO Table'!N164</f>
        <v>disabled</v>
      </c>
      <c r="N161" s="1" t="str">
        <f>'MPIO_SFIO Table'!O164</f>
        <v>hold</v>
      </c>
      <c r="O161" s="1" t="str">
        <f>'MPIO_SFIO Table'!P164</f>
        <v/>
      </c>
      <c r="P161" s="2" t="str">
        <f>'MPIO_SFIO Table'!Q164</f>
        <v>VDDIO_SDMMC1</v>
      </c>
      <c r="Q161" s="1" t="str">
        <f>'MPIO_SFIO Table'!R164</f>
        <v>ST</v>
      </c>
      <c r="R161" s="1">
        <f>'MPIO_SFIO Table'!S164</f>
        <v>100</v>
      </c>
      <c r="S161" s="1" t="str">
        <f>'MPIO_SFIO Table'!T164</f>
        <v>uabcfg</v>
      </c>
      <c r="T161" s="2">
        <f>'MPIO_SFIO Table'!U164</f>
        <v>0</v>
      </c>
      <c r="U161" s="1">
        <f>'MPIO_SFIO Table'!V164</f>
        <v>1</v>
      </c>
      <c r="V161" s="1">
        <f>'MPIO_SFIO Table'!W164</f>
        <v>1</v>
      </c>
      <c r="W161" s="1" t="str">
        <f>'MPIO_SFIO Table'!X164</f>
        <v>none</v>
      </c>
      <c r="X161" s="1" t="str">
        <f>'MPIO_SFIO Table'!Y164</f>
        <v>z</v>
      </c>
      <c r="Y161" s="88" t="str">
        <f>'MPIO_SFIO Table'!Z164</f>
        <v>z</v>
      </c>
    </row>
    <row r="162" spans="1:25" x14ac:dyDescent="0.25">
      <c r="A162" s="1" t="str">
        <f>'MPIO_SFIO Table'!A165</f>
        <v>SDMMC1_CLK</v>
      </c>
      <c r="B162" s="1" t="str">
        <f>'MPIO_SFIO Table'!C165</f>
        <v>M6</v>
      </c>
      <c r="C162" s="1" t="str">
        <f>'MPIO_SFIO Table'!D165</f>
        <v>T6</v>
      </c>
      <c r="D162" s="1" t="str">
        <f>'MPIO_SFIO Table'!E165</f>
        <v>T6</v>
      </c>
      <c r="E162" s="1" t="str">
        <f>'MPIO_SFIO Table'!F165</f>
        <v>unused_SDMMC1_CLK</v>
      </c>
      <c r="F162" s="2" t="str">
        <f>'MPIO_SFIO Table'!G165</f>
        <v>GPIO-Z.00</v>
      </c>
      <c r="G162" s="1" t="str">
        <f>'MPIO_SFIO Table'!H165</f>
        <v>SDMMC1-SCLK</v>
      </c>
      <c r="H162" s="1" t="str">
        <f>'MPIO_SFIO Table'!I165</f>
        <v>RSVD1</v>
      </c>
      <c r="I162" s="1" t="str">
        <f>'MPIO_SFIO Table'!J165</f>
        <v>RSVD2</v>
      </c>
      <c r="J162" s="1" t="str">
        <f>'MPIO_SFIO Table'!K165</f>
        <v>INVALID</v>
      </c>
      <c r="K162" s="2" t="str">
        <f>'MPIO_SFIO Table'!L165</f>
        <v>config</v>
      </c>
      <c r="L162" s="1" t="str">
        <f>'MPIO_SFIO Table'!M165</f>
        <v>disabled</v>
      </c>
      <c r="M162" s="1" t="str">
        <f>'MPIO_SFIO Table'!N165</f>
        <v>config</v>
      </c>
      <c r="N162" s="1" t="str">
        <f>'MPIO_SFIO Table'!O165</f>
        <v>hold</v>
      </c>
      <c r="O162" s="1" t="str">
        <f>'MPIO_SFIO Table'!P165</f>
        <v/>
      </c>
      <c r="P162" s="2" t="str">
        <f>'MPIO_SFIO Table'!Q165</f>
        <v>VDDIO_SDMMC1</v>
      </c>
      <c r="Q162" s="1" t="str">
        <f>'MPIO_SFIO Table'!R165</f>
        <v>CZ</v>
      </c>
      <c r="R162" s="1">
        <f>'MPIO_SFIO Table'!S165</f>
        <v>15</v>
      </c>
      <c r="S162" s="1" t="str">
        <f>'MPIO_SFIO Table'!T165</f>
        <v>sdio1cfg</v>
      </c>
      <c r="T162" s="2">
        <f>'MPIO_SFIO Table'!U165</f>
        <v>0</v>
      </c>
      <c r="U162" s="1">
        <f>'MPIO_SFIO Table'!V165</f>
        <v>1</v>
      </c>
      <c r="V162" s="1">
        <f>'MPIO_SFIO Table'!W165</f>
        <v>1</v>
      </c>
      <c r="W162" s="1" t="str">
        <f>'MPIO_SFIO Table'!X165</f>
        <v>up</v>
      </c>
      <c r="X162" s="1" t="str">
        <f>'MPIO_SFIO Table'!Y165</f>
        <v>pu</v>
      </c>
      <c r="Y162" s="88" t="str">
        <f>'MPIO_SFIO Table'!Z165</f>
        <v>pu</v>
      </c>
    </row>
    <row r="163" spans="1:25" x14ac:dyDescent="0.25">
      <c r="A163" s="1" t="str">
        <f>'MPIO_SFIO Table'!A166</f>
        <v>SDMMC1_CMD</v>
      </c>
      <c r="B163" s="1" t="str">
        <f>'MPIO_SFIO Table'!C166</f>
        <v>N6</v>
      </c>
      <c r="C163" s="1" t="str">
        <f>'MPIO_SFIO Table'!D166</f>
        <v>T8</v>
      </c>
      <c r="D163" s="1" t="str">
        <f>'MPIO_SFIO Table'!E166</f>
        <v>T8</v>
      </c>
      <c r="E163" s="1" t="str">
        <f>'MPIO_SFIO Table'!F166</f>
        <v>unused_SDMMC1_CMD</v>
      </c>
      <c r="F163" s="2" t="str">
        <f>'MPIO_SFIO Table'!G166</f>
        <v>GPIO-Z.01</v>
      </c>
      <c r="G163" s="1" t="str">
        <f>'MPIO_SFIO Table'!H166</f>
        <v>SDMMC1-CMD</v>
      </c>
      <c r="H163" s="1" t="str">
        <f>'MPIO_SFIO Table'!I166</f>
        <v>RSVD1</v>
      </c>
      <c r="I163" s="1" t="str">
        <f>'MPIO_SFIO Table'!J166</f>
        <v>RSVD2</v>
      </c>
      <c r="J163" s="1" t="str">
        <f>'MPIO_SFIO Table'!K166</f>
        <v>INVALID</v>
      </c>
      <c r="K163" s="2" t="str">
        <f>'MPIO_SFIO Table'!L166</f>
        <v>config</v>
      </c>
      <c r="L163" s="1" t="str">
        <f>'MPIO_SFIO Table'!M166</f>
        <v>disabled</v>
      </c>
      <c r="M163" s="1" t="str">
        <f>'MPIO_SFIO Table'!N166</f>
        <v>config</v>
      </c>
      <c r="N163" s="1" t="str">
        <f>'MPIO_SFIO Table'!O166</f>
        <v>hold</v>
      </c>
      <c r="O163" s="1" t="str">
        <f>'MPIO_SFIO Table'!P166</f>
        <v/>
      </c>
      <c r="P163" s="2" t="str">
        <f>'MPIO_SFIO Table'!Q166</f>
        <v>VDDIO_SDMMC1</v>
      </c>
      <c r="Q163" s="1" t="str">
        <f>'MPIO_SFIO Table'!R166</f>
        <v>CZ</v>
      </c>
      <c r="R163" s="1">
        <f>'MPIO_SFIO Table'!S166</f>
        <v>15</v>
      </c>
      <c r="S163" s="1" t="str">
        <f>'MPIO_SFIO Table'!T166</f>
        <v>sdio1cfg</v>
      </c>
      <c r="T163" s="2">
        <f>'MPIO_SFIO Table'!U166</f>
        <v>0</v>
      </c>
      <c r="U163" s="1">
        <f>'MPIO_SFIO Table'!V166</f>
        <v>1</v>
      </c>
      <c r="V163" s="1">
        <f>'MPIO_SFIO Table'!W166</f>
        <v>1</v>
      </c>
      <c r="W163" s="1" t="str">
        <f>'MPIO_SFIO Table'!X166</f>
        <v>up</v>
      </c>
      <c r="X163" s="1" t="str">
        <f>'MPIO_SFIO Table'!Y166</f>
        <v>pu</v>
      </c>
      <c r="Y163" s="88" t="str">
        <f>'MPIO_SFIO Table'!Z166</f>
        <v>pu</v>
      </c>
    </row>
    <row r="164" spans="1:25" x14ac:dyDescent="0.25">
      <c r="A164" s="1" t="str">
        <f>'MPIO_SFIO Table'!A167</f>
        <v>SDMMC1_DAT0</v>
      </c>
      <c r="B164" s="1" t="str">
        <f>'MPIO_SFIO Table'!C167</f>
        <v>K1</v>
      </c>
      <c r="C164" s="1" t="str">
        <f>'MPIO_SFIO Table'!D167</f>
        <v>U7</v>
      </c>
      <c r="D164" s="1" t="str">
        <f>'MPIO_SFIO Table'!E167</f>
        <v>U7</v>
      </c>
      <c r="E164" s="1" t="str">
        <f>'MPIO_SFIO Table'!F167</f>
        <v>unused_SDMMC1_DAT0</v>
      </c>
      <c r="F164" s="2" t="str">
        <f>'MPIO_SFIO Table'!G167</f>
        <v>GPIO-Y.07</v>
      </c>
      <c r="G164" s="1" t="str">
        <f>'MPIO_SFIO Table'!H167</f>
        <v>SDMMC1-DAT0</v>
      </c>
      <c r="H164" s="1" t="str">
        <f>'MPIO_SFIO Table'!I167</f>
        <v>RSVD1</v>
      </c>
      <c r="I164" s="1" t="str">
        <f>'MPIO_SFIO Table'!J167</f>
        <v>UART5.A-RTS_N</v>
      </c>
      <c r="J164" s="1" t="str">
        <f>'MPIO_SFIO Table'!K167</f>
        <v>INVALID</v>
      </c>
      <c r="K164" s="2" t="str">
        <f>'MPIO_SFIO Table'!L167</f>
        <v>config</v>
      </c>
      <c r="L164" s="1" t="str">
        <f>'MPIO_SFIO Table'!M167</f>
        <v>disabled</v>
      </c>
      <c r="M164" s="1" t="str">
        <f>'MPIO_SFIO Table'!N167</f>
        <v>config</v>
      </c>
      <c r="N164" s="1" t="str">
        <f>'MPIO_SFIO Table'!O167</f>
        <v>hold</v>
      </c>
      <c r="O164" s="1" t="str">
        <f>'MPIO_SFIO Table'!P167</f>
        <v/>
      </c>
      <c r="P164" s="2" t="str">
        <f>'MPIO_SFIO Table'!Q167</f>
        <v>VDDIO_SDMMC1</v>
      </c>
      <c r="Q164" s="1" t="str">
        <f>'MPIO_SFIO Table'!R167</f>
        <v>CZ</v>
      </c>
      <c r="R164" s="1">
        <f>'MPIO_SFIO Table'!S167</f>
        <v>15</v>
      </c>
      <c r="S164" s="1" t="str">
        <f>'MPIO_SFIO Table'!T167</f>
        <v>sdio1cfg</v>
      </c>
      <c r="T164" s="2">
        <f>'MPIO_SFIO Table'!U167</f>
        <v>0</v>
      </c>
      <c r="U164" s="1">
        <f>'MPIO_SFIO Table'!V167</f>
        <v>1</v>
      </c>
      <c r="V164" s="1">
        <f>'MPIO_SFIO Table'!W167</f>
        <v>1</v>
      </c>
      <c r="W164" s="1" t="str">
        <f>'MPIO_SFIO Table'!X167</f>
        <v>up</v>
      </c>
      <c r="X164" s="1" t="str">
        <f>'MPIO_SFIO Table'!Y167</f>
        <v>pu</v>
      </c>
      <c r="Y164" s="88" t="str">
        <f>'MPIO_SFIO Table'!Z167</f>
        <v>pu</v>
      </c>
    </row>
    <row r="165" spans="1:25" x14ac:dyDescent="0.25">
      <c r="A165" s="1" t="str">
        <f>'MPIO_SFIO Table'!A168</f>
        <v>SDMMC1_DAT1</v>
      </c>
      <c r="B165" s="1" t="str">
        <f>'MPIO_SFIO Table'!C168</f>
        <v>K3</v>
      </c>
      <c r="C165" s="1" t="str">
        <f>'MPIO_SFIO Table'!D168</f>
        <v>W11</v>
      </c>
      <c r="D165" s="1" t="str">
        <f>'MPIO_SFIO Table'!E168</f>
        <v>W11</v>
      </c>
      <c r="E165" s="1" t="str">
        <f>'MPIO_SFIO Table'!F168</f>
        <v>unused_SDMMC1_DAT1</v>
      </c>
      <c r="F165" s="2" t="str">
        <f>'MPIO_SFIO Table'!G168</f>
        <v>GPIO-Y.06</v>
      </c>
      <c r="G165" s="1" t="str">
        <f>'MPIO_SFIO Table'!H168</f>
        <v>SDMMC1-DAT1</v>
      </c>
      <c r="H165" s="1" t="str">
        <f>'MPIO_SFIO Table'!I168</f>
        <v>RSVD1</v>
      </c>
      <c r="I165" s="1" t="str">
        <f>'MPIO_SFIO Table'!J168</f>
        <v>UART5.A-CTS_N</v>
      </c>
      <c r="J165" s="1" t="str">
        <f>'MPIO_SFIO Table'!K168</f>
        <v>INVALID</v>
      </c>
      <c r="K165" s="2" t="str">
        <f>'MPIO_SFIO Table'!L168</f>
        <v>config</v>
      </c>
      <c r="L165" s="1" t="str">
        <f>'MPIO_SFIO Table'!M168</f>
        <v>special</v>
      </c>
      <c r="M165" s="1" t="str">
        <f>'MPIO_SFIO Table'!N168</f>
        <v>config</v>
      </c>
      <c r="N165" s="1" t="str">
        <f>'MPIO_SFIO Table'!O168</f>
        <v>hold</v>
      </c>
      <c r="O165" s="1">
        <f>'MPIO_SFIO Table'!P168</f>
        <v>13</v>
      </c>
      <c r="P165" s="2" t="str">
        <f>'MPIO_SFIO Table'!Q168</f>
        <v>VDDIO_SDMMC1</v>
      </c>
      <c r="Q165" s="1" t="str">
        <f>'MPIO_SFIO Table'!R168</f>
        <v>CZ</v>
      </c>
      <c r="R165" s="1">
        <f>'MPIO_SFIO Table'!S168</f>
        <v>15</v>
      </c>
      <c r="S165" s="1" t="str">
        <f>'MPIO_SFIO Table'!T168</f>
        <v>sdio1cfg</v>
      </c>
      <c r="T165" s="2">
        <f>'MPIO_SFIO Table'!U168</f>
        <v>0</v>
      </c>
      <c r="U165" s="1">
        <f>'MPIO_SFIO Table'!V168</f>
        <v>1</v>
      </c>
      <c r="V165" s="1">
        <f>'MPIO_SFIO Table'!W168</f>
        <v>1</v>
      </c>
      <c r="W165" s="1" t="str">
        <f>'MPIO_SFIO Table'!X168</f>
        <v>up</v>
      </c>
      <c r="X165" s="1" t="str">
        <f>'MPIO_SFIO Table'!Y168</f>
        <v>pu</v>
      </c>
      <c r="Y165" s="88" t="str">
        <f>'MPIO_SFIO Table'!Z168</f>
        <v>pu</v>
      </c>
    </row>
    <row r="166" spans="1:25" x14ac:dyDescent="0.25">
      <c r="A166" s="1" t="str">
        <f>'MPIO_SFIO Table'!A169</f>
        <v>SDMMC1_DAT2</v>
      </c>
      <c r="B166" s="1" t="str">
        <f>'MPIO_SFIO Table'!C169</f>
        <v>K2</v>
      </c>
      <c r="C166" s="1" t="str">
        <f>'MPIO_SFIO Table'!D169</f>
        <v>U1</v>
      </c>
      <c r="D166" s="1" t="str">
        <f>'MPIO_SFIO Table'!E169</f>
        <v>U1</v>
      </c>
      <c r="E166" s="1" t="str">
        <f>'MPIO_SFIO Table'!F169</f>
        <v>unused_SDMMC1_DAT2</v>
      </c>
      <c r="F166" s="2" t="str">
        <f>'MPIO_SFIO Table'!G169</f>
        <v>GPIO-Y.05</v>
      </c>
      <c r="G166" s="1" t="str">
        <f>'MPIO_SFIO Table'!H169</f>
        <v>SDMMC1-DAT2</v>
      </c>
      <c r="H166" s="1" t="str">
        <f>'MPIO_SFIO Table'!I169</f>
        <v>RSVD1</v>
      </c>
      <c r="I166" s="1" t="str">
        <f>'MPIO_SFIO Table'!J169</f>
        <v>UART5.A-RXD</v>
      </c>
      <c r="J166" s="1" t="str">
        <f>'MPIO_SFIO Table'!K169</f>
        <v>INVALID</v>
      </c>
      <c r="K166" s="2" t="str">
        <f>'MPIO_SFIO Table'!L169</f>
        <v>config</v>
      </c>
      <c r="L166" s="1" t="str">
        <f>'MPIO_SFIO Table'!M169</f>
        <v>disabled</v>
      </c>
      <c r="M166" s="1" t="str">
        <f>'MPIO_SFIO Table'!N169</f>
        <v>config</v>
      </c>
      <c r="N166" s="1" t="str">
        <f>'MPIO_SFIO Table'!O169</f>
        <v>hold</v>
      </c>
      <c r="O166" s="1" t="str">
        <f>'MPIO_SFIO Table'!P169</f>
        <v/>
      </c>
      <c r="P166" s="2" t="str">
        <f>'MPIO_SFIO Table'!Q169</f>
        <v>VDDIO_SDMMC1</v>
      </c>
      <c r="Q166" s="1" t="str">
        <f>'MPIO_SFIO Table'!R169</f>
        <v>CZ</v>
      </c>
      <c r="R166" s="1">
        <f>'MPIO_SFIO Table'!S169</f>
        <v>15</v>
      </c>
      <c r="S166" s="1" t="str">
        <f>'MPIO_SFIO Table'!T169</f>
        <v>sdio1cfg</v>
      </c>
      <c r="T166" s="2">
        <f>'MPIO_SFIO Table'!U169</f>
        <v>0</v>
      </c>
      <c r="U166" s="1">
        <f>'MPIO_SFIO Table'!V169</f>
        <v>1</v>
      </c>
      <c r="V166" s="1">
        <f>'MPIO_SFIO Table'!W169</f>
        <v>1</v>
      </c>
      <c r="W166" s="1" t="str">
        <f>'MPIO_SFIO Table'!X169</f>
        <v>up</v>
      </c>
      <c r="X166" s="1" t="str">
        <f>'MPIO_SFIO Table'!Y169</f>
        <v>pu</v>
      </c>
      <c r="Y166" s="88" t="str">
        <f>'MPIO_SFIO Table'!Z169</f>
        <v>pu</v>
      </c>
    </row>
    <row r="167" spans="1:25" x14ac:dyDescent="0.25">
      <c r="A167" s="1" t="str">
        <f>'MPIO_SFIO Table'!A170</f>
        <v>SDMMC1_DAT3</v>
      </c>
      <c r="B167" s="1" t="str">
        <f>'MPIO_SFIO Table'!C170</f>
        <v>K4</v>
      </c>
      <c r="C167" s="1" t="str">
        <f>'MPIO_SFIO Table'!D170</f>
        <v>Y10</v>
      </c>
      <c r="D167" s="1" t="str">
        <f>'MPIO_SFIO Table'!E170</f>
        <v>Y10</v>
      </c>
      <c r="E167" s="1" t="str">
        <f>'MPIO_SFIO Table'!F170</f>
        <v>unused_SDMMC1_DAT3</v>
      </c>
      <c r="F167" s="2" t="str">
        <f>'MPIO_SFIO Table'!G170</f>
        <v>GPIO-Y.04</v>
      </c>
      <c r="G167" s="1" t="str">
        <f>'MPIO_SFIO Table'!H170</f>
        <v>SDMMC1-DAT3</v>
      </c>
      <c r="H167" s="1" t="str">
        <f>'MPIO_SFIO Table'!I170</f>
        <v>RSVD1</v>
      </c>
      <c r="I167" s="1" t="str">
        <f>'MPIO_SFIO Table'!J170</f>
        <v>UART5.A-TXD</v>
      </c>
      <c r="J167" s="1" t="str">
        <f>'MPIO_SFIO Table'!K170</f>
        <v>INVALID</v>
      </c>
      <c r="K167" s="2" t="str">
        <f>'MPIO_SFIO Table'!L170</f>
        <v>config</v>
      </c>
      <c r="L167" s="1" t="str">
        <f>'MPIO_SFIO Table'!M170</f>
        <v>disabled</v>
      </c>
      <c r="M167" s="1" t="str">
        <f>'MPIO_SFIO Table'!N170</f>
        <v>config</v>
      </c>
      <c r="N167" s="1" t="str">
        <f>'MPIO_SFIO Table'!O170</f>
        <v>hold</v>
      </c>
      <c r="O167" s="1" t="str">
        <f>'MPIO_SFIO Table'!P170</f>
        <v/>
      </c>
      <c r="P167" s="2" t="str">
        <f>'MPIO_SFIO Table'!Q170</f>
        <v>VDDIO_SDMMC1</v>
      </c>
      <c r="Q167" s="1" t="str">
        <f>'MPIO_SFIO Table'!R170</f>
        <v>CZ</v>
      </c>
      <c r="R167" s="1">
        <f>'MPIO_SFIO Table'!S170</f>
        <v>15</v>
      </c>
      <c r="S167" s="1" t="str">
        <f>'MPIO_SFIO Table'!T170</f>
        <v>sdio1cfg</v>
      </c>
      <c r="T167" s="2">
        <f>'MPIO_SFIO Table'!U170</f>
        <v>0</v>
      </c>
      <c r="U167" s="1">
        <f>'MPIO_SFIO Table'!V170</f>
        <v>1</v>
      </c>
      <c r="V167" s="1">
        <f>'MPIO_SFIO Table'!W170</f>
        <v>1</v>
      </c>
      <c r="W167" s="1" t="str">
        <f>'MPIO_SFIO Table'!X170</f>
        <v>up</v>
      </c>
      <c r="X167" s="1" t="str">
        <f>'MPIO_SFIO Table'!Y170</f>
        <v>pu</v>
      </c>
      <c r="Y167" s="88" t="str">
        <f>'MPIO_SFIO Table'!Z170</f>
        <v>pu</v>
      </c>
    </row>
    <row r="168" spans="1:25" ht="15.75" x14ac:dyDescent="0.25">
      <c r="A168" s="32" t="str">
        <f>'MPIO_SFIO Table'!A173</f>
        <v>SDMMC3</v>
      </c>
      <c r="B168" s="32"/>
      <c r="C168" s="32"/>
      <c r="D168" s="32"/>
      <c r="E168" s="32"/>
      <c r="F168" s="33"/>
      <c r="G168" s="32"/>
      <c r="H168" s="32"/>
      <c r="I168" s="32"/>
      <c r="J168" s="32"/>
      <c r="K168" s="33"/>
      <c r="L168" s="32"/>
      <c r="M168" s="32"/>
      <c r="N168" s="32"/>
      <c r="O168" s="32"/>
      <c r="P168" s="33"/>
      <c r="Q168" s="32"/>
      <c r="R168" s="32"/>
      <c r="S168" s="32"/>
      <c r="T168" s="34"/>
      <c r="U168" s="35"/>
      <c r="V168" s="35"/>
      <c r="W168" s="35"/>
      <c r="X168" s="35"/>
      <c r="Y168" s="87"/>
    </row>
    <row r="169" spans="1:25" x14ac:dyDescent="0.25">
      <c r="A169" s="1" t="str">
        <f>'MPIO_SFIO Table'!A174</f>
        <v>SDMMC3_CLK</v>
      </c>
      <c r="B169" s="1" t="str">
        <f>'MPIO_SFIO Table'!C174</f>
        <v>G30</v>
      </c>
      <c r="C169" s="1" t="str">
        <f>'MPIO_SFIO Table'!D174</f>
        <v>J35</v>
      </c>
      <c r="D169" s="1" t="str">
        <f>'MPIO_SFIO Table'!E174</f>
        <v>J35</v>
      </c>
      <c r="E169" s="1" t="str">
        <f>'MPIO_SFIO Table'!F174</f>
        <v>unused_SDMMC3_CLK</v>
      </c>
      <c r="F169" s="2" t="str">
        <f>'MPIO_SFIO Table'!G174</f>
        <v>GPIO-A.06</v>
      </c>
      <c r="G169" s="1" t="str">
        <f>'MPIO_SFIO Table'!H174</f>
        <v>UART1.E-TXD</v>
      </c>
      <c r="H169" s="1" t="str">
        <f>'MPIO_SFIO Table'!I174</f>
        <v>PWFM-PWM2</v>
      </c>
      <c r="I169" s="1" t="str">
        <f>'MPIO_SFIO Table'!J174</f>
        <v>SDMMC3-SCLK</v>
      </c>
      <c r="J169" s="1" t="str">
        <f>'MPIO_SFIO Table'!K174</f>
        <v>INVALID</v>
      </c>
      <c r="K169" s="2" t="str">
        <f>'MPIO_SFIO Table'!L174</f>
        <v>config</v>
      </c>
      <c r="L169" s="1" t="str">
        <f>'MPIO_SFIO Table'!M174</f>
        <v>disabled</v>
      </c>
      <c r="M169" s="1" t="str">
        <f>'MPIO_SFIO Table'!N174</f>
        <v>config</v>
      </c>
      <c r="N169" s="1" t="str">
        <f>'MPIO_SFIO Table'!O174</f>
        <v>hold</v>
      </c>
      <c r="O169" s="1" t="str">
        <f>'MPIO_SFIO Table'!P174</f>
        <v/>
      </c>
      <c r="P169" s="2" t="str">
        <f>'MPIO_SFIO Table'!Q174</f>
        <v>VDDIO_SDMMC3</v>
      </c>
      <c r="Q169" s="1" t="str">
        <f>'MPIO_SFIO Table'!R174</f>
        <v>CZ</v>
      </c>
      <c r="R169" s="1">
        <f>'MPIO_SFIO Table'!S174</f>
        <v>15</v>
      </c>
      <c r="S169" s="1" t="str">
        <f>'MPIO_SFIO Table'!T174</f>
        <v>sdio3cfg</v>
      </c>
      <c r="T169" s="2">
        <f>'MPIO_SFIO Table'!U174</f>
        <v>2</v>
      </c>
      <c r="U169" s="1">
        <f>'MPIO_SFIO Table'!V174</f>
        <v>1</v>
      </c>
      <c r="V169" s="1">
        <f>'MPIO_SFIO Table'!W174</f>
        <v>1</v>
      </c>
      <c r="W169" s="1" t="str">
        <f>'MPIO_SFIO Table'!X174</f>
        <v>up</v>
      </c>
      <c r="X169" s="1">
        <f>'MPIO_SFIO Table'!Y172</f>
        <v>0</v>
      </c>
      <c r="Y169" s="88" t="str">
        <f>'MPIO_SFIO Table'!Z174</f>
        <v>pu</v>
      </c>
    </row>
    <row r="170" spans="1:25" x14ac:dyDescent="0.25">
      <c r="A170" s="1" t="str">
        <f>'MPIO_SFIO Table'!A175</f>
        <v>SDMMC3_CMD</v>
      </c>
      <c r="B170" s="1" t="str">
        <f>'MPIO_SFIO Table'!C175</f>
        <v>J29</v>
      </c>
      <c r="C170" s="1" t="str">
        <f>'MPIO_SFIO Table'!D175</f>
        <v>M30</v>
      </c>
      <c r="D170" s="1" t="str">
        <f>'MPIO_SFIO Table'!E175</f>
        <v>M30</v>
      </c>
      <c r="E170" s="1" t="str">
        <f>'MPIO_SFIO Table'!F175</f>
        <v>unused_SDMMC3_CMD</v>
      </c>
      <c r="F170" s="2" t="str">
        <f>'MPIO_SFIO Table'!G175</f>
        <v>GPIO-A.07</v>
      </c>
      <c r="G170" s="1" t="str">
        <f>'MPIO_SFIO Table'!H175</f>
        <v>UART1.E-RXD</v>
      </c>
      <c r="H170" s="1" t="str">
        <f>'MPIO_SFIO Table'!I175</f>
        <v>PWFM-PWM3</v>
      </c>
      <c r="I170" s="1" t="str">
        <f>'MPIO_SFIO Table'!J175</f>
        <v>SDMMC3-CMD</v>
      </c>
      <c r="J170" s="1" t="str">
        <f>'MPIO_SFIO Table'!K175</f>
        <v>INVALID</v>
      </c>
      <c r="K170" s="2" t="str">
        <f>'MPIO_SFIO Table'!L175</f>
        <v>config</v>
      </c>
      <c r="L170" s="1" t="str">
        <f>'MPIO_SFIO Table'!M175</f>
        <v>disabled</v>
      </c>
      <c r="M170" s="1" t="str">
        <f>'MPIO_SFIO Table'!N175</f>
        <v>config</v>
      </c>
      <c r="N170" s="1" t="str">
        <f>'MPIO_SFIO Table'!O175</f>
        <v>hold</v>
      </c>
      <c r="O170" s="1" t="str">
        <f>'MPIO_SFIO Table'!P175</f>
        <v/>
      </c>
      <c r="P170" s="2" t="str">
        <f>'MPIO_SFIO Table'!Q175</f>
        <v>VDDIO_SDMMC3</v>
      </c>
      <c r="Q170" s="1" t="str">
        <f>'MPIO_SFIO Table'!R175</f>
        <v>CZ</v>
      </c>
      <c r="R170" s="1">
        <f>'MPIO_SFIO Table'!S175</f>
        <v>15</v>
      </c>
      <c r="S170" s="1" t="str">
        <f>'MPIO_SFIO Table'!T175</f>
        <v>sdio3cfg</v>
      </c>
      <c r="T170" s="2">
        <f>'MPIO_SFIO Table'!U175</f>
        <v>2</v>
      </c>
      <c r="U170" s="1">
        <f>'MPIO_SFIO Table'!V175</f>
        <v>1</v>
      </c>
      <c r="V170" s="1">
        <f>'MPIO_SFIO Table'!W175</f>
        <v>1</v>
      </c>
      <c r="W170" s="1" t="str">
        <f>'MPIO_SFIO Table'!X175</f>
        <v>up</v>
      </c>
      <c r="X170" s="1">
        <f>'MPIO_SFIO Table'!Y173</f>
        <v>0</v>
      </c>
      <c r="Y170" s="88" t="str">
        <f>'MPIO_SFIO Table'!Z175</f>
        <v>pu</v>
      </c>
    </row>
    <row r="171" spans="1:25" x14ac:dyDescent="0.25">
      <c r="A171" s="1" t="str">
        <f>'MPIO_SFIO Table'!A176</f>
        <v>SDMMC3_DAT0</v>
      </c>
      <c r="B171" s="1" t="str">
        <f>'MPIO_SFIO Table'!C176</f>
        <v>L27</v>
      </c>
      <c r="C171" s="1" t="str">
        <f>'MPIO_SFIO Table'!D176</f>
        <v>N33</v>
      </c>
      <c r="D171" s="1" t="str">
        <f>'MPIO_SFIO Table'!E176</f>
        <v>N33</v>
      </c>
      <c r="E171" s="1" t="str">
        <f>'MPIO_SFIO Table'!F176</f>
        <v>unused_SDMMC3_DAT0</v>
      </c>
      <c r="F171" s="2" t="str">
        <f>'MPIO_SFIO Table'!G176</f>
        <v>GPIO-B.07</v>
      </c>
      <c r="G171" s="1" t="str">
        <f>'MPIO_SFIO Table'!H176</f>
        <v>RSVD0</v>
      </c>
      <c r="H171" s="1" t="str">
        <f>'MPIO_SFIO Table'!I176</f>
        <v>RSVD1</v>
      </c>
      <c r="I171" s="1" t="str">
        <f>'MPIO_SFIO Table'!J176</f>
        <v>SDMMC3-DAT0</v>
      </c>
      <c r="J171" s="1" t="str">
        <f>'MPIO_SFIO Table'!K176</f>
        <v>INVALID</v>
      </c>
      <c r="K171" s="2" t="str">
        <f>'MPIO_SFIO Table'!L176</f>
        <v>config</v>
      </c>
      <c r="L171" s="1" t="str">
        <f>'MPIO_SFIO Table'!M176</f>
        <v>disabled</v>
      </c>
      <c r="M171" s="1" t="str">
        <f>'MPIO_SFIO Table'!N176</f>
        <v>config</v>
      </c>
      <c r="N171" s="1" t="str">
        <f>'MPIO_SFIO Table'!O176</f>
        <v>hold</v>
      </c>
      <c r="O171" s="1" t="str">
        <f>'MPIO_SFIO Table'!P176</f>
        <v/>
      </c>
      <c r="P171" s="2" t="str">
        <f>'MPIO_SFIO Table'!Q176</f>
        <v>VDDIO_SDMMC3</v>
      </c>
      <c r="Q171" s="1" t="str">
        <f>'MPIO_SFIO Table'!R176</f>
        <v>CZ</v>
      </c>
      <c r="R171" s="1">
        <f>'MPIO_SFIO Table'!S176</f>
        <v>15</v>
      </c>
      <c r="S171" s="1" t="str">
        <f>'MPIO_SFIO Table'!T176</f>
        <v>sdio3cfg</v>
      </c>
      <c r="T171" s="2">
        <f>'MPIO_SFIO Table'!U176</f>
        <v>2</v>
      </c>
      <c r="U171" s="1">
        <f>'MPIO_SFIO Table'!V176</f>
        <v>1</v>
      </c>
      <c r="V171" s="1">
        <f>'MPIO_SFIO Table'!W176</f>
        <v>1</v>
      </c>
      <c r="W171" s="1" t="str">
        <f>'MPIO_SFIO Table'!X176</f>
        <v>up</v>
      </c>
      <c r="X171" s="1" t="str">
        <f>'MPIO_SFIO Table'!Y174</f>
        <v>pu</v>
      </c>
      <c r="Y171" s="88" t="str">
        <f>'MPIO_SFIO Table'!Z176</f>
        <v>pu</v>
      </c>
    </row>
    <row r="172" spans="1:25" x14ac:dyDescent="0.25">
      <c r="A172" s="1" t="str">
        <f>'MPIO_SFIO Table'!A177</f>
        <v>SDMMC3_DAT1</v>
      </c>
      <c r="B172" s="1" t="str">
        <f>'MPIO_SFIO Table'!C177</f>
        <v>J26</v>
      </c>
      <c r="C172" s="1" t="str">
        <f>'MPIO_SFIO Table'!D177</f>
        <v>L37</v>
      </c>
      <c r="D172" s="1" t="str">
        <f>'MPIO_SFIO Table'!E177</f>
        <v>L37</v>
      </c>
      <c r="E172" s="1" t="str">
        <f>'MPIO_SFIO Table'!F177</f>
        <v>unused_SDMMC3_DAT1</v>
      </c>
      <c r="F172" s="2" t="str">
        <f>'MPIO_SFIO Table'!G177</f>
        <v>GPIO-B.06</v>
      </c>
      <c r="G172" s="1" t="str">
        <f>'MPIO_SFIO Table'!H177</f>
        <v>RSVD0</v>
      </c>
      <c r="H172" s="1" t="str">
        <f>'MPIO_SFIO Table'!I177</f>
        <v>RSVD1</v>
      </c>
      <c r="I172" s="1" t="str">
        <f>'MPIO_SFIO Table'!J177</f>
        <v>SDMMC3-DAT1</v>
      </c>
      <c r="J172" s="1" t="str">
        <f>'MPIO_SFIO Table'!K177</f>
        <v>INVALID</v>
      </c>
      <c r="K172" s="2" t="str">
        <f>'MPIO_SFIO Table'!L177</f>
        <v>config</v>
      </c>
      <c r="L172" s="1" t="str">
        <f>'MPIO_SFIO Table'!M177</f>
        <v>special</v>
      </c>
      <c r="M172" s="1" t="str">
        <f>'MPIO_SFIO Table'!N177</f>
        <v>config</v>
      </c>
      <c r="N172" s="1" t="str">
        <f>'MPIO_SFIO Table'!O177</f>
        <v>hold</v>
      </c>
      <c r="O172" s="1">
        <f>'MPIO_SFIO Table'!P177</f>
        <v>3</v>
      </c>
      <c r="P172" s="2" t="str">
        <f>'MPIO_SFIO Table'!Q177</f>
        <v>VDDIO_SDMMC3</v>
      </c>
      <c r="Q172" s="1" t="str">
        <f>'MPIO_SFIO Table'!R177</f>
        <v>CZ</v>
      </c>
      <c r="R172" s="1">
        <f>'MPIO_SFIO Table'!S177</f>
        <v>15</v>
      </c>
      <c r="S172" s="1" t="str">
        <f>'MPIO_SFIO Table'!T177</f>
        <v>sdio3cfg</v>
      </c>
      <c r="T172" s="2">
        <f>'MPIO_SFIO Table'!U177</f>
        <v>2</v>
      </c>
      <c r="U172" s="1">
        <f>'MPIO_SFIO Table'!V177</f>
        <v>1</v>
      </c>
      <c r="V172" s="1">
        <f>'MPIO_SFIO Table'!W177</f>
        <v>1</v>
      </c>
      <c r="W172" s="1" t="str">
        <f>'MPIO_SFIO Table'!X177</f>
        <v>up</v>
      </c>
      <c r="X172" s="1" t="str">
        <f>'MPIO_SFIO Table'!Y175</f>
        <v>pu</v>
      </c>
      <c r="Y172" s="88" t="str">
        <f>'MPIO_SFIO Table'!Z177</f>
        <v>pu</v>
      </c>
    </row>
    <row r="173" spans="1:25" x14ac:dyDescent="0.25">
      <c r="A173" s="1" t="str">
        <f>'MPIO_SFIO Table'!A178</f>
        <v>SDMMC3_DAT2</v>
      </c>
      <c r="B173" s="1" t="str">
        <f>'MPIO_SFIO Table'!C178</f>
        <v>J28</v>
      </c>
      <c r="C173" s="1" t="str">
        <f>'MPIO_SFIO Table'!D178</f>
        <v>M34</v>
      </c>
      <c r="D173" s="1" t="str">
        <f>'MPIO_SFIO Table'!E178</f>
        <v>M34</v>
      </c>
      <c r="E173" s="1" t="str">
        <f>'MPIO_SFIO Table'!F178</f>
        <v>unused_SDMMC3_DAT2</v>
      </c>
      <c r="F173" s="2" t="str">
        <f>'MPIO_SFIO Table'!G178</f>
        <v>GPIO-B.05</v>
      </c>
      <c r="G173" s="1" t="str">
        <f>'MPIO_SFIO Table'!H178</f>
        <v>RSVD0</v>
      </c>
      <c r="H173" s="1" t="str">
        <f>'MPIO_SFIO Table'!I178</f>
        <v>PWFM-PWM1</v>
      </c>
      <c r="I173" s="1" t="str">
        <f>'MPIO_SFIO Table'!J178</f>
        <v>SDMMC3-DAT2</v>
      </c>
      <c r="J173" s="1" t="str">
        <f>'MPIO_SFIO Table'!K178</f>
        <v>INVALID</v>
      </c>
      <c r="K173" s="2" t="str">
        <f>'MPIO_SFIO Table'!L178</f>
        <v>config</v>
      </c>
      <c r="L173" s="1" t="str">
        <f>'MPIO_SFIO Table'!M178</f>
        <v>disabled</v>
      </c>
      <c r="M173" s="1" t="str">
        <f>'MPIO_SFIO Table'!N178</f>
        <v>config</v>
      </c>
      <c r="N173" s="1" t="str">
        <f>'MPIO_SFIO Table'!O178</f>
        <v>hold</v>
      </c>
      <c r="O173" s="1">
        <f>'MPIO_SFIO Table'!P178</f>
        <v>0</v>
      </c>
      <c r="P173" s="2" t="str">
        <f>'MPIO_SFIO Table'!Q178</f>
        <v>VDDIO_SDMMC3</v>
      </c>
      <c r="Q173" s="1" t="str">
        <f>'MPIO_SFIO Table'!R178</f>
        <v>CZ</v>
      </c>
      <c r="R173" s="1">
        <f>'MPIO_SFIO Table'!S178</f>
        <v>15</v>
      </c>
      <c r="S173" s="1" t="str">
        <f>'MPIO_SFIO Table'!T178</f>
        <v>sdio3cfg</v>
      </c>
      <c r="T173" s="2">
        <f>'MPIO_SFIO Table'!U178</f>
        <v>2</v>
      </c>
      <c r="U173" s="1">
        <f>'MPIO_SFIO Table'!V178</f>
        <v>1</v>
      </c>
      <c r="V173" s="1">
        <f>'MPIO_SFIO Table'!W178</f>
        <v>1</v>
      </c>
      <c r="W173" s="1" t="str">
        <f>'MPIO_SFIO Table'!X178</f>
        <v>up</v>
      </c>
      <c r="X173" s="1" t="str">
        <f>'MPIO_SFIO Table'!Y176</f>
        <v>pu</v>
      </c>
      <c r="Y173" s="88" t="str">
        <f>'MPIO_SFIO Table'!Z178</f>
        <v>pu</v>
      </c>
    </row>
    <row r="174" spans="1:25" x14ac:dyDescent="0.25">
      <c r="A174" s="1" t="str">
        <f>'MPIO_SFIO Table'!A179</f>
        <v>SDMMC3_DAT3</v>
      </c>
      <c r="B174" s="1" t="str">
        <f>'MPIO_SFIO Table'!C179</f>
        <v>K26</v>
      </c>
      <c r="C174" s="1" t="str">
        <f>'MPIO_SFIO Table'!D179</f>
        <v>P34</v>
      </c>
      <c r="D174" s="1" t="str">
        <f>'MPIO_SFIO Table'!E179</f>
        <v>P34</v>
      </c>
      <c r="E174" s="1" t="str">
        <f>'MPIO_SFIO Table'!F179</f>
        <v>unused_SDMMC3_DAT3</v>
      </c>
      <c r="F174" s="2" t="str">
        <f>'MPIO_SFIO Table'!G179</f>
        <v>GPIO-B.04</v>
      </c>
      <c r="G174" s="1" t="str">
        <f>'MPIO_SFIO Table'!H179</f>
        <v>RSVD0</v>
      </c>
      <c r="H174" s="1" t="str">
        <f>'MPIO_SFIO Table'!I179</f>
        <v>PWFM-PWM0</v>
      </c>
      <c r="I174" s="1" t="str">
        <f>'MPIO_SFIO Table'!J179</f>
        <v>SDMMC3-DAT3</v>
      </c>
      <c r="J174" s="1" t="str">
        <f>'MPIO_SFIO Table'!K179</f>
        <v>INVALID</v>
      </c>
      <c r="K174" s="2" t="str">
        <f>'MPIO_SFIO Table'!L179</f>
        <v>config</v>
      </c>
      <c r="L174" s="1" t="str">
        <f>'MPIO_SFIO Table'!M179</f>
        <v>disabled</v>
      </c>
      <c r="M174" s="1" t="str">
        <f>'MPIO_SFIO Table'!N179</f>
        <v>config</v>
      </c>
      <c r="N174" s="1" t="str">
        <f>'MPIO_SFIO Table'!O179</f>
        <v>hold</v>
      </c>
      <c r="O174" s="1" t="str">
        <f>'MPIO_SFIO Table'!P179</f>
        <v/>
      </c>
      <c r="P174" s="2" t="str">
        <f>'MPIO_SFIO Table'!Q179</f>
        <v>VDDIO_SDMMC3</v>
      </c>
      <c r="Q174" s="1" t="str">
        <f>'MPIO_SFIO Table'!R179</f>
        <v>CZ</v>
      </c>
      <c r="R174" s="1">
        <f>'MPIO_SFIO Table'!S179</f>
        <v>15</v>
      </c>
      <c r="S174" s="1" t="str">
        <f>'MPIO_SFIO Table'!T179</f>
        <v>sdio3cfg</v>
      </c>
      <c r="T174" s="2">
        <f>'MPIO_SFIO Table'!U179</f>
        <v>2</v>
      </c>
      <c r="U174" s="1">
        <f>'MPIO_SFIO Table'!V179</f>
        <v>1</v>
      </c>
      <c r="V174" s="1">
        <f>'MPIO_SFIO Table'!W179</f>
        <v>1</v>
      </c>
      <c r="W174" s="1" t="str">
        <f>'MPIO_SFIO Table'!X179</f>
        <v>up</v>
      </c>
      <c r="X174" s="1" t="str">
        <f>'MPIO_SFIO Table'!Y177</f>
        <v>pu</v>
      </c>
      <c r="Y174" s="88" t="str">
        <f>'MPIO_SFIO Table'!Z179</f>
        <v>pu</v>
      </c>
    </row>
    <row r="175" spans="1:25" x14ac:dyDescent="0.25">
      <c r="A175" s="1" t="str">
        <f>'MPIO_SFIO Table'!A180</f>
        <v>SDMMC3_DAT4</v>
      </c>
      <c r="B175" s="1" t="str">
        <f>'MPIO_SFIO Table'!C180</f>
        <v>J27</v>
      </c>
      <c r="C175" s="1" t="str">
        <f>'MPIO_SFIO Table'!D180</f>
        <v>J37</v>
      </c>
      <c r="D175" s="1" t="str">
        <f>'MPIO_SFIO Table'!E180</f>
        <v>J37</v>
      </c>
      <c r="E175" s="1" t="str">
        <f>'MPIO_SFIO Table'!F180</f>
        <v>unused_SDMMC3_DAT4</v>
      </c>
      <c r="F175" s="2" t="str">
        <f>'MPIO_SFIO Table'!G180</f>
        <v>GPIO-D.01</v>
      </c>
      <c r="G175" s="1" t="str">
        <f>'MPIO_SFIO Table'!H180</f>
        <v>PWFM-PWM1</v>
      </c>
      <c r="H175" s="1" t="str">
        <f>'MPIO_SFIO Table'!I180</f>
        <v>INVALID</v>
      </c>
      <c r="I175" s="1" t="str">
        <f>'MPIO_SFIO Table'!J180</f>
        <v>SDMMC3-DAT4</v>
      </c>
      <c r="J175" s="1" t="str">
        <f>'MPIO_SFIO Table'!K180</f>
        <v>INVALID</v>
      </c>
      <c r="K175" s="2" t="str">
        <f>'MPIO_SFIO Table'!L180</f>
        <v>config</v>
      </c>
      <c r="L175" s="1" t="str">
        <f>'MPIO_SFIO Table'!M180</f>
        <v>disabled</v>
      </c>
      <c r="M175" s="1" t="str">
        <f>'MPIO_SFIO Table'!N180</f>
        <v>config</v>
      </c>
      <c r="N175" s="1" t="str">
        <f>'MPIO_SFIO Table'!O180</f>
        <v>hold</v>
      </c>
      <c r="O175" s="1" t="str">
        <f>'MPIO_SFIO Table'!P180</f>
        <v/>
      </c>
      <c r="P175" s="2" t="str">
        <f>'MPIO_SFIO Table'!Q180</f>
        <v>VDDIO_SDMMC3</v>
      </c>
      <c r="Q175" s="1" t="str">
        <f>'MPIO_SFIO Table'!R180</f>
        <v>CZ</v>
      </c>
      <c r="R175" s="1">
        <f>'MPIO_SFIO Table'!S180</f>
        <v>15</v>
      </c>
      <c r="S175" s="1" t="str">
        <f>'MPIO_SFIO Table'!T180</f>
        <v>sdio2cfg</v>
      </c>
      <c r="T175" s="2">
        <f>'MPIO_SFIO Table'!U180</f>
        <v>2</v>
      </c>
      <c r="U175" s="1">
        <f>'MPIO_SFIO Table'!V180</f>
        <v>1</v>
      </c>
      <c r="V175" s="1">
        <f>'MPIO_SFIO Table'!W180</f>
        <v>1</v>
      </c>
      <c r="W175" s="1" t="str">
        <f>'MPIO_SFIO Table'!X180</f>
        <v>up</v>
      </c>
      <c r="X175" s="1" t="str">
        <f>'MPIO_SFIO Table'!Y178</f>
        <v>pu</v>
      </c>
      <c r="Y175" s="88" t="str">
        <f>'MPIO_SFIO Table'!Z180</f>
        <v>pu</v>
      </c>
    </row>
    <row r="176" spans="1:25" x14ac:dyDescent="0.25">
      <c r="A176" s="1" t="str">
        <f>'MPIO_SFIO Table'!A181</f>
        <v>SDMMC3_DAT5</v>
      </c>
      <c r="B176" s="1" t="str">
        <f>'MPIO_SFIO Table'!C181</f>
        <v>K25</v>
      </c>
      <c r="C176" s="1" t="str">
        <f>'MPIO_SFIO Table'!D181</f>
        <v>N29</v>
      </c>
      <c r="D176" s="1" t="str">
        <f>'MPIO_SFIO Table'!E181</f>
        <v>N29</v>
      </c>
      <c r="E176" s="1" t="str">
        <f>'MPIO_SFIO Table'!F181</f>
        <v>unused_SDMMC3_DAT5</v>
      </c>
      <c r="F176" s="2" t="str">
        <f>'MPIO_SFIO Table'!G181</f>
        <v>GPIO-D.00</v>
      </c>
      <c r="G176" s="1" t="str">
        <f>'MPIO_SFIO Table'!H181</f>
        <v>PWFM-PWM0</v>
      </c>
      <c r="H176" s="1" t="str">
        <f>'MPIO_SFIO Table'!I181</f>
        <v>INVALID</v>
      </c>
      <c r="I176" s="1" t="str">
        <f>'MPIO_SFIO Table'!J181</f>
        <v>SDMMC3-DAT5</v>
      </c>
      <c r="J176" s="1" t="str">
        <f>'MPIO_SFIO Table'!K181</f>
        <v>INVALID</v>
      </c>
      <c r="K176" s="2" t="str">
        <f>'MPIO_SFIO Table'!L181</f>
        <v>config</v>
      </c>
      <c r="L176" s="1" t="str">
        <f>'MPIO_SFIO Table'!M181</f>
        <v>disabled</v>
      </c>
      <c r="M176" s="1" t="str">
        <f>'MPIO_SFIO Table'!N181</f>
        <v>config</v>
      </c>
      <c r="N176" s="1" t="str">
        <f>'MPIO_SFIO Table'!O181</f>
        <v>hold</v>
      </c>
      <c r="O176" s="1" t="str">
        <f>'MPIO_SFIO Table'!P181</f>
        <v/>
      </c>
      <c r="P176" s="2" t="str">
        <f>'MPIO_SFIO Table'!Q181</f>
        <v>VDDIO_SDMMC3</v>
      </c>
      <c r="Q176" s="1" t="str">
        <f>'MPIO_SFIO Table'!R181</f>
        <v>CZ</v>
      </c>
      <c r="R176" s="1">
        <f>'MPIO_SFIO Table'!S181</f>
        <v>15</v>
      </c>
      <c r="S176" s="1" t="str">
        <f>'MPIO_SFIO Table'!T181</f>
        <v>sdio2cfg</v>
      </c>
      <c r="T176" s="2">
        <f>'MPIO_SFIO Table'!U181</f>
        <v>2</v>
      </c>
      <c r="U176" s="1">
        <f>'MPIO_SFIO Table'!V181</f>
        <v>1</v>
      </c>
      <c r="V176" s="1">
        <f>'MPIO_SFIO Table'!W181</f>
        <v>1</v>
      </c>
      <c r="W176" s="1" t="str">
        <f>'MPIO_SFIO Table'!X181</f>
        <v>up</v>
      </c>
      <c r="X176" s="1" t="str">
        <f>'MPIO_SFIO Table'!Y179</f>
        <v>pu</v>
      </c>
      <c r="Y176" s="88" t="str">
        <f>'MPIO_SFIO Table'!Z181</f>
        <v>pu</v>
      </c>
    </row>
    <row r="177" spans="1:25" x14ac:dyDescent="0.25">
      <c r="A177" s="1" t="str">
        <f>'MPIO_SFIO Table'!A182</f>
        <v>SDMMC3_DAT6</v>
      </c>
      <c r="B177" s="1" t="str">
        <f>'MPIO_SFIO Table'!C182</f>
        <v>K24</v>
      </c>
      <c r="C177" s="1" t="str">
        <f>'MPIO_SFIO Table'!D182</f>
        <v>M32</v>
      </c>
      <c r="D177" s="1" t="str">
        <f>'MPIO_SFIO Table'!E182</f>
        <v>M32</v>
      </c>
      <c r="E177" s="1" t="str">
        <f>'MPIO_SFIO Table'!F182</f>
        <v>unused_SDMMC3_DAT6</v>
      </c>
      <c r="F177" s="2" t="str">
        <f>'MPIO_SFIO Table'!G182</f>
        <v>GPIO-D.03</v>
      </c>
      <c r="G177" s="1" t="str">
        <f>'MPIO_SFIO Table'!H182</f>
        <v>SPDIF1.B-IN</v>
      </c>
      <c r="H177" s="1" t="str">
        <f>'MPIO_SFIO Table'!I182</f>
        <v>INVALID</v>
      </c>
      <c r="I177" s="1" t="str">
        <f>'MPIO_SFIO Table'!J182</f>
        <v>SDMMC3-DAT6</v>
      </c>
      <c r="J177" s="1" t="str">
        <f>'MPIO_SFIO Table'!K182</f>
        <v>INVALID</v>
      </c>
      <c r="K177" s="2" t="str">
        <f>'MPIO_SFIO Table'!L182</f>
        <v>config</v>
      </c>
      <c r="L177" s="1" t="str">
        <f>'MPIO_SFIO Table'!M182</f>
        <v>disabled</v>
      </c>
      <c r="M177" s="1" t="str">
        <f>'MPIO_SFIO Table'!N182</f>
        <v>config</v>
      </c>
      <c r="N177" s="1" t="str">
        <f>'MPIO_SFIO Table'!O182</f>
        <v>hold</v>
      </c>
      <c r="O177" s="1" t="str">
        <f>'MPIO_SFIO Table'!P182</f>
        <v/>
      </c>
      <c r="P177" s="2" t="str">
        <f>'MPIO_SFIO Table'!Q182</f>
        <v>VDDIO_SDMMC3</v>
      </c>
      <c r="Q177" s="1" t="str">
        <f>'MPIO_SFIO Table'!R182</f>
        <v>CZ</v>
      </c>
      <c r="R177" s="1">
        <f>'MPIO_SFIO Table'!S182</f>
        <v>15</v>
      </c>
      <c r="S177" s="1" t="str">
        <f>'MPIO_SFIO Table'!T182</f>
        <v>sdio2cfg</v>
      </c>
      <c r="T177" s="2">
        <f>'MPIO_SFIO Table'!U182</f>
        <v>2</v>
      </c>
      <c r="U177" s="1">
        <f>'MPIO_SFIO Table'!V182</f>
        <v>1</v>
      </c>
      <c r="V177" s="1">
        <f>'MPIO_SFIO Table'!W182</f>
        <v>1</v>
      </c>
      <c r="W177" s="1" t="str">
        <f>'MPIO_SFIO Table'!X182</f>
        <v>up</v>
      </c>
      <c r="X177" s="1" t="str">
        <f>'MPIO_SFIO Table'!Y180</f>
        <v>pu</v>
      </c>
      <c r="Y177" s="88" t="str">
        <f>'MPIO_SFIO Table'!Z182</f>
        <v>pu</v>
      </c>
    </row>
    <row r="178" spans="1:25" x14ac:dyDescent="0.25">
      <c r="A178" s="1" t="str">
        <f>'MPIO_SFIO Table'!A183</f>
        <v>SDMMC3_DAT7</v>
      </c>
      <c r="B178" s="1" t="str">
        <f>'MPIO_SFIO Table'!C183</f>
        <v>K28</v>
      </c>
      <c r="C178" s="1" t="str">
        <f>'MPIO_SFIO Table'!D183</f>
        <v>M28</v>
      </c>
      <c r="D178" s="1" t="str">
        <f>'MPIO_SFIO Table'!E183</f>
        <v>M28</v>
      </c>
      <c r="E178" s="1" t="str">
        <f>'MPIO_SFIO Table'!F183</f>
        <v>unused_SDMMC3_DAT7</v>
      </c>
      <c r="F178" s="2" t="str">
        <f>'MPIO_SFIO Table'!G183</f>
        <v>GPIO-D.04</v>
      </c>
      <c r="G178" s="1" t="str">
        <f>'MPIO_SFIO Table'!H183</f>
        <v>SPDIF1.B-OUT</v>
      </c>
      <c r="H178" s="1" t="str">
        <f>'MPIO_SFIO Table'!I183</f>
        <v>INVALID</v>
      </c>
      <c r="I178" s="1" t="str">
        <f>'MPIO_SFIO Table'!J183</f>
        <v>SDMMC3-DAT7</v>
      </c>
      <c r="J178" s="1" t="str">
        <f>'MPIO_SFIO Table'!K183</f>
        <v>INVALID</v>
      </c>
      <c r="K178" s="2" t="str">
        <f>'MPIO_SFIO Table'!L183</f>
        <v>config</v>
      </c>
      <c r="L178" s="1" t="str">
        <f>'MPIO_SFIO Table'!M183</f>
        <v>disabled</v>
      </c>
      <c r="M178" s="1" t="str">
        <f>'MPIO_SFIO Table'!N183</f>
        <v>config</v>
      </c>
      <c r="N178" s="1" t="str">
        <f>'MPIO_SFIO Table'!O183</f>
        <v>hold</v>
      </c>
      <c r="O178" s="1" t="str">
        <f>'MPIO_SFIO Table'!P183</f>
        <v/>
      </c>
      <c r="P178" s="2" t="str">
        <f>'MPIO_SFIO Table'!Q183</f>
        <v>VDDIO_SDMMC3</v>
      </c>
      <c r="Q178" s="1" t="str">
        <f>'MPIO_SFIO Table'!R183</f>
        <v>CZ</v>
      </c>
      <c r="R178" s="1">
        <f>'MPIO_SFIO Table'!S183</f>
        <v>15</v>
      </c>
      <c r="S178" s="1" t="str">
        <f>'MPIO_SFIO Table'!T183</f>
        <v>sdio2cfg</v>
      </c>
      <c r="T178" s="2">
        <f>'MPIO_SFIO Table'!U183</f>
        <v>2</v>
      </c>
      <c r="U178" s="1">
        <f>'MPIO_SFIO Table'!V183</f>
        <v>1</v>
      </c>
      <c r="V178" s="1">
        <f>'MPIO_SFIO Table'!W183</f>
        <v>1</v>
      </c>
      <c r="W178" s="1" t="str">
        <f>'MPIO_SFIO Table'!X183</f>
        <v>up</v>
      </c>
      <c r="X178" s="1" t="str">
        <f>'MPIO_SFIO Table'!Y181</f>
        <v>pu</v>
      </c>
      <c r="Y178" s="88" t="str">
        <f>'MPIO_SFIO Table'!Z183</f>
        <v>pu</v>
      </c>
    </row>
    <row r="179" spans="1:25" ht="15.75" x14ac:dyDescent="0.25">
      <c r="A179" s="32" t="str">
        <f>'MPIO_SFIO Table'!A186</f>
        <v>SDMMC4</v>
      </c>
      <c r="B179" s="32"/>
      <c r="C179" s="32"/>
      <c r="D179" s="32"/>
      <c r="E179" s="32"/>
      <c r="F179" s="33"/>
      <c r="G179" s="32"/>
      <c r="H179" s="32"/>
      <c r="I179" s="32"/>
      <c r="J179" s="32"/>
      <c r="K179" s="33"/>
      <c r="L179" s="32"/>
      <c r="M179" s="32"/>
      <c r="N179" s="32"/>
      <c r="O179" s="32"/>
      <c r="P179" s="33"/>
      <c r="Q179" s="32"/>
      <c r="R179" s="32"/>
      <c r="S179" s="32"/>
      <c r="T179" s="34"/>
      <c r="U179" s="35"/>
      <c r="V179" s="35"/>
      <c r="W179" s="35"/>
      <c r="X179" s="35"/>
      <c r="Y179" s="87"/>
    </row>
    <row r="180" spans="1:25" x14ac:dyDescent="0.25">
      <c r="A180" s="1" t="str">
        <f>'MPIO_SFIO Table'!A187</f>
        <v>SDMMC4_CLK</v>
      </c>
      <c r="B180" s="1" t="str">
        <f>'MPIO_SFIO Table'!C187</f>
        <v>A9</v>
      </c>
      <c r="C180" s="1" t="str">
        <f>'MPIO_SFIO Table'!D187</f>
        <v>F8</v>
      </c>
      <c r="D180" s="1" t="str">
        <f>'MPIO_SFIO Table'!E187</f>
        <v>F8</v>
      </c>
      <c r="E180" s="1" t="str">
        <f>'MPIO_SFIO Table'!F187</f>
        <v>unused_SDMMC4_CLK</v>
      </c>
      <c r="F180" s="2" t="str">
        <f>'MPIO_SFIO Table'!G187</f>
        <v>GPIO-CC.04</v>
      </c>
      <c r="G180" s="1" t="str">
        <f>'MPIO_SFIO Table'!H187</f>
        <v>INVALID</v>
      </c>
      <c r="H180" s="1" t="str">
        <f>'MPIO_SFIO Table'!I187</f>
        <v>NAND-CE6_N</v>
      </c>
      <c r="I180" s="1" t="str">
        <f>'MPIO_SFIO Table'!J187</f>
        <v>GMI-CS5_N</v>
      </c>
      <c r="J180" s="1" t="str">
        <f>'MPIO_SFIO Table'!K187</f>
        <v>SDMMC4.A-SCLK</v>
      </c>
      <c r="K180" s="2" t="str">
        <f>'MPIO_SFIO Table'!L187</f>
        <v>config</v>
      </c>
      <c r="L180" s="1" t="str">
        <f>'MPIO_SFIO Table'!M187</f>
        <v>disabled</v>
      </c>
      <c r="M180" s="1" t="str">
        <f>'MPIO_SFIO Table'!N187</f>
        <v>disabled</v>
      </c>
      <c r="N180" s="1" t="str">
        <f>'MPIO_SFIO Table'!O187</f>
        <v>reset</v>
      </c>
      <c r="O180" s="1" t="str">
        <f>'MPIO_SFIO Table'!P187</f>
        <v/>
      </c>
      <c r="P180" s="2" t="str">
        <f>'MPIO_SFIO Table'!Q187</f>
        <v>VDDIO_SDMMC4</v>
      </c>
      <c r="Q180" s="1" t="str">
        <f>'MPIO_SFIO Table'!R187</f>
        <v>LV</v>
      </c>
      <c r="R180" s="1">
        <f>'MPIO_SFIO Table'!S187</f>
        <v>15</v>
      </c>
      <c r="S180" s="1" t="str">
        <f>'MPIO_SFIO Table'!T187</f>
        <v>gmccfg</v>
      </c>
      <c r="T180" s="2">
        <f>'MPIO_SFIO Table'!U187</f>
        <v>0</v>
      </c>
      <c r="U180" s="1">
        <f>'MPIO_SFIO Table'!V187</f>
        <v>0</v>
      </c>
      <c r="V180" s="1">
        <f>'MPIO_SFIO Table'!W187</f>
        <v>1</v>
      </c>
      <c r="W180" s="1" t="str">
        <f>'MPIO_SFIO Table'!X187</f>
        <v>up</v>
      </c>
      <c r="X180" s="1" t="str">
        <f>'MPIO_SFIO Table'!Y183</f>
        <v>pu</v>
      </c>
      <c r="Y180" s="88" t="str">
        <f>'MPIO_SFIO Table'!Z187</f>
        <v>pu</v>
      </c>
    </row>
    <row r="181" spans="1:25" x14ac:dyDescent="0.25">
      <c r="A181" s="1" t="str">
        <f>'MPIO_SFIO Table'!A188</f>
        <v>SDMMC4_CMD</v>
      </c>
      <c r="B181" s="1" t="str">
        <f>'MPIO_SFIO Table'!C188</f>
        <v>C7</v>
      </c>
      <c r="C181" s="1" t="str">
        <f>'MPIO_SFIO Table'!D188</f>
        <v>H10</v>
      </c>
      <c r="D181" s="1" t="str">
        <f>'MPIO_SFIO Table'!E188</f>
        <v>H10</v>
      </c>
      <c r="E181" s="1" t="str">
        <f>'MPIO_SFIO Table'!F188</f>
        <v>unused_SDMMC4_CMD</v>
      </c>
      <c r="F181" s="2" t="str">
        <f>'MPIO_SFIO Table'!G188</f>
        <v>GPIO-T.07</v>
      </c>
      <c r="G181" s="1" t="str">
        <f>'MPIO_SFIO Table'!H188</f>
        <v>I2C3.B-CLK</v>
      </c>
      <c r="H181" s="1" t="str">
        <f>'MPIO_SFIO Table'!I188</f>
        <v>NAND-CLE</v>
      </c>
      <c r="I181" s="1" t="str">
        <f>'MPIO_SFIO Table'!J188</f>
        <v>GMI-DPD</v>
      </c>
      <c r="J181" s="1" t="str">
        <f>'MPIO_SFIO Table'!K188</f>
        <v>SDMMC4.A-CMD</v>
      </c>
      <c r="K181" s="2" t="str">
        <f>'MPIO_SFIO Table'!L188</f>
        <v>config</v>
      </c>
      <c r="L181" s="1" t="str">
        <f>'MPIO_SFIO Table'!M188</f>
        <v>disabled</v>
      </c>
      <c r="M181" s="1" t="str">
        <f>'MPIO_SFIO Table'!N188</f>
        <v>disabled</v>
      </c>
      <c r="N181" s="1" t="str">
        <f>'MPIO_SFIO Table'!O188</f>
        <v>hold</v>
      </c>
      <c r="O181" s="1" t="str">
        <f>'MPIO_SFIO Table'!P188</f>
        <v/>
      </c>
      <c r="P181" s="2" t="str">
        <f>'MPIO_SFIO Table'!Q188</f>
        <v>VDDIO_SDMMC4</v>
      </c>
      <c r="Q181" s="1" t="str">
        <f>'MPIO_SFIO Table'!R188</f>
        <v>LV</v>
      </c>
      <c r="R181" s="1">
        <f>'MPIO_SFIO Table'!S188</f>
        <v>15</v>
      </c>
      <c r="S181" s="1" t="str">
        <f>'MPIO_SFIO Table'!T188</f>
        <v>gmdcfg</v>
      </c>
      <c r="T181" s="2">
        <f>'MPIO_SFIO Table'!U188</f>
        <v>0</v>
      </c>
      <c r="U181" s="1">
        <f>'MPIO_SFIO Table'!V188</f>
        <v>1</v>
      </c>
      <c r="V181" s="1">
        <f>'MPIO_SFIO Table'!W188</f>
        <v>1</v>
      </c>
      <c r="W181" s="1" t="str">
        <f>'MPIO_SFIO Table'!X188</f>
        <v>up</v>
      </c>
      <c r="X181" s="1">
        <f>'MPIO_SFIO Table'!Y184</f>
        <v>0</v>
      </c>
      <c r="Y181" s="88" t="str">
        <f>'MPIO_SFIO Table'!Z188</f>
        <v>pu</v>
      </c>
    </row>
    <row r="182" spans="1:25" x14ac:dyDescent="0.25">
      <c r="A182" s="1" t="str">
        <f>'MPIO_SFIO Table'!A189</f>
        <v>SDMMC4_DAT0</v>
      </c>
      <c r="B182" s="1" t="str">
        <f>'MPIO_SFIO Table'!C189</f>
        <v>B9</v>
      </c>
      <c r="C182" s="1" t="str">
        <f>'MPIO_SFIO Table'!D189</f>
        <v>B6</v>
      </c>
      <c r="D182" s="1" t="str">
        <f>'MPIO_SFIO Table'!E189</f>
        <v>B6</v>
      </c>
      <c r="E182" s="1" t="str">
        <f>'MPIO_SFIO Table'!F189</f>
        <v>unused_SDMMC4_DAT0</v>
      </c>
      <c r="F182" s="2" t="str">
        <f>'MPIO_SFIO Table'!G189</f>
        <v>GPIO-AA.00</v>
      </c>
      <c r="G182" s="1" t="str">
        <f>'MPIO_SFIO Table'!H189</f>
        <v>UART5.B-TXD</v>
      </c>
      <c r="H182" s="1" t="str">
        <f>'MPIO_SFIO Table'!I189</f>
        <v>SPI3.A-SCK</v>
      </c>
      <c r="I182" s="1" t="str">
        <f>'MPIO_SFIO Table'!J189</f>
        <v>GMI-AD20</v>
      </c>
      <c r="J182" s="1" t="str">
        <f>'MPIO_SFIO Table'!K189</f>
        <v>SDMMC4.A-DAT0</v>
      </c>
      <c r="K182" s="2" t="str">
        <f>'MPIO_SFIO Table'!L189</f>
        <v>config</v>
      </c>
      <c r="L182" s="1" t="str">
        <f>'MPIO_SFIO Table'!M189</f>
        <v>disabled</v>
      </c>
      <c r="M182" s="1" t="str">
        <f>'MPIO_SFIO Table'!N189</f>
        <v>disabled</v>
      </c>
      <c r="N182" s="1" t="str">
        <f>'MPIO_SFIO Table'!O189</f>
        <v>reset</v>
      </c>
      <c r="O182" s="1" t="str">
        <f>'MPIO_SFIO Table'!P189</f>
        <v/>
      </c>
      <c r="P182" s="2" t="str">
        <f>'MPIO_SFIO Table'!Q189</f>
        <v>VDDIO_SDMMC4</v>
      </c>
      <c r="Q182" s="1" t="str">
        <f>'MPIO_SFIO Table'!R189</f>
        <v>LV</v>
      </c>
      <c r="R182" s="1">
        <f>'MPIO_SFIO Table'!S189</f>
        <v>15</v>
      </c>
      <c r="S182" s="1" t="str">
        <f>'MPIO_SFIO Table'!T189</f>
        <v>gmacfg</v>
      </c>
      <c r="T182" s="2">
        <f>'MPIO_SFIO Table'!U189</f>
        <v>2</v>
      </c>
      <c r="U182" s="1">
        <f>'MPIO_SFIO Table'!V189</f>
        <v>0</v>
      </c>
      <c r="V182" s="1">
        <f>'MPIO_SFIO Table'!W189</f>
        <v>1</v>
      </c>
      <c r="W182" s="1" t="str">
        <f>'MPIO_SFIO Table'!X189</f>
        <v>none</v>
      </c>
      <c r="X182" s="1">
        <f>'MPIO_SFIO Table'!Y185</f>
        <v>0</v>
      </c>
      <c r="Y182" s="88" t="str">
        <f>'MPIO_SFIO Table'!Z189</f>
        <v>z</v>
      </c>
    </row>
    <row r="183" spans="1:25" x14ac:dyDescent="0.25">
      <c r="A183" s="1" t="str">
        <f>'MPIO_SFIO Table'!A190</f>
        <v>SDMMC4_DAT1</v>
      </c>
      <c r="B183" s="1" t="str">
        <f>'MPIO_SFIO Table'!C190</f>
        <v>B6</v>
      </c>
      <c r="C183" s="1" t="str">
        <f>'MPIO_SFIO Table'!D190</f>
        <v>G9</v>
      </c>
      <c r="D183" s="1" t="str">
        <f>'MPIO_SFIO Table'!E190</f>
        <v>G9</v>
      </c>
      <c r="E183" s="1" t="str">
        <f>'MPIO_SFIO Table'!F190</f>
        <v>unused_SDMMC4_DAT1</v>
      </c>
      <c r="F183" s="2" t="str">
        <f>'MPIO_SFIO Table'!G190</f>
        <v>GPIO-AA.01</v>
      </c>
      <c r="G183" s="1" t="str">
        <f>'MPIO_SFIO Table'!H190</f>
        <v>UART5.B-RXD</v>
      </c>
      <c r="H183" s="1" t="str">
        <f>'MPIO_SFIO Table'!I190</f>
        <v>SPI3.A-MOSI</v>
      </c>
      <c r="I183" s="1" t="str">
        <f>'MPIO_SFIO Table'!J190</f>
        <v>GMI-AD21</v>
      </c>
      <c r="J183" s="1" t="str">
        <f>'MPIO_SFIO Table'!K190</f>
        <v>SDMMC4.A-DAT1</v>
      </c>
      <c r="K183" s="2" t="str">
        <f>'MPIO_SFIO Table'!L190</f>
        <v>config</v>
      </c>
      <c r="L183" s="1" t="str">
        <f>'MPIO_SFIO Table'!M190</f>
        <v>special</v>
      </c>
      <c r="M183" s="1" t="str">
        <f>'MPIO_SFIO Table'!N190</f>
        <v>config</v>
      </c>
      <c r="N183" s="1" t="str">
        <f>'MPIO_SFIO Table'!O190</f>
        <v>reset</v>
      </c>
      <c r="O183" s="1" t="str">
        <f>'MPIO_SFIO Table'!P190</f>
        <v/>
      </c>
      <c r="P183" s="2" t="str">
        <f>'MPIO_SFIO Table'!Q190</f>
        <v>VDDIO_SDMMC4</v>
      </c>
      <c r="Q183" s="1" t="str">
        <f>'MPIO_SFIO Table'!R190</f>
        <v>LV</v>
      </c>
      <c r="R183" s="1">
        <f>'MPIO_SFIO Table'!S190</f>
        <v>15</v>
      </c>
      <c r="S183" s="1" t="str">
        <f>'MPIO_SFIO Table'!T190</f>
        <v>gmacfg</v>
      </c>
      <c r="T183" s="2">
        <f>'MPIO_SFIO Table'!U190</f>
        <v>2</v>
      </c>
      <c r="U183" s="1">
        <f>'MPIO_SFIO Table'!V190</f>
        <v>0</v>
      </c>
      <c r="V183" s="1">
        <f>'MPIO_SFIO Table'!W190</f>
        <v>1</v>
      </c>
      <c r="W183" s="1" t="str">
        <f>'MPIO_SFIO Table'!X190</f>
        <v>none</v>
      </c>
      <c r="X183" s="1">
        <f>'MPIO_SFIO Table'!Y186</f>
        <v>0</v>
      </c>
      <c r="Y183" s="88" t="str">
        <f>'MPIO_SFIO Table'!Z190</f>
        <v>z</v>
      </c>
    </row>
    <row r="184" spans="1:25" x14ac:dyDescent="0.25">
      <c r="A184" s="1" t="str">
        <f>'MPIO_SFIO Table'!A191</f>
        <v>SDMMC4_DAT2</v>
      </c>
      <c r="B184" s="1" t="str">
        <f>'MPIO_SFIO Table'!C191</f>
        <v>C6</v>
      </c>
      <c r="C184" s="1" t="str">
        <f>'MPIO_SFIO Table'!D191</f>
        <v>C5</v>
      </c>
      <c r="D184" s="1" t="str">
        <f>'MPIO_SFIO Table'!E191</f>
        <v>C5</v>
      </c>
      <c r="E184" s="1" t="str">
        <f>'MPIO_SFIO Table'!F191</f>
        <v>unused_SDMMC4_DAT2</v>
      </c>
      <c r="F184" s="2" t="str">
        <f>'MPIO_SFIO Table'!G191</f>
        <v>GPIO-AA.02</v>
      </c>
      <c r="G184" s="1" t="str">
        <f>'MPIO_SFIO Table'!H191</f>
        <v>UART5.B-CTS_N</v>
      </c>
      <c r="H184" s="1" t="str">
        <f>'MPIO_SFIO Table'!I191</f>
        <v>SPI3.A-MISO</v>
      </c>
      <c r="I184" s="1" t="str">
        <f>'MPIO_SFIO Table'!J191</f>
        <v>GMI-AD22</v>
      </c>
      <c r="J184" s="1" t="str">
        <f>'MPIO_SFIO Table'!K191</f>
        <v>SDMMC4.A-DAT2</v>
      </c>
      <c r="K184" s="2" t="str">
        <f>'MPIO_SFIO Table'!L191</f>
        <v>config</v>
      </c>
      <c r="L184" s="1" t="str">
        <f>'MPIO_SFIO Table'!M191</f>
        <v>disabled</v>
      </c>
      <c r="M184" s="1" t="str">
        <f>'MPIO_SFIO Table'!N191</f>
        <v>disabled</v>
      </c>
      <c r="N184" s="1" t="str">
        <f>'MPIO_SFIO Table'!O191</f>
        <v>reset</v>
      </c>
      <c r="O184" s="1" t="str">
        <f>'MPIO_SFIO Table'!P191</f>
        <v/>
      </c>
      <c r="P184" s="2" t="str">
        <f>'MPIO_SFIO Table'!Q191</f>
        <v>VDDIO_SDMMC4</v>
      </c>
      <c r="Q184" s="1" t="str">
        <f>'MPIO_SFIO Table'!R191</f>
        <v>LV</v>
      </c>
      <c r="R184" s="1">
        <f>'MPIO_SFIO Table'!S191</f>
        <v>15</v>
      </c>
      <c r="S184" s="1" t="str">
        <f>'MPIO_SFIO Table'!T191</f>
        <v>gmacfg</v>
      </c>
      <c r="T184" s="2">
        <f>'MPIO_SFIO Table'!U191</f>
        <v>2</v>
      </c>
      <c r="U184" s="1">
        <f>'MPIO_SFIO Table'!V191</f>
        <v>0</v>
      </c>
      <c r="V184" s="1">
        <f>'MPIO_SFIO Table'!W191</f>
        <v>1</v>
      </c>
      <c r="W184" s="1" t="str">
        <f>'MPIO_SFIO Table'!X191</f>
        <v>none</v>
      </c>
      <c r="X184" s="1" t="str">
        <f>'MPIO_SFIO Table'!Y187</f>
        <v>pu</v>
      </c>
      <c r="Y184" s="88" t="str">
        <f>'MPIO_SFIO Table'!Z191</f>
        <v>z</v>
      </c>
    </row>
    <row r="185" spans="1:25" x14ac:dyDescent="0.25">
      <c r="A185" s="1" t="str">
        <f>'MPIO_SFIO Table'!A192</f>
        <v>SDMMC4_DAT3</v>
      </c>
      <c r="B185" s="1" t="str">
        <f>'MPIO_SFIO Table'!C192</f>
        <v>A6</v>
      </c>
      <c r="C185" s="1" t="str">
        <f>'MPIO_SFIO Table'!D192</f>
        <v>B4</v>
      </c>
      <c r="D185" s="1" t="str">
        <f>'MPIO_SFIO Table'!E192</f>
        <v>B4</v>
      </c>
      <c r="E185" s="1" t="str">
        <f>'MPIO_SFIO Table'!F192</f>
        <v>unused_SDMMC4_DAT3</v>
      </c>
      <c r="F185" s="2" t="str">
        <f>'MPIO_SFIO Table'!G192</f>
        <v>GPIO-AA.03</v>
      </c>
      <c r="G185" s="1" t="str">
        <f>'MPIO_SFIO Table'!H192</f>
        <v>UART5.B-RTS_N</v>
      </c>
      <c r="H185" s="1" t="str">
        <f>'MPIO_SFIO Table'!I192</f>
        <v>SPI3.A-CS0_N</v>
      </c>
      <c r="I185" s="1" t="str">
        <f>'MPIO_SFIO Table'!J192</f>
        <v>GMI-AD23</v>
      </c>
      <c r="J185" s="1" t="str">
        <f>'MPIO_SFIO Table'!K192</f>
        <v>SDMMC4.A-DAT3</v>
      </c>
      <c r="K185" s="2" t="str">
        <f>'MPIO_SFIO Table'!L192</f>
        <v>config</v>
      </c>
      <c r="L185" s="1" t="str">
        <f>'MPIO_SFIO Table'!M192</f>
        <v>disabled</v>
      </c>
      <c r="M185" s="1" t="str">
        <f>'MPIO_SFIO Table'!N192</f>
        <v>disabled</v>
      </c>
      <c r="N185" s="1" t="str">
        <f>'MPIO_SFIO Table'!O192</f>
        <v>reset</v>
      </c>
      <c r="O185" s="1" t="str">
        <f>'MPIO_SFIO Table'!P192</f>
        <v/>
      </c>
      <c r="P185" s="2" t="str">
        <f>'MPIO_SFIO Table'!Q192</f>
        <v>VDDIO_SDMMC4</v>
      </c>
      <c r="Q185" s="1" t="str">
        <f>'MPIO_SFIO Table'!R192</f>
        <v>LV</v>
      </c>
      <c r="R185" s="1">
        <f>'MPIO_SFIO Table'!S192</f>
        <v>15</v>
      </c>
      <c r="S185" s="1" t="str">
        <f>'MPIO_SFIO Table'!T192</f>
        <v>gmacfg</v>
      </c>
      <c r="T185" s="2">
        <f>'MPIO_SFIO Table'!U192</f>
        <v>2</v>
      </c>
      <c r="U185" s="1">
        <f>'MPIO_SFIO Table'!V192</f>
        <v>0</v>
      </c>
      <c r="V185" s="1">
        <f>'MPIO_SFIO Table'!W192</f>
        <v>1</v>
      </c>
      <c r="W185" s="1" t="str">
        <f>'MPIO_SFIO Table'!X192</f>
        <v>none</v>
      </c>
      <c r="X185" s="1" t="str">
        <f>'MPIO_SFIO Table'!Y188</f>
        <v>pu</v>
      </c>
      <c r="Y185" s="88" t="str">
        <f>'MPIO_SFIO Table'!Z192</f>
        <v>z</v>
      </c>
    </row>
    <row r="186" spans="1:25" x14ac:dyDescent="0.25">
      <c r="A186" s="1" t="str">
        <f>'MPIO_SFIO Table'!A193</f>
        <v>SDMMC4_DAT4</v>
      </c>
      <c r="B186" s="1" t="str">
        <f>'MPIO_SFIO Table'!C193</f>
        <v>B7</v>
      </c>
      <c r="C186" s="1" t="str">
        <f>'MPIO_SFIO Table'!D193</f>
        <v>A5</v>
      </c>
      <c r="D186" s="1" t="str">
        <f>'MPIO_SFIO Table'!E193</f>
        <v>A5</v>
      </c>
      <c r="E186" s="1" t="str">
        <f>'MPIO_SFIO Table'!F193</f>
        <v>unused_SDMMC4_DAT4</v>
      </c>
      <c r="F186" s="2" t="str">
        <f>'MPIO_SFIO Table'!G193</f>
        <v>GPIO-AA.04</v>
      </c>
      <c r="G186" s="1" t="str">
        <f>'MPIO_SFIO Table'!H193</f>
        <v>I2C3.B-DAT</v>
      </c>
      <c r="H186" s="1" t="str">
        <f>'MPIO_SFIO Table'!I193</f>
        <v>I2S4.B-LRCK</v>
      </c>
      <c r="I186" s="1" t="str">
        <f>'MPIO_SFIO Table'!J193</f>
        <v>GMI-AD24</v>
      </c>
      <c r="J186" s="1" t="str">
        <f>'MPIO_SFIO Table'!K193</f>
        <v>SDMMC4.A-DAT4</v>
      </c>
      <c r="K186" s="2" t="str">
        <f>'MPIO_SFIO Table'!L193</f>
        <v>config</v>
      </c>
      <c r="L186" s="1" t="str">
        <f>'MPIO_SFIO Table'!M193</f>
        <v>disabled</v>
      </c>
      <c r="M186" s="1" t="str">
        <f>'MPIO_SFIO Table'!N193</f>
        <v>disabled</v>
      </c>
      <c r="N186" s="1" t="str">
        <f>'MPIO_SFIO Table'!O193</f>
        <v>reset</v>
      </c>
      <c r="O186" s="1" t="str">
        <f>'MPIO_SFIO Table'!P193</f>
        <v/>
      </c>
      <c r="P186" s="2" t="str">
        <f>'MPIO_SFIO Table'!Q193</f>
        <v>VDDIO_SDMMC4</v>
      </c>
      <c r="Q186" s="1" t="str">
        <f>'MPIO_SFIO Table'!R193</f>
        <v>LV</v>
      </c>
      <c r="R186" s="1">
        <f>'MPIO_SFIO Table'!S193</f>
        <v>15</v>
      </c>
      <c r="S186" s="1" t="str">
        <f>'MPIO_SFIO Table'!T193</f>
        <v>gmbcfg</v>
      </c>
      <c r="T186" s="2">
        <f>'MPIO_SFIO Table'!U193</f>
        <v>2</v>
      </c>
      <c r="U186" s="1">
        <f>'MPIO_SFIO Table'!V193</f>
        <v>0</v>
      </c>
      <c r="V186" s="1">
        <f>'MPIO_SFIO Table'!W193</f>
        <v>1</v>
      </c>
      <c r="W186" s="1" t="str">
        <f>'MPIO_SFIO Table'!X193</f>
        <v>none</v>
      </c>
      <c r="X186" s="1" t="str">
        <f>'MPIO_SFIO Table'!Y189</f>
        <v>z</v>
      </c>
      <c r="Y186" s="88" t="str">
        <f>'MPIO_SFIO Table'!Z193</f>
        <v>z</v>
      </c>
    </row>
    <row r="187" spans="1:25" x14ac:dyDescent="0.25">
      <c r="A187" s="1" t="str">
        <f>'MPIO_SFIO Table'!A194</f>
        <v>SDMMC4_DAT5</v>
      </c>
      <c r="B187" s="1" t="str">
        <f>'MPIO_SFIO Table'!C194</f>
        <v>A7</v>
      </c>
      <c r="C187" s="1" t="str">
        <f>'MPIO_SFIO Table'!D194</f>
        <v>D6</v>
      </c>
      <c r="D187" s="1" t="str">
        <f>'MPIO_SFIO Table'!E194</f>
        <v>D6</v>
      </c>
      <c r="E187" s="1" t="str">
        <f>'MPIO_SFIO Table'!F194</f>
        <v>unused_SDMMC4_DAT5</v>
      </c>
      <c r="F187" s="2" t="str">
        <f>'MPIO_SFIO Table'!G194</f>
        <v>GPIO-AA.05</v>
      </c>
      <c r="G187" s="1" t="str">
        <f>'MPIO_SFIO Table'!H194</f>
        <v>VI.B-VGP3</v>
      </c>
      <c r="H187" s="1" t="str">
        <f>'MPIO_SFIO Table'!I194</f>
        <v>I2S4.B-SDATA_IN</v>
      </c>
      <c r="I187" s="1" t="str">
        <f>'MPIO_SFIO Table'!J194</f>
        <v>GMI-AD25</v>
      </c>
      <c r="J187" s="1" t="str">
        <f>'MPIO_SFIO Table'!K194</f>
        <v>SDMMC4.A-DAT5</v>
      </c>
      <c r="K187" s="2" t="str">
        <f>'MPIO_SFIO Table'!L194</f>
        <v>config</v>
      </c>
      <c r="L187" s="1" t="str">
        <f>'MPIO_SFIO Table'!M194</f>
        <v>disabled</v>
      </c>
      <c r="M187" s="1" t="str">
        <f>'MPIO_SFIO Table'!N194</f>
        <v>disabled</v>
      </c>
      <c r="N187" s="1" t="str">
        <f>'MPIO_SFIO Table'!O194</f>
        <v>reset</v>
      </c>
      <c r="O187" s="1" t="str">
        <f>'MPIO_SFIO Table'!P194</f>
        <v/>
      </c>
      <c r="P187" s="2" t="str">
        <f>'MPIO_SFIO Table'!Q194</f>
        <v>VDDIO_SDMMC4</v>
      </c>
      <c r="Q187" s="1" t="str">
        <f>'MPIO_SFIO Table'!R194</f>
        <v>LV</v>
      </c>
      <c r="R187" s="1">
        <f>'MPIO_SFIO Table'!S194</f>
        <v>15</v>
      </c>
      <c r="S187" s="1" t="str">
        <f>'MPIO_SFIO Table'!T194</f>
        <v>gmbcfg</v>
      </c>
      <c r="T187" s="2">
        <f>'MPIO_SFIO Table'!U194</f>
        <v>2</v>
      </c>
      <c r="U187" s="1">
        <f>'MPIO_SFIO Table'!V194</f>
        <v>0</v>
      </c>
      <c r="V187" s="1">
        <f>'MPIO_SFIO Table'!W194</f>
        <v>1</v>
      </c>
      <c r="W187" s="1" t="str">
        <f>'MPIO_SFIO Table'!X194</f>
        <v>none</v>
      </c>
      <c r="X187" s="1" t="str">
        <f>'MPIO_SFIO Table'!Y190</f>
        <v>z</v>
      </c>
      <c r="Y187" s="88" t="str">
        <f>'MPIO_SFIO Table'!Z194</f>
        <v>z</v>
      </c>
    </row>
    <row r="188" spans="1:25" x14ac:dyDescent="0.25">
      <c r="A188" s="1" t="str">
        <f>'MPIO_SFIO Table'!A195</f>
        <v>SDMMC4_DAT6</v>
      </c>
      <c r="B188" s="1" t="str">
        <f>'MPIO_SFIO Table'!C195</f>
        <v>D7</v>
      </c>
      <c r="C188" s="1" t="str">
        <f>'MPIO_SFIO Table'!D195</f>
        <v>C7</v>
      </c>
      <c r="D188" s="1" t="str">
        <f>'MPIO_SFIO Table'!E195</f>
        <v>C7</v>
      </c>
      <c r="E188" s="1" t="str">
        <f>'MPIO_SFIO Table'!F195</f>
        <v>unused_SDMMC4_DAT6</v>
      </c>
      <c r="F188" s="2" t="str">
        <f>'MPIO_SFIO Table'!G195</f>
        <v>GPIO-AA.06</v>
      </c>
      <c r="G188" s="1" t="str">
        <f>'MPIO_SFIO Table'!H195</f>
        <v>VI.B-VGP4</v>
      </c>
      <c r="H188" s="1" t="str">
        <f>'MPIO_SFIO Table'!I195</f>
        <v>I2S4.B-SDATA_OUT</v>
      </c>
      <c r="I188" s="1" t="str">
        <f>'MPIO_SFIO Table'!J195</f>
        <v>GMI-AD26</v>
      </c>
      <c r="J188" s="1" t="str">
        <f>'MPIO_SFIO Table'!K195</f>
        <v>SDMMC4.A-DAT6</v>
      </c>
      <c r="K188" s="2" t="str">
        <f>'MPIO_SFIO Table'!L195</f>
        <v>config</v>
      </c>
      <c r="L188" s="1" t="str">
        <f>'MPIO_SFIO Table'!M195</f>
        <v>disabled</v>
      </c>
      <c r="M188" s="1" t="str">
        <f>'MPIO_SFIO Table'!N195</f>
        <v>disabled</v>
      </c>
      <c r="N188" s="1" t="str">
        <f>'MPIO_SFIO Table'!O195</f>
        <v>reset</v>
      </c>
      <c r="O188" s="1" t="str">
        <f>'MPIO_SFIO Table'!P195</f>
        <v/>
      </c>
      <c r="P188" s="2" t="str">
        <f>'MPIO_SFIO Table'!Q195</f>
        <v>VDDIO_SDMMC4</v>
      </c>
      <c r="Q188" s="1" t="str">
        <f>'MPIO_SFIO Table'!R195</f>
        <v>LV</v>
      </c>
      <c r="R188" s="1">
        <f>'MPIO_SFIO Table'!S195</f>
        <v>15</v>
      </c>
      <c r="S188" s="1" t="str">
        <f>'MPIO_SFIO Table'!T195</f>
        <v>gmbcfg</v>
      </c>
      <c r="T188" s="2">
        <f>'MPIO_SFIO Table'!U195</f>
        <v>2</v>
      </c>
      <c r="U188" s="1">
        <f>'MPIO_SFIO Table'!V195</f>
        <v>0</v>
      </c>
      <c r="V188" s="1">
        <f>'MPIO_SFIO Table'!W195</f>
        <v>1</v>
      </c>
      <c r="W188" s="1" t="str">
        <f>'MPIO_SFIO Table'!X195</f>
        <v>none</v>
      </c>
      <c r="X188" s="1" t="str">
        <f>'MPIO_SFIO Table'!Y191</f>
        <v>z</v>
      </c>
      <c r="Y188" s="88" t="str">
        <f>'MPIO_SFIO Table'!Z195</f>
        <v>z</v>
      </c>
    </row>
    <row r="189" spans="1:25" x14ac:dyDescent="0.25">
      <c r="A189" s="1" t="str">
        <f>'MPIO_SFIO Table'!A196</f>
        <v>SDMMC4_DAT7</v>
      </c>
      <c r="B189" s="1" t="str">
        <f>'MPIO_SFIO Table'!C196</f>
        <v>D9</v>
      </c>
      <c r="C189" s="1" t="str">
        <f>'MPIO_SFIO Table'!D196</f>
        <v>D8</v>
      </c>
      <c r="D189" s="1" t="str">
        <f>'MPIO_SFIO Table'!E196</f>
        <v>D8</v>
      </c>
      <c r="E189" s="1" t="str">
        <f>'MPIO_SFIO Table'!F196</f>
        <v>unused_SDMMC4_DAT7</v>
      </c>
      <c r="F189" s="2" t="str">
        <f>'MPIO_SFIO Table'!G196</f>
        <v>GPIO-AA.07</v>
      </c>
      <c r="G189" s="1" t="str">
        <f>'MPIO_SFIO Table'!H196</f>
        <v>VI.B-VGP5</v>
      </c>
      <c r="H189" s="1" t="str">
        <f>'MPIO_SFIO Table'!I196</f>
        <v>I2S4.B-SCLK</v>
      </c>
      <c r="I189" s="1" t="str">
        <f>'MPIO_SFIO Table'!J196</f>
        <v>GMI-AD27</v>
      </c>
      <c r="J189" s="1" t="str">
        <f>'MPIO_SFIO Table'!K196</f>
        <v>SDMMC4.A-DAT7</v>
      </c>
      <c r="K189" s="2" t="str">
        <f>'MPIO_SFIO Table'!L196</f>
        <v>config</v>
      </c>
      <c r="L189" s="1" t="str">
        <f>'MPIO_SFIO Table'!M196</f>
        <v>disabled</v>
      </c>
      <c r="M189" s="1" t="str">
        <f>'MPIO_SFIO Table'!N196</f>
        <v>disabled</v>
      </c>
      <c r="N189" s="1" t="str">
        <f>'MPIO_SFIO Table'!O196</f>
        <v>reset</v>
      </c>
      <c r="O189" s="1" t="str">
        <f>'MPIO_SFIO Table'!P196</f>
        <v/>
      </c>
      <c r="P189" s="2" t="str">
        <f>'MPIO_SFIO Table'!Q196</f>
        <v>VDDIO_SDMMC4</v>
      </c>
      <c r="Q189" s="1" t="str">
        <f>'MPIO_SFIO Table'!R196</f>
        <v>LV</v>
      </c>
      <c r="R189" s="1">
        <f>'MPIO_SFIO Table'!S196</f>
        <v>15</v>
      </c>
      <c r="S189" s="1" t="str">
        <f>'MPIO_SFIO Table'!T196</f>
        <v>gmbcfg</v>
      </c>
      <c r="T189" s="2">
        <f>'MPIO_SFIO Table'!U196</f>
        <v>2</v>
      </c>
      <c r="U189" s="1">
        <f>'MPIO_SFIO Table'!V196</f>
        <v>0</v>
      </c>
      <c r="V189" s="1">
        <f>'MPIO_SFIO Table'!W196</f>
        <v>1</v>
      </c>
      <c r="W189" s="1" t="str">
        <f>'MPIO_SFIO Table'!X196</f>
        <v>none</v>
      </c>
      <c r="X189" s="1" t="str">
        <f>'MPIO_SFIO Table'!Y192</f>
        <v>z</v>
      </c>
      <c r="Y189" s="88" t="str">
        <f>'MPIO_SFIO Table'!Z196</f>
        <v>z</v>
      </c>
    </row>
    <row r="190" spans="1:25" x14ac:dyDescent="0.25">
      <c r="A190" s="1" t="str">
        <f>'MPIO_SFIO Table'!A197</f>
        <v>SDMMC4_RST_N</v>
      </c>
      <c r="B190" s="1" t="str">
        <f>'MPIO_SFIO Table'!C197</f>
        <v>C9</v>
      </c>
      <c r="C190" s="1" t="str">
        <f>'MPIO_SFIO Table'!D197</f>
        <v>B8</v>
      </c>
      <c r="D190" s="1" t="str">
        <f>'MPIO_SFIO Table'!E197</f>
        <v>B8</v>
      </c>
      <c r="E190" s="1" t="str">
        <f>'MPIO_SFIO Table'!F197</f>
        <v>unused_SDMMC4_RST_N</v>
      </c>
      <c r="F190" s="2" t="str">
        <f>'MPIO_SFIO Table'!G197</f>
        <v>GPIO-CC.03</v>
      </c>
      <c r="G190" s="1" t="str">
        <f>'MPIO_SFIO Table'!H197</f>
        <v>VI.B-VGP6</v>
      </c>
      <c r="H190" s="1" t="str">
        <f>'MPIO_SFIO Table'!I197</f>
        <v>RSVD1</v>
      </c>
      <c r="I190" s="1" t="str">
        <f>'MPIO_SFIO Table'!J197</f>
        <v>RSVD2</v>
      </c>
      <c r="J190" s="1" t="str">
        <f>'MPIO_SFIO Table'!K197</f>
        <v>SDMMC4.A-RST_N</v>
      </c>
      <c r="K190" s="2" t="str">
        <f>'MPIO_SFIO Table'!L197</f>
        <v>config</v>
      </c>
      <c r="L190" s="1" t="str">
        <f>'MPIO_SFIO Table'!M197</f>
        <v>disabled</v>
      </c>
      <c r="M190" s="1" t="str">
        <f>'MPIO_SFIO Table'!N197</f>
        <v>disabled</v>
      </c>
      <c r="N190" s="1" t="str">
        <f>'MPIO_SFIO Table'!O197</f>
        <v>reset</v>
      </c>
      <c r="O190" s="1" t="str">
        <f>'MPIO_SFIO Table'!P197</f>
        <v/>
      </c>
      <c r="P190" s="2" t="str">
        <f>'MPIO_SFIO Table'!Q197</f>
        <v>VDDIO_SDMMC4</v>
      </c>
      <c r="Q190" s="1" t="str">
        <f>'MPIO_SFIO Table'!R197</f>
        <v>LV</v>
      </c>
      <c r="R190" s="1">
        <f>'MPIO_SFIO Table'!S197</f>
        <v>15</v>
      </c>
      <c r="S190" s="1" t="str">
        <f>'MPIO_SFIO Table'!T197</f>
        <v>gmacfg</v>
      </c>
      <c r="T190" s="2">
        <f>'MPIO_SFIO Table'!U197</f>
        <v>3</v>
      </c>
      <c r="U190" s="1">
        <f>'MPIO_SFIO Table'!V197</f>
        <v>0</v>
      </c>
      <c r="V190" s="1">
        <f>'MPIO_SFIO Table'!W197</f>
        <v>1</v>
      </c>
      <c r="W190" s="1" t="str">
        <f>'MPIO_SFIO Table'!X197</f>
        <v>none</v>
      </c>
      <c r="X190" s="1" t="str">
        <f>'MPIO_SFIO Table'!Y193</f>
        <v>z</v>
      </c>
      <c r="Y190" s="88" t="str">
        <f>'MPIO_SFIO Table'!Z197</f>
        <v>z</v>
      </c>
    </row>
    <row r="191" spans="1:25" ht="15.75" x14ac:dyDescent="0.25">
      <c r="A191" s="32" t="str">
        <f>'MPIO_SFIO Table'!A198</f>
        <v>SYS</v>
      </c>
      <c r="B191" s="32"/>
      <c r="C191" s="32"/>
      <c r="D191" s="32"/>
      <c r="E191" s="32"/>
      <c r="F191" s="33"/>
      <c r="G191" s="32"/>
      <c r="H191" s="32"/>
      <c r="I191" s="32"/>
      <c r="J191" s="32"/>
      <c r="K191" s="33"/>
      <c r="L191" s="32"/>
      <c r="M191" s="32"/>
      <c r="N191" s="32"/>
      <c r="O191" s="32"/>
      <c r="P191" s="33"/>
      <c r="Q191" s="32"/>
      <c r="R191" s="32"/>
      <c r="S191" s="32"/>
      <c r="T191" s="34"/>
      <c r="U191" s="35"/>
      <c r="V191" s="35"/>
      <c r="W191" s="35"/>
      <c r="X191" s="35"/>
      <c r="Y191" s="87"/>
    </row>
    <row r="192" spans="1:25" x14ac:dyDescent="0.25">
      <c r="A192" s="1" t="str">
        <f>'MPIO_SFIO Table'!A199</f>
        <v>CLK_32K_OUT</v>
      </c>
      <c r="B192" s="1" t="str">
        <f>'MPIO_SFIO Table'!C199</f>
        <v>U27</v>
      </c>
      <c r="C192" s="1" t="str">
        <f>'MPIO_SFIO Table'!D199</f>
        <v>AB32</v>
      </c>
      <c r="D192" s="1" t="str">
        <f>'MPIO_SFIO Table'!E199</f>
        <v>AB32</v>
      </c>
      <c r="E192" s="1" t="str">
        <f>'MPIO_SFIO Table'!F199</f>
        <v>unused_CLK_32K_OUT</v>
      </c>
      <c r="F192" s="2" t="str">
        <f>'MPIO_SFIO Table'!G199</f>
        <v>GPIO-A.00</v>
      </c>
      <c r="G192" s="1" t="str">
        <f>'MPIO_SFIO Table'!H199</f>
        <v>PMC-BLINK</v>
      </c>
      <c r="H192" s="1" t="str">
        <f>'MPIO_SFIO Table'!I199</f>
        <v>RSDV1</v>
      </c>
      <c r="I192" s="1" t="str">
        <f>'MPIO_SFIO Table'!J199</f>
        <v>RSVD2</v>
      </c>
      <c r="J192" s="1" t="str">
        <f>'MPIO_SFIO Table'!K199</f>
        <v>RSVD3</v>
      </c>
      <c r="K192" s="2" t="str">
        <f>'MPIO_SFIO Table'!L199</f>
        <v>special</v>
      </c>
      <c r="L192" s="1" t="str">
        <f>'MPIO_SFIO Table'!M199</f>
        <v>special</v>
      </c>
      <c r="M192" s="1" t="str">
        <f>'MPIO_SFIO Table'!N199</f>
        <v>config</v>
      </c>
      <c r="N192" s="1" t="str">
        <f>'MPIO_SFIO Table'!O199</f>
        <v>reset</v>
      </c>
      <c r="O192" s="1" t="str">
        <f>'MPIO_SFIO Table'!P199</f>
        <v/>
      </c>
      <c r="P192" s="2" t="str">
        <f>'MPIO_SFIO Table'!Q199</f>
        <v>VDDIO_SYS</v>
      </c>
      <c r="Q192" s="1" t="str">
        <f>'MPIO_SFIO Table'!R199</f>
        <v>ST</v>
      </c>
      <c r="R192" s="1">
        <f>'MPIO_SFIO Table'!S199</f>
        <v>100</v>
      </c>
      <c r="S192" s="1" t="str">
        <f>'MPIO_SFIO Table'!T199</f>
        <v>aocfg2</v>
      </c>
      <c r="T192" s="2">
        <f>'MPIO_SFIO Table'!U199</f>
        <v>0</v>
      </c>
      <c r="U192" s="1">
        <f>'MPIO_SFIO Table'!V199</f>
        <v>0</v>
      </c>
      <c r="V192" s="1">
        <f>'MPIO_SFIO Table'!W199</f>
        <v>1</v>
      </c>
      <c r="W192" s="1" t="str">
        <f>'MPIO_SFIO Table'!X199</f>
        <v>none</v>
      </c>
      <c r="X192" s="1" t="str">
        <f>'MPIO_SFIO Table'!Y195</f>
        <v>z</v>
      </c>
      <c r="Y192" s="88">
        <f>'MPIO_SFIO Table'!Z199</f>
        <v>0</v>
      </c>
    </row>
    <row r="193" spans="1:25" x14ac:dyDescent="0.25">
      <c r="A193" s="1" t="str">
        <f>'MPIO_SFIO Table'!A203</f>
        <v>HDMI_CEC</v>
      </c>
      <c r="B193" s="1" t="str">
        <f>'MPIO_SFIO Table'!C203</f>
        <v>AC18</v>
      </c>
      <c r="C193" s="1" t="str">
        <f>'MPIO_SFIO Table'!D203</f>
        <v>V32</v>
      </c>
      <c r="D193" s="1" t="str">
        <f>'MPIO_SFIO Table'!E203</f>
        <v>V32</v>
      </c>
      <c r="E193" s="1" t="str">
        <f>'MPIO_SFIO Table'!F203</f>
        <v>unused_HDMI_CEC</v>
      </c>
      <c r="F193" s="2" t="str">
        <f>'MPIO_SFIO Table'!G203</f>
        <v>GPIO-EE.03</v>
      </c>
      <c r="G193" s="1" t="str">
        <f>'MPIO_SFIO Table'!H203</f>
        <v>INVALID</v>
      </c>
      <c r="H193" s="1" t="str">
        <f>'MPIO_SFIO Table'!I203</f>
        <v>RSVD</v>
      </c>
      <c r="I193" s="1" t="str">
        <f>'MPIO_SFIO Table'!J203</f>
        <v>RSVD</v>
      </c>
      <c r="J193" s="1" t="str">
        <f>'MPIO_SFIO Table'!K203</f>
        <v>RSVD</v>
      </c>
      <c r="K193" s="2" t="str">
        <f>'MPIO_SFIO Table'!L203</f>
        <v>config</v>
      </c>
      <c r="L193" s="1" t="str">
        <f>'MPIO_SFIO Table'!M203</f>
        <v>special</v>
      </c>
      <c r="M193" s="1" t="str">
        <f>'MPIO_SFIO Table'!N203</f>
        <v>config</v>
      </c>
      <c r="N193" s="1" t="str">
        <f>'MPIO_SFIO Table'!O203</f>
        <v>reset</v>
      </c>
      <c r="O193" s="1" t="str">
        <f>'MPIO_SFIO Table'!P203</f>
        <v/>
      </c>
      <c r="P193" s="2" t="str">
        <f>'MPIO_SFIO Table'!Q203</f>
        <v>VDDIO_SYS</v>
      </c>
      <c r="Q193" s="1" t="str">
        <f>'MPIO_SFIO Table'!R203</f>
        <v>DD</v>
      </c>
      <c r="R193" s="1">
        <f>'MPIO_SFIO Table'!S203</f>
        <v>50</v>
      </c>
      <c r="S193" s="1" t="str">
        <f>'MPIO_SFIO Table'!T203</f>
        <v>ceccfg</v>
      </c>
      <c r="T193" s="2">
        <f>'MPIO_SFIO Table'!U203</f>
        <v>0</v>
      </c>
      <c r="U193" s="1">
        <f>'MPIO_SFIO Table'!V203</f>
        <v>0</v>
      </c>
      <c r="V193" s="1">
        <f>'MPIO_SFIO Table'!W203</f>
        <v>1</v>
      </c>
      <c r="W193" s="1" t="str">
        <f>'MPIO_SFIO Table'!X203</f>
        <v>none</v>
      </c>
      <c r="X193" s="1" t="str">
        <f>'MPIO_SFIO Table'!Y196</f>
        <v>z</v>
      </c>
      <c r="Y193" s="88" t="str">
        <f>'MPIO_SFIO Table'!Z203</f>
        <v>z</v>
      </c>
    </row>
    <row r="194" spans="1:25" x14ac:dyDescent="0.25">
      <c r="A194" s="1" t="str">
        <f>'MPIO_SFIO Table'!A210</f>
        <v>KB_COL0</v>
      </c>
      <c r="B194" s="1" t="str">
        <f>'MPIO_SFIO Table'!C210</f>
        <v>J30</v>
      </c>
      <c r="C194" s="1" t="str">
        <f>'MPIO_SFIO Table'!D210</f>
        <v>U37</v>
      </c>
      <c r="D194" s="1" t="str">
        <f>'MPIO_SFIO Table'!E210</f>
        <v>U37</v>
      </c>
      <c r="E194" s="1" t="str">
        <f>'MPIO_SFIO Table'!F210</f>
        <v>unused_KB_COL0</v>
      </c>
      <c r="F194" s="2" t="str">
        <f>'MPIO_SFIO Table'!G210</f>
        <v>GPIO-Q.00</v>
      </c>
      <c r="G194" s="1" t="str">
        <f>'MPIO_SFIO Table'!H210</f>
        <v>KBC-COL0</v>
      </c>
      <c r="H194" s="1" t="str">
        <f>'MPIO_SFIO Table'!I210</f>
        <v>INVALID</v>
      </c>
      <c r="I194" s="1" t="str">
        <f>'MPIO_SFIO Table'!J210</f>
        <v>TRACE-DATA0</v>
      </c>
      <c r="J194" s="1" t="str">
        <f>'MPIO_SFIO Table'!K210</f>
        <v>INVALID</v>
      </c>
      <c r="K194" s="2" t="str">
        <f>'MPIO_SFIO Table'!L210</f>
        <v>special</v>
      </c>
      <c r="L194" s="1" t="str">
        <f>'MPIO_SFIO Table'!M210</f>
        <v>special</v>
      </c>
      <c r="M194" s="1" t="str">
        <f>'MPIO_SFIO Table'!N210</f>
        <v>config</v>
      </c>
      <c r="N194" s="1" t="str">
        <f>'MPIO_SFIO Table'!O210</f>
        <v>reset</v>
      </c>
      <c r="O194" s="1" t="str">
        <f>'MPIO_SFIO Table'!P210</f>
        <v/>
      </c>
      <c r="P194" s="2" t="str">
        <f>'MPIO_SFIO Table'!Q210</f>
        <v>VDDIO_SYS</v>
      </c>
      <c r="Q194" s="1" t="str">
        <f>'MPIO_SFIO Table'!R210</f>
        <v>ST</v>
      </c>
      <c r="R194" s="1">
        <f>'MPIO_SFIO Table'!S210</f>
        <v>100</v>
      </c>
      <c r="S194" s="1" t="str">
        <f>'MPIO_SFIO Table'!T210</f>
        <v>aocfg2</v>
      </c>
      <c r="T194" s="2">
        <f>'MPIO_SFIO Table'!U210</f>
        <v>0</v>
      </c>
      <c r="U194" s="1">
        <f>'MPIO_SFIO Table'!V210</f>
        <v>0</v>
      </c>
      <c r="V194" s="1">
        <f>'MPIO_SFIO Table'!W210</f>
        <v>1</v>
      </c>
      <c r="W194" s="1" t="str">
        <f>'MPIO_SFIO Table'!X210</f>
        <v>up</v>
      </c>
      <c r="X194" s="1" t="str">
        <f>'MPIO_SFIO Table'!Y197</f>
        <v>z</v>
      </c>
      <c r="Y194" s="88" t="str">
        <f>'MPIO_SFIO Table'!Z210</f>
        <v>pu</v>
      </c>
    </row>
    <row r="195" spans="1:25" x14ac:dyDescent="0.25">
      <c r="A195" s="1" t="str">
        <f>'MPIO_SFIO Table'!A211</f>
        <v>KB_COL1</v>
      </c>
      <c r="B195" s="1" t="str">
        <f>'MPIO_SFIO Table'!C211</f>
        <v>N26</v>
      </c>
      <c r="C195" s="1" t="str">
        <f>'MPIO_SFIO Table'!D211</f>
        <v>U29</v>
      </c>
      <c r="D195" s="1" t="str">
        <f>'MPIO_SFIO Table'!E211</f>
        <v>U29</v>
      </c>
      <c r="E195" s="1" t="str">
        <f>'MPIO_SFIO Table'!F211</f>
        <v>unused_KB_COL1</v>
      </c>
      <c r="F195" s="2" t="str">
        <f>'MPIO_SFIO Table'!G211</f>
        <v>GPIO-Q.01</v>
      </c>
      <c r="G195" s="1" t="str">
        <f>'MPIO_SFIO Table'!H211</f>
        <v>KBC-COL1</v>
      </c>
      <c r="H195" s="1" t="str">
        <f>'MPIO_SFIO Table'!I211</f>
        <v>INVALID</v>
      </c>
      <c r="I195" s="1" t="str">
        <f>'MPIO_SFIO Table'!J211</f>
        <v>TRACE-DATA1</v>
      </c>
      <c r="J195" s="1" t="str">
        <f>'MPIO_SFIO Table'!K211</f>
        <v>INVALID</v>
      </c>
      <c r="K195" s="2" t="str">
        <f>'MPIO_SFIO Table'!L211</f>
        <v>special</v>
      </c>
      <c r="L195" s="1" t="str">
        <f>'MPIO_SFIO Table'!M211</f>
        <v>special</v>
      </c>
      <c r="M195" s="1" t="str">
        <f>'MPIO_SFIO Table'!N211</f>
        <v>config</v>
      </c>
      <c r="N195" s="1" t="str">
        <f>'MPIO_SFIO Table'!O211</f>
        <v>reset</v>
      </c>
      <c r="O195" s="1" t="str">
        <f>'MPIO_SFIO Table'!P211</f>
        <v/>
      </c>
      <c r="P195" s="2" t="str">
        <f>'MPIO_SFIO Table'!Q211</f>
        <v>VDDIO_SYS</v>
      </c>
      <c r="Q195" s="1" t="str">
        <f>'MPIO_SFIO Table'!R211</f>
        <v>ST</v>
      </c>
      <c r="R195" s="1">
        <f>'MPIO_SFIO Table'!S211</f>
        <v>100</v>
      </c>
      <c r="S195" s="1" t="str">
        <f>'MPIO_SFIO Table'!T211</f>
        <v>aocfg2</v>
      </c>
      <c r="T195" s="2">
        <f>'MPIO_SFIO Table'!U211</f>
        <v>0</v>
      </c>
      <c r="U195" s="1">
        <f>'MPIO_SFIO Table'!V211</f>
        <v>0</v>
      </c>
      <c r="V195" s="1">
        <f>'MPIO_SFIO Table'!W211</f>
        <v>1</v>
      </c>
      <c r="W195" s="1" t="str">
        <f>'MPIO_SFIO Table'!X211</f>
        <v>up</v>
      </c>
      <c r="X195" s="1">
        <f>'MPIO_SFIO Table'!Y198</f>
        <v>0</v>
      </c>
      <c r="Y195" s="88" t="str">
        <f>'MPIO_SFIO Table'!Z211</f>
        <v>pu</v>
      </c>
    </row>
    <row r="196" spans="1:25" x14ac:dyDescent="0.25">
      <c r="A196" s="1" t="str">
        <f>'MPIO_SFIO Table'!A212</f>
        <v>KB_COL2</v>
      </c>
      <c r="B196" s="1" t="str">
        <f>'MPIO_SFIO Table'!C212</f>
        <v>V25</v>
      </c>
      <c r="C196" s="1" t="str">
        <f>'MPIO_SFIO Table'!D212</f>
        <v>AD32</v>
      </c>
      <c r="D196" s="1" t="str">
        <f>'MPIO_SFIO Table'!E212</f>
        <v>AD32</v>
      </c>
      <c r="E196" s="1" t="str">
        <f>'MPIO_SFIO Table'!F212</f>
        <v>unused_KB_COL2</v>
      </c>
      <c r="F196" s="2" t="str">
        <f>'MPIO_SFIO Table'!G212</f>
        <v>GPIO-Q.02</v>
      </c>
      <c r="G196" s="1" t="str">
        <f>'MPIO_SFIO Table'!H212</f>
        <v>KBC-COL2</v>
      </c>
      <c r="H196" s="1" t="str">
        <f>'MPIO_SFIO Table'!I212</f>
        <v>INVALID</v>
      </c>
      <c r="I196" s="1" t="str">
        <f>'MPIO_SFIO Table'!J212</f>
        <v>TRACE-DATA2</v>
      </c>
      <c r="J196" s="1" t="str">
        <f>'MPIO_SFIO Table'!K212</f>
        <v>RSVD</v>
      </c>
      <c r="K196" s="2" t="str">
        <f>'MPIO_SFIO Table'!L212</f>
        <v>special</v>
      </c>
      <c r="L196" s="1" t="str">
        <f>'MPIO_SFIO Table'!M212</f>
        <v>special</v>
      </c>
      <c r="M196" s="1" t="str">
        <f>'MPIO_SFIO Table'!N212</f>
        <v>config</v>
      </c>
      <c r="N196" s="1" t="str">
        <f>'MPIO_SFIO Table'!O212</f>
        <v>reset</v>
      </c>
      <c r="O196" s="1" t="str">
        <f>'MPIO_SFIO Table'!P212</f>
        <v/>
      </c>
      <c r="P196" s="2" t="str">
        <f>'MPIO_SFIO Table'!Q212</f>
        <v>VDDIO_SYS</v>
      </c>
      <c r="Q196" s="1" t="str">
        <f>'MPIO_SFIO Table'!R212</f>
        <v>ST</v>
      </c>
      <c r="R196" s="1">
        <f>'MPIO_SFIO Table'!S212</f>
        <v>100</v>
      </c>
      <c r="S196" s="1" t="str">
        <f>'MPIO_SFIO Table'!T212</f>
        <v>aocfg2</v>
      </c>
      <c r="T196" s="2">
        <f>'MPIO_SFIO Table'!U212</f>
        <v>0</v>
      </c>
      <c r="U196" s="1">
        <f>'MPIO_SFIO Table'!V212</f>
        <v>0</v>
      </c>
      <c r="V196" s="1">
        <f>'MPIO_SFIO Table'!W212</f>
        <v>1</v>
      </c>
      <c r="W196" s="1" t="str">
        <f>'MPIO_SFIO Table'!X212</f>
        <v>up</v>
      </c>
      <c r="X196" s="1">
        <f>'MPIO_SFIO Table'!Y199</f>
        <v>0</v>
      </c>
      <c r="Y196" s="88" t="str">
        <f>'MPIO_SFIO Table'!Z212</f>
        <v>pu</v>
      </c>
    </row>
    <row r="197" spans="1:25" x14ac:dyDescent="0.25">
      <c r="A197" s="1" t="str">
        <f>'MPIO_SFIO Table'!A213</f>
        <v>KB_COL3</v>
      </c>
      <c r="B197" s="1" t="str">
        <f>'MPIO_SFIO Table'!C213</f>
        <v>R26</v>
      </c>
      <c r="C197" s="1" t="str">
        <f>'MPIO_SFIO Table'!D213</f>
        <v>AD36</v>
      </c>
      <c r="D197" s="1" t="str">
        <f>'MPIO_SFIO Table'!E213</f>
        <v>AD36</v>
      </c>
      <c r="E197" s="1" t="str">
        <f>'MPIO_SFIO Table'!F213</f>
        <v>unused_KB_COL3</v>
      </c>
      <c r="F197" s="2" t="str">
        <f>'MPIO_SFIO Table'!G213</f>
        <v>GPIO-Q.03</v>
      </c>
      <c r="G197" s="1" t="str">
        <f>'MPIO_SFIO Table'!H213</f>
        <v>KBC-COL3</v>
      </c>
      <c r="H197" s="1" t="str">
        <f>'MPIO_SFIO Table'!I213</f>
        <v>INVALID</v>
      </c>
      <c r="I197" s="1" t="str">
        <f>'MPIO_SFIO Table'!J213</f>
        <v>TRACE-DATA3</v>
      </c>
      <c r="J197" s="1" t="str">
        <f>'MPIO_SFIO Table'!K213</f>
        <v>RSVD</v>
      </c>
      <c r="K197" s="2" t="str">
        <f>'MPIO_SFIO Table'!L213</f>
        <v>special</v>
      </c>
      <c r="L197" s="1" t="str">
        <f>'MPIO_SFIO Table'!M213</f>
        <v>special</v>
      </c>
      <c r="M197" s="1" t="str">
        <f>'MPIO_SFIO Table'!N213</f>
        <v>config</v>
      </c>
      <c r="N197" s="1" t="str">
        <f>'MPIO_SFIO Table'!O213</f>
        <v>reset</v>
      </c>
      <c r="O197" s="1" t="str">
        <f>'MPIO_SFIO Table'!P213</f>
        <v/>
      </c>
      <c r="P197" s="2" t="str">
        <f>'MPIO_SFIO Table'!Q213</f>
        <v>VDDIO_SYS</v>
      </c>
      <c r="Q197" s="1" t="str">
        <f>'MPIO_SFIO Table'!R213</f>
        <v>ST</v>
      </c>
      <c r="R197" s="1">
        <f>'MPIO_SFIO Table'!S213</f>
        <v>100</v>
      </c>
      <c r="S197" s="1" t="str">
        <f>'MPIO_SFIO Table'!T213</f>
        <v>aocfg2</v>
      </c>
      <c r="T197" s="2">
        <f>'MPIO_SFIO Table'!U213</f>
        <v>0</v>
      </c>
      <c r="U197" s="1">
        <f>'MPIO_SFIO Table'!V213</f>
        <v>0</v>
      </c>
      <c r="V197" s="1">
        <f>'MPIO_SFIO Table'!W213</f>
        <v>1</v>
      </c>
      <c r="W197" s="1" t="str">
        <f>'MPIO_SFIO Table'!X213</f>
        <v>up</v>
      </c>
      <c r="X197" s="1" t="str">
        <f>'MPIO_SFIO Table'!Y200</f>
        <v>z</v>
      </c>
      <c r="Y197" s="88" t="str">
        <f>'MPIO_SFIO Table'!Z213</f>
        <v>pu</v>
      </c>
    </row>
    <row r="198" spans="1:25" x14ac:dyDescent="0.25">
      <c r="A198" s="1" t="str">
        <f>'MPIO_SFIO Table'!A214</f>
        <v>KB_COL4</v>
      </c>
      <c r="B198" s="1" t="str">
        <f>'MPIO_SFIO Table'!C214</f>
        <v>W26</v>
      </c>
      <c r="C198" s="1" t="str">
        <f>'MPIO_SFIO Table'!D214</f>
        <v>AC31</v>
      </c>
      <c r="D198" s="1" t="str">
        <f>'MPIO_SFIO Table'!E214</f>
        <v>AC31</v>
      </c>
      <c r="E198" s="1" t="str">
        <f>'MPIO_SFIO Table'!F214</f>
        <v>unused_KB_COL4</v>
      </c>
      <c r="F198" s="2" t="str">
        <f>'MPIO_SFIO Table'!G214</f>
        <v>GPIO-Q.04</v>
      </c>
      <c r="G198" s="1" t="str">
        <f>'MPIO_SFIO Table'!H214</f>
        <v>KBC-COL4</v>
      </c>
      <c r="H198" s="1" t="str">
        <f>'MPIO_SFIO Table'!I214</f>
        <v>INVALID</v>
      </c>
      <c r="I198" s="1" t="str">
        <f>'MPIO_SFIO Table'!J214</f>
        <v>TRACE-DATA4</v>
      </c>
      <c r="J198" s="1" t="str">
        <f>'MPIO_SFIO Table'!K214</f>
        <v>RSVD</v>
      </c>
      <c r="K198" s="2" t="str">
        <f>'MPIO_SFIO Table'!L214</f>
        <v>special</v>
      </c>
      <c r="L198" s="1" t="str">
        <f>'MPIO_SFIO Table'!M214</f>
        <v>special</v>
      </c>
      <c r="M198" s="1" t="str">
        <f>'MPIO_SFIO Table'!N214</f>
        <v>config</v>
      </c>
      <c r="N198" s="1" t="str">
        <f>'MPIO_SFIO Table'!O214</f>
        <v>reset</v>
      </c>
      <c r="O198" s="1" t="str">
        <f>'MPIO_SFIO Table'!P214</f>
        <v/>
      </c>
      <c r="P198" s="2" t="str">
        <f>'MPIO_SFIO Table'!Q214</f>
        <v>VDDIO_SYS</v>
      </c>
      <c r="Q198" s="1" t="str">
        <f>'MPIO_SFIO Table'!R214</f>
        <v>ST</v>
      </c>
      <c r="R198" s="1">
        <f>'MPIO_SFIO Table'!S214</f>
        <v>100</v>
      </c>
      <c r="S198" s="1" t="str">
        <f>'MPIO_SFIO Table'!T214</f>
        <v>aocfg2</v>
      </c>
      <c r="T198" s="2">
        <f>'MPIO_SFIO Table'!U214</f>
        <v>0</v>
      </c>
      <c r="U198" s="1">
        <f>'MPIO_SFIO Table'!V214</f>
        <v>0</v>
      </c>
      <c r="V198" s="1">
        <f>'MPIO_SFIO Table'!W214</f>
        <v>1</v>
      </c>
      <c r="W198" s="1" t="str">
        <f>'MPIO_SFIO Table'!X214</f>
        <v>up</v>
      </c>
      <c r="X198" s="1" t="str">
        <f>'MPIO_SFIO Table'!Y201</f>
        <v>z</v>
      </c>
      <c r="Y198" s="88" t="str">
        <f>'MPIO_SFIO Table'!Z214</f>
        <v>pu</v>
      </c>
    </row>
    <row r="199" spans="1:25" x14ac:dyDescent="0.25">
      <c r="A199" s="1" t="str">
        <f>'MPIO_SFIO Table'!A215</f>
        <v>KB_COL5</v>
      </c>
      <c r="B199" s="1" t="str">
        <f>'MPIO_SFIO Table'!C215</f>
        <v>R30</v>
      </c>
      <c r="C199" s="1" t="str">
        <f>'MPIO_SFIO Table'!D215</f>
        <v>Y30</v>
      </c>
      <c r="D199" s="1" t="str">
        <f>'MPIO_SFIO Table'!E215</f>
        <v>Y30</v>
      </c>
      <c r="E199" s="1" t="str">
        <f>'MPIO_SFIO Table'!F215</f>
        <v>unused_KB_COL5</v>
      </c>
      <c r="F199" s="2" t="str">
        <f>'MPIO_SFIO Table'!G215</f>
        <v>GPIO-Q.05</v>
      </c>
      <c r="G199" s="1" t="str">
        <f>'MPIO_SFIO Table'!H215</f>
        <v>KBC-COL5</v>
      </c>
      <c r="H199" s="1" t="str">
        <f>'MPIO_SFIO Table'!I215</f>
        <v>INVALID</v>
      </c>
      <c r="I199" s="1" t="str">
        <f>'MPIO_SFIO Table'!J215</f>
        <v>TRACE-DATA5</v>
      </c>
      <c r="J199" s="1" t="str">
        <f>'MPIO_SFIO Table'!K215</f>
        <v>RSVD</v>
      </c>
      <c r="K199" s="2" t="str">
        <f>'MPIO_SFIO Table'!L215</f>
        <v>special</v>
      </c>
      <c r="L199" s="1" t="str">
        <f>'MPIO_SFIO Table'!M215</f>
        <v>special</v>
      </c>
      <c r="M199" s="1" t="str">
        <f>'MPIO_SFIO Table'!N215</f>
        <v>config</v>
      </c>
      <c r="N199" s="1" t="str">
        <f>'MPIO_SFIO Table'!O215</f>
        <v>reset</v>
      </c>
      <c r="O199" s="1" t="str">
        <f>'MPIO_SFIO Table'!P215</f>
        <v/>
      </c>
      <c r="P199" s="2" t="str">
        <f>'MPIO_SFIO Table'!Q215</f>
        <v>VDDIO_SYS</v>
      </c>
      <c r="Q199" s="1" t="str">
        <f>'MPIO_SFIO Table'!R215</f>
        <v>ST</v>
      </c>
      <c r="R199" s="1">
        <f>'MPIO_SFIO Table'!S215</f>
        <v>100</v>
      </c>
      <c r="S199" s="1" t="str">
        <f>'MPIO_SFIO Table'!T215</f>
        <v>aocfg2</v>
      </c>
      <c r="T199" s="2">
        <f>'MPIO_SFIO Table'!U215</f>
        <v>0</v>
      </c>
      <c r="U199" s="1">
        <f>'MPIO_SFIO Table'!V215</f>
        <v>0</v>
      </c>
      <c r="V199" s="1">
        <f>'MPIO_SFIO Table'!W215</f>
        <v>1</v>
      </c>
      <c r="W199" s="1" t="str">
        <f>'MPIO_SFIO Table'!X215</f>
        <v>up</v>
      </c>
      <c r="X199" s="1" t="str">
        <f>'MPIO_SFIO Table'!Y202</f>
        <v>z</v>
      </c>
      <c r="Y199" s="88" t="str">
        <f>'MPIO_SFIO Table'!Z215</f>
        <v>pu</v>
      </c>
    </row>
    <row r="200" spans="1:25" x14ac:dyDescent="0.25">
      <c r="A200" s="1" t="str">
        <f>'MPIO_SFIO Table'!A216</f>
        <v>KB_COL6</v>
      </c>
      <c r="B200" s="1" t="str">
        <f>'MPIO_SFIO Table'!C216</f>
        <v>P27</v>
      </c>
      <c r="C200" s="1" t="str">
        <f>'MPIO_SFIO Table'!D216</f>
        <v>AD30</v>
      </c>
      <c r="D200" s="71" t="str">
        <f>'MPIO_SFIO Table'!E216</f>
        <v>AD30</v>
      </c>
      <c r="E200" s="1" t="str">
        <f>'MPIO_SFIO Table'!F216</f>
        <v>unused_KB_COL6</v>
      </c>
      <c r="F200" s="2" t="str">
        <f>'MPIO_SFIO Table'!G216</f>
        <v>GPIO-Q.06</v>
      </c>
      <c r="G200" s="1" t="str">
        <f>'MPIO_SFIO Table'!H216</f>
        <v>KBC-COL6</v>
      </c>
      <c r="H200" s="1" t="str">
        <f>'MPIO_SFIO Table'!I216</f>
        <v>INVALID</v>
      </c>
      <c r="I200" s="1" t="str">
        <f>'MPIO_SFIO Table'!J216</f>
        <v>TRACE-DATA6</v>
      </c>
      <c r="J200" s="1" t="str">
        <f>'MPIO_SFIO Table'!K216</f>
        <v>INVALID</v>
      </c>
      <c r="K200" s="2" t="str">
        <f>'MPIO_SFIO Table'!L216</f>
        <v>special</v>
      </c>
      <c r="L200" s="1" t="str">
        <f>'MPIO_SFIO Table'!M216</f>
        <v>special</v>
      </c>
      <c r="M200" s="1" t="str">
        <f>'MPIO_SFIO Table'!N216</f>
        <v>config</v>
      </c>
      <c r="N200" s="1" t="str">
        <f>'MPIO_SFIO Table'!O216</f>
        <v>reset</v>
      </c>
      <c r="O200" s="1" t="str">
        <f>'MPIO_SFIO Table'!P216</f>
        <v/>
      </c>
      <c r="P200" s="2" t="str">
        <f>'MPIO_SFIO Table'!Q216</f>
        <v>VDDIO_SYS</v>
      </c>
      <c r="Q200" s="1" t="str">
        <f>'MPIO_SFIO Table'!R216</f>
        <v>ST</v>
      </c>
      <c r="R200" s="1">
        <f>'MPIO_SFIO Table'!S216</f>
        <v>100</v>
      </c>
      <c r="S200" s="1" t="str">
        <f>'MPIO_SFIO Table'!T216</f>
        <v>aocfg2</v>
      </c>
      <c r="T200" s="2">
        <f>'MPIO_SFIO Table'!U216</f>
        <v>0</v>
      </c>
      <c r="U200" s="1">
        <f>'MPIO_SFIO Table'!V216</f>
        <v>0</v>
      </c>
      <c r="V200" s="1">
        <f>'MPIO_SFIO Table'!W216</f>
        <v>1</v>
      </c>
      <c r="W200" s="1" t="str">
        <f>'MPIO_SFIO Table'!X216</f>
        <v>up</v>
      </c>
      <c r="X200" s="1" t="str">
        <f>'MPIO_SFIO Table'!Y203</f>
        <v>z</v>
      </c>
      <c r="Y200" s="88" t="str">
        <f>'MPIO_SFIO Table'!Z216</f>
        <v>pu</v>
      </c>
    </row>
    <row r="201" spans="1:25" x14ac:dyDescent="0.25">
      <c r="A201" s="1" t="str">
        <f>'MPIO_SFIO Table'!A217</f>
        <v>KB_COL7</v>
      </c>
      <c r="B201" s="1" t="str">
        <f>'MPIO_SFIO Table'!C217</f>
        <v>N29</v>
      </c>
      <c r="C201" s="1" t="str">
        <f>'MPIO_SFIO Table'!D217</f>
        <v>W35</v>
      </c>
      <c r="D201" s="71" t="str">
        <f>'MPIO_SFIO Table'!E217</f>
        <v>W35</v>
      </c>
      <c r="E201" s="1" t="str">
        <f>'MPIO_SFIO Table'!F217</f>
        <v>unused_KB_COL7</v>
      </c>
      <c r="F201" s="2" t="str">
        <f>'MPIO_SFIO Table'!G217</f>
        <v>GPIO-Q.07</v>
      </c>
      <c r="G201" s="1" t="str">
        <f>'MPIO_SFIO Table'!H217</f>
        <v>KBC-COL7</v>
      </c>
      <c r="H201" s="1" t="str">
        <f>'MPIO_SFIO Table'!I217</f>
        <v>INVALID</v>
      </c>
      <c r="I201" s="1" t="str">
        <f>'MPIO_SFIO Table'!J217</f>
        <v>TRACE-DATA7</v>
      </c>
      <c r="J201" s="1" t="str">
        <f>'MPIO_SFIO Table'!K217</f>
        <v>INVALID</v>
      </c>
      <c r="K201" s="2" t="str">
        <f>'MPIO_SFIO Table'!L217</f>
        <v>special</v>
      </c>
      <c r="L201" s="1" t="str">
        <f>'MPIO_SFIO Table'!M217</f>
        <v>special</v>
      </c>
      <c r="M201" s="1" t="str">
        <f>'MPIO_SFIO Table'!N217</f>
        <v>config</v>
      </c>
      <c r="N201" s="1" t="str">
        <f>'MPIO_SFIO Table'!O217</f>
        <v>reset</v>
      </c>
      <c r="O201" s="1" t="str">
        <f>'MPIO_SFIO Table'!P217</f>
        <v/>
      </c>
      <c r="P201" s="2" t="str">
        <f>'MPIO_SFIO Table'!Q217</f>
        <v>VDDIO_SYS</v>
      </c>
      <c r="Q201" s="1" t="str">
        <f>'MPIO_SFIO Table'!R217</f>
        <v>ST</v>
      </c>
      <c r="R201" s="1">
        <f>'MPIO_SFIO Table'!S217</f>
        <v>100</v>
      </c>
      <c r="S201" s="1" t="str">
        <f>'MPIO_SFIO Table'!T217</f>
        <v>aocfg2</v>
      </c>
      <c r="T201" s="2">
        <f>'MPIO_SFIO Table'!U217</f>
        <v>0</v>
      </c>
      <c r="U201" s="1">
        <f>'MPIO_SFIO Table'!V217</f>
        <v>0</v>
      </c>
      <c r="V201" s="1">
        <f>'MPIO_SFIO Table'!W217</f>
        <v>1</v>
      </c>
      <c r="W201" s="1" t="str">
        <f>'MPIO_SFIO Table'!X217</f>
        <v>up</v>
      </c>
      <c r="X201" s="1" t="str">
        <f>'MPIO_SFIO Table'!Y204</f>
        <v>T</v>
      </c>
      <c r="Y201" s="88" t="str">
        <f>'MPIO_SFIO Table'!Z217</f>
        <v>pu</v>
      </c>
    </row>
    <row r="202" spans="1:25" x14ac:dyDescent="0.25">
      <c r="A202" s="1" t="str">
        <f>'MPIO_SFIO Table'!A218</f>
        <v>KB_ROW0</v>
      </c>
      <c r="B202" s="1" t="str">
        <f>'MPIO_SFIO Table'!C218</f>
        <v>T26</v>
      </c>
      <c r="C202" s="1" t="str">
        <f>'MPIO_SFIO Table'!D218</f>
        <v>AC33</v>
      </c>
      <c r="D202" s="1" t="str">
        <f>'MPIO_SFIO Table'!E218</f>
        <v>AC33</v>
      </c>
      <c r="E202" s="1" t="str">
        <f>'MPIO_SFIO Table'!F218</f>
        <v>unused_KB_ROW0</v>
      </c>
      <c r="F202" s="2" t="str">
        <f>'MPIO_SFIO Table'!G218</f>
        <v>GPIO-R.00</v>
      </c>
      <c r="G202" s="1" t="str">
        <f>'MPIO_SFIO Table'!H218</f>
        <v>KBC-ROW0</v>
      </c>
      <c r="H202" s="1" t="str">
        <f>'MPIO_SFIO Table'!I218</f>
        <v>INVALID</v>
      </c>
      <c r="I202" s="1" t="str">
        <f>'MPIO_SFIO Table'!J218</f>
        <v>RSVD2</v>
      </c>
      <c r="J202" s="1" t="str">
        <f>'MPIO_SFIO Table'!K218</f>
        <v>RSVD3</v>
      </c>
      <c r="K202" s="2" t="str">
        <f>'MPIO_SFIO Table'!L218</f>
        <v>special</v>
      </c>
      <c r="L202" s="1" t="str">
        <f>'MPIO_SFIO Table'!M218</f>
        <v>special</v>
      </c>
      <c r="M202" s="1" t="str">
        <f>'MPIO_SFIO Table'!N218</f>
        <v>config</v>
      </c>
      <c r="N202" s="1" t="str">
        <f>'MPIO_SFIO Table'!O218</f>
        <v>reset</v>
      </c>
      <c r="O202" s="1" t="str">
        <f>'MPIO_SFIO Table'!P218</f>
        <v/>
      </c>
      <c r="P202" s="2" t="str">
        <f>'MPIO_SFIO Table'!Q218</f>
        <v>VDDIO_SYS</v>
      </c>
      <c r="Q202" s="1" t="str">
        <f>'MPIO_SFIO Table'!R218</f>
        <v>ST</v>
      </c>
      <c r="R202" s="1">
        <f>'MPIO_SFIO Table'!S218</f>
        <v>100</v>
      </c>
      <c r="S202" s="1" t="str">
        <f>'MPIO_SFIO Table'!T218</f>
        <v>aocfg1</v>
      </c>
      <c r="T202" s="2">
        <f>'MPIO_SFIO Table'!U218</f>
        <v>0</v>
      </c>
      <c r="U202" s="1">
        <f>'MPIO_SFIO Table'!V218</f>
        <v>0</v>
      </c>
      <c r="V202" s="1">
        <f>'MPIO_SFIO Table'!W218</f>
        <v>1</v>
      </c>
      <c r="W202" s="1" t="str">
        <f>'MPIO_SFIO Table'!X218</f>
        <v>down</v>
      </c>
      <c r="X202" s="1" t="str">
        <f>'MPIO_SFIO Table'!Y205</f>
        <v>pd</v>
      </c>
      <c r="Y202" s="88" t="str">
        <f>'MPIO_SFIO Table'!Z218</f>
        <v>pd</v>
      </c>
    </row>
    <row r="203" spans="1:25" x14ac:dyDescent="0.25">
      <c r="A203" s="1" t="str">
        <f>'MPIO_SFIO Table'!A219</f>
        <v>KB_ROW1</v>
      </c>
      <c r="B203" s="1" t="str">
        <f>'MPIO_SFIO Table'!C219</f>
        <v>M23</v>
      </c>
      <c r="C203" s="1" t="str">
        <f>'MPIO_SFIO Table'!D219</f>
        <v>R37</v>
      </c>
      <c r="D203" s="1" t="str">
        <f>'MPIO_SFIO Table'!E219</f>
        <v>R37</v>
      </c>
      <c r="E203" s="1" t="str">
        <f>'MPIO_SFIO Table'!F219</f>
        <v>unused_KB_ROW1</v>
      </c>
      <c r="F203" s="2" t="str">
        <f>'MPIO_SFIO Table'!G219</f>
        <v>GPIO-R.01</v>
      </c>
      <c r="G203" s="1" t="str">
        <f>'MPIO_SFIO Table'!H219</f>
        <v>KBC-ROW1</v>
      </c>
      <c r="H203" s="1" t="str">
        <f>'MPIO_SFIO Table'!I219</f>
        <v>INVALID</v>
      </c>
      <c r="I203" s="1" t="str">
        <f>'MPIO_SFIO Table'!J219</f>
        <v>RSVD2</v>
      </c>
      <c r="J203" s="1" t="str">
        <f>'MPIO_SFIO Table'!K219</f>
        <v>RSVD3</v>
      </c>
      <c r="K203" s="2" t="str">
        <f>'MPIO_SFIO Table'!L219</f>
        <v>special</v>
      </c>
      <c r="L203" s="1" t="str">
        <f>'MPIO_SFIO Table'!M219</f>
        <v>special</v>
      </c>
      <c r="M203" s="1" t="str">
        <f>'MPIO_SFIO Table'!N219</f>
        <v>config</v>
      </c>
      <c r="N203" s="1" t="str">
        <f>'MPIO_SFIO Table'!O219</f>
        <v>reset</v>
      </c>
      <c r="O203" s="1" t="str">
        <f>'MPIO_SFIO Table'!P219</f>
        <v/>
      </c>
      <c r="P203" s="2" t="str">
        <f>'MPIO_SFIO Table'!Q219</f>
        <v>VDDIO_SYS</v>
      </c>
      <c r="Q203" s="1" t="str">
        <f>'MPIO_SFIO Table'!R219</f>
        <v>ST</v>
      </c>
      <c r="R203" s="1">
        <f>'MPIO_SFIO Table'!S219</f>
        <v>100</v>
      </c>
      <c r="S203" s="1" t="str">
        <f>'MPIO_SFIO Table'!T219</f>
        <v>aocfg1</v>
      </c>
      <c r="T203" s="2">
        <f>'MPIO_SFIO Table'!U219</f>
        <v>0</v>
      </c>
      <c r="U203" s="1">
        <f>'MPIO_SFIO Table'!V219</f>
        <v>0</v>
      </c>
      <c r="V203" s="1">
        <f>'MPIO_SFIO Table'!W219</f>
        <v>1</v>
      </c>
      <c r="W203" s="1" t="str">
        <f>'MPIO_SFIO Table'!X219</f>
        <v>down</v>
      </c>
      <c r="X203" s="1" t="str">
        <f>'MPIO_SFIO Table'!Y206</f>
        <v>z</v>
      </c>
      <c r="Y203" s="88" t="str">
        <f>'MPIO_SFIO Table'!Z219</f>
        <v>pd</v>
      </c>
    </row>
    <row r="204" spans="1:25" x14ac:dyDescent="0.25">
      <c r="A204" s="1" t="str">
        <f>'MPIO_SFIO Table'!A220</f>
        <v>KB_ROW10</v>
      </c>
      <c r="B204" s="1" t="str">
        <f>'MPIO_SFIO Table'!C220</f>
        <v>R25</v>
      </c>
      <c r="C204" s="1" t="str">
        <f>'MPIO_SFIO Table'!D220</f>
        <v>AA29</v>
      </c>
      <c r="D204" s="1" t="str">
        <f>'MPIO_SFIO Table'!E220</f>
        <v>AA29</v>
      </c>
      <c r="E204" s="1" t="str">
        <f>'MPIO_SFIO Table'!F220</f>
        <v>unused_KB_ROW10</v>
      </c>
      <c r="F204" s="2" t="str">
        <f>'MPIO_SFIO Table'!G220</f>
        <v>GPIO-S.02</v>
      </c>
      <c r="G204" s="1" t="str">
        <f>'MPIO_SFIO Table'!H220</f>
        <v>KBC-ROW10</v>
      </c>
      <c r="H204" s="1" t="str">
        <f>'MPIO_SFIO Table'!I220</f>
        <v>INVALID</v>
      </c>
      <c r="I204" s="1" t="str">
        <f>'MPIO_SFIO Table'!J220</f>
        <v>SDMMC2.A-SCLK</v>
      </c>
      <c r="J204" s="1" t="str">
        <f>'MPIO_SFIO Table'!K220</f>
        <v>INVALID</v>
      </c>
      <c r="K204" s="2" t="str">
        <f>'MPIO_SFIO Table'!L220</f>
        <v>special</v>
      </c>
      <c r="L204" s="1" t="str">
        <f>'MPIO_SFIO Table'!M220</f>
        <v>special</v>
      </c>
      <c r="M204" s="1" t="str">
        <f>'MPIO_SFIO Table'!N220</f>
        <v>config</v>
      </c>
      <c r="N204" s="1" t="str">
        <f>'MPIO_SFIO Table'!O220</f>
        <v>reset</v>
      </c>
      <c r="O204" s="1">
        <f>'MPIO_SFIO Table'!P220</f>
        <v>9</v>
      </c>
      <c r="P204" s="2" t="str">
        <f>'MPIO_SFIO Table'!Q220</f>
        <v>VDDIO_SYS</v>
      </c>
      <c r="Q204" s="1" t="str">
        <f>'MPIO_SFIO Table'!R220</f>
        <v>ST</v>
      </c>
      <c r="R204" s="1">
        <f>'MPIO_SFIO Table'!S220</f>
        <v>50</v>
      </c>
      <c r="S204" s="1" t="str">
        <f>'MPIO_SFIO Table'!T220</f>
        <v>aocfg2</v>
      </c>
      <c r="T204" s="2">
        <f>'MPIO_SFIO Table'!U220</f>
        <v>0</v>
      </c>
      <c r="U204" s="1">
        <f>'MPIO_SFIO Table'!V220</f>
        <v>0</v>
      </c>
      <c r="V204" s="1">
        <f>'MPIO_SFIO Table'!W220</f>
        <v>1</v>
      </c>
      <c r="W204" s="1" t="str">
        <f>'MPIO_SFIO Table'!X220</f>
        <v>down</v>
      </c>
      <c r="X204" s="1" t="str">
        <f>'MPIO_SFIO Table'!Y207</f>
        <v>pu</v>
      </c>
      <c r="Y204" s="88" t="str">
        <f>'MPIO_SFIO Table'!Z220</f>
        <v>pd</v>
      </c>
    </row>
    <row r="205" spans="1:25" x14ac:dyDescent="0.25">
      <c r="A205" s="1" t="str">
        <f>'MPIO_SFIO Table'!A221</f>
        <v>KB_ROW11</v>
      </c>
      <c r="B205" s="1" t="str">
        <f>'MPIO_SFIO Table'!C221</f>
        <v>M27</v>
      </c>
      <c r="C205" s="1" t="str">
        <f>'MPIO_SFIO Table'!D221</f>
        <v>Y36</v>
      </c>
      <c r="D205" s="71" t="str">
        <f>'MPIO_SFIO Table'!E221</f>
        <v>Y36</v>
      </c>
      <c r="E205" s="1" t="str">
        <f>'MPIO_SFIO Table'!F221</f>
        <v>unused_KB_ROW11</v>
      </c>
      <c r="F205" s="2" t="str">
        <f>'MPIO_SFIO Table'!G221</f>
        <v>GPIO-S.03</v>
      </c>
      <c r="G205" s="1" t="str">
        <f>'MPIO_SFIO Table'!H221</f>
        <v>KBC-ROW11</v>
      </c>
      <c r="H205" s="1" t="str">
        <f>'MPIO_SFIO Table'!I221</f>
        <v>INVALID</v>
      </c>
      <c r="I205" s="1" t="str">
        <f>'MPIO_SFIO Table'!J221</f>
        <v>SDMMC2.A-CMD</v>
      </c>
      <c r="J205" s="1" t="str">
        <f>'MPIO_SFIO Table'!K221</f>
        <v>INVALID</v>
      </c>
      <c r="K205" s="2" t="str">
        <f>'MPIO_SFIO Table'!L221</f>
        <v>special</v>
      </c>
      <c r="L205" s="1" t="str">
        <f>'MPIO_SFIO Table'!M221</f>
        <v>special</v>
      </c>
      <c r="M205" s="1" t="str">
        <f>'MPIO_SFIO Table'!N221</f>
        <v>config</v>
      </c>
      <c r="N205" s="1" t="str">
        <f>'MPIO_SFIO Table'!O221</f>
        <v>reset</v>
      </c>
      <c r="O205" s="1" t="str">
        <f>'MPIO_SFIO Table'!P221</f>
        <v/>
      </c>
      <c r="P205" s="2" t="str">
        <f>'MPIO_SFIO Table'!Q221</f>
        <v>VDDIO_SYS</v>
      </c>
      <c r="Q205" s="1" t="str">
        <f>'MPIO_SFIO Table'!R221</f>
        <v>ST</v>
      </c>
      <c r="R205" s="1">
        <f>'MPIO_SFIO Table'!S221</f>
        <v>50</v>
      </c>
      <c r="S205" s="1" t="str">
        <f>'MPIO_SFIO Table'!T221</f>
        <v>aocfg2</v>
      </c>
      <c r="T205" s="2">
        <f>'MPIO_SFIO Table'!U221</f>
        <v>0</v>
      </c>
      <c r="U205" s="1">
        <f>'MPIO_SFIO Table'!V221</f>
        <v>0</v>
      </c>
      <c r="V205" s="1">
        <f>'MPIO_SFIO Table'!W221</f>
        <v>1</v>
      </c>
      <c r="W205" s="1" t="str">
        <f>'MPIO_SFIO Table'!X221</f>
        <v>down</v>
      </c>
      <c r="X205" s="1">
        <f>'MPIO_SFIO Table'!Y208</f>
        <v>0</v>
      </c>
      <c r="Y205" s="88" t="str">
        <f>'MPIO_SFIO Table'!Z221</f>
        <v>pd</v>
      </c>
    </row>
    <row r="206" spans="1:25" x14ac:dyDescent="0.25">
      <c r="A206" s="1" t="str">
        <f>'MPIO_SFIO Table'!A222</f>
        <v>KB_ROW12</v>
      </c>
      <c r="B206" s="1" t="str">
        <f>'MPIO_SFIO Table'!C222</f>
        <v>N23</v>
      </c>
      <c r="C206" s="1" t="str">
        <f>'MPIO_SFIO Table'!D222</f>
        <v>P30</v>
      </c>
      <c r="D206" s="71" t="str">
        <f>'MPIO_SFIO Table'!E222</f>
        <v>P30</v>
      </c>
      <c r="E206" s="1" t="str">
        <f>'MPIO_SFIO Table'!F222</f>
        <v>unused_KB_ROW12</v>
      </c>
      <c r="F206" s="2" t="str">
        <f>'MPIO_SFIO Table'!G222</f>
        <v>GPIO-S.04</v>
      </c>
      <c r="G206" s="1" t="str">
        <f>'MPIO_SFIO Table'!H222</f>
        <v>KBC-ROW12</v>
      </c>
      <c r="H206" s="1" t="str">
        <f>'MPIO_SFIO Table'!I222</f>
        <v>INVALID</v>
      </c>
      <c r="I206" s="1" t="str">
        <f>'MPIO_SFIO Table'!J222</f>
        <v>SDMMC2.A-DAT0</v>
      </c>
      <c r="J206" s="1" t="str">
        <f>'MPIO_SFIO Table'!K222</f>
        <v>INVALID</v>
      </c>
      <c r="K206" s="2" t="str">
        <f>'MPIO_SFIO Table'!L222</f>
        <v>special</v>
      </c>
      <c r="L206" s="1" t="str">
        <f>'MPIO_SFIO Table'!M222</f>
        <v>special</v>
      </c>
      <c r="M206" s="1" t="str">
        <f>'MPIO_SFIO Table'!N222</f>
        <v>config</v>
      </c>
      <c r="N206" s="1" t="str">
        <f>'MPIO_SFIO Table'!O222</f>
        <v>reset</v>
      </c>
      <c r="O206" s="1">
        <f>'MPIO_SFIO Table'!P222</f>
        <v>25</v>
      </c>
      <c r="P206" s="2" t="str">
        <f>'MPIO_SFIO Table'!Q222</f>
        <v>VDDIO_SYS</v>
      </c>
      <c r="Q206" s="1" t="str">
        <f>'MPIO_SFIO Table'!R222</f>
        <v>ST</v>
      </c>
      <c r="R206" s="1">
        <f>'MPIO_SFIO Table'!S222</f>
        <v>50</v>
      </c>
      <c r="S206" s="1" t="str">
        <f>'MPIO_SFIO Table'!T222</f>
        <v>aocfg2</v>
      </c>
      <c r="T206" s="2">
        <f>'MPIO_SFIO Table'!U222</f>
        <v>0</v>
      </c>
      <c r="U206" s="1">
        <f>'MPIO_SFIO Table'!V222</f>
        <v>0</v>
      </c>
      <c r="V206" s="1">
        <f>'MPIO_SFIO Table'!W222</f>
        <v>1</v>
      </c>
      <c r="W206" s="1" t="str">
        <f>'MPIO_SFIO Table'!X222</f>
        <v>down</v>
      </c>
      <c r="X206" s="1" t="str">
        <f>'MPIO_SFIO Table'!Y209</f>
        <v>pu</v>
      </c>
      <c r="Y206" s="88" t="str">
        <f>'MPIO_SFIO Table'!Z222</f>
        <v>pd</v>
      </c>
    </row>
    <row r="207" spans="1:25" x14ac:dyDescent="0.25">
      <c r="A207" s="1" t="str">
        <f>'MPIO_SFIO Table'!A223</f>
        <v>KB_ROW13</v>
      </c>
      <c r="B207" s="1" t="str">
        <f>'MPIO_SFIO Table'!C223</f>
        <v>V28</v>
      </c>
      <c r="C207" s="1" t="str">
        <f>'MPIO_SFIO Table'!D223</f>
        <v>AC29</v>
      </c>
      <c r="D207" s="71" t="str">
        <f>'MPIO_SFIO Table'!E223</f>
        <v>AC29</v>
      </c>
      <c r="E207" s="1" t="str">
        <f>'MPIO_SFIO Table'!F223</f>
        <v>unused_KB_ROW13</v>
      </c>
      <c r="F207" s="2" t="str">
        <f>'MPIO_SFIO Table'!G223</f>
        <v>GPIO-S.05</v>
      </c>
      <c r="G207" s="1" t="str">
        <f>'MPIO_SFIO Table'!H223</f>
        <v>KBC-ROW13</v>
      </c>
      <c r="H207" s="1" t="str">
        <f>'MPIO_SFIO Table'!I223</f>
        <v>INVALID</v>
      </c>
      <c r="I207" s="1" t="str">
        <f>'MPIO_SFIO Table'!J223</f>
        <v>SDMMC2.A-DAT1</v>
      </c>
      <c r="J207" s="1" t="str">
        <f>'MPIO_SFIO Table'!K223</f>
        <v>INVALID</v>
      </c>
      <c r="K207" s="2" t="str">
        <f>'MPIO_SFIO Table'!L223</f>
        <v>special</v>
      </c>
      <c r="L207" s="1" t="str">
        <f>'MPIO_SFIO Table'!M223</f>
        <v>special</v>
      </c>
      <c r="M207" s="1" t="str">
        <f>'MPIO_SFIO Table'!N223</f>
        <v>config</v>
      </c>
      <c r="N207" s="1" t="str">
        <f>'MPIO_SFIO Table'!O223</f>
        <v>reset</v>
      </c>
      <c r="O207" s="1">
        <f>'MPIO_SFIO Table'!P223</f>
        <v>26</v>
      </c>
      <c r="P207" s="2" t="str">
        <f>'MPIO_SFIO Table'!Q223</f>
        <v>VDDIO_SYS</v>
      </c>
      <c r="Q207" s="1" t="str">
        <f>'MPIO_SFIO Table'!R223</f>
        <v>ST</v>
      </c>
      <c r="R207" s="1">
        <f>'MPIO_SFIO Table'!S223</f>
        <v>50</v>
      </c>
      <c r="S207" s="1" t="str">
        <f>'MPIO_SFIO Table'!T223</f>
        <v>aocfg2</v>
      </c>
      <c r="T207" s="2">
        <f>'MPIO_SFIO Table'!U223</f>
        <v>0</v>
      </c>
      <c r="U207" s="1">
        <f>'MPIO_SFIO Table'!V223</f>
        <v>0</v>
      </c>
      <c r="V207" s="1">
        <f>'MPIO_SFIO Table'!W223</f>
        <v>1</v>
      </c>
      <c r="W207" s="1" t="str">
        <f>'MPIO_SFIO Table'!X223</f>
        <v>down</v>
      </c>
      <c r="X207" s="1" t="str">
        <f>'MPIO_SFIO Table'!Y210</f>
        <v>pu</v>
      </c>
      <c r="Y207" s="88" t="str">
        <f>'MPIO_SFIO Table'!Z223</f>
        <v>pd</v>
      </c>
    </row>
    <row r="208" spans="1:25" x14ac:dyDescent="0.25">
      <c r="A208" s="1" t="str">
        <f>'MPIO_SFIO Table'!A224</f>
        <v>KB_ROW14</v>
      </c>
      <c r="B208" s="1" t="str">
        <f>'MPIO_SFIO Table'!C224</f>
        <v>M25</v>
      </c>
      <c r="C208" s="1" t="str">
        <f>'MPIO_SFIO Table'!D224</f>
        <v>P32</v>
      </c>
      <c r="D208" s="71" t="str">
        <f>'MPIO_SFIO Table'!E224</f>
        <v>P32</v>
      </c>
      <c r="E208" s="1" t="str">
        <f>'MPIO_SFIO Table'!F224</f>
        <v>unused_KB_ROW14</v>
      </c>
      <c r="F208" s="2" t="str">
        <f>'MPIO_SFIO Table'!G224</f>
        <v>GPIO-S.06</v>
      </c>
      <c r="G208" s="1" t="str">
        <f>'MPIO_SFIO Table'!H224</f>
        <v>KBC-ROW14</v>
      </c>
      <c r="H208" s="1" t="str">
        <f>'MPIO_SFIO Table'!I224</f>
        <v>INVALID</v>
      </c>
      <c r="I208" s="1" t="str">
        <f>'MPIO_SFIO Table'!J224</f>
        <v>SDMMC2.A-DAT2</v>
      </c>
      <c r="J208" s="1" t="str">
        <f>'MPIO_SFIO Table'!K224</f>
        <v>INVALID</v>
      </c>
      <c r="K208" s="2" t="str">
        <f>'MPIO_SFIO Table'!L224</f>
        <v>special</v>
      </c>
      <c r="L208" s="1" t="str">
        <f>'MPIO_SFIO Table'!M224</f>
        <v>special</v>
      </c>
      <c r="M208" s="1" t="str">
        <f>'MPIO_SFIO Table'!N224</f>
        <v>config</v>
      </c>
      <c r="N208" s="1" t="str">
        <f>'MPIO_SFIO Table'!O224</f>
        <v>reset</v>
      </c>
      <c r="O208" s="1">
        <f>'MPIO_SFIO Table'!P224</f>
        <v>28</v>
      </c>
      <c r="P208" s="2" t="str">
        <f>'MPIO_SFIO Table'!Q224</f>
        <v>VDDIO_SYS</v>
      </c>
      <c r="Q208" s="1" t="str">
        <f>'MPIO_SFIO Table'!R224</f>
        <v>ST</v>
      </c>
      <c r="R208" s="1">
        <f>'MPIO_SFIO Table'!S224</f>
        <v>50</v>
      </c>
      <c r="S208" s="1" t="str">
        <f>'MPIO_SFIO Table'!T224</f>
        <v>aocfg2</v>
      </c>
      <c r="T208" s="2">
        <f>'MPIO_SFIO Table'!U224</f>
        <v>0</v>
      </c>
      <c r="U208" s="1">
        <f>'MPIO_SFIO Table'!V224</f>
        <v>0</v>
      </c>
      <c r="V208" s="1">
        <f>'MPIO_SFIO Table'!W224</f>
        <v>1</v>
      </c>
      <c r="W208" s="1" t="str">
        <f>'MPIO_SFIO Table'!X224</f>
        <v>down</v>
      </c>
      <c r="X208" s="1" t="str">
        <f>'MPIO_SFIO Table'!Y211</f>
        <v>pu</v>
      </c>
      <c r="Y208" s="88" t="str">
        <f>'MPIO_SFIO Table'!Z224</f>
        <v>pd</v>
      </c>
    </row>
    <row r="209" spans="1:25" x14ac:dyDescent="0.25">
      <c r="A209" s="1" t="str">
        <f>'MPIO_SFIO Table'!A225</f>
        <v>KB_ROW15</v>
      </c>
      <c r="B209" s="1" t="str">
        <f>'MPIO_SFIO Table'!C225</f>
        <v>V26</v>
      </c>
      <c r="C209" s="1" t="str">
        <f>'MPIO_SFIO Table'!D225</f>
        <v>AB30</v>
      </c>
      <c r="D209" s="71" t="str">
        <f>'MPIO_SFIO Table'!E225</f>
        <v>AB30</v>
      </c>
      <c r="E209" s="1" t="str">
        <f>'MPIO_SFIO Table'!F225</f>
        <v>unused_KB_ROW15</v>
      </c>
      <c r="F209" s="2" t="str">
        <f>'MPIO_SFIO Table'!G225</f>
        <v>GPIO-S.07</v>
      </c>
      <c r="G209" s="1" t="str">
        <f>'MPIO_SFIO Table'!H225</f>
        <v>KBC-ROW15</v>
      </c>
      <c r="H209" s="1" t="str">
        <f>'MPIO_SFIO Table'!I225</f>
        <v>INVALID</v>
      </c>
      <c r="I209" s="1" t="str">
        <f>'MPIO_SFIO Table'!J225</f>
        <v>SDMMC2.A-DAT3</v>
      </c>
      <c r="J209" s="1" t="str">
        <f>'MPIO_SFIO Table'!K225</f>
        <v>INVALID</v>
      </c>
      <c r="K209" s="2" t="str">
        <f>'MPIO_SFIO Table'!L225</f>
        <v>special</v>
      </c>
      <c r="L209" s="1" t="str">
        <f>'MPIO_SFIO Table'!M225</f>
        <v>special</v>
      </c>
      <c r="M209" s="1" t="str">
        <f>'MPIO_SFIO Table'!N225</f>
        <v>config</v>
      </c>
      <c r="N209" s="1" t="str">
        <f>'MPIO_SFIO Table'!O225</f>
        <v>reset</v>
      </c>
      <c r="O209" s="1">
        <f>'MPIO_SFIO Table'!P225</f>
        <v>29</v>
      </c>
      <c r="P209" s="2" t="str">
        <f>'MPIO_SFIO Table'!Q225</f>
        <v>VDDIO_SYS</v>
      </c>
      <c r="Q209" s="1" t="str">
        <f>'MPIO_SFIO Table'!R225</f>
        <v>ST</v>
      </c>
      <c r="R209" s="1">
        <f>'MPIO_SFIO Table'!S225</f>
        <v>50</v>
      </c>
      <c r="S209" s="1" t="str">
        <f>'MPIO_SFIO Table'!T225</f>
        <v>aocfg2</v>
      </c>
      <c r="T209" s="2">
        <f>'MPIO_SFIO Table'!U225</f>
        <v>0</v>
      </c>
      <c r="U209" s="1">
        <f>'MPIO_SFIO Table'!V225</f>
        <v>0</v>
      </c>
      <c r="V209" s="1">
        <f>'MPIO_SFIO Table'!W225</f>
        <v>1</v>
      </c>
      <c r="W209" s="1" t="str">
        <f>'MPIO_SFIO Table'!X225</f>
        <v>down</v>
      </c>
      <c r="X209" s="1" t="str">
        <f>'MPIO_SFIO Table'!Y212</f>
        <v>pu</v>
      </c>
      <c r="Y209" s="88" t="str">
        <f>'MPIO_SFIO Table'!Z225</f>
        <v>pd</v>
      </c>
    </row>
    <row r="210" spans="1:25" x14ac:dyDescent="0.25">
      <c r="A210" s="1" t="str">
        <f>'MPIO_SFIO Table'!A226</f>
        <v>KB_ROW2</v>
      </c>
      <c r="B210" s="1" t="str">
        <f>'MPIO_SFIO Table'!C226</f>
        <v>V27</v>
      </c>
      <c r="C210" s="1" t="str">
        <f>'MPIO_SFIO Table'!D226</f>
        <v>W29</v>
      </c>
      <c r="D210" s="1" t="str">
        <f>'MPIO_SFIO Table'!E226</f>
        <v>AB30</v>
      </c>
      <c r="E210" s="1" t="str">
        <f>'MPIO_SFIO Table'!F226</f>
        <v>unused_KB_ROW2</v>
      </c>
      <c r="F210" s="2" t="str">
        <f>'MPIO_SFIO Table'!G226</f>
        <v>GPIO-R.02</v>
      </c>
      <c r="G210" s="1" t="str">
        <f>'MPIO_SFIO Table'!H226</f>
        <v>KBC-ROW2</v>
      </c>
      <c r="H210" s="1" t="str">
        <f>'MPIO_SFIO Table'!I226</f>
        <v>INVALID</v>
      </c>
      <c r="I210" s="1" t="str">
        <f>'MPIO_SFIO Table'!J226</f>
        <v>RSVD2</v>
      </c>
      <c r="J210" s="1" t="str">
        <f>'MPIO_SFIO Table'!K226</f>
        <v>RSVD3</v>
      </c>
      <c r="K210" s="2" t="str">
        <f>'MPIO_SFIO Table'!L226</f>
        <v>special</v>
      </c>
      <c r="L210" s="1" t="str">
        <f>'MPIO_SFIO Table'!M226</f>
        <v>special</v>
      </c>
      <c r="M210" s="1" t="str">
        <f>'MPIO_SFIO Table'!N226</f>
        <v>config</v>
      </c>
      <c r="N210" s="1" t="str">
        <f>'MPIO_SFIO Table'!O226</f>
        <v>reset</v>
      </c>
      <c r="O210" s="1" t="str">
        <f>'MPIO_SFIO Table'!P226</f>
        <v/>
      </c>
      <c r="P210" s="2" t="str">
        <f>'MPIO_SFIO Table'!Q226</f>
        <v>VDDIO_SYS</v>
      </c>
      <c r="Q210" s="1" t="str">
        <f>'MPIO_SFIO Table'!R226</f>
        <v>ST</v>
      </c>
      <c r="R210" s="1">
        <f>'MPIO_SFIO Table'!S226</f>
        <v>100</v>
      </c>
      <c r="S210" s="1" t="str">
        <f>'MPIO_SFIO Table'!T226</f>
        <v>aocfg1</v>
      </c>
      <c r="T210" s="2">
        <f>'MPIO_SFIO Table'!U226</f>
        <v>0</v>
      </c>
      <c r="U210" s="1">
        <f>'MPIO_SFIO Table'!V226</f>
        <v>0</v>
      </c>
      <c r="V210" s="1">
        <f>'MPIO_SFIO Table'!W226</f>
        <v>1</v>
      </c>
      <c r="W210" s="1" t="str">
        <f>'MPIO_SFIO Table'!X226</f>
        <v>down</v>
      </c>
      <c r="X210" s="1" t="str">
        <f>'MPIO_SFIO Table'!Y213</f>
        <v>pu</v>
      </c>
      <c r="Y210" s="88" t="str">
        <f>'MPIO_SFIO Table'!Z226</f>
        <v>pd</v>
      </c>
    </row>
    <row r="211" spans="1:25" x14ac:dyDescent="0.25">
      <c r="A211" s="1" t="str">
        <f>'MPIO_SFIO Table'!A227</f>
        <v>KB_ROW3</v>
      </c>
      <c r="B211" s="1" t="str">
        <f>'MPIO_SFIO Table'!C227</f>
        <v>M28</v>
      </c>
      <c r="C211" s="1" t="str">
        <f>'MPIO_SFIO Table'!D227</f>
        <v>R31</v>
      </c>
      <c r="D211" s="1" t="str">
        <f>'MPIO_SFIO Table'!E227</f>
        <v>AB30</v>
      </c>
      <c r="E211" s="1" t="str">
        <f>'MPIO_SFIO Table'!F227</f>
        <v>unused_KB_ROW3</v>
      </c>
      <c r="F211" s="2" t="str">
        <f>'MPIO_SFIO Table'!G227</f>
        <v>GPIO-R.03</v>
      </c>
      <c r="G211" s="1" t="str">
        <f>'MPIO_SFIO Table'!H227</f>
        <v>KBC-ROW3</v>
      </c>
      <c r="H211" s="1" t="str">
        <f>'MPIO_SFIO Table'!I227</f>
        <v>INVALID</v>
      </c>
      <c r="I211" s="1" t="str">
        <f>'MPIO_SFIO Table'!J227</f>
        <v>RSVD2</v>
      </c>
      <c r="J211" s="1" t="str">
        <f>'MPIO_SFIO Table'!K227</f>
        <v>INVALID</v>
      </c>
      <c r="K211" s="2" t="str">
        <f>'MPIO_SFIO Table'!L227</f>
        <v>special</v>
      </c>
      <c r="L211" s="1" t="str">
        <f>'MPIO_SFIO Table'!M227</f>
        <v>special</v>
      </c>
      <c r="M211" s="1" t="str">
        <f>'MPIO_SFIO Table'!N227</f>
        <v>config</v>
      </c>
      <c r="N211" s="1" t="str">
        <f>'MPIO_SFIO Table'!O227</f>
        <v>reset</v>
      </c>
      <c r="O211" s="1" t="str">
        <f>'MPIO_SFIO Table'!P227</f>
        <v/>
      </c>
      <c r="P211" s="2" t="str">
        <f>'MPIO_SFIO Table'!Q227</f>
        <v>VDDIO_SYS</v>
      </c>
      <c r="Q211" s="1" t="str">
        <f>'MPIO_SFIO Table'!R227</f>
        <v>ST</v>
      </c>
      <c r="R211" s="1">
        <f>'MPIO_SFIO Table'!S227</f>
        <v>100</v>
      </c>
      <c r="S211" s="1" t="str">
        <f>'MPIO_SFIO Table'!T227</f>
        <v>aocfg1</v>
      </c>
      <c r="T211" s="2">
        <f>'MPIO_SFIO Table'!U227</f>
        <v>0</v>
      </c>
      <c r="U211" s="1">
        <f>'MPIO_SFIO Table'!V227</f>
        <v>0</v>
      </c>
      <c r="V211" s="1">
        <f>'MPIO_SFIO Table'!W227</f>
        <v>1</v>
      </c>
      <c r="W211" s="1" t="str">
        <f>'MPIO_SFIO Table'!X227</f>
        <v>down</v>
      </c>
      <c r="X211" s="1" t="str">
        <f>'MPIO_SFIO Table'!Y214</f>
        <v>pu</v>
      </c>
      <c r="Y211" s="88" t="str">
        <f>'MPIO_SFIO Table'!Z227</f>
        <v>pd</v>
      </c>
    </row>
    <row r="212" spans="1:25" x14ac:dyDescent="0.25">
      <c r="A212" s="1" t="str">
        <f>'MPIO_SFIO Table'!A228</f>
        <v>KB_ROW4</v>
      </c>
      <c r="B212" s="1" t="str">
        <f>'MPIO_SFIO Table'!C228</f>
        <v>N24</v>
      </c>
      <c r="C212" s="1" t="str">
        <f>'MPIO_SFIO Table'!D228</f>
        <v>U35</v>
      </c>
      <c r="D212" s="1" t="str">
        <f>'MPIO_SFIO Table'!E228</f>
        <v>AB30</v>
      </c>
      <c r="E212" s="1" t="str">
        <f>'MPIO_SFIO Table'!F228</f>
        <v>unused_KB_ROW4</v>
      </c>
      <c r="F212" s="2" t="str">
        <f>'MPIO_SFIO Table'!G228</f>
        <v>GPIO-R.04</v>
      </c>
      <c r="G212" s="1" t="str">
        <f>'MPIO_SFIO Table'!H228</f>
        <v>KBC-ROW4</v>
      </c>
      <c r="H212" s="1" t="str">
        <f>'MPIO_SFIO Table'!I228</f>
        <v>INVALID</v>
      </c>
      <c r="I212" s="1" t="str">
        <f>'MPIO_SFIO Table'!J228</f>
        <v>TRACE-CLK</v>
      </c>
      <c r="J212" s="1" t="str">
        <f>'MPIO_SFIO Table'!K228</f>
        <v>RSVD3</v>
      </c>
      <c r="K212" s="2" t="str">
        <f>'MPIO_SFIO Table'!L228</f>
        <v>special</v>
      </c>
      <c r="L212" s="1" t="str">
        <f>'MPIO_SFIO Table'!M228</f>
        <v>special</v>
      </c>
      <c r="M212" s="1" t="str">
        <f>'MPIO_SFIO Table'!N228</f>
        <v>config</v>
      </c>
      <c r="N212" s="1" t="str">
        <f>'MPIO_SFIO Table'!O228</f>
        <v>reset</v>
      </c>
      <c r="O212" s="1" t="str">
        <f>'MPIO_SFIO Table'!P228</f>
        <v/>
      </c>
      <c r="P212" s="2" t="str">
        <f>'MPIO_SFIO Table'!Q228</f>
        <v>VDDIO_SYS</v>
      </c>
      <c r="Q212" s="1" t="str">
        <f>'MPIO_SFIO Table'!R228</f>
        <v>ST</v>
      </c>
      <c r="R212" s="1">
        <f>'MPIO_SFIO Table'!S228</f>
        <v>100</v>
      </c>
      <c r="S212" s="1" t="str">
        <f>'MPIO_SFIO Table'!T228</f>
        <v>aocfg1</v>
      </c>
      <c r="T212" s="2">
        <f>'MPIO_SFIO Table'!U228</f>
        <v>0</v>
      </c>
      <c r="U212" s="1">
        <f>'MPIO_SFIO Table'!V228</f>
        <v>0</v>
      </c>
      <c r="V212" s="1">
        <f>'MPIO_SFIO Table'!W228</f>
        <v>1</v>
      </c>
      <c r="W212" s="1" t="str">
        <f>'MPIO_SFIO Table'!X228</f>
        <v>down</v>
      </c>
      <c r="X212" s="1" t="str">
        <f>'MPIO_SFIO Table'!Y215</f>
        <v>pu</v>
      </c>
      <c r="Y212" s="88" t="str">
        <f>'MPIO_SFIO Table'!Z228</f>
        <v>pd</v>
      </c>
    </row>
    <row r="213" spans="1:25" x14ac:dyDescent="0.25">
      <c r="A213" s="1" t="str">
        <f>'MPIO_SFIO Table'!A229</f>
        <v>KB_ROW5</v>
      </c>
      <c r="B213" s="1" t="str">
        <f>'MPIO_SFIO Table'!C229</f>
        <v>N30</v>
      </c>
      <c r="C213" s="1" t="str">
        <f>'MPIO_SFIO Table'!D229</f>
        <v>V34</v>
      </c>
      <c r="D213" s="1" t="str">
        <f>'MPIO_SFIO Table'!E229</f>
        <v>AB30</v>
      </c>
      <c r="E213" s="1" t="str">
        <f>'MPIO_SFIO Table'!F229</f>
        <v>unused_KB_ROW5</v>
      </c>
      <c r="F213" s="2" t="str">
        <f>'MPIO_SFIO Table'!G229</f>
        <v>GPIO-R.05</v>
      </c>
      <c r="G213" s="1" t="str">
        <f>'MPIO_SFIO Table'!H229</f>
        <v>KBC-ROW5</v>
      </c>
      <c r="H213" s="1" t="str">
        <f>'MPIO_SFIO Table'!I229</f>
        <v>INVALID</v>
      </c>
      <c r="I213" s="1" t="str">
        <f>'MPIO_SFIO Table'!J229</f>
        <v>TRACE-CTL</v>
      </c>
      <c r="J213" s="1" t="str">
        <f>'MPIO_SFIO Table'!K229</f>
        <v>OWR-PCTLZ</v>
      </c>
      <c r="K213" s="2" t="str">
        <f>'MPIO_SFIO Table'!L229</f>
        <v>special</v>
      </c>
      <c r="L213" s="1" t="str">
        <f>'MPIO_SFIO Table'!M229</f>
        <v>special</v>
      </c>
      <c r="M213" s="1" t="str">
        <f>'MPIO_SFIO Table'!N229</f>
        <v>config</v>
      </c>
      <c r="N213" s="1" t="str">
        <f>'MPIO_SFIO Table'!O229</f>
        <v>reset</v>
      </c>
      <c r="O213" s="1" t="str">
        <f>'MPIO_SFIO Table'!P229</f>
        <v/>
      </c>
      <c r="P213" s="2" t="str">
        <f>'MPIO_SFIO Table'!Q229</f>
        <v>VDDIO_SYS</v>
      </c>
      <c r="Q213" s="1" t="str">
        <f>'MPIO_SFIO Table'!R229</f>
        <v>ST</v>
      </c>
      <c r="R213" s="1">
        <f>'MPIO_SFIO Table'!S229</f>
        <v>100</v>
      </c>
      <c r="S213" s="1" t="str">
        <f>'MPIO_SFIO Table'!T229</f>
        <v>aocfg1</v>
      </c>
      <c r="T213" s="2">
        <f>'MPIO_SFIO Table'!U229</f>
        <v>0</v>
      </c>
      <c r="U213" s="1">
        <f>'MPIO_SFIO Table'!V229</f>
        <v>0</v>
      </c>
      <c r="V213" s="1">
        <f>'MPIO_SFIO Table'!W229</f>
        <v>1</v>
      </c>
      <c r="W213" s="1" t="str">
        <f>'MPIO_SFIO Table'!X229</f>
        <v>down</v>
      </c>
      <c r="X213" s="1" t="str">
        <f>'MPIO_SFIO Table'!Y216</f>
        <v>pu</v>
      </c>
      <c r="Y213" s="88" t="str">
        <f>'MPIO_SFIO Table'!Z229</f>
        <v>pd</v>
      </c>
    </row>
    <row r="214" spans="1:25" x14ac:dyDescent="0.25">
      <c r="A214" s="1" t="str">
        <f>'MPIO_SFIO Table'!A230</f>
        <v>KB_ROW6</v>
      </c>
      <c r="B214" s="1" t="str">
        <f>'MPIO_SFIO Table'!C230</f>
        <v>T24</v>
      </c>
      <c r="C214" s="1" t="str">
        <f>'MPIO_SFIO Table'!D230</f>
        <v>U33</v>
      </c>
      <c r="D214" s="1" t="str">
        <f>'MPIO_SFIO Table'!E230</f>
        <v>AB30</v>
      </c>
      <c r="E214" s="1" t="str">
        <f>'MPIO_SFIO Table'!F230</f>
        <v>unused_KB_ROW6</v>
      </c>
      <c r="F214" s="2" t="str">
        <f>'MPIO_SFIO Table'!G230</f>
        <v>GPIO-R.06</v>
      </c>
      <c r="G214" s="1" t="str">
        <f>'MPIO_SFIO Table'!H230</f>
        <v>KBC-ROW6</v>
      </c>
      <c r="H214" s="1" t="str">
        <f>'MPIO_SFIO Table'!I230</f>
        <v>INVALID</v>
      </c>
      <c r="I214" s="1" t="str">
        <f>'MPIO_SFIO Table'!J230</f>
        <v>SDMMC2.A-DAT4</v>
      </c>
      <c r="J214" s="1" t="str">
        <f>'MPIO_SFIO Table'!K230</f>
        <v>INVALID</v>
      </c>
      <c r="K214" s="2" t="str">
        <f>'MPIO_SFIO Table'!L230</f>
        <v>special</v>
      </c>
      <c r="L214" s="1" t="str">
        <f>'MPIO_SFIO Table'!M230</f>
        <v>special</v>
      </c>
      <c r="M214" s="1" t="str">
        <f>'MPIO_SFIO Table'!N230</f>
        <v>config</v>
      </c>
      <c r="N214" s="1" t="str">
        <f>'MPIO_SFIO Table'!O230</f>
        <v>reset</v>
      </c>
      <c r="O214" s="1" t="str">
        <f>'MPIO_SFIO Table'!P230</f>
        <v/>
      </c>
      <c r="P214" s="2" t="str">
        <f>'MPIO_SFIO Table'!Q230</f>
        <v>VDDIO_SYS</v>
      </c>
      <c r="Q214" s="1" t="str">
        <f>'MPIO_SFIO Table'!R230</f>
        <v>ST</v>
      </c>
      <c r="R214" s="1">
        <f>'MPIO_SFIO Table'!S230</f>
        <v>50</v>
      </c>
      <c r="S214" s="1" t="str">
        <f>'MPIO_SFIO Table'!T230</f>
        <v>aocfg1</v>
      </c>
      <c r="T214" s="2">
        <f>'MPIO_SFIO Table'!U230</f>
        <v>0</v>
      </c>
      <c r="U214" s="1">
        <f>'MPIO_SFIO Table'!V230</f>
        <v>0</v>
      </c>
      <c r="V214" s="1">
        <f>'MPIO_SFIO Table'!W230</f>
        <v>1</v>
      </c>
      <c r="W214" s="1" t="str">
        <f>'MPIO_SFIO Table'!X230</f>
        <v>down</v>
      </c>
      <c r="X214" s="1" t="str">
        <f>'MPIO_SFIO Table'!Y217</f>
        <v>pu</v>
      </c>
      <c r="Y214" s="88" t="str">
        <f>'MPIO_SFIO Table'!Z230</f>
        <v>pd</v>
      </c>
    </row>
    <row r="215" spans="1:25" s="31" customFormat="1" ht="12.95" customHeight="1" x14ac:dyDescent="0.2">
      <c r="A215" s="1" t="str">
        <f>'MPIO_SFIO Table'!A231</f>
        <v>KB_ROW7</v>
      </c>
      <c r="B215" s="1" t="str">
        <f>'MPIO_SFIO Table'!C231</f>
        <v>T25</v>
      </c>
      <c r="C215" s="1" t="str">
        <f>'MPIO_SFIO Table'!D231</f>
        <v>AE35</v>
      </c>
      <c r="D215" s="1" t="str">
        <f>'MPIO_SFIO Table'!E231</f>
        <v>AB30</v>
      </c>
      <c r="E215" s="1" t="str">
        <f>'MPIO_SFIO Table'!F231</f>
        <v>unused_KB_ROW7</v>
      </c>
      <c r="F215" s="2" t="str">
        <f>'MPIO_SFIO Table'!G231</f>
        <v>GPIO-R.07</v>
      </c>
      <c r="G215" s="1" t="str">
        <f>'MPIO_SFIO Table'!H231</f>
        <v>KBC-ROW7</v>
      </c>
      <c r="H215" s="1" t="str">
        <f>'MPIO_SFIO Table'!I231</f>
        <v>INVALID</v>
      </c>
      <c r="I215" s="1" t="str">
        <f>'MPIO_SFIO Table'!J231</f>
        <v>SDMMC2.A-DAT5</v>
      </c>
      <c r="J215" s="1" t="str">
        <f>'MPIO_SFIO Table'!K231</f>
        <v>INVALID</v>
      </c>
      <c r="K215" s="2" t="str">
        <f>'MPIO_SFIO Table'!L231</f>
        <v>special</v>
      </c>
      <c r="L215" s="1" t="str">
        <f>'MPIO_SFIO Table'!M231</f>
        <v>special</v>
      </c>
      <c r="M215" s="1" t="str">
        <f>'MPIO_SFIO Table'!N231</f>
        <v>config</v>
      </c>
      <c r="N215" s="1" t="str">
        <f>'MPIO_SFIO Table'!O231</f>
        <v>reset</v>
      </c>
      <c r="O215" s="1" t="str">
        <f>'MPIO_SFIO Table'!P231</f>
        <v/>
      </c>
      <c r="P215" s="2" t="str">
        <f>'MPIO_SFIO Table'!Q231</f>
        <v>VDDIO_SYS</v>
      </c>
      <c r="Q215" s="1" t="str">
        <f>'MPIO_SFIO Table'!R231</f>
        <v>ST</v>
      </c>
      <c r="R215" s="1">
        <f>'MPIO_SFIO Table'!S231</f>
        <v>50</v>
      </c>
      <c r="S215" s="1" t="str">
        <f>'MPIO_SFIO Table'!T231</f>
        <v>aocfg1</v>
      </c>
      <c r="T215" s="2">
        <f>'MPIO_SFIO Table'!U231</f>
        <v>0</v>
      </c>
      <c r="U215" s="1">
        <f>'MPIO_SFIO Table'!V231</f>
        <v>0</v>
      </c>
      <c r="V215" s="1">
        <f>'MPIO_SFIO Table'!W231</f>
        <v>1</v>
      </c>
      <c r="W215" s="1" t="str">
        <f>'MPIO_SFIO Table'!X231</f>
        <v>down</v>
      </c>
      <c r="X215" s="1" t="str">
        <f>'MPIO_SFIO Table'!Y218</f>
        <v>pd</v>
      </c>
      <c r="Y215" s="88" t="str">
        <f>'MPIO_SFIO Table'!Z231</f>
        <v>pd</v>
      </c>
    </row>
    <row r="216" spans="1:25" s="31" customFormat="1" ht="12.95" customHeight="1" x14ac:dyDescent="0.2">
      <c r="A216" s="1" t="str">
        <f>'MPIO_SFIO Table'!A232</f>
        <v>KB_ROW8</v>
      </c>
      <c r="B216" s="1" t="str">
        <f>'MPIO_SFIO Table'!C232</f>
        <v>R27</v>
      </c>
      <c r="C216" s="1" t="str">
        <f>'MPIO_SFIO Table'!D232</f>
        <v>AA35</v>
      </c>
      <c r="D216" s="1" t="str">
        <f>'MPIO_SFIO Table'!E232</f>
        <v>AB30</v>
      </c>
      <c r="E216" s="1" t="str">
        <f>'MPIO_SFIO Table'!F232</f>
        <v>unused_KB_ROW8</v>
      </c>
      <c r="F216" s="2" t="str">
        <f>'MPIO_SFIO Table'!G232</f>
        <v>GPIO-S.00</v>
      </c>
      <c r="G216" s="1" t="str">
        <f>'MPIO_SFIO Table'!H232</f>
        <v>KBC-ROW8</v>
      </c>
      <c r="H216" s="1" t="str">
        <f>'MPIO_SFIO Table'!I232</f>
        <v>INVALID</v>
      </c>
      <c r="I216" s="1" t="str">
        <f>'MPIO_SFIO Table'!J232</f>
        <v>SDMMC2.A-DAT6</v>
      </c>
      <c r="J216" s="1" t="str">
        <f>'MPIO_SFIO Table'!K232</f>
        <v>INVALID</v>
      </c>
      <c r="K216" s="2" t="str">
        <f>'MPIO_SFIO Table'!L232</f>
        <v>special</v>
      </c>
      <c r="L216" s="1" t="str">
        <f>'MPIO_SFIO Table'!M232</f>
        <v>special</v>
      </c>
      <c r="M216" s="1" t="str">
        <f>'MPIO_SFIO Table'!N232</f>
        <v>config</v>
      </c>
      <c r="N216" s="1" t="str">
        <f>'MPIO_SFIO Table'!O232</f>
        <v>reset</v>
      </c>
      <c r="O216" s="1">
        <f>'MPIO_SFIO Table'!P232</f>
        <v>27</v>
      </c>
      <c r="P216" s="2" t="str">
        <f>'MPIO_SFIO Table'!Q232</f>
        <v>VDDIO_SYS</v>
      </c>
      <c r="Q216" s="1" t="str">
        <f>'MPIO_SFIO Table'!R232</f>
        <v>ST</v>
      </c>
      <c r="R216" s="1">
        <f>'MPIO_SFIO Table'!S232</f>
        <v>50</v>
      </c>
      <c r="S216" s="1" t="str">
        <f>'MPIO_SFIO Table'!T232</f>
        <v>aocfg2</v>
      </c>
      <c r="T216" s="2">
        <f>'MPIO_SFIO Table'!U232</f>
        <v>0</v>
      </c>
      <c r="U216" s="1">
        <f>'MPIO_SFIO Table'!V232</f>
        <v>0</v>
      </c>
      <c r="V216" s="1">
        <f>'MPIO_SFIO Table'!W232</f>
        <v>1</v>
      </c>
      <c r="W216" s="1" t="str">
        <f>'MPIO_SFIO Table'!X232</f>
        <v>down</v>
      </c>
      <c r="X216" s="1" t="str">
        <f>'MPIO_SFIO Table'!Y219</f>
        <v>pd</v>
      </c>
      <c r="Y216" s="88" t="str">
        <f>'MPIO_SFIO Table'!Z232</f>
        <v>pd</v>
      </c>
    </row>
    <row r="217" spans="1:25" s="31" customFormat="1" ht="12.95" customHeight="1" x14ac:dyDescent="0.2">
      <c r="A217" s="1" t="str">
        <f>'MPIO_SFIO Table'!A233</f>
        <v>KB_ROW9</v>
      </c>
      <c r="B217" s="1" t="str">
        <f>'MPIO_SFIO Table'!C233</f>
        <v>M26</v>
      </c>
      <c r="C217" s="1" t="str">
        <f>'MPIO_SFIO Table'!D233</f>
        <v>AA37</v>
      </c>
      <c r="D217" s="1" t="str">
        <f>'MPIO_SFIO Table'!E233</f>
        <v>AB30</v>
      </c>
      <c r="E217" s="1" t="str">
        <f>'MPIO_SFIO Table'!F233</f>
        <v>unused_KB_ROW9</v>
      </c>
      <c r="F217" s="2" t="str">
        <f>'MPIO_SFIO Table'!G233</f>
        <v>GPIO-S.01</v>
      </c>
      <c r="G217" s="1" t="str">
        <f>'MPIO_SFIO Table'!H233</f>
        <v>KBC-ROW9</v>
      </c>
      <c r="H217" s="1" t="str">
        <f>'MPIO_SFIO Table'!I233</f>
        <v>INVALID</v>
      </c>
      <c r="I217" s="1" t="str">
        <f>'MPIO_SFIO Table'!J233</f>
        <v>SDMMC2.A-DAT7</v>
      </c>
      <c r="J217" s="1" t="str">
        <f>'MPIO_SFIO Table'!K233</f>
        <v>INVALID</v>
      </c>
      <c r="K217" s="2" t="str">
        <f>'MPIO_SFIO Table'!L233</f>
        <v>special</v>
      </c>
      <c r="L217" s="1" t="str">
        <f>'MPIO_SFIO Table'!M233</f>
        <v>special</v>
      </c>
      <c r="M217" s="1" t="str">
        <f>'MPIO_SFIO Table'!N233</f>
        <v>config</v>
      </c>
      <c r="N217" s="1" t="str">
        <f>'MPIO_SFIO Table'!O233</f>
        <v>reset</v>
      </c>
      <c r="O217" s="1" t="str">
        <f>'MPIO_SFIO Table'!P233</f>
        <v/>
      </c>
      <c r="P217" s="2" t="str">
        <f>'MPIO_SFIO Table'!Q233</f>
        <v>VDDIO_SYS</v>
      </c>
      <c r="Q217" s="1" t="str">
        <f>'MPIO_SFIO Table'!R233</f>
        <v>ST</v>
      </c>
      <c r="R217" s="1">
        <f>'MPIO_SFIO Table'!S233</f>
        <v>50</v>
      </c>
      <c r="S217" s="1" t="str">
        <f>'MPIO_SFIO Table'!T233</f>
        <v>aocfg2</v>
      </c>
      <c r="T217" s="2">
        <f>'MPIO_SFIO Table'!U233</f>
        <v>0</v>
      </c>
      <c r="U217" s="1">
        <f>'MPIO_SFIO Table'!V233</f>
        <v>0</v>
      </c>
      <c r="V217" s="1">
        <f>'MPIO_SFIO Table'!W233</f>
        <v>1</v>
      </c>
      <c r="W217" s="1" t="str">
        <f>'MPIO_SFIO Table'!X233</f>
        <v>down</v>
      </c>
      <c r="X217" s="1" t="str">
        <f>'MPIO_SFIO Table'!Y220</f>
        <v>pd</v>
      </c>
      <c r="Y217" s="88" t="str">
        <f>'MPIO_SFIO Table'!Z233</f>
        <v>pd</v>
      </c>
    </row>
    <row r="218" spans="1:25" s="31" customFormat="1" ht="12.95" customHeight="1" x14ac:dyDescent="0.2">
      <c r="A218" s="1" t="str">
        <f>'MPIO_SFIO Table'!A234</f>
        <v>OWR</v>
      </c>
      <c r="B218" s="1" t="str">
        <f>'MPIO_SFIO Table'!C234</f>
        <v>N22</v>
      </c>
      <c r="C218" s="1" t="str">
        <f>'MPIO_SFIO Table'!D234</f>
        <v>R29</v>
      </c>
      <c r="D218" s="1" t="str">
        <f>'MPIO_SFIO Table'!E234</f>
        <v>AB30</v>
      </c>
      <c r="E218" s="1" t="str">
        <f>'MPIO_SFIO Table'!F234</f>
        <v>unused_OWR</v>
      </c>
      <c r="F218" s="2">
        <f>'MPIO_SFIO Table'!G234</f>
        <v>0</v>
      </c>
      <c r="G218" s="1" t="str">
        <f>'MPIO_SFIO Table'!H234</f>
        <v>OWR-IO</v>
      </c>
      <c r="H218" s="1" t="str">
        <f>'MPIO_SFIO Table'!I234</f>
        <v>RSVD</v>
      </c>
      <c r="I218" s="1" t="str">
        <f>'MPIO_SFIO Table'!J234</f>
        <v>RSVD</v>
      </c>
      <c r="J218" s="1" t="str">
        <f>'MPIO_SFIO Table'!K234</f>
        <v>RSVD</v>
      </c>
      <c r="K218" s="2" t="str">
        <f>'MPIO_SFIO Table'!L234</f>
        <v>disabled</v>
      </c>
      <c r="L218" s="1" t="str">
        <f>'MPIO_SFIO Table'!M234</f>
        <v>special</v>
      </c>
      <c r="M218" s="1" t="str">
        <f>'MPIO_SFIO Table'!N234</f>
        <v>disabled</v>
      </c>
      <c r="N218" s="1" t="str">
        <f>'MPIO_SFIO Table'!O234</f>
        <v>reset</v>
      </c>
      <c r="O218" s="1" t="str">
        <f>'MPIO_SFIO Table'!P234</f>
        <v/>
      </c>
      <c r="P218" s="2" t="str">
        <f>'MPIO_SFIO Table'!Q234</f>
        <v>VDDIO_SYS</v>
      </c>
      <c r="Q218" s="1" t="str">
        <f>'MPIO_SFIO Table'!R234</f>
        <v>OD</v>
      </c>
      <c r="R218" s="1" t="str">
        <f>'MPIO_SFIO Table'!S234</f>
        <v>100 down</v>
      </c>
      <c r="S218" s="1" t="str">
        <f>'MPIO_SFIO Table'!T234</f>
        <v>owrcfg</v>
      </c>
      <c r="T218" s="2">
        <f>'MPIO_SFIO Table'!U234</f>
        <v>0</v>
      </c>
      <c r="U218" s="1">
        <f>'MPIO_SFIO Table'!V234</f>
        <v>0</v>
      </c>
      <c r="V218" s="1">
        <f>'MPIO_SFIO Table'!W234</f>
        <v>1</v>
      </c>
      <c r="W218" s="1" t="str">
        <f>'MPIO_SFIO Table'!X234</f>
        <v>up</v>
      </c>
      <c r="X218" s="1" t="str">
        <f>'MPIO_SFIO Table'!Y221</f>
        <v>pd</v>
      </c>
      <c r="Y218" s="88" t="str">
        <f>'MPIO_SFIO Table'!Z234</f>
        <v>z</v>
      </c>
    </row>
    <row r="219" spans="1:25" s="31" customFormat="1" ht="12.95" customHeight="1" x14ac:dyDescent="0.2">
      <c r="A219" s="1" t="str">
        <f>'MPIO_SFIO Table'!A236</f>
        <v>PWR_I2C_SCL</v>
      </c>
      <c r="B219" s="1" t="str">
        <f>'MPIO_SFIO Table'!C236</f>
        <v>M24</v>
      </c>
      <c r="C219" s="1" t="str">
        <f>'MPIO_SFIO Table'!D236</f>
        <v>V36</v>
      </c>
      <c r="D219" s="1" t="str">
        <f>'MPIO_SFIO Table'!E236</f>
        <v>AB30</v>
      </c>
      <c r="E219" s="1" t="str">
        <f>'MPIO_SFIO Table'!F236</f>
        <v>unused_PWR_I2C_SCL</v>
      </c>
      <c r="F219" s="2" t="str">
        <f>'MPIO_SFIO Table'!G236</f>
        <v>GPIO-Z.06</v>
      </c>
      <c r="G219" s="1" t="str">
        <f>'MPIO_SFIO Table'!H236</f>
        <v>I2C0-CLK</v>
      </c>
      <c r="H219" s="1" t="str">
        <f>'MPIO_SFIO Table'!I236</f>
        <v>RSVD1</v>
      </c>
      <c r="I219" s="1" t="str">
        <f>'MPIO_SFIO Table'!J236</f>
        <v>RSVD2</v>
      </c>
      <c r="J219" s="1" t="str">
        <f>'MPIO_SFIO Table'!K236</f>
        <v>RSVD3</v>
      </c>
      <c r="K219" s="2" t="str">
        <f>'MPIO_SFIO Table'!L236</f>
        <v>config</v>
      </c>
      <c r="L219" s="1" t="str">
        <f>'MPIO_SFIO Table'!M236</f>
        <v>special</v>
      </c>
      <c r="M219" s="1" t="str">
        <f>'MPIO_SFIO Table'!N236</f>
        <v>config</v>
      </c>
      <c r="N219" s="1" t="str">
        <f>'MPIO_SFIO Table'!O236</f>
        <v>reset</v>
      </c>
      <c r="O219" s="1" t="str">
        <f>'MPIO_SFIO Table'!P236</f>
        <v/>
      </c>
      <c r="P219" s="2" t="str">
        <f>'MPIO_SFIO Table'!Q236</f>
        <v>VDDIO_SYS</v>
      </c>
      <c r="Q219" s="1" t="str">
        <f>'MPIO_SFIO Table'!R236</f>
        <v>DD</v>
      </c>
      <c r="R219" s="1">
        <f>'MPIO_SFIO Table'!S236</f>
        <v>50</v>
      </c>
      <c r="S219" s="1" t="str">
        <f>'MPIO_SFIO Table'!T236</f>
        <v>aocfg1</v>
      </c>
      <c r="T219" s="2">
        <f>'MPIO_SFIO Table'!U236</f>
        <v>0</v>
      </c>
      <c r="U219" s="1">
        <f>'MPIO_SFIO Table'!V236</f>
        <v>0</v>
      </c>
      <c r="V219" s="1">
        <f>'MPIO_SFIO Table'!W236</f>
        <v>1</v>
      </c>
      <c r="W219" s="1" t="str">
        <f>'MPIO_SFIO Table'!X236</f>
        <v>none</v>
      </c>
      <c r="X219" s="1" t="str">
        <f>'MPIO_SFIO Table'!Y222</f>
        <v>pd</v>
      </c>
      <c r="Y219" s="88" t="str">
        <f>'MPIO_SFIO Table'!Z236</f>
        <v>z</v>
      </c>
    </row>
    <row r="220" spans="1:25" s="31" customFormat="1" ht="12.95" customHeight="1" x14ac:dyDescent="0.2">
      <c r="A220" s="1" t="str">
        <f>'MPIO_SFIO Table'!A237</f>
        <v>PWR_I2C_SDA</v>
      </c>
      <c r="B220" s="1" t="str">
        <f>'MPIO_SFIO Table'!C237</f>
        <v>N27</v>
      </c>
      <c r="C220" s="1" t="str">
        <f>'MPIO_SFIO Table'!D237</f>
        <v>V30</v>
      </c>
      <c r="D220" s="1" t="str">
        <f>'MPIO_SFIO Table'!E237</f>
        <v>AB30</v>
      </c>
      <c r="E220" s="1" t="str">
        <f>'MPIO_SFIO Table'!F237</f>
        <v>unused_PWR_I2C_SDA</v>
      </c>
      <c r="F220" s="2" t="str">
        <f>'MPIO_SFIO Table'!G237</f>
        <v>GPIO-Z.07</v>
      </c>
      <c r="G220" s="1" t="str">
        <f>'MPIO_SFIO Table'!H237</f>
        <v>I2C0-DAT</v>
      </c>
      <c r="H220" s="1" t="str">
        <f>'MPIO_SFIO Table'!I237</f>
        <v>RSVD1</v>
      </c>
      <c r="I220" s="1" t="str">
        <f>'MPIO_SFIO Table'!J237</f>
        <v>RSVD2</v>
      </c>
      <c r="J220" s="1" t="str">
        <f>'MPIO_SFIO Table'!K237</f>
        <v>RSVD3</v>
      </c>
      <c r="K220" s="2" t="str">
        <f>'MPIO_SFIO Table'!L237</f>
        <v>config</v>
      </c>
      <c r="L220" s="1" t="str">
        <f>'MPIO_SFIO Table'!M237</f>
        <v>special</v>
      </c>
      <c r="M220" s="1" t="str">
        <f>'MPIO_SFIO Table'!N237</f>
        <v>config</v>
      </c>
      <c r="N220" s="1" t="str">
        <f>'MPIO_SFIO Table'!O237</f>
        <v>reset</v>
      </c>
      <c r="O220" s="1" t="str">
        <f>'MPIO_SFIO Table'!P237</f>
        <v/>
      </c>
      <c r="P220" s="2" t="str">
        <f>'MPIO_SFIO Table'!Q237</f>
        <v>VDDIO_SYS</v>
      </c>
      <c r="Q220" s="1" t="str">
        <f>'MPIO_SFIO Table'!R237</f>
        <v>DD</v>
      </c>
      <c r="R220" s="1">
        <f>'MPIO_SFIO Table'!S237</f>
        <v>50</v>
      </c>
      <c r="S220" s="1" t="str">
        <f>'MPIO_SFIO Table'!T237</f>
        <v>aocfg1</v>
      </c>
      <c r="T220" s="2">
        <f>'MPIO_SFIO Table'!U237</f>
        <v>0</v>
      </c>
      <c r="U220" s="1">
        <f>'MPIO_SFIO Table'!V237</f>
        <v>0</v>
      </c>
      <c r="V220" s="1">
        <f>'MPIO_SFIO Table'!W237</f>
        <v>1</v>
      </c>
      <c r="W220" s="1" t="str">
        <f>'MPIO_SFIO Table'!X237</f>
        <v>none</v>
      </c>
      <c r="X220" s="1" t="str">
        <f>'MPIO_SFIO Table'!Y223</f>
        <v>pd</v>
      </c>
      <c r="Y220" s="88" t="str">
        <f>'MPIO_SFIO Table'!Z237</f>
        <v>z</v>
      </c>
    </row>
    <row r="221" spans="1:25" s="7" customFormat="1" ht="12.95" customHeight="1" x14ac:dyDescent="0.2">
      <c r="A221" s="1" t="str">
        <f>'MPIO_SFIO Table'!A238</f>
        <v>SYS_CLK_REQ</v>
      </c>
      <c r="B221" s="1" t="str">
        <f>'MPIO_SFIO Table'!C238</f>
        <v>T23</v>
      </c>
      <c r="C221" s="1" t="str">
        <f>'MPIO_SFIO Table'!D238</f>
        <v>W27</v>
      </c>
      <c r="D221" s="1" t="str">
        <f>'MPIO_SFIO Table'!E238</f>
        <v>AB30</v>
      </c>
      <c r="E221" s="1" t="str">
        <f>'MPIO_SFIO Table'!F238</f>
        <v>unused_SYS_CLK_REQ</v>
      </c>
      <c r="F221" s="2" t="str">
        <f>'MPIO_SFIO Table'!G238</f>
        <v>GPIO-Z.05</v>
      </c>
      <c r="G221" s="1" t="str">
        <f>'MPIO_SFIO Table'!H238</f>
        <v>PMC-SYS_CLK_REQ</v>
      </c>
      <c r="H221" s="1" t="str">
        <f>'MPIO_SFIO Table'!I238</f>
        <v xml:space="preserve">RSVD1 </v>
      </c>
      <c r="I221" s="1" t="str">
        <f>'MPIO_SFIO Table'!J238</f>
        <v>RSVD2</v>
      </c>
      <c r="J221" s="1" t="str">
        <f>'MPIO_SFIO Table'!K238</f>
        <v>RSVD3</v>
      </c>
      <c r="K221" s="2" t="str">
        <f>'MPIO_SFIO Table'!L238</f>
        <v>special</v>
      </c>
      <c r="L221" s="1" t="str">
        <f>'MPIO_SFIO Table'!M238</f>
        <v>special</v>
      </c>
      <c r="M221" s="1" t="str">
        <f>'MPIO_SFIO Table'!N238</f>
        <v>config</v>
      </c>
      <c r="N221" s="1" t="str">
        <f>'MPIO_SFIO Table'!O238</f>
        <v>reset</v>
      </c>
      <c r="O221" s="1" t="str">
        <f>'MPIO_SFIO Table'!P238</f>
        <v/>
      </c>
      <c r="P221" s="2" t="str">
        <f>'MPIO_SFIO Table'!Q238</f>
        <v>VDDIO_SYS</v>
      </c>
      <c r="Q221" s="1" t="str">
        <f>'MPIO_SFIO Table'!R238</f>
        <v>ST</v>
      </c>
      <c r="R221" s="1">
        <f>'MPIO_SFIO Table'!S238</f>
        <v>100</v>
      </c>
      <c r="S221" s="1" t="str">
        <f>'MPIO_SFIO Table'!T238</f>
        <v>aocfg2</v>
      </c>
      <c r="T221" s="2">
        <f>'MPIO_SFIO Table'!U238</f>
        <v>0</v>
      </c>
      <c r="U221" s="1">
        <f>'MPIO_SFIO Table'!V238</f>
        <v>0</v>
      </c>
      <c r="V221" s="1">
        <f>'MPIO_SFIO Table'!W238</f>
        <v>1</v>
      </c>
      <c r="W221" s="1" t="str">
        <f>'MPIO_SFIO Table'!X238</f>
        <v>none</v>
      </c>
      <c r="X221" s="1" t="str">
        <f>'MPIO_SFIO Table'!Y224</f>
        <v>pd</v>
      </c>
      <c r="Y221" s="88" t="str">
        <f>'MPIO_SFIO Table'!Z238</f>
        <v>z</v>
      </c>
    </row>
    <row r="222" spans="1:25" ht="15.75" x14ac:dyDescent="0.25">
      <c r="A222" s="32" t="str">
        <f>'MPIO_SFIO Table'!A241</f>
        <v>UART</v>
      </c>
      <c r="B222" s="32"/>
      <c r="C222" s="32"/>
      <c r="D222" s="32"/>
      <c r="E222" s="32"/>
      <c r="F222" s="33"/>
      <c r="G222" s="32"/>
      <c r="H222" s="32"/>
      <c r="I222" s="32"/>
      <c r="J222" s="32"/>
      <c r="K222" s="33"/>
      <c r="L222" s="32"/>
      <c r="M222" s="32"/>
      <c r="N222" s="32"/>
      <c r="O222" s="32"/>
      <c r="P222" s="33"/>
      <c r="Q222" s="32"/>
      <c r="R222" s="32"/>
      <c r="S222" s="32"/>
      <c r="T222" s="34"/>
      <c r="U222" s="35"/>
      <c r="V222" s="35"/>
      <c r="W222" s="35"/>
      <c r="X222" s="35"/>
      <c r="Y222" s="87"/>
    </row>
    <row r="223" spans="1:25" x14ac:dyDescent="0.25">
      <c r="A223" s="1" t="str">
        <f>'MPIO_SFIO Table'!A242</f>
        <v>CLK3_OUT</v>
      </c>
      <c r="B223" s="1" t="str">
        <f>'MPIO_SFIO Table'!C242</f>
        <v>Y27</v>
      </c>
      <c r="C223" s="1" t="str">
        <f>'MPIO_SFIO Table'!D242</f>
        <v>AH32</v>
      </c>
      <c r="D223" s="1" t="str">
        <f>'MPIO_SFIO Table'!E242</f>
        <v>AH32</v>
      </c>
      <c r="E223" s="1" t="str">
        <f>'MPIO_SFIO Table'!F242</f>
        <v>unused_CLK3_OUT</v>
      </c>
      <c r="F223" s="2" t="str">
        <f>'MPIO_SFIO Table'!G242</f>
        <v>GPIO-EE.00</v>
      </c>
      <c r="G223" s="1" t="str">
        <f>'MPIO_SFIO Table'!H242</f>
        <v>CLK-EXTCLK3</v>
      </c>
      <c r="H223" s="1" t="str">
        <f>'MPIO_SFIO Table'!I242</f>
        <v>RSVD1</v>
      </c>
      <c r="I223" s="1" t="str">
        <f>'MPIO_SFIO Table'!J242</f>
        <v>RSVD2</v>
      </c>
      <c r="J223" s="1" t="str">
        <f>'MPIO_SFIO Table'!K242</f>
        <v>RSVD3</v>
      </c>
      <c r="K223" s="2" t="str">
        <f>'MPIO_SFIO Table'!L242</f>
        <v>special</v>
      </c>
      <c r="L223" s="1" t="str">
        <f>'MPIO_SFIO Table'!M242</f>
        <v>special</v>
      </c>
      <c r="M223" s="1" t="str">
        <f>'MPIO_SFIO Table'!N242</f>
        <v>config</v>
      </c>
      <c r="N223" s="1" t="str">
        <f>'MPIO_SFIO Table'!O242</f>
        <v>reset</v>
      </c>
      <c r="O223" s="1" t="str">
        <f>'MPIO_SFIO Table'!P242</f>
        <v/>
      </c>
      <c r="P223" s="2" t="str">
        <f>'MPIO_SFIO Table'!Q242</f>
        <v>VDDIO_UART</v>
      </c>
      <c r="Q223" s="1" t="str">
        <f>'MPIO_SFIO Table'!R242</f>
        <v>ST</v>
      </c>
      <c r="R223" s="1">
        <f>'MPIO_SFIO Table'!S242</f>
        <v>100</v>
      </c>
      <c r="S223" s="1" t="str">
        <f>'MPIO_SFIO Table'!T242</f>
        <v>dev3cfg</v>
      </c>
      <c r="T223" s="2">
        <f>'MPIO_SFIO Table'!U242</f>
        <v>0</v>
      </c>
      <c r="U223" s="1">
        <f>'MPIO_SFIO Table'!V242</f>
        <v>0</v>
      </c>
      <c r="V223" s="1">
        <f>'MPIO_SFIO Table'!W242</f>
        <v>1</v>
      </c>
      <c r="W223" s="1" t="str">
        <f>'MPIO_SFIO Table'!X242</f>
        <v>none</v>
      </c>
      <c r="X223" s="1" t="str">
        <f>'MPIO_SFIO Table'!Y226</f>
        <v>pd</v>
      </c>
      <c r="Y223" s="88" t="str">
        <f>'MPIO_SFIO Table'!Z242</f>
        <v>0</v>
      </c>
    </row>
    <row r="224" spans="1:25" x14ac:dyDescent="0.25">
      <c r="A224" s="1" t="str">
        <f>'MPIO_SFIO Table'!A243</f>
        <v>CLK3_REQ</v>
      </c>
      <c r="B224" s="1" t="str">
        <f>'MPIO_SFIO Table'!C243</f>
        <v>W24</v>
      </c>
      <c r="C224" s="1" t="str">
        <f>'MPIO_SFIO Table'!D243</f>
        <v>AF32</v>
      </c>
      <c r="D224" s="1" t="str">
        <f>'MPIO_SFIO Table'!E243</f>
        <v>AF32</v>
      </c>
      <c r="E224" s="1" t="str">
        <f>'MPIO_SFIO Table'!F243</f>
        <v>unused_CLK3_REQ</v>
      </c>
      <c r="F224" s="2" t="str">
        <f>'MPIO_SFIO Table'!G243</f>
        <v>GPIO-EE.01</v>
      </c>
      <c r="G224" s="1" t="str">
        <f>'MPIO_SFIO Table'!H243</f>
        <v>CLK-EXTREQ3</v>
      </c>
      <c r="H224" s="1" t="str">
        <f>'MPIO_SFIO Table'!I243</f>
        <v>RSVD1</v>
      </c>
      <c r="I224" s="1" t="str">
        <f>'MPIO_SFIO Table'!J243</f>
        <v>RSVD2</v>
      </c>
      <c r="J224" s="1" t="str">
        <f>'MPIO_SFIO Table'!K243</f>
        <v>RSVD3</v>
      </c>
      <c r="K224" s="2" t="str">
        <f>'MPIO_SFIO Table'!L243</f>
        <v>config</v>
      </c>
      <c r="L224" s="1" t="str">
        <f>'MPIO_SFIO Table'!M243</f>
        <v>special</v>
      </c>
      <c r="M224" s="1" t="str">
        <f>'MPIO_SFIO Table'!N243</f>
        <v>config</v>
      </c>
      <c r="N224" s="1" t="str">
        <f>'MPIO_SFIO Table'!O243</f>
        <v>reset</v>
      </c>
      <c r="O224" s="1" t="str">
        <f>'MPIO_SFIO Table'!P243</f>
        <v/>
      </c>
      <c r="P224" s="2" t="str">
        <f>'MPIO_SFIO Table'!Q243</f>
        <v>VDDIO_UART</v>
      </c>
      <c r="Q224" s="1" t="str">
        <f>'MPIO_SFIO Table'!R243</f>
        <v>ST</v>
      </c>
      <c r="R224" s="1">
        <f>'MPIO_SFIO Table'!S243</f>
        <v>100</v>
      </c>
      <c r="S224" s="1" t="str">
        <f>'MPIO_SFIO Table'!T243</f>
        <v>dev3cfg</v>
      </c>
      <c r="T224" s="2">
        <f>'MPIO_SFIO Table'!U243</f>
        <v>0</v>
      </c>
      <c r="U224" s="1">
        <f>'MPIO_SFIO Table'!V243</f>
        <v>0</v>
      </c>
      <c r="V224" s="1">
        <f>'MPIO_SFIO Table'!W243</f>
        <v>1</v>
      </c>
      <c r="W224" s="1" t="str">
        <f>'MPIO_SFIO Table'!X243</f>
        <v>none</v>
      </c>
      <c r="X224" s="1" t="str">
        <f>'MPIO_SFIO Table'!Y227</f>
        <v>pd</v>
      </c>
      <c r="Y224" s="88" t="str">
        <f>'MPIO_SFIO Table'!Z243</f>
        <v>z</v>
      </c>
    </row>
    <row r="225" spans="1:25" x14ac:dyDescent="0.25">
      <c r="A225" s="1" t="str">
        <f>'MPIO_SFIO Table'!A244</f>
        <v>DAP4_DIN</v>
      </c>
      <c r="B225" s="1" t="str">
        <f>'MPIO_SFIO Table'!C244</f>
        <v>AA29</v>
      </c>
      <c r="C225" s="1" t="str">
        <f>'MPIO_SFIO Table'!D244</f>
        <v>AF34</v>
      </c>
      <c r="D225" s="1" t="str">
        <f>'MPIO_SFIO Table'!E244</f>
        <v>AF34</v>
      </c>
      <c r="E225" s="1" t="str">
        <f>'MPIO_SFIO Table'!F244</f>
        <v>unused_DAP4_DIN</v>
      </c>
      <c r="F225" s="2" t="str">
        <f>'MPIO_SFIO Table'!G244</f>
        <v>GPIO-P.05</v>
      </c>
      <c r="G225" s="1" t="str">
        <f>'MPIO_SFIO Table'!H244</f>
        <v>I2S3-SDATA_IN</v>
      </c>
      <c r="H225" s="1" t="str">
        <f>'MPIO_SFIO Table'!I244</f>
        <v>RSVD1</v>
      </c>
      <c r="I225" s="1" t="str">
        <f>'MPIO_SFIO Table'!J244</f>
        <v>GMI-A14</v>
      </c>
      <c r="J225" s="1" t="str">
        <f>'MPIO_SFIO Table'!K244</f>
        <v>RSVD2</v>
      </c>
      <c r="K225" s="2" t="str">
        <f>'MPIO_SFIO Table'!L244</f>
        <v>config</v>
      </c>
      <c r="L225" s="1" t="str">
        <f>'MPIO_SFIO Table'!M244</f>
        <v>disabled</v>
      </c>
      <c r="M225" s="1" t="str">
        <f>'MPIO_SFIO Table'!N244</f>
        <v>disabled</v>
      </c>
      <c r="N225" s="1" t="str">
        <f>'MPIO_SFIO Table'!O244</f>
        <v>hold</v>
      </c>
      <c r="O225" s="1" t="str">
        <f>'MPIO_SFIO Table'!P244</f>
        <v/>
      </c>
      <c r="P225" s="2" t="str">
        <f>'MPIO_SFIO Table'!Q244</f>
        <v>VDDIO_UART</v>
      </c>
      <c r="Q225" s="1" t="str">
        <f>'MPIO_SFIO Table'!R244</f>
        <v>ST</v>
      </c>
      <c r="R225" s="1">
        <f>'MPIO_SFIO Table'!S244</f>
        <v>100</v>
      </c>
      <c r="S225" s="1" t="str">
        <f>'MPIO_SFIO Table'!T244</f>
        <v>dap4cfg</v>
      </c>
      <c r="T225" s="2">
        <f>'MPIO_SFIO Table'!U244</f>
        <v>0</v>
      </c>
      <c r="U225" s="1">
        <f>'MPIO_SFIO Table'!V244</f>
        <v>1</v>
      </c>
      <c r="V225" s="1">
        <f>'MPIO_SFIO Table'!W244</f>
        <v>1</v>
      </c>
      <c r="W225" s="1" t="str">
        <f>'MPIO_SFIO Table'!X244</f>
        <v>down</v>
      </c>
      <c r="X225" s="1" t="str">
        <f>'MPIO_SFIO Table'!Y228</f>
        <v>pd</v>
      </c>
      <c r="Y225" s="88" t="str">
        <f>'MPIO_SFIO Table'!Z244</f>
        <v>pd</v>
      </c>
    </row>
    <row r="226" spans="1:25" x14ac:dyDescent="0.25">
      <c r="A226" s="1" t="str">
        <f>'MPIO_SFIO Table'!A245</f>
        <v>DAP4_DOUT</v>
      </c>
      <c r="B226" s="1" t="str">
        <f>'MPIO_SFIO Table'!C245</f>
        <v>W28</v>
      </c>
      <c r="C226" s="1" t="str">
        <f>'MPIO_SFIO Table'!D245</f>
        <v>AG35</v>
      </c>
      <c r="D226" s="1" t="str">
        <f>'MPIO_SFIO Table'!E245</f>
        <v>AG35</v>
      </c>
      <c r="E226" s="1" t="str">
        <f>'MPIO_SFIO Table'!F245</f>
        <v>unused_DAP4_DOUT</v>
      </c>
      <c r="F226" s="2" t="str">
        <f>'MPIO_SFIO Table'!G245</f>
        <v>GPIO-P.06</v>
      </c>
      <c r="G226" s="1" t="str">
        <f>'MPIO_SFIO Table'!H245</f>
        <v>I2S3-SDATA_OUT</v>
      </c>
      <c r="H226" s="1" t="str">
        <f>'MPIO_SFIO Table'!I245</f>
        <v>RSVD1</v>
      </c>
      <c r="I226" s="1" t="str">
        <f>'MPIO_SFIO Table'!J245</f>
        <v>GMI-A15</v>
      </c>
      <c r="J226" s="1" t="str">
        <f>'MPIO_SFIO Table'!K245</f>
        <v>RSVD2</v>
      </c>
      <c r="K226" s="2" t="str">
        <f>'MPIO_SFIO Table'!L245</f>
        <v>config</v>
      </c>
      <c r="L226" s="1" t="str">
        <f>'MPIO_SFIO Table'!M245</f>
        <v>disabled</v>
      </c>
      <c r="M226" s="1" t="str">
        <f>'MPIO_SFIO Table'!N245</f>
        <v>disabled</v>
      </c>
      <c r="N226" s="1" t="str">
        <f>'MPIO_SFIO Table'!O245</f>
        <v>hold</v>
      </c>
      <c r="O226" s="1" t="str">
        <f>'MPIO_SFIO Table'!P245</f>
        <v/>
      </c>
      <c r="P226" s="2" t="str">
        <f>'MPIO_SFIO Table'!Q245</f>
        <v>VDDIO_UART</v>
      </c>
      <c r="Q226" s="1" t="str">
        <f>'MPIO_SFIO Table'!R245</f>
        <v>ST</v>
      </c>
      <c r="R226" s="1">
        <f>'MPIO_SFIO Table'!S245</f>
        <v>100</v>
      </c>
      <c r="S226" s="1" t="str">
        <f>'MPIO_SFIO Table'!T245</f>
        <v>dap4cfg</v>
      </c>
      <c r="T226" s="2">
        <f>'MPIO_SFIO Table'!U245</f>
        <v>0</v>
      </c>
      <c r="U226" s="1">
        <f>'MPIO_SFIO Table'!V245</f>
        <v>1</v>
      </c>
      <c r="V226" s="1">
        <f>'MPIO_SFIO Table'!W245</f>
        <v>1</v>
      </c>
      <c r="W226" s="1" t="str">
        <f>'MPIO_SFIO Table'!X245</f>
        <v>down</v>
      </c>
      <c r="X226" s="1" t="str">
        <f>'MPIO_SFIO Table'!Y229</f>
        <v>pd</v>
      </c>
      <c r="Y226" s="88" t="str">
        <f>'MPIO_SFIO Table'!Z245</f>
        <v>pd</v>
      </c>
    </row>
    <row r="227" spans="1:25" x14ac:dyDescent="0.25">
      <c r="A227" s="1" t="str">
        <f>'MPIO_SFIO Table'!A246</f>
        <v>DAP4_FS</v>
      </c>
      <c r="B227" s="1" t="str">
        <f>'MPIO_SFIO Table'!C246</f>
        <v>AA24</v>
      </c>
      <c r="C227" s="1" t="str">
        <f>'MPIO_SFIO Table'!D246</f>
        <v>AF28</v>
      </c>
      <c r="D227" s="1" t="str">
        <f>'MPIO_SFIO Table'!E246</f>
        <v>AF28</v>
      </c>
      <c r="E227" s="1" t="str">
        <f>'MPIO_SFIO Table'!F246</f>
        <v>unused_DAP4_FS</v>
      </c>
      <c r="F227" s="2" t="str">
        <f>'MPIO_SFIO Table'!G246</f>
        <v>GPIO-P.04</v>
      </c>
      <c r="G227" s="1" t="str">
        <f>'MPIO_SFIO Table'!H246</f>
        <v>I2S3-LRCK</v>
      </c>
      <c r="H227" s="1" t="str">
        <f>'MPIO_SFIO Table'!I246</f>
        <v>RSVD1</v>
      </c>
      <c r="I227" s="1" t="str">
        <f>'MPIO_SFIO Table'!J246</f>
        <v>GMI-A13</v>
      </c>
      <c r="J227" s="1" t="str">
        <f>'MPIO_SFIO Table'!K246</f>
        <v>RSVD2</v>
      </c>
      <c r="K227" s="2" t="str">
        <f>'MPIO_SFIO Table'!L246</f>
        <v>config</v>
      </c>
      <c r="L227" s="1" t="str">
        <f>'MPIO_SFIO Table'!M246</f>
        <v>disabled</v>
      </c>
      <c r="M227" s="1" t="str">
        <f>'MPIO_SFIO Table'!N246</f>
        <v>disabled</v>
      </c>
      <c r="N227" s="1" t="str">
        <f>'MPIO_SFIO Table'!O246</f>
        <v>hold</v>
      </c>
      <c r="O227" s="1" t="str">
        <f>'MPIO_SFIO Table'!P246</f>
        <v/>
      </c>
      <c r="P227" s="2" t="str">
        <f>'MPIO_SFIO Table'!Q246</f>
        <v>VDDIO_UART</v>
      </c>
      <c r="Q227" s="1" t="str">
        <f>'MPIO_SFIO Table'!R246</f>
        <v>ST</v>
      </c>
      <c r="R227" s="1">
        <f>'MPIO_SFIO Table'!S246</f>
        <v>100</v>
      </c>
      <c r="S227" s="1" t="str">
        <f>'MPIO_SFIO Table'!T246</f>
        <v>dap4cfg</v>
      </c>
      <c r="T227" s="2">
        <f>'MPIO_SFIO Table'!U246</f>
        <v>0</v>
      </c>
      <c r="U227" s="1">
        <f>'MPIO_SFIO Table'!V246</f>
        <v>1</v>
      </c>
      <c r="V227" s="1">
        <f>'MPIO_SFIO Table'!W246</f>
        <v>1</v>
      </c>
      <c r="W227" s="1" t="str">
        <f>'MPIO_SFIO Table'!X246</f>
        <v>down</v>
      </c>
      <c r="X227" s="1" t="str">
        <f>'MPIO_SFIO Table'!Y230</f>
        <v>pd</v>
      </c>
      <c r="Y227" s="88" t="str">
        <f>'MPIO_SFIO Table'!Z246</f>
        <v>pd</v>
      </c>
    </row>
    <row r="228" spans="1:25" x14ac:dyDescent="0.25">
      <c r="A228" s="1" t="str">
        <f>'MPIO_SFIO Table'!A247</f>
        <v>DAP4_SCLK</v>
      </c>
      <c r="B228" s="1" t="str">
        <f>'MPIO_SFIO Table'!C247</f>
        <v>AA26</v>
      </c>
      <c r="C228" s="1" t="str">
        <f>'MPIO_SFIO Table'!D247</f>
        <v>AL35</v>
      </c>
      <c r="D228" s="1" t="str">
        <f>'MPIO_SFIO Table'!E247</f>
        <v>AL35</v>
      </c>
      <c r="E228" s="1" t="str">
        <f>'MPIO_SFIO Table'!F247</f>
        <v>unused_DAP4_SCLK</v>
      </c>
      <c r="F228" s="2" t="str">
        <f>'MPIO_SFIO Table'!G247</f>
        <v>GPIO-P.07</v>
      </c>
      <c r="G228" s="1" t="str">
        <f>'MPIO_SFIO Table'!H247</f>
        <v>I2S3-SCLK</v>
      </c>
      <c r="H228" s="1" t="str">
        <f>'MPIO_SFIO Table'!I247</f>
        <v>RSVD1</v>
      </c>
      <c r="I228" s="1" t="str">
        <f>'MPIO_SFIO Table'!J247</f>
        <v>GMI-A16</v>
      </c>
      <c r="J228" s="1" t="str">
        <f>'MPIO_SFIO Table'!K247</f>
        <v>RSVD2</v>
      </c>
      <c r="K228" s="2" t="str">
        <f>'MPIO_SFIO Table'!L247</f>
        <v>config</v>
      </c>
      <c r="L228" s="1" t="str">
        <f>'MPIO_SFIO Table'!M247</f>
        <v>disabled</v>
      </c>
      <c r="M228" s="1" t="str">
        <f>'MPIO_SFIO Table'!N247</f>
        <v>disabled</v>
      </c>
      <c r="N228" s="1" t="str">
        <f>'MPIO_SFIO Table'!O247</f>
        <v>hold</v>
      </c>
      <c r="O228" s="1" t="str">
        <f>'MPIO_SFIO Table'!P247</f>
        <v/>
      </c>
      <c r="P228" s="2" t="str">
        <f>'MPIO_SFIO Table'!Q247</f>
        <v>VDDIO_UART</v>
      </c>
      <c r="Q228" s="1" t="str">
        <f>'MPIO_SFIO Table'!R247</f>
        <v>ST</v>
      </c>
      <c r="R228" s="1">
        <f>'MPIO_SFIO Table'!S247</f>
        <v>100</v>
      </c>
      <c r="S228" s="1" t="str">
        <f>'MPIO_SFIO Table'!T247</f>
        <v>dap4cfg</v>
      </c>
      <c r="T228" s="2">
        <f>'MPIO_SFIO Table'!U247</f>
        <v>0</v>
      </c>
      <c r="U228" s="1">
        <f>'MPIO_SFIO Table'!V247</f>
        <v>1</v>
      </c>
      <c r="V228" s="1">
        <f>'MPIO_SFIO Table'!W247</f>
        <v>1</v>
      </c>
      <c r="W228" s="1" t="str">
        <f>'MPIO_SFIO Table'!X247</f>
        <v>down</v>
      </c>
      <c r="X228" s="1" t="str">
        <f>'MPIO_SFIO Table'!Y231</f>
        <v>pd</v>
      </c>
      <c r="Y228" s="88" t="str">
        <f>'MPIO_SFIO Table'!Z247</f>
        <v>pd</v>
      </c>
    </row>
    <row r="229" spans="1:25" x14ac:dyDescent="0.25">
      <c r="A229" s="1" t="str">
        <f>'MPIO_SFIO Table'!A248</f>
        <v>GEN1_I2C_SCL</v>
      </c>
      <c r="B229" s="1" t="str">
        <f>'MPIO_SFIO Table'!C248</f>
        <v>AB25</v>
      </c>
      <c r="C229" s="1" t="str">
        <f>'MPIO_SFIO Table'!D248</f>
        <v>AH30</v>
      </c>
      <c r="D229" s="1" t="str">
        <f>'MPIO_SFIO Table'!E248</f>
        <v>AH30</v>
      </c>
      <c r="E229" s="1" t="str">
        <f>'MPIO_SFIO Table'!F248</f>
        <v>unused_GEN1_I2C_SCL</v>
      </c>
      <c r="F229" s="2" t="str">
        <f>'MPIO_SFIO Table'!G248</f>
        <v>GPIO-C.04</v>
      </c>
      <c r="G229" s="1" t="str">
        <f>'MPIO_SFIO Table'!H248</f>
        <v>I2C1-CLK</v>
      </c>
      <c r="H229" s="1" t="str">
        <f>'MPIO_SFIO Table'!I248</f>
        <v>RSVD1</v>
      </c>
      <c r="I229" s="1" t="str">
        <f>'MPIO_SFIO Table'!J248</f>
        <v>RSVD2</v>
      </c>
      <c r="J229" s="1" t="str">
        <f>'MPIO_SFIO Table'!K248</f>
        <v>RSVD3</v>
      </c>
      <c r="K229" s="2" t="str">
        <f>'MPIO_SFIO Table'!L248</f>
        <v>config</v>
      </c>
      <c r="L229" s="1" t="str">
        <f>'MPIO_SFIO Table'!M248</f>
        <v>special</v>
      </c>
      <c r="M229" s="1" t="str">
        <f>'MPIO_SFIO Table'!N248</f>
        <v>config</v>
      </c>
      <c r="N229" s="1" t="str">
        <f>'MPIO_SFIO Table'!O248</f>
        <v>reset</v>
      </c>
      <c r="O229" s="1" t="str">
        <f>'MPIO_SFIO Table'!P248</f>
        <v/>
      </c>
      <c r="P229" s="2" t="str">
        <f>'MPIO_SFIO Table'!Q248</f>
        <v>VDDIO_UART</v>
      </c>
      <c r="Q229" s="1" t="str">
        <f>'MPIO_SFIO Table'!R248</f>
        <v>DD</v>
      </c>
      <c r="R229" s="1">
        <f>'MPIO_SFIO Table'!S248</f>
        <v>50</v>
      </c>
      <c r="S229" s="1" t="str">
        <f>'MPIO_SFIO Table'!T248</f>
        <v>dbgcfg</v>
      </c>
      <c r="T229" s="2">
        <f>'MPIO_SFIO Table'!U248</f>
        <v>0</v>
      </c>
      <c r="U229" s="1">
        <f>'MPIO_SFIO Table'!V248</f>
        <v>0</v>
      </c>
      <c r="V229" s="1">
        <f>'MPIO_SFIO Table'!W248</f>
        <v>1</v>
      </c>
      <c r="W229" s="1" t="str">
        <f>'MPIO_SFIO Table'!X248</f>
        <v>none</v>
      </c>
      <c r="X229" s="1" t="str">
        <f>'MPIO_SFIO Table'!Y232</f>
        <v>pd</v>
      </c>
      <c r="Y229" s="88" t="str">
        <f>'MPIO_SFIO Table'!Z248</f>
        <v>z</v>
      </c>
    </row>
    <row r="230" spans="1:25" x14ac:dyDescent="0.25">
      <c r="A230" s="1" t="str">
        <f>'MPIO_SFIO Table'!A249</f>
        <v>GEN1_I2C_SDA</v>
      </c>
      <c r="B230" s="1" t="str">
        <f>'MPIO_SFIO Table'!C249</f>
        <v>V29</v>
      </c>
      <c r="C230" s="1" t="str">
        <f>'MPIO_SFIO Table'!D249</f>
        <v>AE29</v>
      </c>
      <c r="D230" s="1" t="str">
        <f>'MPIO_SFIO Table'!E249</f>
        <v>AE29</v>
      </c>
      <c r="E230" s="1" t="str">
        <f>'MPIO_SFIO Table'!F249</f>
        <v>unused_GEN1_I2C_SDA</v>
      </c>
      <c r="F230" s="2" t="str">
        <f>'MPIO_SFIO Table'!G249</f>
        <v>GPIO-C.05</v>
      </c>
      <c r="G230" s="1" t="str">
        <f>'MPIO_SFIO Table'!H249</f>
        <v>I2C1-DAT</v>
      </c>
      <c r="H230" s="1" t="str">
        <f>'MPIO_SFIO Table'!I249</f>
        <v>RSVD1</v>
      </c>
      <c r="I230" s="1" t="str">
        <f>'MPIO_SFIO Table'!J249</f>
        <v>RSVD2</v>
      </c>
      <c r="J230" s="1" t="str">
        <f>'MPIO_SFIO Table'!K249</f>
        <v>RSVD3</v>
      </c>
      <c r="K230" s="2" t="str">
        <f>'MPIO_SFIO Table'!L249</f>
        <v>config</v>
      </c>
      <c r="L230" s="1" t="str">
        <f>'MPIO_SFIO Table'!M249</f>
        <v>special</v>
      </c>
      <c r="M230" s="1" t="str">
        <f>'MPIO_SFIO Table'!N249</f>
        <v>config</v>
      </c>
      <c r="N230" s="1" t="str">
        <f>'MPIO_SFIO Table'!O249</f>
        <v>reset</v>
      </c>
      <c r="O230" s="1" t="str">
        <f>'MPIO_SFIO Table'!P249</f>
        <v/>
      </c>
      <c r="P230" s="2" t="str">
        <f>'MPIO_SFIO Table'!Q249</f>
        <v>VDDIO_UART</v>
      </c>
      <c r="Q230" s="1" t="str">
        <f>'MPIO_SFIO Table'!R249</f>
        <v>DD</v>
      </c>
      <c r="R230" s="1">
        <f>'MPIO_SFIO Table'!S249</f>
        <v>50</v>
      </c>
      <c r="S230" s="1" t="str">
        <f>'MPIO_SFIO Table'!T249</f>
        <v>dbgcfg</v>
      </c>
      <c r="T230" s="2">
        <f>'MPIO_SFIO Table'!U249</f>
        <v>0</v>
      </c>
      <c r="U230" s="1">
        <f>'MPIO_SFIO Table'!V249</f>
        <v>0</v>
      </c>
      <c r="V230" s="1">
        <f>'MPIO_SFIO Table'!W249</f>
        <v>1</v>
      </c>
      <c r="W230" s="1" t="str">
        <f>'MPIO_SFIO Table'!X249</f>
        <v>none</v>
      </c>
      <c r="X230" s="1" t="str">
        <f>'MPIO_SFIO Table'!Y233</f>
        <v>pd</v>
      </c>
      <c r="Y230" s="88" t="str">
        <f>'MPIO_SFIO Table'!Z249</f>
        <v>z</v>
      </c>
    </row>
    <row r="231" spans="1:25" x14ac:dyDescent="0.25">
      <c r="A231" s="1" t="str">
        <f>'MPIO_SFIO Table'!A250</f>
        <v>GPIO_PU0</v>
      </c>
      <c r="B231" s="1" t="str">
        <f>'MPIO_SFIO Table'!C250</f>
        <v>AA28</v>
      </c>
      <c r="C231" s="1" t="str">
        <f>'MPIO_SFIO Table'!D250</f>
        <v>AK34</v>
      </c>
      <c r="D231" s="1" t="str">
        <f>'MPIO_SFIO Table'!E250</f>
        <v>AK34</v>
      </c>
      <c r="E231" s="1" t="str">
        <f>'MPIO_SFIO Table'!F250</f>
        <v>unused_GPIO_PU0</v>
      </c>
      <c r="F231" s="2" t="str">
        <f>'MPIO_SFIO Table'!G250</f>
        <v>GPIO-U.00</v>
      </c>
      <c r="G231" s="1" t="str">
        <f>'MPIO_SFIO Table'!H250</f>
        <v>OWR-PCTLZ</v>
      </c>
      <c r="H231" s="1" t="str">
        <f>'MPIO_SFIO Table'!I250</f>
        <v>UART1.B-TXD</v>
      </c>
      <c r="I231" s="1" t="str">
        <f>'MPIO_SFIO Table'!J250</f>
        <v>GMI-A6</v>
      </c>
      <c r="J231" s="1" t="str">
        <f>'MPIO_SFIO Table'!K250</f>
        <v>RSVD1</v>
      </c>
      <c r="K231" s="2" t="str">
        <f>'MPIO_SFIO Table'!L250</f>
        <v>config</v>
      </c>
      <c r="L231" s="1" t="str">
        <f>'MPIO_SFIO Table'!M250</f>
        <v>disabled</v>
      </c>
      <c r="M231" s="1" t="str">
        <f>'MPIO_SFIO Table'!N250</f>
        <v>disabled</v>
      </c>
      <c r="N231" s="1" t="str">
        <f>'MPIO_SFIO Table'!O250</f>
        <v>hold</v>
      </c>
      <c r="O231" s="1" t="str">
        <f>'MPIO_SFIO Table'!P250</f>
        <v/>
      </c>
      <c r="P231" s="2" t="str">
        <f>'MPIO_SFIO Table'!Q250</f>
        <v>VDDIO_UART</v>
      </c>
      <c r="Q231" s="1" t="str">
        <f>'MPIO_SFIO Table'!R250</f>
        <v>ST</v>
      </c>
      <c r="R231" s="1">
        <f>'MPIO_SFIO Table'!S250</f>
        <v>100</v>
      </c>
      <c r="S231" s="1" t="str">
        <f>'MPIO_SFIO Table'!T250</f>
        <v>dbgcfg</v>
      </c>
      <c r="T231" s="2">
        <f>'MPIO_SFIO Table'!U250</f>
        <v>0</v>
      </c>
      <c r="U231" s="1">
        <f>'MPIO_SFIO Table'!V250</f>
        <v>1</v>
      </c>
      <c r="V231" s="1">
        <f>'MPIO_SFIO Table'!W250</f>
        <v>1</v>
      </c>
      <c r="W231" s="1" t="str">
        <f>'MPIO_SFIO Table'!X250</f>
        <v>none</v>
      </c>
      <c r="X231" s="1" t="str">
        <f>'MPIO_SFIO Table'!Y234</f>
        <v>z</v>
      </c>
      <c r="Y231" s="88" t="str">
        <f>'MPIO_SFIO Table'!Z250</f>
        <v>z</v>
      </c>
    </row>
    <row r="232" spans="1:25" x14ac:dyDescent="0.25">
      <c r="A232" s="1" t="str">
        <f>'MPIO_SFIO Table'!A251</f>
        <v>GPIO_PU1</v>
      </c>
      <c r="B232" s="1" t="str">
        <f>'MPIO_SFIO Table'!C251</f>
        <v>V30</v>
      </c>
      <c r="C232" s="1" t="str">
        <f>'MPIO_SFIO Table'!D251</f>
        <v>AF36</v>
      </c>
      <c r="D232" s="1" t="str">
        <f>'MPIO_SFIO Table'!E251</f>
        <v>AF36</v>
      </c>
      <c r="E232" s="1" t="str">
        <f>'MPIO_SFIO Table'!F251</f>
        <v>unused_GPIO_PU1</v>
      </c>
      <c r="F232" s="2" t="str">
        <f>'MPIO_SFIO Table'!G251</f>
        <v>GPIO-U.01</v>
      </c>
      <c r="G232" s="1" t="str">
        <f>'MPIO_SFIO Table'!H251</f>
        <v>RSVD1</v>
      </c>
      <c r="H232" s="1" t="str">
        <f>'MPIO_SFIO Table'!I251</f>
        <v>UART1.B-RXD</v>
      </c>
      <c r="I232" s="1" t="str">
        <f>'MPIO_SFIO Table'!J251</f>
        <v>GMI-A7</v>
      </c>
      <c r="J232" s="1" t="str">
        <f>'MPIO_SFIO Table'!K251</f>
        <v>RSVD2</v>
      </c>
      <c r="K232" s="2" t="str">
        <f>'MPIO_SFIO Table'!L251</f>
        <v>config</v>
      </c>
      <c r="L232" s="1" t="str">
        <f>'MPIO_SFIO Table'!M251</f>
        <v>disabled</v>
      </c>
      <c r="M232" s="1" t="str">
        <f>'MPIO_SFIO Table'!N251</f>
        <v>disabled</v>
      </c>
      <c r="N232" s="1" t="str">
        <f>'MPIO_SFIO Table'!O251</f>
        <v>hold</v>
      </c>
      <c r="O232" s="1" t="str">
        <f>'MPIO_SFIO Table'!P251</f>
        <v/>
      </c>
      <c r="P232" s="2" t="str">
        <f>'MPIO_SFIO Table'!Q251</f>
        <v>VDDIO_UART</v>
      </c>
      <c r="Q232" s="1" t="str">
        <f>'MPIO_SFIO Table'!R251</f>
        <v>ST</v>
      </c>
      <c r="R232" s="1">
        <f>'MPIO_SFIO Table'!S251</f>
        <v>100</v>
      </c>
      <c r="S232" s="1" t="str">
        <f>'MPIO_SFIO Table'!T251</f>
        <v>dbgcfg</v>
      </c>
      <c r="T232" s="2">
        <f>'MPIO_SFIO Table'!U251</f>
        <v>0</v>
      </c>
      <c r="U232" s="1">
        <f>'MPIO_SFIO Table'!V251</f>
        <v>1</v>
      </c>
      <c r="V232" s="1">
        <f>'MPIO_SFIO Table'!W251</f>
        <v>1</v>
      </c>
      <c r="W232" s="1" t="str">
        <f>'MPIO_SFIO Table'!X251</f>
        <v>none</v>
      </c>
      <c r="X232" s="1" t="str">
        <f>'MPIO_SFIO Table'!Y235</f>
        <v>z</v>
      </c>
      <c r="Y232" s="88" t="str">
        <f>'MPIO_SFIO Table'!Z251</f>
        <v>z</v>
      </c>
    </row>
    <row r="233" spans="1:25" x14ac:dyDescent="0.25">
      <c r="A233" s="1" t="str">
        <f>'MPIO_SFIO Table'!A252</f>
        <v>GPIO_PU2</v>
      </c>
      <c r="B233" s="1" t="str">
        <f>'MPIO_SFIO Table'!C252</f>
        <v>AB30</v>
      </c>
      <c r="C233" s="1" t="str">
        <f>'MPIO_SFIO Table'!D252</f>
        <v>AN37</v>
      </c>
      <c r="D233" s="1" t="str">
        <f>'MPIO_SFIO Table'!E252</f>
        <v>AN37</v>
      </c>
      <c r="E233" s="1" t="str">
        <f>'MPIO_SFIO Table'!F252</f>
        <v>unused_GPIO_PU2</v>
      </c>
      <c r="F233" s="2" t="str">
        <f>'MPIO_SFIO Table'!G252</f>
        <v>GPIO-U.02</v>
      </c>
      <c r="G233" s="1" t="str">
        <f>'MPIO_SFIO Table'!H252</f>
        <v>RSVD1</v>
      </c>
      <c r="H233" s="1" t="str">
        <f>'MPIO_SFIO Table'!I252</f>
        <v>UART1.B-CTS_N</v>
      </c>
      <c r="I233" s="1" t="str">
        <f>'MPIO_SFIO Table'!J252</f>
        <v>GMI-A8</v>
      </c>
      <c r="J233" s="1" t="str">
        <f>'MPIO_SFIO Table'!K252</f>
        <v>RSVD2</v>
      </c>
      <c r="K233" s="2" t="str">
        <f>'MPIO_SFIO Table'!L252</f>
        <v>config</v>
      </c>
      <c r="L233" s="1" t="str">
        <f>'MPIO_SFIO Table'!M252</f>
        <v>disabled</v>
      </c>
      <c r="M233" s="1" t="str">
        <f>'MPIO_SFIO Table'!N252</f>
        <v>disabled</v>
      </c>
      <c r="N233" s="1" t="str">
        <f>'MPIO_SFIO Table'!O252</f>
        <v>hold</v>
      </c>
      <c r="O233" s="1" t="str">
        <f>'MPIO_SFIO Table'!P252</f>
        <v/>
      </c>
      <c r="P233" s="2" t="str">
        <f>'MPIO_SFIO Table'!Q252</f>
        <v>VDDIO_UART</v>
      </c>
      <c r="Q233" s="1" t="str">
        <f>'MPIO_SFIO Table'!R252</f>
        <v>ST</v>
      </c>
      <c r="R233" s="1">
        <f>'MPIO_SFIO Table'!S252</f>
        <v>100</v>
      </c>
      <c r="S233" s="1" t="str">
        <f>'MPIO_SFIO Table'!T252</f>
        <v>dbgcfg</v>
      </c>
      <c r="T233" s="2">
        <f>'MPIO_SFIO Table'!U252</f>
        <v>0</v>
      </c>
      <c r="U233" s="1">
        <f>'MPIO_SFIO Table'!V252</f>
        <v>1</v>
      </c>
      <c r="V233" s="1">
        <f>'MPIO_SFIO Table'!W252</f>
        <v>1</v>
      </c>
      <c r="W233" s="1" t="str">
        <f>'MPIO_SFIO Table'!X252</f>
        <v>none</v>
      </c>
      <c r="X233" s="1" t="str">
        <f>'MPIO_SFIO Table'!Y236</f>
        <v>z</v>
      </c>
      <c r="Y233" s="88" t="str">
        <f>'MPIO_SFIO Table'!Z252</f>
        <v>z</v>
      </c>
    </row>
    <row r="234" spans="1:25" x14ac:dyDescent="0.25">
      <c r="A234" s="1" t="str">
        <f>'MPIO_SFIO Table'!A253</f>
        <v>GPIO_PU3</v>
      </c>
      <c r="B234" s="1" t="str">
        <f>'MPIO_SFIO Table'!C253</f>
        <v>AB27</v>
      </c>
      <c r="C234" s="1" t="str">
        <f>'MPIO_SFIO Table'!D253</f>
        <v>AG33</v>
      </c>
      <c r="D234" s="1" t="str">
        <f>'MPIO_SFIO Table'!E253</f>
        <v>AG33</v>
      </c>
      <c r="E234" s="1" t="str">
        <f>'MPIO_SFIO Table'!F253</f>
        <v>unused_GPIO_PU3</v>
      </c>
      <c r="F234" s="2" t="str">
        <f>'MPIO_SFIO Table'!G253</f>
        <v>GPIO-U.03</v>
      </c>
      <c r="G234" s="1" t="str">
        <f>'MPIO_SFIO Table'!H253</f>
        <v>PWFM-PWM0</v>
      </c>
      <c r="H234" s="1" t="str">
        <f>'MPIO_SFIO Table'!I253</f>
        <v>UART1.B-RTS_N</v>
      </c>
      <c r="I234" s="1" t="str">
        <f>'MPIO_SFIO Table'!J253</f>
        <v>GMI-A9</v>
      </c>
      <c r="J234" s="1" t="str">
        <f>'MPIO_SFIO Table'!K253</f>
        <v>RSVD1</v>
      </c>
      <c r="K234" s="2" t="str">
        <f>'MPIO_SFIO Table'!L253</f>
        <v>config</v>
      </c>
      <c r="L234" s="1" t="str">
        <f>'MPIO_SFIO Table'!M253</f>
        <v>disabled</v>
      </c>
      <c r="M234" s="1" t="str">
        <f>'MPIO_SFIO Table'!N253</f>
        <v>disabled</v>
      </c>
      <c r="N234" s="1" t="str">
        <f>'MPIO_SFIO Table'!O253</f>
        <v>hold</v>
      </c>
      <c r="O234" s="1" t="str">
        <f>'MPIO_SFIO Table'!P253</f>
        <v/>
      </c>
      <c r="P234" s="2" t="str">
        <f>'MPIO_SFIO Table'!Q253</f>
        <v>VDDIO_UART</v>
      </c>
      <c r="Q234" s="1" t="str">
        <f>'MPIO_SFIO Table'!R253</f>
        <v>ST</v>
      </c>
      <c r="R234" s="1">
        <f>'MPIO_SFIO Table'!S253</f>
        <v>100</v>
      </c>
      <c r="S234" s="1" t="str">
        <f>'MPIO_SFIO Table'!T253</f>
        <v>dbgcfg</v>
      </c>
      <c r="T234" s="2">
        <f>'MPIO_SFIO Table'!U253</f>
        <v>0</v>
      </c>
      <c r="U234" s="1">
        <f>'MPIO_SFIO Table'!V253</f>
        <v>1</v>
      </c>
      <c r="V234" s="1">
        <f>'MPIO_SFIO Table'!W253</f>
        <v>1</v>
      </c>
      <c r="W234" s="1" t="str">
        <f>'MPIO_SFIO Table'!X253</f>
        <v>none</v>
      </c>
      <c r="X234" s="1" t="str">
        <f>'MPIO_SFIO Table'!Y237</f>
        <v>z</v>
      </c>
      <c r="Y234" s="88" t="str">
        <f>'MPIO_SFIO Table'!Z253</f>
        <v>z</v>
      </c>
    </row>
    <row r="235" spans="1:25" x14ac:dyDescent="0.25">
      <c r="A235" s="1" t="str">
        <f>'MPIO_SFIO Table'!A254</f>
        <v>GPIO_PU4</v>
      </c>
      <c r="B235" s="1" t="str">
        <f>'MPIO_SFIO Table'!C254</f>
        <v>AC25</v>
      </c>
      <c r="C235" s="1" t="str">
        <f>'MPIO_SFIO Table'!D254</f>
        <v>AM36</v>
      </c>
      <c r="D235" s="1" t="str">
        <f>'MPIO_SFIO Table'!E254</f>
        <v>AM36</v>
      </c>
      <c r="E235" s="1" t="str">
        <f>'MPIO_SFIO Table'!F254</f>
        <v>unused_GPIO_PU4</v>
      </c>
      <c r="F235" s="2" t="str">
        <f>'MPIO_SFIO Table'!G254</f>
        <v>GPIO-U.04</v>
      </c>
      <c r="G235" s="1" t="str">
        <f>'MPIO_SFIO Table'!H254</f>
        <v>PWFM-PWM1</v>
      </c>
      <c r="H235" s="1" t="str">
        <f>'MPIO_SFIO Table'!I254</f>
        <v>UART1.B-DTR_N</v>
      </c>
      <c r="I235" s="1" t="str">
        <f>'MPIO_SFIO Table'!J254</f>
        <v>GMI-A10</v>
      </c>
      <c r="J235" s="1" t="str">
        <f>'MPIO_SFIO Table'!K254</f>
        <v>RSVD1</v>
      </c>
      <c r="K235" s="2" t="str">
        <f>'MPIO_SFIO Table'!L254</f>
        <v>config</v>
      </c>
      <c r="L235" s="1" t="str">
        <f>'MPIO_SFIO Table'!M254</f>
        <v>disabled</v>
      </c>
      <c r="M235" s="1" t="str">
        <f>'MPIO_SFIO Table'!N254</f>
        <v>disabled</v>
      </c>
      <c r="N235" s="1" t="str">
        <f>'MPIO_SFIO Table'!O254</f>
        <v>hold</v>
      </c>
      <c r="O235" s="1" t="str">
        <f>'MPIO_SFIO Table'!P254</f>
        <v/>
      </c>
      <c r="P235" s="2" t="str">
        <f>'MPIO_SFIO Table'!Q254</f>
        <v>VDDIO_UART</v>
      </c>
      <c r="Q235" s="1" t="str">
        <f>'MPIO_SFIO Table'!R254</f>
        <v>ST</v>
      </c>
      <c r="R235" s="1">
        <f>'MPIO_SFIO Table'!S254</f>
        <v>100</v>
      </c>
      <c r="S235" s="1" t="str">
        <f>'MPIO_SFIO Table'!T254</f>
        <v>dbgcfg</v>
      </c>
      <c r="T235" s="2">
        <f>'MPIO_SFIO Table'!U254</f>
        <v>0</v>
      </c>
      <c r="U235" s="1">
        <f>'MPIO_SFIO Table'!V254</f>
        <v>1</v>
      </c>
      <c r="V235" s="1">
        <f>'MPIO_SFIO Table'!W254</f>
        <v>1</v>
      </c>
      <c r="W235" s="1" t="str">
        <f>'MPIO_SFIO Table'!X254</f>
        <v>none</v>
      </c>
      <c r="X235" s="1" t="str">
        <f>'MPIO_SFIO Table'!Y238</f>
        <v>z</v>
      </c>
      <c r="Y235" s="88" t="str">
        <f>'MPIO_SFIO Table'!Z254</f>
        <v>z</v>
      </c>
    </row>
    <row r="236" spans="1:25" x14ac:dyDescent="0.25">
      <c r="A236" s="1" t="str">
        <f>'MPIO_SFIO Table'!A255</f>
        <v>GPIO_PU5</v>
      </c>
      <c r="B236" s="1" t="str">
        <f>'MPIO_SFIO Table'!C255</f>
        <v>W30</v>
      </c>
      <c r="C236" s="1" t="str">
        <f>'MPIO_SFIO Table'!D255</f>
        <v>AG37</v>
      </c>
      <c r="D236" s="1" t="str">
        <f>'MPIO_SFIO Table'!E255</f>
        <v>AG37</v>
      </c>
      <c r="E236" s="1" t="str">
        <f>'MPIO_SFIO Table'!F255</f>
        <v>unused_GPIO_PU5</v>
      </c>
      <c r="F236" s="2" t="str">
        <f>'MPIO_SFIO Table'!G255</f>
        <v>GPIO-U.05</v>
      </c>
      <c r="G236" s="1" t="str">
        <f>'MPIO_SFIO Table'!H255</f>
        <v>PWFM-PWM2</v>
      </c>
      <c r="H236" s="1" t="str">
        <f>'MPIO_SFIO Table'!I255</f>
        <v>UART1.B-RI_N</v>
      </c>
      <c r="I236" s="1" t="str">
        <f>'MPIO_SFIO Table'!J255</f>
        <v>GMI-A11</v>
      </c>
      <c r="J236" s="1" t="str">
        <f>'MPIO_SFIO Table'!K255</f>
        <v>RSVD1</v>
      </c>
      <c r="K236" s="2" t="str">
        <f>'MPIO_SFIO Table'!L255</f>
        <v>config</v>
      </c>
      <c r="L236" s="1" t="str">
        <f>'MPIO_SFIO Table'!M255</f>
        <v>special</v>
      </c>
      <c r="M236" s="1" t="str">
        <f>'MPIO_SFIO Table'!N255</f>
        <v>config</v>
      </c>
      <c r="N236" s="1" t="str">
        <f>'MPIO_SFIO Table'!O255</f>
        <v>hold</v>
      </c>
      <c r="O236" s="1">
        <f>'MPIO_SFIO Table'!P255</f>
        <v>6</v>
      </c>
      <c r="P236" s="2" t="str">
        <f>'MPIO_SFIO Table'!Q255</f>
        <v>VDDIO_UART</v>
      </c>
      <c r="Q236" s="1" t="str">
        <f>'MPIO_SFIO Table'!R255</f>
        <v>ST</v>
      </c>
      <c r="R236" s="1">
        <f>'MPIO_SFIO Table'!S255</f>
        <v>100</v>
      </c>
      <c r="S236" s="1" t="str">
        <f>'MPIO_SFIO Table'!T255</f>
        <v>dbgcfg</v>
      </c>
      <c r="T236" s="2">
        <f>'MPIO_SFIO Table'!U255</f>
        <v>0</v>
      </c>
      <c r="U236" s="1">
        <f>'MPIO_SFIO Table'!V255</f>
        <v>1</v>
      </c>
      <c r="V236" s="1">
        <f>'MPIO_SFIO Table'!W255</f>
        <v>1</v>
      </c>
      <c r="W236" s="1" t="str">
        <f>'MPIO_SFIO Table'!X255</f>
        <v>none</v>
      </c>
      <c r="X236" s="1" t="str">
        <f>'MPIO_SFIO Table'!Y239</f>
        <v>z</v>
      </c>
      <c r="Y236" s="88" t="str">
        <f>'MPIO_SFIO Table'!Z255</f>
        <v>z</v>
      </c>
    </row>
    <row r="237" spans="1:25" x14ac:dyDescent="0.25">
      <c r="A237" s="1" t="str">
        <f>'MPIO_SFIO Table'!A256</f>
        <v>GPIO_PU6</v>
      </c>
      <c r="B237" s="1" t="str">
        <f>'MPIO_SFIO Table'!C256</f>
        <v>AA27</v>
      </c>
      <c r="C237" s="1" t="str">
        <f>'MPIO_SFIO Table'!D256</f>
        <v>AJ33</v>
      </c>
      <c r="D237" s="1" t="str">
        <f>'MPIO_SFIO Table'!E256</f>
        <v>AJ33</v>
      </c>
      <c r="E237" s="1" t="str">
        <f>'MPIO_SFIO Table'!F256</f>
        <v>unused_GPIO_PU6</v>
      </c>
      <c r="F237" s="2" t="str">
        <f>'MPIO_SFIO Table'!G256</f>
        <v>GPIO-U.06</v>
      </c>
      <c r="G237" s="1" t="str">
        <f>'MPIO_SFIO Table'!H256</f>
        <v>PWFM-PWM3</v>
      </c>
      <c r="H237" s="1" t="str">
        <f>'MPIO_SFIO Table'!I256</f>
        <v>UART1.B-DSR_N</v>
      </c>
      <c r="I237" s="1" t="str">
        <f>'MPIO_SFIO Table'!J256</f>
        <v>GMI-A12</v>
      </c>
      <c r="J237" s="1" t="str">
        <f>'MPIO_SFIO Table'!K256</f>
        <v>RSVD1</v>
      </c>
      <c r="K237" s="2" t="str">
        <f>'MPIO_SFIO Table'!L256</f>
        <v>config</v>
      </c>
      <c r="L237" s="1" t="str">
        <f>'MPIO_SFIO Table'!M256</f>
        <v>special</v>
      </c>
      <c r="M237" s="1" t="str">
        <f>'MPIO_SFIO Table'!N256</f>
        <v>config</v>
      </c>
      <c r="N237" s="1" t="str">
        <f>'MPIO_SFIO Table'!O256</f>
        <v>hold</v>
      </c>
      <c r="O237" s="1">
        <f>'MPIO_SFIO Table'!P256</f>
        <v>7</v>
      </c>
      <c r="P237" s="2" t="str">
        <f>'MPIO_SFIO Table'!Q256</f>
        <v>VDDIO_UART</v>
      </c>
      <c r="Q237" s="1" t="str">
        <f>'MPIO_SFIO Table'!R256</f>
        <v>ST</v>
      </c>
      <c r="R237" s="1">
        <f>'MPIO_SFIO Table'!S256</f>
        <v>100</v>
      </c>
      <c r="S237" s="1" t="str">
        <f>'MPIO_SFIO Table'!T256</f>
        <v>dbgcfg</v>
      </c>
      <c r="T237" s="2">
        <f>'MPIO_SFIO Table'!U256</f>
        <v>0</v>
      </c>
      <c r="U237" s="1">
        <f>'MPIO_SFIO Table'!V256</f>
        <v>1</v>
      </c>
      <c r="V237" s="1">
        <f>'MPIO_SFIO Table'!W256</f>
        <v>1</v>
      </c>
      <c r="W237" s="1" t="str">
        <f>'MPIO_SFIO Table'!X256</f>
        <v>none</v>
      </c>
      <c r="X237" s="1">
        <f>'MPIO_SFIO Table'!Y240</f>
        <v>0</v>
      </c>
      <c r="Y237" s="88" t="str">
        <f>'MPIO_SFIO Table'!Z256</f>
        <v>z</v>
      </c>
    </row>
    <row r="238" spans="1:25" x14ac:dyDescent="0.25">
      <c r="A238" s="1" t="str">
        <f>'MPIO_SFIO Table'!A257</f>
        <v>UART2_CTS_N</v>
      </c>
      <c r="B238" s="1" t="str">
        <f>'MPIO_SFIO Table'!C257</f>
        <v>AA25</v>
      </c>
      <c r="C238" s="1" t="str">
        <f>'MPIO_SFIO Table'!D257</f>
        <v>AJ31</v>
      </c>
      <c r="D238" s="1" t="str">
        <f>'MPIO_SFIO Table'!E257</f>
        <v>AJ31</v>
      </c>
      <c r="E238" s="1" t="str">
        <f>'MPIO_SFIO Table'!F257</f>
        <v>unused_UART2_CTS_N</v>
      </c>
      <c r="F238" s="2" t="str">
        <f>'MPIO_SFIO Table'!G257</f>
        <v>GPIO-J.05</v>
      </c>
      <c r="G238" s="1" t="str">
        <f>'MPIO_SFIO Table'!H257</f>
        <v>UART1.C-RXD</v>
      </c>
      <c r="H238" s="1" t="str">
        <f>'MPIO_SFIO Table'!I257</f>
        <v>UART2-CTS_N</v>
      </c>
      <c r="I238" s="1" t="str">
        <f>'MPIO_SFIO Table'!J257</f>
        <v>GMI-A1</v>
      </c>
      <c r="J238" s="1" t="str">
        <f>'MPIO_SFIO Table'!K257</f>
        <v>SPI4.B-CS1_N</v>
      </c>
      <c r="K238" s="2" t="str">
        <f>'MPIO_SFIO Table'!L257</f>
        <v>config</v>
      </c>
      <c r="L238" s="1" t="str">
        <f>'MPIO_SFIO Table'!M257</f>
        <v>disabled</v>
      </c>
      <c r="M238" s="1" t="str">
        <f>'MPIO_SFIO Table'!N257</f>
        <v>disabled</v>
      </c>
      <c r="N238" s="1" t="str">
        <f>'MPIO_SFIO Table'!O257</f>
        <v>hold</v>
      </c>
      <c r="O238" s="1" t="str">
        <f>'MPIO_SFIO Table'!P257</f>
        <v/>
      </c>
      <c r="P238" s="2" t="str">
        <f>'MPIO_SFIO Table'!Q257</f>
        <v>VDDIO_UART</v>
      </c>
      <c r="Q238" s="1" t="str">
        <f>'MPIO_SFIO Table'!R257</f>
        <v>ST</v>
      </c>
      <c r="R238" s="1">
        <f>'MPIO_SFIO Table'!S257</f>
        <v>100</v>
      </c>
      <c r="S238" s="1" t="str">
        <f>'MPIO_SFIO Table'!T257</f>
        <v>uart2cfg</v>
      </c>
      <c r="T238" s="2">
        <f>'MPIO_SFIO Table'!U257</f>
        <v>0</v>
      </c>
      <c r="U238" s="1">
        <f>'MPIO_SFIO Table'!V257</f>
        <v>1</v>
      </c>
      <c r="V238" s="1">
        <f>'MPIO_SFIO Table'!W257</f>
        <v>1</v>
      </c>
      <c r="W238" s="1" t="str">
        <f>'MPIO_SFIO Table'!X257</f>
        <v>up</v>
      </c>
      <c r="X238" s="1">
        <f>'MPIO_SFIO Table'!Y241</f>
        <v>0</v>
      </c>
      <c r="Y238" s="88" t="str">
        <f>'MPIO_SFIO Table'!Z257</f>
        <v>pu</v>
      </c>
    </row>
    <row r="239" spans="1:25" x14ac:dyDescent="0.25">
      <c r="A239" s="1" t="str">
        <f>'MPIO_SFIO Table'!A258</f>
        <v>UART2_RTS_N</v>
      </c>
      <c r="B239" s="1" t="str">
        <f>'MPIO_SFIO Table'!C258</f>
        <v>AB26</v>
      </c>
      <c r="C239" s="1" t="str">
        <f>'MPIO_SFIO Table'!D258</f>
        <v>AG31</v>
      </c>
      <c r="D239" s="1" t="str">
        <f>'MPIO_SFIO Table'!E258</f>
        <v>AG31</v>
      </c>
      <c r="E239" s="1" t="str">
        <f>'MPIO_SFIO Table'!F258</f>
        <v>unused_UART2_RTS_N</v>
      </c>
      <c r="F239" s="2" t="str">
        <f>'MPIO_SFIO Table'!G258</f>
        <v>GPIO-J.06</v>
      </c>
      <c r="G239" s="1" t="str">
        <f>'MPIO_SFIO Table'!H258</f>
        <v>UART1.C-TXD</v>
      </c>
      <c r="H239" s="1" t="str">
        <f>'MPIO_SFIO Table'!I258</f>
        <v>UART2-RTS_N</v>
      </c>
      <c r="I239" s="1" t="str">
        <f>'MPIO_SFIO Table'!J258</f>
        <v>GMI-A0</v>
      </c>
      <c r="J239" s="1" t="str">
        <f>'MPIO_SFIO Table'!K258</f>
        <v>SPI4.B-MISO</v>
      </c>
      <c r="K239" s="2" t="str">
        <f>'MPIO_SFIO Table'!L258</f>
        <v>config</v>
      </c>
      <c r="L239" s="1" t="str">
        <f>'MPIO_SFIO Table'!M258</f>
        <v>disabled</v>
      </c>
      <c r="M239" s="1" t="str">
        <f>'MPIO_SFIO Table'!N258</f>
        <v>disabled</v>
      </c>
      <c r="N239" s="1" t="str">
        <f>'MPIO_SFIO Table'!O258</f>
        <v>hold</v>
      </c>
      <c r="O239" s="1" t="str">
        <f>'MPIO_SFIO Table'!P258</f>
        <v/>
      </c>
      <c r="P239" s="2" t="str">
        <f>'MPIO_SFIO Table'!Q258</f>
        <v>VDDIO_UART</v>
      </c>
      <c r="Q239" s="1" t="str">
        <f>'MPIO_SFIO Table'!R258</f>
        <v>ST</v>
      </c>
      <c r="R239" s="1">
        <f>'MPIO_SFIO Table'!S258</f>
        <v>100</v>
      </c>
      <c r="S239" s="1" t="str">
        <f>'MPIO_SFIO Table'!T258</f>
        <v>uart2cfg</v>
      </c>
      <c r="T239" s="2">
        <f>'MPIO_SFIO Table'!U258</f>
        <v>0</v>
      </c>
      <c r="U239" s="1">
        <f>'MPIO_SFIO Table'!V258</f>
        <v>1</v>
      </c>
      <c r="V239" s="1">
        <f>'MPIO_SFIO Table'!W258</f>
        <v>1</v>
      </c>
      <c r="W239" s="1" t="str">
        <f>'MPIO_SFIO Table'!X258</f>
        <v>up</v>
      </c>
      <c r="X239" s="1" t="str">
        <f>'MPIO_SFIO Table'!Y242</f>
        <v>0</v>
      </c>
      <c r="Y239" s="88" t="str">
        <f>'MPIO_SFIO Table'!Z258</f>
        <v>pu</v>
      </c>
    </row>
    <row r="240" spans="1:25" x14ac:dyDescent="0.25">
      <c r="A240" s="1" t="str">
        <f>'MPIO_SFIO Table'!A259</f>
        <v>UART2_RXD</v>
      </c>
      <c r="B240" s="1" t="str">
        <f>'MPIO_SFIO Table'!C259</f>
        <v>AB28</v>
      </c>
      <c r="C240" s="1" t="str">
        <f>'MPIO_SFIO Table'!D259</f>
        <v>AG29</v>
      </c>
      <c r="D240" s="1" t="str">
        <f>'MPIO_SFIO Table'!E259</f>
        <v>AG29</v>
      </c>
      <c r="E240" s="1" t="str">
        <f>'MPIO_SFIO Table'!F259</f>
        <v>unused_UART2_RXD</v>
      </c>
      <c r="F240" s="2" t="str">
        <f>'MPIO_SFIO Table'!G259</f>
        <v>GPIO-C.03</v>
      </c>
      <c r="G240" s="1" t="str">
        <f>'MPIO_SFIO Table'!H259</f>
        <v>UART2-RXD</v>
      </c>
      <c r="H240" s="1" t="str">
        <f>'MPIO_SFIO Table'!I259</f>
        <v>SPDIF1.C-OUT</v>
      </c>
      <c r="I240" s="1" t="str">
        <f>'MPIO_SFIO Table'!J259</f>
        <v>UART1.C-CTS_N</v>
      </c>
      <c r="J240" s="1" t="str">
        <f>'MPIO_SFIO Table'!K259</f>
        <v>SPI4.B-MOSI</v>
      </c>
      <c r="K240" s="2" t="str">
        <f>'MPIO_SFIO Table'!L259</f>
        <v>config</v>
      </c>
      <c r="L240" s="1" t="str">
        <f>'MPIO_SFIO Table'!M259</f>
        <v>disabled</v>
      </c>
      <c r="M240" s="1" t="str">
        <f>'MPIO_SFIO Table'!N259</f>
        <v>disabled</v>
      </c>
      <c r="N240" s="1" t="str">
        <f>'MPIO_SFIO Table'!O259</f>
        <v>hold</v>
      </c>
      <c r="O240" s="1" t="str">
        <f>'MPIO_SFIO Table'!P259</f>
        <v/>
      </c>
      <c r="P240" s="2" t="str">
        <f>'MPIO_SFIO Table'!Q259</f>
        <v>VDDIO_UART</v>
      </c>
      <c r="Q240" s="1" t="str">
        <f>'MPIO_SFIO Table'!R259</f>
        <v>ST</v>
      </c>
      <c r="R240" s="1">
        <f>'MPIO_SFIO Table'!S259</f>
        <v>100</v>
      </c>
      <c r="S240" s="1" t="str">
        <f>'MPIO_SFIO Table'!T259</f>
        <v>uart2cfg</v>
      </c>
      <c r="T240" s="2">
        <f>'MPIO_SFIO Table'!U259</f>
        <v>0</v>
      </c>
      <c r="U240" s="1">
        <f>'MPIO_SFIO Table'!V259</f>
        <v>1</v>
      </c>
      <c r="V240" s="1">
        <f>'MPIO_SFIO Table'!W259</f>
        <v>1</v>
      </c>
      <c r="W240" s="1" t="str">
        <f>'MPIO_SFIO Table'!X259</f>
        <v>up</v>
      </c>
      <c r="X240" s="1" t="str">
        <f>'MPIO_SFIO Table'!Y243</f>
        <v>z</v>
      </c>
      <c r="Y240" s="88" t="str">
        <f>'MPIO_SFIO Table'!Z259</f>
        <v>pu</v>
      </c>
    </row>
    <row r="241" spans="1:25" x14ac:dyDescent="0.25">
      <c r="A241" s="1" t="str">
        <f>'MPIO_SFIO Table'!A260</f>
        <v>UART2_TXD</v>
      </c>
      <c r="B241" s="1" t="str">
        <f>'MPIO_SFIO Table'!C260</f>
        <v>W25</v>
      </c>
      <c r="C241" s="1" t="str">
        <f>'MPIO_SFIO Table'!D260</f>
        <v>AN35</v>
      </c>
      <c r="D241" s="1" t="str">
        <f>'MPIO_SFIO Table'!E260</f>
        <v>AN35</v>
      </c>
      <c r="E241" s="1" t="str">
        <f>'MPIO_SFIO Table'!F260</f>
        <v>unused_UART2_TXD</v>
      </c>
      <c r="F241" s="2" t="str">
        <f>'MPIO_SFIO Table'!G260</f>
        <v>GPIO-C.02</v>
      </c>
      <c r="G241" s="1" t="str">
        <f>'MPIO_SFIO Table'!H260</f>
        <v>UART2-TXD</v>
      </c>
      <c r="H241" s="1" t="str">
        <f>'MPIO_SFIO Table'!I260</f>
        <v>SPDIF1.C-IN</v>
      </c>
      <c r="I241" s="1" t="str">
        <f>'MPIO_SFIO Table'!J260</f>
        <v>UART1.C-RTS_N</v>
      </c>
      <c r="J241" s="1" t="str">
        <f>'MPIO_SFIO Table'!K260</f>
        <v>SPI4.B-SCK</v>
      </c>
      <c r="K241" s="2" t="str">
        <f>'MPIO_SFIO Table'!L260</f>
        <v>config</v>
      </c>
      <c r="L241" s="1" t="str">
        <f>'MPIO_SFIO Table'!M260</f>
        <v>disabled</v>
      </c>
      <c r="M241" s="1" t="str">
        <f>'MPIO_SFIO Table'!N260</f>
        <v>disabled</v>
      </c>
      <c r="N241" s="1" t="str">
        <f>'MPIO_SFIO Table'!O260</f>
        <v>hold</v>
      </c>
      <c r="O241" s="1" t="str">
        <f>'MPIO_SFIO Table'!P260</f>
        <v/>
      </c>
      <c r="P241" s="2" t="str">
        <f>'MPIO_SFIO Table'!Q260</f>
        <v>VDDIO_UART</v>
      </c>
      <c r="Q241" s="1" t="str">
        <f>'MPIO_SFIO Table'!R260</f>
        <v>ST</v>
      </c>
      <c r="R241" s="1">
        <f>'MPIO_SFIO Table'!S260</f>
        <v>100</v>
      </c>
      <c r="S241" s="1" t="str">
        <f>'MPIO_SFIO Table'!T260</f>
        <v>uart2cfg</v>
      </c>
      <c r="T241" s="2">
        <f>'MPIO_SFIO Table'!U260</f>
        <v>0</v>
      </c>
      <c r="U241" s="1">
        <f>'MPIO_SFIO Table'!V260</f>
        <v>1</v>
      </c>
      <c r="V241" s="1">
        <f>'MPIO_SFIO Table'!W260</f>
        <v>1</v>
      </c>
      <c r="W241" s="1" t="str">
        <f>'MPIO_SFIO Table'!X260</f>
        <v>up</v>
      </c>
      <c r="X241" s="1" t="str">
        <f>'MPIO_SFIO Table'!Y244</f>
        <v>pd</v>
      </c>
      <c r="Y241" s="88" t="str">
        <f>'MPIO_SFIO Table'!Z260</f>
        <v>pu</v>
      </c>
    </row>
    <row r="242" spans="1:25" x14ac:dyDescent="0.25">
      <c r="A242" s="1" t="str">
        <f>'MPIO_SFIO Table'!A261</f>
        <v>UART3_CTS_N</v>
      </c>
      <c r="B242" s="1" t="str">
        <f>'MPIO_SFIO Table'!C261</f>
        <v>W29</v>
      </c>
      <c r="C242" s="1" t="str">
        <f>'MPIO_SFIO Table'!D261</f>
        <v>AJ37</v>
      </c>
      <c r="D242" s="1" t="str">
        <f>'MPIO_SFIO Table'!E261</f>
        <v>AJ37</v>
      </c>
      <c r="E242" s="1" t="str">
        <f>'MPIO_SFIO Table'!F261</f>
        <v>unused_UART3_CTS_N</v>
      </c>
      <c r="F242" s="2" t="str">
        <f>'MPIO_SFIO Table'!G261</f>
        <v>GPIO-A.01</v>
      </c>
      <c r="G242" s="1" t="str">
        <f>'MPIO_SFIO Table'!H261</f>
        <v>UART3-CTS_N</v>
      </c>
      <c r="H242" s="1" t="str">
        <f>'MPIO_SFIO Table'!I261</f>
        <v>RSVD1</v>
      </c>
      <c r="I242" s="1" t="str">
        <f>'MPIO_SFIO Table'!J261</f>
        <v>GMI-A5</v>
      </c>
      <c r="J242" s="1" t="str">
        <f>'MPIO_SFIO Table'!K261</f>
        <v>RSVD2</v>
      </c>
      <c r="K242" s="2" t="str">
        <f>'MPIO_SFIO Table'!L261</f>
        <v>config</v>
      </c>
      <c r="L242" s="1" t="str">
        <f>'MPIO_SFIO Table'!M261</f>
        <v>disabled</v>
      </c>
      <c r="M242" s="1" t="str">
        <f>'MPIO_SFIO Table'!N261</f>
        <v>disabled</v>
      </c>
      <c r="N242" s="1" t="str">
        <f>'MPIO_SFIO Table'!O261</f>
        <v>hold</v>
      </c>
      <c r="O242" s="1" t="str">
        <f>'MPIO_SFIO Table'!P261</f>
        <v/>
      </c>
      <c r="P242" s="2" t="str">
        <f>'MPIO_SFIO Table'!Q261</f>
        <v>VDDIO_UART</v>
      </c>
      <c r="Q242" s="1" t="str">
        <f>'MPIO_SFIO Table'!R261</f>
        <v>ST</v>
      </c>
      <c r="R242" s="1">
        <f>'MPIO_SFIO Table'!S261</f>
        <v>100</v>
      </c>
      <c r="S242" s="1" t="str">
        <f>'MPIO_SFIO Table'!T261</f>
        <v>uart3cfg</v>
      </c>
      <c r="T242" s="2">
        <f>'MPIO_SFIO Table'!U261</f>
        <v>0</v>
      </c>
      <c r="U242" s="1">
        <f>'MPIO_SFIO Table'!V261</f>
        <v>1</v>
      </c>
      <c r="V242" s="1">
        <f>'MPIO_SFIO Table'!W261</f>
        <v>1</v>
      </c>
      <c r="W242" s="1" t="str">
        <f>'MPIO_SFIO Table'!X261</f>
        <v>up</v>
      </c>
      <c r="X242" s="1" t="str">
        <f>'MPIO_SFIO Table'!Y245</f>
        <v>pd</v>
      </c>
      <c r="Y242" s="88" t="str">
        <f>'MPIO_SFIO Table'!Z261</f>
        <v>pu</v>
      </c>
    </row>
    <row r="243" spans="1:25" x14ac:dyDescent="0.25">
      <c r="A243" s="1" t="str">
        <f>'MPIO_SFIO Table'!A262</f>
        <v>UART3_RTS_N</v>
      </c>
      <c r="B243" s="1" t="str">
        <f>'MPIO_SFIO Table'!C262</f>
        <v>AB29</v>
      </c>
      <c r="C243" s="1" t="str">
        <f>'MPIO_SFIO Table'!D262</f>
        <v>AK36</v>
      </c>
      <c r="D243" s="1" t="str">
        <f>'MPIO_SFIO Table'!E262</f>
        <v>AK36</v>
      </c>
      <c r="E243" s="1" t="str">
        <f>'MPIO_SFIO Table'!F262</f>
        <v>unused_UART3_RTS_N</v>
      </c>
      <c r="F243" s="2" t="str">
        <f>'MPIO_SFIO Table'!G262</f>
        <v>GPIO-C.00</v>
      </c>
      <c r="G243" s="1" t="str">
        <f>'MPIO_SFIO Table'!H262</f>
        <v>UART3-RTS_N</v>
      </c>
      <c r="H243" s="1" t="str">
        <f>'MPIO_SFIO Table'!I262</f>
        <v>PWFM-PWM0</v>
      </c>
      <c r="I243" s="1" t="str">
        <f>'MPIO_SFIO Table'!J262</f>
        <v>GMI-A4</v>
      </c>
      <c r="J243" s="1" t="str">
        <f>'MPIO_SFIO Table'!K262</f>
        <v>RSVD2</v>
      </c>
      <c r="K243" s="2" t="str">
        <f>'MPIO_SFIO Table'!L262</f>
        <v>config</v>
      </c>
      <c r="L243" s="1" t="str">
        <f>'MPIO_SFIO Table'!M262</f>
        <v>disabled</v>
      </c>
      <c r="M243" s="1" t="str">
        <f>'MPIO_SFIO Table'!N262</f>
        <v>disabled</v>
      </c>
      <c r="N243" s="1" t="str">
        <f>'MPIO_SFIO Table'!O262</f>
        <v>hold</v>
      </c>
      <c r="O243" s="1" t="str">
        <f>'MPIO_SFIO Table'!P262</f>
        <v/>
      </c>
      <c r="P243" s="2" t="str">
        <f>'MPIO_SFIO Table'!Q262</f>
        <v>VDDIO_UART</v>
      </c>
      <c r="Q243" s="1" t="str">
        <f>'MPIO_SFIO Table'!R262</f>
        <v>ST</v>
      </c>
      <c r="R243" s="1">
        <f>'MPIO_SFIO Table'!S262</f>
        <v>100</v>
      </c>
      <c r="S243" s="1" t="str">
        <f>'MPIO_SFIO Table'!T262</f>
        <v>uart3cfg</v>
      </c>
      <c r="T243" s="2">
        <f>'MPIO_SFIO Table'!U262</f>
        <v>0</v>
      </c>
      <c r="U243" s="1">
        <f>'MPIO_SFIO Table'!V262</f>
        <v>1</v>
      </c>
      <c r="V243" s="1">
        <f>'MPIO_SFIO Table'!W262</f>
        <v>1</v>
      </c>
      <c r="W243" s="1" t="str">
        <f>'MPIO_SFIO Table'!X262</f>
        <v>up</v>
      </c>
      <c r="X243" s="1" t="str">
        <f>'MPIO_SFIO Table'!Y246</f>
        <v>pd</v>
      </c>
      <c r="Y243" s="88" t="str">
        <f>'MPIO_SFIO Table'!Z262</f>
        <v>pu</v>
      </c>
    </row>
    <row r="244" spans="1:25" x14ac:dyDescent="0.25">
      <c r="A244" s="1" t="str">
        <f>'MPIO_SFIO Table'!A263</f>
        <v>UART3_RXD</v>
      </c>
      <c r="B244" s="1" t="str">
        <f>'MPIO_SFIO Table'!C263</f>
        <v>W27</v>
      </c>
      <c r="C244" s="1" t="str">
        <f>'MPIO_SFIO Table'!D263</f>
        <v>AJ35</v>
      </c>
      <c r="D244" s="1" t="str">
        <f>'MPIO_SFIO Table'!E263</f>
        <v>AJ35</v>
      </c>
      <c r="E244" s="1" t="str">
        <f>'MPIO_SFIO Table'!F263</f>
        <v>unused_UART3_RXD</v>
      </c>
      <c r="F244" s="2" t="str">
        <f>'MPIO_SFIO Table'!G263</f>
        <v>GPIO-W.07</v>
      </c>
      <c r="G244" s="1" t="str">
        <f>'MPIO_SFIO Table'!H263</f>
        <v>UART3-RXD</v>
      </c>
      <c r="H244" s="1" t="str">
        <f>'MPIO_SFIO Table'!I263</f>
        <v>RSVD1</v>
      </c>
      <c r="I244" s="1" t="str">
        <f>'MPIO_SFIO Table'!J263</f>
        <v>GMI-A3</v>
      </c>
      <c r="J244" s="1" t="str">
        <f>'MPIO_SFIO Table'!K263</f>
        <v>RSVD2</v>
      </c>
      <c r="K244" s="2" t="str">
        <f>'MPIO_SFIO Table'!L263</f>
        <v>config</v>
      </c>
      <c r="L244" s="1" t="str">
        <f>'MPIO_SFIO Table'!M263</f>
        <v>disabled</v>
      </c>
      <c r="M244" s="1" t="str">
        <f>'MPIO_SFIO Table'!N263</f>
        <v>disabled</v>
      </c>
      <c r="N244" s="1" t="str">
        <f>'MPIO_SFIO Table'!O263</f>
        <v>hold</v>
      </c>
      <c r="O244" s="1" t="str">
        <f>'MPIO_SFIO Table'!P263</f>
        <v/>
      </c>
      <c r="P244" s="2" t="str">
        <f>'MPIO_SFIO Table'!Q263</f>
        <v>VDDIO_UART</v>
      </c>
      <c r="Q244" s="1" t="str">
        <f>'MPIO_SFIO Table'!R263</f>
        <v>ST</v>
      </c>
      <c r="R244" s="1">
        <f>'MPIO_SFIO Table'!S263</f>
        <v>100</v>
      </c>
      <c r="S244" s="1" t="str">
        <f>'MPIO_SFIO Table'!T263</f>
        <v>uart3cfg</v>
      </c>
      <c r="T244" s="2">
        <f>'MPIO_SFIO Table'!U263</f>
        <v>0</v>
      </c>
      <c r="U244" s="1">
        <f>'MPIO_SFIO Table'!V263</f>
        <v>1</v>
      </c>
      <c r="V244" s="1">
        <f>'MPIO_SFIO Table'!W263</f>
        <v>1</v>
      </c>
      <c r="W244" s="1" t="str">
        <f>'MPIO_SFIO Table'!X263</f>
        <v>up</v>
      </c>
      <c r="X244" s="1" t="str">
        <f>'MPIO_SFIO Table'!Y247</f>
        <v>pd</v>
      </c>
      <c r="Y244" s="88" t="str">
        <f>'MPIO_SFIO Table'!Z263</f>
        <v>pu</v>
      </c>
    </row>
    <row r="245" spans="1:25" x14ac:dyDescent="0.25">
      <c r="A245" s="1" t="str">
        <f>'MPIO_SFIO Table'!A264</f>
        <v>UART3_TXD</v>
      </c>
      <c r="B245" s="1" t="str">
        <f>'MPIO_SFIO Table'!C264</f>
        <v>AC27</v>
      </c>
      <c r="C245" s="1" t="str">
        <f>'MPIO_SFIO Table'!D264</f>
        <v>AE33</v>
      </c>
      <c r="D245" s="1" t="str">
        <f>'MPIO_SFIO Table'!E264</f>
        <v>AE33</v>
      </c>
      <c r="E245" s="1" t="str">
        <f>'MPIO_SFIO Table'!F264</f>
        <v>unused_UART3_TXD</v>
      </c>
      <c r="F245" s="2" t="str">
        <f>'MPIO_SFIO Table'!G264</f>
        <v>GPIO-W.06</v>
      </c>
      <c r="G245" s="1" t="str">
        <f>'MPIO_SFIO Table'!H264</f>
        <v>UART3-TXD</v>
      </c>
      <c r="H245" s="1" t="str">
        <f>'MPIO_SFIO Table'!I264</f>
        <v>RSVD1</v>
      </c>
      <c r="I245" s="1" t="str">
        <f>'MPIO_SFIO Table'!J264</f>
        <v>GMI-A2</v>
      </c>
      <c r="J245" s="1" t="str">
        <f>'MPIO_SFIO Table'!K264</f>
        <v>RSVD2</v>
      </c>
      <c r="K245" s="2" t="str">
        <f>'MPIO_SFIO Table'!L264</f>
        <v>config</v>
      </c>
      <c r="L245" s="1" t="str">
        <f>'MPIO_SFIO Table'!M264</f>
        <v>disabled</v>
      </c>
      <c r="M245" s="1" t="str">
        <f>'MPIO_SFIO Table'!N264</f>
        <v>disabled</v>
      </c>
      <c r="N245" s="1" t="str">
        <f>'MPIO_SFIO Table'!O264</f>
        <v>hold</v>
      </c>
      <c r="O245" s="1" t="str">
        <f>'MPIO_SFIO Table'!P264</f>
        <v/>
      </c>
      <c r="P245" s="2" t="str">
        <f>'MPIO_SFIO Table'!Q264</f>
        <v>VDDIO_UART</v>
      </c>
      <c r="Q245" s="1" t="str">
        <f>'MPIO_SFIO Table'!R264</f>
        <v>ST</v>
      </c>
      <c r="R245" s="1">
        <f>'MPIO_SFIO Table'!S264</f>
        <v>100</v>
      </c>
      <c r="S245" s="1" t="str">
        <f>'MPIO_SFIO Table'!T264</f>
        <v>uart3cfg</v>
      </c>
      <c r="T245" s="2">
        <f>'MPIO_SFIO Table'!U264</f>
        <v>0</v>
      </c>
      <c r="U245" s="1">
        <f>'MPIO_SFIO Table'!V264</f>
        <v>1</v>
      </c>
      <c r="V245" s="1">
        <f>'MPIO_SFIO Table'!W264</f>
        <v>1</v>
      </c>
      <c r="W245" s="1" t="str">
        <f>'MPIO_SFIO Table'!X264</f>
        <v>up</v>
      </c>
      <c r="X245" s="1" t="str">
        <f>'MPIO_SFIO Table'!Y248</f>
        <v>z</v>
      </c>
      <c r="Y245" s="88" t="str">
        <f>'MPIO_SFIO Table'!Z264</f>
        <v>pu</v>
      </c>
    </row>
    <row r="246" spans="1:25" ht="15.75" x14ac:dyDescent="0.25">
      <c r="A246" s="32" t="str">
        <f>'MPIO_SFIO Table'!A265</f>
        <v>VI</v>
      </c>
      <c r="B246" s="32"/>
      <c r="C246" s="32"/>
      <c r="D246" s="32"/>
      <c r="E246" s="32"/>
      <c r="F246" s="33"/>
      <c r="G246" s="32"/>
      <c r="H246" s="32"/>
      <c r="I246" s="32"/>
      <c r="J246" s="32"/>
      <c r="K246" s="33"/>
      <c r="L246" s="32"/>
      <c r="M246" s="32"/>
      <c r="N246" s="32"/>
      <c r="O246" s="32"/>
      <c r="P246" s="33"/>
      <c r="Q246" s="32"/>
      <c r="R246" s="32"/>
      <c r="S246" s="32"/>
      <c r="T246" s="34"/>
      <c r="U246" s="35"/>
      <c r="V246" s="35"/>
      <c r="W246" s="35"/>
      <c r="X246" s="35"/>
      <c r="Y246" s="87"/>
    </row>
    <row r="247" spans="1:25" x14ac:dyDescent="0.25">
      <c r="A247" s="1" t="str">
        <f>'MPIO_SFIO Table'!A266</f>
        <v>VI_D0</v>
      </c>
      <c r="B247" s="1" t="str">
        <f>'MPIO_SFIO Table'!C266</f>
        <v>AF27</v>
      </c>
      <c r="C247" s="457">
        <f>'MPIO_SFIO Table'!D266</f>
        <v>0</v>
      </c>
      <c r="D247" s="457">
        <f>'MPIO_SFIO Table'!E266</f>
        <v>0</v>
      </c>
      <c r="E247" s="1" t="str">
        <f>'MPIO_SFIO Table'!F266</f>
        <v>unused_VI_D0</v>
      </c>
      <c r="F247" s="2" t="str">
        <f>'MPIO_SFIO Table'!G266</f>
        <v>GPIO-T.04</v>
      </c>
      <c r="G247" s="1" t="str">
        <f>'MPIO_SFIO Table'!H266</f>
        <v>INVALID</v>
      </c>
      <c r="H247" s="1" t="str">
        <f>'MPIO_SFIO Table'!I266</f>
        <v>RSVD1</v>
      </c>
      <c r="I247" s="1" t="str">
        <f>'MPIO_SFIO Table'!J266</f>
        <v>VI-D0</v>
      </c>
      <c r="J247" s="1" t="str">
        <f>'MPIO_SFIO Table'!K266</f>
        <v>RSVD2</v>
      </c>
      <c r="K247" s="2" t="str">
        <f>'MPIO_SFIO Table'!L266</f>
        <v>config</v>
      </c>
      <c r="L247" s="1" t="str">
        <f>'MPIO_SFIO Table'!M266</f>
        <v>disabled</v>
      </c>
      <c r="M247" s="1" t="str">
        <f>'MPIO_SFIO Table'!N266</f>
        <v>disabled</v>
      </c>
      <c r="N247" s="1" t="str">
        <f>'MPIO_SFIO Table'!O266</f>
        <v>hold</v>
      </c>
      <c r="O247" s="1" t="str">
        <f>'MPIO_SFIO Table'!P266</f>
        <v/>
      </c>
      <c r="P247" s="2" t="str">
        <f>'MPIO_SFIO Table'!Q266</f>
        <v>VDDIO_VI</v>
      </c>
      <c r="Q247" s="1" t="str">
        <f>'MPIO_SFIO Table'!R266</f>
        <v>LV</v>
      </c>
      <c r="R247" s="1">
        <f>'MPIO_SFIO Table'!S266</f>
        <v>15</v>
      </c>
      <c r="S247" s="1" t="str">
        <f>'MPIO_SFIO Table'!T266</f>
        <v>vicfg1</v>
      </c>
      <c r="T247" s="2">
        <f>'MPIO_SFIO Table'!U266</f>
        <v>0</v>
      </c>
      <c r="U247" s="1">
        <f>'MPIO_SFIO Table'!V266</f>
        <v>1</v>
      </c>
      <c r="V247" s="1">
        <f>'MPIO_SFIO Table'!W266</f>
        <v>1</v>
      </c>
      <c r="W247" s="1" t="str">
        <f>'MPIO_SFIO Table'!X266</f>
        <v>down</v>
      </c>
      <c r="X247" s="1" t="str">
        <f>'MPIO_SFIO Table'!Y250</f>
        <v>z</v>
      </c>
      <c r="Y247" s="88" t="str">
        <f>'MPIO_SFIO Table'!Z266</f>
        <v>pd</v>
      </c>
    </row>
    <row r="248" spans="1:25" x14ac:dyDescent="0.25">
      <c r="A248" s="1" t="str">
        <f>'MPIO_SFIO Table'!A267</f>
        <v>VI_D1</v>
      </c>
      <c r="B248" s="1" t="str">
        <f>'MPIO_SFIO Table'!C267</f>
        <v>AD30</v>
      </c>
      <c r="C248" s="458">
        <f>'MPIO_SFIO Table'!D267</f>
        <v>0</v>
      </c>
      <c r="D248" s="458">
        <f>'MPIO_SFIO Table'!E267</f>
        <v>0</v>
      </c>
      <c r="E248" s="1" t="str">
        <f>'MPIO_SFIO Table'!F267</f>
        <v>unused_VI_D1</v>
      </c>
      <c r="F248" s="2" t="str">
        <f>'MPIO_SFIO Table'!G267</f>
        <v>GPIO-D.05</v>
      </c>
      <c r="G248" s="1" t="str">
        <f>'MPIO_SFIO Table'!H267</f>
        <v>INVALID</v>
      </c>
      <c r="H248" s="1" t="str">
        <f>'MPIO_SFIO Table'!I267</f>
        <v>SDMMC2.B-CMD</v>
      </c>
      <c r="I248" s="1" t="str">
        <f>'MPIO_SFIO Table'!J267</f>
        <v>VI-D1</v>
      </c>
      <c r="J248" s="1" t="str">
        <f>'MPIO_SFIO Table'!K267</f>
        <v>RSVD1</v>
      </c>
      <c r="K248" s="2" t="str">
        <f>'MPIO_SFIO Table'!L267</f>
        <v>config</v>
      </c>
      <c r="L248" s="1" t="str">
        <f>'MPIO_SFIO Table'!M267</f>
        <v>disabled</v>
      </c>
      <c r="M248" s="1" t="str">
        <f>'MPIO_SFIO Table'!N267</f>
        <v>disabled</v>
      </c>
      <c r="N248" s="1" t="str">
        <f>'MPIO_SFIO Table'!O267</f>
        <v>hold</v>
      </c>
      <c r="O248" s="1" t="str">
        <f>'MPIO_SFIO Table'!P267</f>
        <v/>
      </c>
      <c r="P248" s="2" t="str">
        <f>'MPIO_SFIO Table'!Q267</f>
        <v>VDDIO_VI</v>
      </c>
      <c r="Q248" s="1" t="str">
        <f>'MPIO_SFIO Table'!R267</f>
        <v>LV</v>
      </c>
      <c r="R248" s="1">
        <f>'MPIO_SFIO Table'!S267</f>
        <v>15</v>
      </c>
      <c r="S248" s="1" t="str">
        <f>'MPIO_SFIO Table'!T267</f>
        <v>vicfg1</v>
      </c>
      <c r="T248" s="2">
        <f>'MPIO_SFIO Table'!U267</f>
        <v>0</v>
      </c>
      <c r="U248" s="1">
        <f>'MPIO_SFIO Table'!V267</f>
        <v>1</v>
      </c>
      <c r="V248" s="1">
        <f>'MPIO_SFIO Table'!W267</f>
        <v>1</v>
      </c>
      <c r="W248" s="1" t="str">
        <f>'MPIO_SFIO Table'!X267</f>
        <v>down</v>
      </c>
      <c r="X248" s="1" t="str">
        <f>'MPIO_SFIO Table'!Y251</f>
        <v>z</v>
      </c>
      <c r="Y248" s="88" t="str">
        <f>'MPIO_SFIO Table'!Z267</f>
        <v>pd</v>
      </c>
    </row>
    <row r="249" spans="1:25" x14ac:dyDescent="0.25">
      <c r="A249" s="1" t="str">
        <f>'MPIO_SFIO Table'!A268</f>
        <v>VI_D10</v>
      </c>
      <c r="B249" s="1" t="str">
        <f>'MPIO_SFIO Table'!C268</f>
        <v>AE30</v>
      </c>
      <c r="C249" s="458">
        <f>'MPIO_SFIO Table'!D268</f>
        <v>0</v>
      </c>
      <c r="D249" s="458">
        <f>'MPIO_SFIO Table'!E268</f>
        <v>0</v>
      </c>
      <c r="E249" s="1" t="str">
        <f>'MPIO_SFIO Table'!F268</f>
        <v>unused_VI_D10</v>
      </c>
      <c r="F249" s="2" t="str">
        <f>'MPIO_SFIO Table'!G268</f>
        <v>GPIO-T.02</v>
      </c>
      <c r="G249" s="1" t="str">
        <f>'MPIO_SFIO Table'!H268</f>
        <v>INVALID</v>
      </c>
      <c r="H249" s="1" t="str">
        <f>'MPIO_SFIO Table'!I268</f>
        <v>RSVD1</v>
      </c>
      <c r="I249" s="1" t="str">
        <f>'MPIO_SFIO Table'!J268</f>
        <v>VI-D10</v>
      </c>
      <c r="J249" s="1" t="str">
        <f>'MPIO_SFIO Table'!K268</f>
        <v>RSVD2</v>
      </c>
      <c r="K249" s="2" t="str">
        <f>'MPIO_SFIO Table'!L268</f>
        <v>config</v>
      </c>
      <c r="L249" s="1" t="str">
        <f>'MPIO_SFIO Table'!M268</f>
        <v>disabled</v>
      </c>
      <c r="M249" s="1" t="str">
        <f>'MPIO_SFIO Table'!N268</f>
        <v>disabled</v>
      </c>
      <c r="N249" s="1" t="str">
        <f>'MPIO_SFIO Table'!O268</f>
        <v>hold</v>
      </c>
      <c r="O249" s="1" t="str">
        <f>'MPIO_SFIO Table'!P268</f>
        <v/>
      </c>
      <c r="P249" s="2" t="str">
        <f>'MPIO_SFIO Table'!Q268</f>
        <v>VDDIO_VI</v>
      </c>
      <c r="Q249" s="1" t="str">
        <f>'MPIO_SFIO Table'!R268</f>
        <v>LV</v>
      </c>
      <c r="R249" s="1">
        <f>'MPIO_SFIO Table'!S268</f>
        <v>15</v>
      </c>
      <c r="S249" s="1" t="str">
        <f>'MPIO_SFIO Table'!T268</f>
        <v>vicfg1</v>
      </c>
      <c r="T249" s="2">
        <f>'MPIO_SFIO Table'!U268</f>
        <v>0</v>
      </c>
      <c r="U249" s="1">
        <f>'MPIO_SFIO Table'!V268</f>
        <v>1</v>
      </c>
      <c r="V249" s="1">
        <f>'MPIO_SFIO Table'!W268</f>
        <v>1</v>
      </c>
      <c r="W249" s="1" t="str">
        <f>'MPIO_SFIO Table'!X268</f>
        <v>down</v>
      </c>
      <c r="X249" s="1" t="str">
        <f>'MPIO_SFIO Table'!Y252</f>
        <v>z</v>
      </c>
      <c r="Y249" s="88" t="str">
        <f>'MPIO_SFIO Table'!Z268</f>
        <v>pd</v>
      </c>
    </row>
    <row r="250" spans="1:25" x14ac:dyDescent="0.25">
      <c r="A250" s="1" t="str">
        <f>'MPIO_SFIO Table'!A269</f>
        <v>VI_D11</v>
      </c>
      <c r="B250" s="1" t="str">
        <f>'MPIO_SFIO Table'!C269</f>
        <v>AE28</v>
      </c>
      <c r="C250" s="458">
        <f>'MPIO_SFIO Table'!D269</f>
        <v>0</v>
      </c>
      <c r="D250" s="458">
        <f>'MPIO_SFIO Table'!E269</f>
        <v>0</v>
      </c>
      <c r="E250" s="1" t="str">
        <f>'MPIO_SFIO Table'!F269</f>
        <v>unused_VI_D11</v>
      </c>
      <c r="F250" s="2" t="str">
        <f>'MPIO_SFIO Table'!G269</f>
        <v>GPIO-T.03</v>
      </c>
      <c r="G250" s="1" t="str">
        <f>'MPIO_SFIO Table'!H269</f>
        <v>INVALID</v>
      </c>
      <c r="H250" s="1" t="str">
        <f>'MPIO_SFIO Table'!I269</f>
        <v>RSVD1</v>
      </c>
      <c r="I250" s="1" t="str">
        <f>'MPIO_SFIO Table'!J269</f>
        <v>VI-D11</v>
      </c>
      <c r="J250" s="1" t="str">
        <f>'MPIO_SFIO Table'!K269</f>
        <v>RSVD2</v>
      </c>
      <c r="K250" s="2" t="str">
        <f>'MPIO_SFIO Table'!L269</f>
        <v>config</v>
      </c>
      <c r="L250" s="1" t="str">
        <f>'MPIO_SFIO Table'!M269</f>
        <v>disabled</v>
      </c>
      <c r="M250" s="1" t="str">
        <f>'MPIO_SFIO Table'!N269</f>
        <v>disabled</v>
      </c>
      <c r="N250" s="1" t="str">
        <f>'MPIO_SFIO Table'!O269</f>
        <v>hold</v>
      </c>
      <c r="O250" s="1" t="str">
        <f>'MPIO_SFIO Table'!P269</f>
        <v/>
      </c>
      <c r="P250" s="2" t="str">
        <f>'MPIO_SFIO Table'!Q269</f>
        <v>VDDIO_VI</v>
      </c>
      <c r="Q250" s="1" t="str">
        <f>'MPIO_SFIO Table'!R269</f>
        <v>LV</v>
      </c>
      <c r="R250" s="1">
        <f>'MPIO_SFIO Table'!S269</f>
        <v>15</v>
      </c>
      <c r="S250" s="1" t="str">
        <f>'MPIO_SFIO Table'!T269</f>
        <v>vicfg1</v>
      </c>
      <c r="T250" s="2">
        <f>'MPIO_SFIO Table'!U269</f>
        <v>0</v>
      </c>
      <c r="U250" s="1">
        <f>'MPIO_SFIO Table'!V269</f>
        <v>1</v>
      </c>
      <c r="V250" s="1">
        <f>'MPIO_SFIO Table'!W269</f>
        <v>1</v>
      </c>
      <c r="W250" s="1" t="str">
        <f>'MPIO_SFIO Table'!X269</f>
        <v>down</v>
      </c>
      <c r="X250" s="1" t="str">
        <f>'MPIO_SFIO Table'!Y253</f>
        <v>z</v>
      </c>
      <c r="Y250" s="88" t="str">
        <f>'MPIO_SFIO Table'!Z269</f>
        <v>pd</v>
      </c>
    </row>
    <row r="251" spans="1:25" x14ac:dyDescent="0.25">
      <c r="A251" s="1" t="str">
        <f>'MPIO_SFIO Table'!A270</f>
        <v>VI_D2</v>
      </c>
      <c r="B251" s="1" t="str">
        <f>'MPIO_SFIO Table'!C270</f>
        <v>AH29</v>
      </c>
      <c r="C251" s="458">
        <f>'MPIO_SFIO Table'!D270</f>
        <v>0</v>
      </c>
      <c r="D251" s="458">
        <f>'MPIO_SFIO Table'!E270</f>
        <v>0</v>
      </c>
      <c r="E251" s="1" t="str">
        <f>'MPIO_SFIO Table'!F270</f>
        <v>unused_VI_D2</v>
      </c>
      <c r="F251" s="2" t="str">
        <f>'MPIO_SFIO Table'!G270</f>
        <v>GPIO-L.00</v>
      </c>
      <c r="G251" s="1" t="str">
        <f>'MPIO_SFIO Table'!H270</f>
        <v>INVALID</v>
      </c>
      <c r="H251" s="1" t="str">
        <f>'MPIO_SFIO Table'!I270</f>
        <v>SDMMC2.B-DAT0</v>
      </c>
      <c r="I251" s="1" t="str">
        <f>'MPIO_SFIO Table'!J270</f>
        <v>VI-D2</v>
      </c>
      <c r="J251" s="1" t="str">
        <f>'MPIO_SFIO Table'!K270</f>
        <v>RSVD1</v>
      </c>
      <c r="K251" s="2" t="str">
        <f>'MPIO_SFIO Table'!L270</f>
        <v>config</v>
      </c>
      <c r="L251" s="1" t="str">
        <f>'MPIO_SFIO Table'!M270</f>
        <v>disabled</v>
      </c>
      <c r="M251" s="1" t="str">
        <f>'MPIO_SFIO Table'!N270</f>
        <v>disabled</v>
      </c>
      <c r="N251" s="1" t="str">
        <f>'MPIO_SFIO Table'!O270</f>
        <v>hold</v>
      </c>
      <c r="O251" s="1" t="str">
        <f>'MPIO_SFIO Table'!P270</f>
        <v/>
      </c>
      <c r="P251" s="2" t="str">
        <f>'MPIO_SFIO Table'!Q270</f>
        <v>VDDIO_VI</v>
      </c>
      <c r="Q251" s="1" t="str">
        <f>'MPIO_SFIO Table'!R270</f>
        <v>LV</v>
      </c>
      <c r="R251" s="1">
        <f>'MPIO_SFIO Table'!S270</f>
        <v>15</v>
      </c>
      <c r="S251" s="1" t="str">
        <f>'MPIO_SFIO Table'!T270</f>
        <v>vicfg1</v>
      </c>
      <c r="T251" s="2">
        <f>'MPIO_SFIO Table'!U270</f>
        <v>0</v>
      </c>
      <c r="U251" s="1">
        <f>'MPIO_SFIO Table'!V270</f>
        <v>1</v>
      </c>
      <c r="V251" s="1">
        <f>'MPIO_SFIO Table'!W270</f>
        <v>1</v>
      </c>
      <c r="W251" s="1" t="str">
        <f>'MPIO_SFIO Table'!X270</f>
        <v>down</v>
      </c>
      <c r="X251" s="1" t="str">
        <f>'MPIO_SFIO Table'!Y254</f>
        <v>z</v>
      </c>
      <c r="Y251" s="88" t="str">
        <f>'MPIO_SFIO Table'!Z270</f>
        <v>pd</v>
      </c>
    </row>
    <row r="252" spans="1:25" x14ac:dyDescent="0.25">
      <c r="A252" s="1" t="str">
        <f>'MPIO_SFIO Table'!A271</f>
        <v>VI_D3</v>
      </c>
      <c r="B252" s="1" t="str">
        <f>'MPIO_SFIO Table'!C271</f>
        <v>AG28</v>
      </c>
      <c r="C252" s="458">
        <f>'MPIO_SFIO Table'!D271</f>
        <v>0</v>
      </c>
      <c r="D252" s="458">
        <f>'MPIO_SFIO Table'!E271</f>
        <v>0</v>
      </c>
      <c r="E252" s="1" t="str">
        <f>'MPIO_SFIO Table'!F271</f>
        <v>unused_VI_D3</v>
      </c>
      <c r="F252" s="2" t="str">
        <f>'MPIO_SFIO Table'!G271</f>
        <v>GPIO-L.01</v>
      </c>
      <c r="G252" s="1" t="str">
        <f>'MPIO_SFIO Table'!H271</f>
        <v>INVALID</v>
      </c>
      <c r="H252" s="1" t="str">
        <f>'MPIO_SFIO Table'!I271</f>
        <v>SDMMC2.B-DAT1</v>
      </c>
      <c r="I252" s="1" t="str">
        <f>'MPIO_SFIO Table'!J271</f>
        <v>VI-D3</v>
      </c>
      <c r="J252" s="1" t="str">
        <f>'MPIO_SFIO Table'!K271</f>
        <v>RSVD1</v>
      </c>
      <c r="K252" s="2" t="str">
        <f>'MPIO_SFIO Table'!L271</f>
        <v>config</v>
      </c>
      <c r="L252" s="1" t="str">
        <f>'MPIO_SFIO Table'!M271</f>
        <v>special</v>
      </c>
      <c r="M252" s="1" t="str">
        <f>'MPIO_SFIO Table'!N271</f>
        <v>config</v>
      </c>
      <c r="N252" s="1" t="str">
        <f>'MPIO_SFIO Table'!O271</f>
        <v>hold</v>
      </c>
      <c r="O252" s="1">
        <f>'MPIO_SFIO Table'!P271</f>
        <v>2</v>
      </c>
      <c r="P252" s="2" t="str">
        <f>'MPIO_SFIO Table'!Q271</f>
        <v>VDDIO_VI</v>
      </c>
      <c r="Q252" s="1" t="str">
        <f>'MPIO_SFIO Table'!R271</f>
        <v>LV</v>
      </c>
      <c r="R252" s="1">
        <f>'MPIO_SFIO Table'!S271</f>
        <v>15</v>
      </c>
      <c r="S252" s="1" t="str">
        <f>'MPIO_SFIO Table'!T271</f>
        <v>vicfg1</v>
      </c>
      <c r="T252" s="2">
        <f>'MPIO_SFIO Table'!U271</f>
        <v>0</v>
      </c>
      <c r="U252" s="1">
        <f>'MPIO_SFIO Table'!V271</f>
        <v>1</v>
      </c>
      <c r="V252" s="1">
        <f>'MPIO_SFIO Table'!W271</f>
        <v>1</v>
      </c>
      <c r="W252" s="1" t="str">
        <f>'MPIO_SFIO Table'!X271</f>
        <v>down</v>
      </c>
      <c r="X252" s="1" t="str">
        <f>'MPIO_SFIO Table'!Y255</f>
        <v>z</v>
      </c>
      <c r="Y252" s="88" t="str">
        <f>'MPIO_SFIO Table'!Z271</f>
        <v>pd</v>
      </c>
    </row>
    <row r="253" spans="1:25" x14ac:dyDescent="0.25">
      <c r="A253" s="1" t="str">
        <f>'MPIO_SFIO Table'!A272</f>
        <v>VI_D4</v>
      </c>
      <c r="B253" s="1" t="str">
        <f>'MPIO_SFIO Table'!C272</f>
        <v>AE27</v>
      </c>
      <c r="C253" s="458">
        <f>'MPIO_SFIO Table'!D272</f>
        <v>0</v>
      </c>
      <c r="D253" s="458">
        <f>'MPIO_SFIO Table'!E272</f>
        <v>0</v>
      </c>
      <c r="E253" s="1" t="str">
        <f>'MPIO_SFIO Table'!F272</f>
        <v>unused_VI_D4</v>
      </c>
      <c r="F253" s="2" t="str">
        <f>'MPIO_SFIO Table'!G272</f>
        <v>GPIO-L.02</v>
      </c>
      <c r="G253" s="1" t="str">
        <f>'MPIO_SFIO Table'!H272</f>
        <v>INVALID</v>
      </c>
      <c r="H253" s="1" t="str">
        <f>'MPIO_SFIO Table'!I272</f>
        <v>SDMMC2.B-DAT2</v>
      </c>
      <c r="I253" s="1" t="str">
        <f>'MPIO_SFIO Table'!J272</f>
        <v>VI-D4</v>
      </c>
      <c r="J253" s="1" t="str">
        <f>'MPIO_SFIO Table'!K272</f>
        <v>RSVD1</v>
      </c>
      <c r="K253" s="2" t="str">
        <f>'MPIO_SFIO Table'!L272</f>
        <v>config</v>
      </c>
      <c r="L253" s="1" t="str">
        <f>'MPIO_SFIO Table'!M272</f>
        <v>disabled</v>
      </c>
      <c r="M253" s="1" t="str">
        <f>'MPIO_SFIO Table'!N272</f>
        <v>disabled</v>
      </c>
      <c r="N253" s="1" t="str">
        <f>'MPIO_SFIO Table'!O272</f>
        <v>hold</v>
      </c>
      <c r="O253" s="1" t="str">
        <f>'MPIO_SFIO Table'!P272</f>
        <v/>
      </c>
      <c r="P253" s="2" t="str">
        <f>'MPIO_SFIO Table'!Q272</f>
        <v>VDDIO_VI</v>
      </c>
      <c r="Q253" s="1" t="str">
        <f>'MPIO_SFIO Table'!R272</f>
        <v>LV</v>
      </c>
      <c r="R253" s="1">
        <f>'MPIO_SFIO Table'!S272</f>
        <v>15</v>
      </c>
      <c r="S253" s="1" t="str">
        <f>'MPIO_SFIO Table'!T272</f>
        <v>vicfg1</v>
      </c>
      <c r="T253" s="2">
        <f>'MPIO_SFIO Table'!U272</f>
        <v>0</v>
      </c>
      <c r="U253" s="1">
        <f>'MPIO_SFIO Table'!V272</f>
        <v>1</v>
      </c>
      <c r="V253" s="1">
        <f>'MPIO_SFIO Table'!W272</f>
        <v>1</v>
      </c>
      <c r="W253" s="1" t="str">
        <f>'MPIO_SFIO Table'!X272</f>
        <v>down</v>
      </c>
      <c r="X253" s="1" t="str">
        <f>'MPIO_SFIO Table'!Y256</f>
        <v>z</v>
      </c>
      <c r="Y253" s="88" t="str">
        <f>'MPIO_SFIO Table'!Z272</f>
        <v>pd</v>
      </c>
    </row>
    <row r="254" spans="1:25" x14ac:dyDescent="0.25">
      <c r="A254" s="1" t="str">
        <f>'MPIO_SFIO Table'!A273</f>
        <v>VI_D5</v>
      </c>
      <c r="B254" s="1" t="str">
        <f>'MPIO_SFIO Table'!C273</f>
        <v>AE25</v>
      </c>
      <c r="C254" s="458">
        <f>'MPIO_SFIO Table'!D273</f>
        <v>0</v>
      </c>
      <c r="D254" s="458">
        <f>'MPIO_SFIO Table'!E273</f>
        <v>0</v>
      </c>
      <c r="E254" s="1" t="str">
        <f>'MPIO_SFIO Table'!F273</f>
        <v>unused_VI_D5</v>
      </c>
      <c r="F254" s="2" t="str">
        <f>'MPIO_SFIO Table'!G273</f>
        <v>GPIO-L.03</v>
      </c>
      <c r="G254" s="1" t="str">
        <f>'MPIO_SFIO Table'!H273</f>
        <v>INVALID</v>
      </c>
      <c r="H254" s="1" t="str">
        <f>'MPIO_SFIO Table'!I273</f>
        <v>SDMMC2.B-DAT3</v>
      </c>
      <c r="I254" s="1" t="str">
        <f>'MPIO_SFIO Table'!J273</f>
        <v>VI-D5</v>
      </c>
      <c r="J254" s="1" t="str">
        <f>'MPIO_SFIO Table'!K273</f>
        <v>RSVD1</v>
      </c>
      <c r="K254" s="2" t="str">
        <f>'MPIO_SFIO Table'!L273</f>
        <v>config</v>
      </c>
      <c r="L254" s="1" t="str">
        <f>'MPIO_SFIO Table'!M273</f>
        <v>disabled</v>
      </c>
      <c r="M254" s="1" t="str">
        <f>'MPIO_SFIO Table'!N273</f>
        <v>disabled</v>
      </c>
      <c r="N254" s="1" t="str">
        <f>'MPIO_SFIO Table'!O273</f>
        <v>hold</v>
      </c>
      <c r="O254" s="1" t="str">
        <f>'MPIO_SFIO Table'!P273</f>
        <v/>
      </c>
      <c r="P254" s="2" t="str">
        <f>'MPIO_SFIO Table'!Q273</f>
        <v>VDDIO_VI</v>
      </c>
      <c r="Q254" s="1" t="str">
        <f>'MPIO_SFIO Table'!R273</f>
        <v>LV</v>
      </c>
      <c r="R254" s="1">
        <f>'MPIO_SFIO Table'!S273</f>
        <v>15</v>
      </c>
      <c r="S254" s="1" t="str">
        <f>'MPIO_SFIO Table'!T273</f>
        <v>vicfg1</v>
      </c>
      <c r="T254" s="2">
        <f>'MPIO_SFIO Table'!U273</f>
        <v>0</v>
      </c>
      <c r="U254" s="1">
        <f>'MPIO_SFIO Table'!V273</f>
        <v>1</v>
      </c>
      <c r="V254" s="1">
        <f>'MPIO_SFIO Table'!W273</f>
        <v>1</v>
      </c>
      <c r="W254" s="1" t="str">
        <f>'MPIO_SFIO Table'!X273</f>
        <v>down</v>
      </c>
      <c r="X254" s="1" t="str">
        <f>'MPIO_SFIO Table'!Y257</f>
        <v>pu</v>
      </c>
      <c r="Y254" s="88" t="str">
        <f>'MPIO_SFIO Table'!Z273</f>
        <v>pd</v>
      </c>
    </row>
    <row r="255" spans="1:25" x14ac:dyDescent="0.25">
      <c r="A255" s="1" t="str">
        <f>'MPIO_SFIO Table'!A274</f>
        <v>VI_D6</v>
      </c>
      <c r="B255" s="1" t="str">
        <f>'MPIO_SFIO Table'!C274</f>
        <v>AG29</v>
      </c>
      <c r="C255" s="458">
        <f>'MPIO_SFIO Table'!D274</f>
        <v>0</v>
      </c>
      <c r="D255" s="458">
        <f>'MPIO_SFIO Table'!E274</f>
        <v>0</v>
      </c>
      <c r="E255" s="1" t="str">
        <f>'MPIO_SFIO Table'!F274</f>
        <v>unused_VI_D6</v>
      </c>
      <c r="F255" s="2" t="str">
        <f>'MPIO_SFIO Table'!G274</f>
        <v>GPIO-L.04</v>
      </c>
      <c r="G255" s="1" t="str">
        <f>'MPIO_SFIO Table'!H274</f>
        <v>INVALID</v>
      </c>
      <c r="H255" s="1" t="str">
        <f>'MPIO_SFIO Table'!I274</f>
        <v>SDMMC2.B-DAT4</v>
      </c>
      <c r="I255" s="1" t="str">
        <f>'MPIO_SFIO Table'!J274</f>
        <v>VI-D6</v>
      </c>
      <c r="J255" s="1" t="str">
        <f>'MPIO_SFIO Table'!K274</f>
        <v>RSVD1</v>
      </c>
      <c r="K255" s="2" t="str">
        <f>'MPIO_SFIO Table'!L274</f>
        <v>config</v>
      </c>
      <c r="L255" s="1" t="str">
        <f>'MPIO_SFIO Table'!M274</f>
        <v>disabled</v>
      </c>
      <c r="M255" s="1" t="str">
        <f>'MPIO_SFIO Table'!N274</f>
        <v>disabled</v>
      </c>
      <c r="N255" s="1" t="str">
        <f>'MPIO_SFIO Table'!O274</f>
        <v>hold</v>
      </c>
      <c r="O255" s="1" t="str">
        <f>'MPIO_SFIO Table'!P274</f>
        <v/>
      </c>
      <c r="P255" s="2" t="str">
        <f>'MPIO_SFIO Table'!Q274</f>
        <v>VDDIO_VI</v>
      </c>
      <c r="Q255" s="1" t="str">
        <f>'MPIO_SFIO Table'!R274</f>
        <v>LV</v>
      </c>
      <c r="R255" s="1">
        <f>'MPIO_SFIO Table'!S274</f>
        <v>15</v>
      </c>
      <c r="S255" s="1" t="str">
        <f>'MPIO_SFIO Table'!T274</f>
        <v>vicfg1</v>
      </c>
      <c r="T255" s="2">
        <f>'MPIO_SFIO Table'!U274</f>
        <v>0</v>
      </c>
      <c r="U255" s="1">
        <f>'MPIO_SFIO Table'!V274</f>
        <v>1</v>
      </c>
      <c r="V255" s="1">
        <f>'MPIO_SFIO Table'!W274</f>
        <v>1</v>
      </c>
      <c r="W255" s="1" t="str">
        <f>'MPIO_SFIO Table'!X274</f>
        <v>down</v>
      </c>
      <c r="X255" s="1" t="str">
        <f>'MPIO_SFIO Table'!Y258</f>
        <v>pu</v>
      </c>
      <c r="Y255" s="88" t="str">
        <f>'MPIO_SFIO Table'!Z274</f>
        <v>pd</v>
      </c>
    </row>
    <row r="256" spans="1:25" x14ac:dyDescent="0.25">
      <c r="A256" s="1" t="str">
        <f>'MPIO_SFIO Table'!A275</f>
        <v>VI_D7</v>
      </c>
      <c r="B256" s="1" t="str">
        <f>'MPIO_SFIO Table'!C275</f>
        <v>AD29</v>
      </c>
      <c r="C256" s="458">
        <f>'MPIO_SFIO Table'!D275</f>
        <v>0</v>
      </c>
      <c r="D256" s="458">
        <f>'MPIO_SFIO Table'!E275</f>
        <v>0</v>
      </c>
      <c r="E256" s="1" t="str">
        <f>'MPIO_SFIO Table'!F275</f>
        <v>unused_VI_D7</v>
      </c>
      <c r="F256" s="2" t="str">
        <f>'MPIO_SFIO Table'!G275</f>
        <v>GPIO-L.05</v>
      </c>
      <c r="G256" s="1" t="str">
        <f>'MPIO_SFIO Table'!H275</f>
        <v>INVALID</v>
      </c>
      <c r="H256" s="1" t="str">
        <f>'MPIO_SFIO Table'!I275</f>
        <v>SDMMC2.B-DAT5</v>
      </c>
      <c r="I256" s="1" t="str">
        <f>'MPIO_SFIO Table'!J275</f>
        <v>VI-D7</v>
      </c>
      <c r="J256" s="1" t="str">
        <f>'MPIO_SFIO Table'!K275</f>
        <v>RSVD1</v>
      </c>
      <c r="K256" s="2" t="str">
        <f>'MPIO_SFIO Table'!L275</f>
        <v>config</v>
      </c>
      <c r="L256" s="1" t="str">
        <f>'MPIO_SFIO Table'!M275</f>
        <v>disabled</v>
      </c>
      <c r="M256" s="1" t="str">
        <f>'MPIO_SFIO Table'!N275</f>
        <v>disabled</v>
      </c>
      <c r="N256" s="1" t="str">
        <f>'MPIO_SFIO Table'!O275</f>
        <v>hold</v>
      </c>
      <c r="O256" s="1" t="str">
        <f>'MPIO_SFIO Table'!P275</f>
        <v/>
      </c>
      <c r="P256" s="2" t="str">
        <f>'MPIO_SFIO Table'!Q275</f>
        <v>VDDIO_VI</v>
      </c>
      <c r="Q256" s="1" t="str">
        <f>'MPIO_SFIO Table'!R275</f>
        <v>LV</v>
      </c>
      <c r="R256" s="1">
        <f>'MPIO_SFIO Table'!S275</f>
        <v>15</v>
      </c>
      <c r="S256" s="1" t="str">
        <f>'MPIO_SFIO Table'!T275</f>
        <v>vicfg1</v>
      </c>
      <c r="T256" s="2">
        <f>'MPIO_SFIO Table'!U275</f>
        <v>0</v>
      </c>
      <c r="U256" s="1">
        <f>'MPIO_SFIO Table'!V275</f>
        <v>1</v>
      </c>
      <c r="V256" s="1">
        <f>'MPIO_SFIO Table'!W275</f>
        <v>1</v>
      </c>
      <c r="W256" s="1" t="str">
        <f>'MPIO_SFIO Table'!X275</f>
        <v>down</v>
      </c>
      <c r="X256" s="1" t="str">
        <f>'MPIO_SFIO Table'!Y259</f>
        <v>pu</v>
      </c>
      <c r="Y256" s="88" t="str">
        <f>'MPIO_SFIO Table'!Z275</f>
        <v>pd</v>
      </c>
    </row>
    <row r="257" spans="1:35" x14ac:dyDescent="0.25">
      <c r="A257" s="1" t="str">
        <f>'MPIO_SFIO Table'!A276</f>
        <v>VI_D8</v>
      </c>
      <c r="B257" s="1" t="str">
        <f>'MPIO_SFIO Table'!C276</f>
        <v>AE29</v>
      </c>
      <c r="C257" s="458">
        <f>'MPIO_SFIO Table'!D276</f>
        <v>0</v>
      </c>
      <c r="D257" s="458">
        <f>'MPIO_SFIO Table'!E276</f>
        <v>0</v>
      </c>
      <c r="E257" s="1" t="str">
        <f>'MPIO_SFIO Table'!F276</f>
        <v>unused_VI_D8</v>
      </c>
      <c r="F257" s="2" t="str">
        <f>'MPIO_SFIO Table'!G276</f>
        <v>GPIO-L.06</v>
      </c>
      <c r="G257" s="1" t="str">
        <f>'MPIO_SFIO Table'!H276</f>
        <v>INVALID</v>
      </c>
      <c r="H257" s="1" t="str">
        <f>'MPIO_SFIO Table'!I276</f>
        <v>SDMMC2.B-DAT6</v>
      </c>
      <c r="I257" s="1" t="str">
        <f>'MPIO_SFIO Table'!J276</f>
        <v>VI-D8</v>
      </c>
      <c r="J257" s="1" t="str">
        <f>'MPIO_SFIO Table'!K276</f>
        <v>RSVD1</v>
      </c>
      <c r="K257" s="2" t="str">
        <f>'MPIO_SFIO Table'!L276</f>
        <v>config</v>
      </c>
      <c r="L257" s="1" t="str">
        <f>'MPIO_SFIO Table'!M276</f>
        <v>disabled</v>
      </c>
      <c r="M257" s="1" t="str">
        <f>'MPIO_SFIO Table'!N276</f>
        <v>disabled</v>
      </c>
      <c r="N257" s="1" t="str">
        <f>'MPIO_SFIO Table'!O276</f>
        <v>hold</v>
      </c>
      <c r="O257" s="1" t="str">
        <f>'MPIO_SFIO Table'!P276</f>
        <v/>
      </c>
      <c r="P257" s="2" t="str">
        <f>'MPIO_SFIO Table'!Q276</f>
        <v>VDDIO_VI</v>
      </c>
      <c r="Q257" s="1" t="str">
        <f>'MPIO_SFIO Table'!R276</f>
        <v>LV</v>
      </c>
      <c r="R257" s="1">
        <f>'MPIO_SFIO Table'!S276</f>
        <v>15</v>
      </c>
      <c r="S257" s="1" t="str">
        <f>'MPIO_SFIO Table'!T276</f>
        <v>vicfg1</v>
      </c>
      <c r="T257" s="2">
        <f>'MPIO_SFIO Table'!U276</f>
        <v>0</v>
      </c>
      <c r="U257" s="1">
        <f>'MPIO_SFIO Table'!V276</f>
        <v>1</v>
      </c>
      <c r="V257" s="1">
        <f>'MPIO_SFIO Table'!W276</f>
        <v>1</v>
      </c>
      <c r="W257" s="1" t="str">
        <f>'MPIO_SFIO Table'!X276</f>
        <v>down</v>
      </c>
      <c r="X257" s="1" t="str">
        <f>'MPIO_SFIO Table'!Y260</f>
        <v>pu</v>
      </c>
      <c r="Y257" s="88" t="str">
        <f>'MPIO_SFIO Table'!Z276</f>
        <v>pd</v>
      </c>
    </row>
    <row r="258" spans="1:35" x14ac:dyDescent="0.25">
      <c r="A258" s="1" t="str">
        <f>'MPIO_SFIO Table'!A277</f>
        <v>VI_D9</v>
      </c>
      <c r="B258" s="1" t="str">
        <f>'MPIO_SFIO Table'!C277</f>
        <v>AD28</v>
      </c>
      <c r="C258" s="458">
        <f>'MPIO_SFIO Table'!D277</f>
        <v>0</v>
      </c>
      <c r="D258" s="458">
        <f>'MPIO_SFIO Table'!E277</f>
        <v>0</v>
      </c>
      <c r="E258" s="1" t="str">
        <f>'MPIO_SFIO Table'!F277</f>
        <v>unused_VI_D9</v>
      </c>
      <c r="F258" s="2" t="str">
        <f>'MPIO_SFIO Table'!G277</f>
        <v>GPIO-L.07</v>
      </c>
      <c r="G258" s="1" t="str">
        <f>'MPIO_SFIO Table'!H277</f>
        <v>INVALID</v>
      </c>
      <c r="H258" s="1" t="str">
        <f>'MPIO_SFIO Table'!I277</f>
        <v>SDMMC2.B-DAT7</v>
      </c>
      <c r="I258" s="1" t="str">
        <f>'MPIO_SFIO Table'!J277</f>
        <v>VI-D9</v>
      </c>
      <c r="J258" s="1" t="str">
        <f>'MPIO_SFIO Table'!K277</f>
        <v>RSVD1</v>
      </c>
      <c r="K258" s="2" t="str">
        <f>'MPIO_SFIO Table'!L277</f>
        <v>config</v>
      </c>
      <c r="L258" s="1" t="str">
        <f>'MPIO_SFIO Table'!M277</f>
        <v>disabled</v>
      </c>
      <c r="M258" s="1" t="str">
        <f>'MPIO_SFIO Table'!N277</f>
        <v>disabled</v>
      </c>
      <c r="N258" s="1" t="str">
        <f>'MPIO_SFIO Table'!O277</f>
        <v>hold</v>
      </c>
      <c r="O258" s="1" t="str">
        <f>'MPIO_SFIO Table'!P277</f>
        <v/>
      </c>
      <c r="P258" s="2" t="str">
        <f>'MPIO_SFIO Table'!Q277</f>
        <v>VDDIO_VI</v>
      </c>
      <c r="Q258" s="1" t="str">
        <f>'MPIO_SFIO Table'!R277</f>
        <v>LV</v>
      </c>
      <c r="R258" s="1">
        <f>'MPIO_SFIO Table'!S277</f>
        <v>15</v>
      </c>
      <c r="S258" s="1" t="str">
        <f>'MPIO_SFIO Table'!T277</f>
        <v>vicfg1</v>
      </c>
      <c r="T258" s="2">
        <f>'MPIO_SFIO Table'!U277</f>
        <v>0</v>
      </c>
      <c r="U258" s="1">
        <f>'MPIO_SFIO Table'!V277</f>
        <v>1</v>
      </c>
      <c r="V258" s="1">
        <f>'MPIO_SFIO Table'!W277</f>
        <v>1</v>
      </c>
      <c r="W258" s="1" t="str">
        <f>'MPIO_SFIO Table'!X277</f>
        <v>down</v>
      </c>
      <c r="X258" s="1" t="str">
        <f>'MPIO_SFIO Table'!Y261</f>
        <v>pu</v>
      </c>
      <c r="Y258" s="88" t="str">
        <f>'MPIO_SFIO Table'!Z277</f>
        <v>pd</v>
      </c>
    </row>
    <row r="259" spans="1:35" x14ac:dyDescent="0.25">
      <c r="A259" s="1" t="str">
        <f>'MPIO_SFIO Table'!A278</f>
        <v>VI_HSYNC</v>
      </c>
      <c r="B259" s="1" t="str">
        <f>'MPIO_SFIO Table'!C278</f>
        <v>AD27</v>
      </c>
      <c r="C259" s="458">
        <f>'MPIO_SFIO Table'!D278</f>
        <v>0</v>
      </c>
      <c r="D259" s="458">
        <f>'MPIO_SFIO Table'!E278</f>
        <v>0</v>
      </c>
      <c r="E259" s="1" t="str">
        <f>'MPIO_SFIO Table'!F278</f>
        <v>unused_VI_HSYNC</v>
      </c>
      <c r="F259" s="2" t="str">
        <f>'MPIO_SFIO Table'!G278</f>
        <v>GPIO-D.07</v>
      </c>
      <c r="G259" s="1" t="str">
        <f>'MPIO_SFIO Table'!H278</f>
        <v>INVALID</v>
      </c>
      <c r="H259" s="1" t="str">
        <f>'MPIO_SFIO Table'!I278</f>
        <v>RSVD1</v>
      </c>
      <c r="I259" s="1" t="str">
        <f>'MPIO_SFIO Table'!J278</f>
        <v>VI-HSYNC</v>
      </c>
      <c r="J259" s="1" t="str">
        <f>'MPIO_SFIO Table'!K278</f>
        <v>RSVD2</v>
      </c>
      <c r="K259" s="2" t="str">
        <f>'MPIO_SFIO Table'!L278</f>
        <v>config</v>
      </c>
      <c r="L259" s="1" t="str">
        <f>'MPIO_SFIO Table'!M278</f>
        <v>disabled</v>
      </c>
      <c r="M259" s="1" t="str">
        <f>'MPIO_SFIO Table'!N278</f>
        <v>disabled</v>
      </c>
      <c r="N259" s="1" t="str">
        <f>'MPIO_SFIO Table'!O278</f>
        <v>hold</v>
      </c>
      <c r="O259" s="1" t="str">
        <f>'MPIO_SFIO Table'!P278</f>
        <v/>
      </c>
      <c r="P259" s="2" t="str">
        <f>'MPIO_SFIO Table'!Q278</f>
        <v>VDDIO_VI</v>
      </c>
      <c r="Q259" s="1" t="str">
        <f>'MPIO_SFIO Table'!R278</f>
        <v>LV</v>
      </c>
      <c r="R259" s="1">
        <f>'MPIO_SFIO Table'!S278</f>
        <v>15</v>
      </c>
      <c r="S259" s="1" t="str">
        <f>'MPIO_SFIO Table'!T278</f>
        <v>vicfg1</v>
      </c>
      <c r="T259" s="2">
        <f>'MPIO_SFIO Table'!U278</f>
        <v>0</v>
      </c>
      <c r="U259" s="1">
        <f>'MPIO_SFIO Table'!V278</f>
        <v>1</v>
      </c>
      <c r="V259" s="1">
        <f>'MPIO_SFIO Table'!W278</f>
        <v>1</v>
      </c>
      <c r="W259" s="1" t="str">
        <f>'MPIO_SFIO Table'!X278</f>
        <v>down</v>
      </c>
      <c r="X259" s="1" t="str">
        <f>'MPIO_SFIO Table'!Y262</f>
        <v>pu</v>
      </c>
      <c r="Y259" s="88" t="str">
        <f>'MPIO_SFIO Table'!Z278</f>
        <v>pd</v>
      </c>
    </row>
    <row r="260" spans="1:35" x14ac:dyDescent="0.25">
      <c r="A260" s="1" t="str">
        <f>'MPIO_SFIO Table'!A279</f>
        <v>VI_MCLK</v>
      </c>
      <c r="B260" s="1" t="str">
        <f>'MPIO_SFIO Table'!C279</f>
        <v>AE26</v>
      </c>
      <c r="C260" s="458">
        <f>'MPIO_SFIO Table'!D279</f>
        <v>0</v>
      </c>
      <c r="D260" s="458">
        <f>'MPIO_SFIO Table'!E279</f>
        <v>0</v>
      </c>
      <c r="E260" s="1" t="str">
        <f>'MPIO_SFIO Table'!F279</f>
        <v>unused_VI_MCLK</v>
      </c>
      <c r="F260" s="2" t="str">
        <f>'MPIO_SFIO Table'!G279</f>
        <v>GPIO-T.01</v>
      </c>
      <c r="G260" s="1" t="str">
        <f>'MPIO_SFIO Table'!H279</f>
        <v>INVALID</v>
      </c>
      <c r="H260" s="1" t="str">
        <f>'MPIO_SFIO Table'!I279</f>
        <v>INVALID</v>
      </c>
      <c r="I260" s="1" t="str">
        <f>'MPIO_SFIO Table'!J279</f>
        <v>INVALID</v>
      </c>
      <c r="J260" s="1" t="str">
        <f>'MPIO_SFIO Table'!K279</f>
        <v>CLK-VI_MCLK</v>
      </c>
      <c r="K260" s="2" t="str">
        <f>'MPIO_SFIO Table'!L279</f>
        <v>config</v>
      </c>
      <c r="L260" s="1" t="str">
        <f>'MPIO_SFIO Table'!M279</f>
        <v>disabled</v>
      </c>
      <c r="M260" s="1" t="str">
        <f>'MPIO_SFIO Table'!N279</f>
        <v>disabled</v>
      </c>
      <c r="N260" s="1" t="str">
        <f>'MPIO_SFIO Table'!O279</f>
        <v>hold</v>
      </c>
      <c r="O260" s="1" t="str">
        <f>'MPIO_SFIO Table'!P279</f>
        <v/>
      </c>
      <c r="P260" s="2" t="str">
        <f>'MPIO_SFIO Table'!Q279</f>
        <v>VDDIO_VI</v>
      </c>
      <c r="Q260" s="1" t="str">
        <f>'MPIO_SFIO Table'!R279</f>
        <v>LV</v>
      </c>
      <c r="R260" s="1">
        <f>'MPIO_SFIO Table'!S279</f>
        <v>15</v>
      </c>
      <c r="S260" s="1" t="str">
        <f>'MPIO_SFIO Table'!T279</f>
        <v>csuscfg</v>
      </c>
      <c r="T260" s="2">
        <f>'MPIO_SFIO Table'!U279</f>
        <v>0</v>
      </c>
      <c r="U260" s="1">
        <f>'MPIO_SFIO Table'!V279</f>
        <v>1</v>
      </c>
      <c r="V260" s="1">
        <f>'MPIO_SFIO Table'!W279</f>
        <v>1</v>
      </c>
      <c r="W260" s="1" t="str">
        <f>'MPIO_SFIO Table'!X279</f>
        <v>down</v>
      </c>
      <c r="X260" s="1" t="str">
        <f>'MPIO_SFIO Table'!Y263</f>
        <v>pu</v>
      </c>
      <c r="Y260" s="88" t="str">
        <f>'MPIO_SFIO Table'!Z279</f>
        <v>pd</v>
      </c>
    </row>
    <row r="261" spans="1:35" x14ac:dyDescent="0.25">
      <c r="A261" s="1" t="str">
        <f>'MPIO_SFIO Table'!A280</f>
        <v>VI_PCLK</v>
      </c>
      <c r="B261" s="1" t="str">
        <f>'MPIO_SFIO Table'!C280</f>
        <v>AF25</v>
      </c>
      <c r="C261" s="458">
        <f>'MPIO_SFIO Table'!D280</f>
        <v>0</v>
      </c>
      <c r="D261" s="458">
        <f>'MPIO_SFIO Table'!E280</f>
        <v>0</v>
      </c>
      <c r="E261" s="1" t="str">
        <f>'MPIO_SFIO Table'!F280</f>
        <v>unused_VI_PCLK</v>
      </c>
      <c r="F261" s="2" t="str">
        <f>'MPIO_SFIO Table'!G280</f>
        <v>GPIO-T.00</v>
      </c>
      <c r="G261" s="1" t="str">
        <f>'MPIO_SFIO Table'!H280</f>
        <v>RSVD1</v>
      </c>
      <c r="H261" s="1" t="str">
        <f>'MPIO_SFIO Table'!I280</f>
        <v>SDMMC2.B-SCLK</v>
      </c>
      <c r="I261" s="1" t="str">
        <f>'MPIO_SFIO Table'!J280</f>
        <v>VI-CLK</v>
      </c>
      <c r="J261" s="1" t="str">
        <f>'MPIO_SFIO Table'!K280</f>
        <v>RSVD2</v>
      </c>
      <c r="K261" s="2" t="str">
        <f>'MPIO_SFIO Table'!L280</f>
        <v>config</v>
      </c>
      <c r="L261" s="1" t="str">
        <f>'MPIO_SFIO Table'!M280</f>
        <v>disabled</v>
      </c>
      <c r="M261" s="1" t="str">
        <f>'MPIO_SFIO Table'!N280</f>
        <v>disabled</v>
      </c>
      <c r="N261" s="1" t="str">
        <f>'MPIO_SFIO Table'!O280</f>
        <v>hold</v>
      </c>
      <c r="O261" s="1" t="str">
        <f>'MPIO_SFIO Table'!P280</f>
        <v/>
      </c>
      <c r="P261" s="2" t="str">
        <f>'MPIO_SFIO Table'!Q280</f>
        <v>VDDIO_VI</v>
      </c>
      <c r="Q261" s="1" t="str">
        <f>'MPIO_SFIO Table'!R280</f>
        <v>LV</v>
      </c>
      <c r="R261" s="1">
        <f>'MPIO_SFIO Table'!S280</f>
        <v>15</v>
      </c>
      <c r="S261" s="1" t="str">
        <f>'MPIO_SFIO Table'!T280</f>
        <v>vicfg1</v>
      </c>
      <c r="T261" s="2">
        <f>'MPIO_SFIO Table'!U280</f>
        <v>0</v>
      </c>
      <c r="U261" s="1">
        <f>'MPIO_SFIO Table'!V280</f>
        <v>1</v>
      </c>
      <c r="V261" s="1">
        <f>'MPIO_SFIO Table'!W280</f>
        <v>1</v>
      </c>
      <c r="W261" s="1" t="str">
        <f>'MPIO_SFIO Table'!X280</f>
        <v>down</v>
      </c>
      <c r="X261" s="1" t="str">
        <f>'MPIO_SFIO Table'!Y264</f>
        <v>pu</v>
      </c>
      <c r="Y261" s="88" t="str">
        <f>'MPIO_SFIO Table'!Z280</f>
        <v>pd</v>
      </c>
    </row>
    <row r="262" spans="1:35" x14ac:dyDescent="0.25">
      <c r="A262" s="1" t="str">
        <f>'MPIO_SFIO Table'!A281</f>
        <v>VI_VSYNC</v>
      </c>
      <c r="B262" s="1" t="str">
        <f>'MPIO_SFIO Table'!C281</f>
        <v>AG30</v>
      </c>
      <c r="C262" s="460">
        <f>'MPIO_SFIO Table'!D281</f>
        <v>0</v>
      </c>
      <c r="D262" s="460">
        <f>'MPIO_SFIO Table'!E281</f>
        <v>0</v>
      </c>
      <c r="E262" s="1" t="str">
        <f>'MPIO_SFIO Table'!F281</f>
        <v>unused_VI_VSYNC</v>
      </c>
      <c r="F262" s="2" t="str">
        <f>'MPIO_SFIO Table'!G281</f>
        <v>GPIO-D.06</v>
      </c>
      <c r="G262" s="1" t="str">
        <f>'MPIO_SFIO Table'!H281</f>
        <v>INVALID</v>
      </c>
      <c r="H262" s="1" t="str">
        <f>'MPIO_SFIO Table'!I281</f>
        <v>RSVD1</v>
      </c>
      <c r="I262" s="1" t="str">
        <f>'MPIO_SFIO Table'!J281</f>
        <v>VI-VSYNC</v>
      </c>
      <c r="J262" s="1" t="str">
        <f>'MPIO_SFIO Table'!K281</f>
        <v>RSVD2</v>
      </c>
      <c r="K262" s="2" t="str">
        <f>'MPIO_SFIO Table'!L281</f>
        <v>config</v>
      </c>
      <c r="L262" s="1" t="str">
        <f>'MPIO_SFIO Table'!M281</f>
        <v>disabled</v>
      </c>
      <c r="M262" s="1" t="str">
        <f>'MPIO_SFIO Table'!N281</f>
        <v>disabled</v>
      </c>
      <c r="N262" s="1" t="str">
        <f>'MPIO_SFIO Table'!O281</f>
        <v>hold</v>
      </c>
      <c r="O262" s="1" t="str">
        <f>'MPIO_SFIO Table'!P281</f>
        <v/>
      </c>
      <c r="P262" s="2" t="str">
        <f>'MPIO_SFIO Table'!Q281</f>
        <v>VDDIO_VI</v>
      </c>
      <c r="Q262" s="1" t="str">
        <f>'MPIO_SFIO Table'!R281</f>
        <v>LV</v>
      </c>
      <c r="R262" s="1">
        <f>'MPIO_SFIO Table'!S281</f>
        <v>15</v>
      </c>
      <c r="S262" s="1" t="str">
        <f>'MPIO_SFIO Table'!T281</f>
        <v>vicfg1</v>
      </c>
      <c r="T262" s="2">
        <f>'MPIO_SFIO Table'!U281</f>
        <v>0</v>
      </c>
      <c r="U262" s="1">
        <f>'MPIO_SFIO Table'!V281</f>
        <v>1</v>
      </c>
      <c r="V262" s="1">
        <f>'MPIO_SFIO Table'!W281</f>
        <v>1</v>
      </c>
      <c r="W262" s="1" t="str">
        <f>'MPIO_SFIO Table'!X281</f>
        <v>down</v>
      </c>
      <c r="X262" s="1">
        <f>'MPIO_SFIO Table'!Y265</f>
        <v>0</v>
      </c>
      <c r="Y262" s="88" t="str">
        <f>'MPIO_SFIO Table'!Z281</f>
        <v>pd</v>
      </c>
    </row>
    <row r="263" spans="1:35" x14ac:dyDescent="0.25">
      <c r="A263" s="6"/>
      <c r="B263" s="6"/>
      <c r="C263" s="6"/>
      <c r="D263" s="6"/>
      <c r="E263" s="6"/>
      <c r="F263" s="6"/>
      <c r="G263" s="6"/>
      <c r="H263" s="6"/>
      <c r="I263" s="6"/>
      <c r="J263" s="6"/>
      <c r="K263" s="6"/>
      <c r="L263" s="6"/>
      <c r="M263" s="6"/>
      <c r="N263" s="6"/>
      <c r="O263" s="6"/>
      <c r="P263" s="6"/>
      <c r="Q263" s="6"/>
      <c r="R263" s="6"/>
      <c r="S263" s="6"/>
      <c r="T263" s="6"/>
      <c r="U263" s="6"/>
      <c r="V263" s="6"/>
      <c r="W263" s="6"/>
      <c r="X263" s="6"/>
      <c r="Y263" s="90"/>
    </row>
    <row r="264" spans="1:35" s="97" customFormat="1" x14ac:dyDescent="0.25">
      <c r="A264" s="93"/>
      <c r="B264" s="401"/>
      <c r="C264" s="401"/>
      <c r="D264" s="401"/>
      <c r="E264" s="401"/>
      <c r="F264" s="401"/>
      <c r="G264" s="401"/>
      <c r="H264" s="401"/>
      <c r="I264" s="401"/>
      <c r="J264" s="401"/>
      <c r="K264" s="93"/>
      <c r="L264" s="93"/>
      <c r="M264" s="93"/>
      <c r="N264" s="93"/>
      <c r="O264" s="136"/>
      <c r="P264" s="93"/>
      <c r="Q264" s="93"/>
      <c r="R264" s="93"/>
      <c r="S264" s="93"/>
      <c r="T264" s="93"/>
      <c r="U264" s="93"/>
      <c r="V264" s="93"/>
      <c r="W264" s="93"/>
      <c r="X264" s="144"/>
      <c r="Y264" s="95"/>
      <c r="Z264" s="96"/>
      <c r="AC264" s="68"/>
      <c r="AD264" s="98"/>
      <c r="AE264" s="98"/>
      <c r="AF264" s="68"/>
      <c r="AG264" s="98"/>
      <c r="AH264" s="98"/>
      <c r="AI264" s="68"/>
    </row>
    <row r="265" spans="1:35" x14ac:dyDescent="0.25">
      <c r="A265" s="6"/>
      <c r="B265" s="6"/>
      <c r="C265" s="6"/>
      <c r="D265" s="6"/>
      <c r="E265" s="6"/>
      <c r="F265" s="6"/>
      <c r="G265" s="6"/>
      <c r="H265" s="6"/>
      <c r="I265" s="6"/>
      <c r="J265" s="6"/>
      <c r="K265" s="6"/>
      <c r="L265" s="6"/>
      <c r="M265" s="6"/>
      <c r="N265" s="6"/>
      <c r="O265" s="6"/>
      <c r="P265" s="6"/>
      <c r="Q265" s="6"/>
      <c r="R265" s="6"/>
      <c r="S265" s="6"/>
      <c r="T265" s="6"/>
      <c r="U265" s="6"/>
      <c r="V265" s="6"/>
      <c r="W265" s="6"/>
      <c r="X265" s="6"/>
      <c r="Y265" s="90"/>
    </row>
    <row r="266" spans="1:35" x14ac:dyDescent="0.25">
      <c r="A266" s="6"/>
      <c r="B266" s="6"/>
      <c r="C266" s="6"/>
      <c r="D266" s="6"/>
      <c r="E266" s="6"/>
      <c r="F266" s="6"/>
      <c r="G266" s="6"/>
      <c r="H266" s="6"/>
      <c r="I266" s="6"/>
      <c r="J266" s="6"/>
      <c r="K266" s="6"/>
      <c r="L266" s="6"/>
      <c r="M266" s="6"/>
      <c r="N266" s="6"/>
      <c r="O266" s="6"/>
      <c r="P266" s="6"/>
      <c r="Q266" s="6"/>
      <c r="R266" s="6"/>
      <c r="S266" s="6"/>
      <c r="T266" s="6"/>
      <c r="U266" s="6"/>
      <c r="V266" s="6"/>
      <c r="W266" s="6"/>
      <c r="X266" s="6"/>
      <c r="Y266" s="90"/>
    </row>
    <row r="267" spans="1:35" x14ac:dyDescent="0.25">
      <c r="A267" s="6"/>
      <c r="B267" s="6"/>
      <c r="C267" s="6"/>
      <c r="D267" s="6"/>
      <c r="E267" s="6"/>
      <c r="F267" s="6"/>
      <c r="G267" s="6"/>
      <c r="H267" s="6"/>
      <c r="I267" s="6"/>
      <c r="J267" s="6"/>
      <c r="K267" s="6"/>
      <c r="L267" s="6"/>
      <c r="M267" s="6"/>
      <c r="N267" s="6"/>
      <c r="O267" s="6"/>
      <c r="P267" s="6"/>
      <c r="Q267" s="6"/>
      <c r="R267" s="6"/>
      <c r="S267" s="6"/>
      <c r="T267" s="6"/>
      <c r="U267" s="6"/>
      <c r="V267" s="6"/>
      <c r="W267" s="6"/>
      <c r="X267" s="6"/>
      <c r="Y267" s="90"/>
    </row>
    <row r="268" spans="1:35" x14ac:dyDescent="0.25">
      <c r="A268" s="6"/>
      <c r="B268" s="6"/>
      <c r="C268" s="6"/>
      <c r="D268" s="6"/>
      <c r="E268" s="6"/>
      <c r="F268" s="6"/>
      <c r="G268" s="6"/>
      <c r="H268" s="6"/>
      <c r="I268" s="6"/>
      <c r="J268" s="6"/>
      <c r="K268" s="6"/>
      <c r="L268" s="6"/>
      <c r="M268" s="6"/>
      <c r="N268" s="6"/>
      <c r="O268" s="6"/>
      <c r="P268" s="6"/>
      <c r="Q268" s="6"/>
      <c r="R268" s="6"/>
      <c r="S268" s="6"/>
      <c r="T268" s="6"/>
      <c r="U268" s="6"/>
      <c r="V268" s="6"/>
      <c r="W268" s="6"/>
      <c r="X268" s="6"/>
      <c r="Y268" s="90"/>
    </row>
    <row r="269" spans="1:35" x14ac:dyDescent="0.25">
      <c r="A269" s="6"/>
      <c r="B269" s="6"/>
      <c r="C269" s="6"/>
      <c r="D269" s="6"/>
      <c r="E269" s="6"/>
      <c r="F269" s="6"/>
      <c r="G269" s="6"/>
      <c r="H269" s="6"/>
      <c r="I269" s="6"/>
      <c r="J269" s="6"/>
      <c r="K269" s="6"/>
      <c r="L269" s="6"/>
      <c r="M269" s="6"/>
      <c r="N269" s="6"/>
      <c r="O269" s="6"/>
      <c r="P269" s="6"/>
      <c r="Q269" s="6"/>
      <c r="R269" s="6"/>
      <c r="S269" s="6"/>
      <c r="T269" s="6"/>
      <c r="U269" s="6"/>
      <c r="V269" s="6"/>
      <c r="W269" s="6"/>
      <c r="X269" s="6"/>
      <c r="Y269" s="90"/>
    </row>
    <row r="270" spans="1:35" x14ac:dyDescent="0.25">
      <c r="A270" s="6"/>
      <c r="B270" s="6"/>
      <c r="C270" s="6"/>
      <c r="D270" s="6"/>
      <c r="E270" s="6"/>
      <c r="F270" s="6"/>
      <c r="G270" s="6"/>
      <c r="H270" s="6"/>
      <c r="I270" s="6"/>
      <c r="J270" s="6"/>
      <c r="K270" s="6"/>
      <c r="L270" s="6"/>
      <c r="M270" s="6"/>
      <c r="N270" s="6"/>
      <c r="O270" s="6"/>
      <c r="P270" s="6"/>
      <c r="Q270" s="6"/>
      <c r="R270" s="6"/>
      <c r="S270" s="6"/>
      <c r="T270" s="6"/>
      <c r="U270" s="6"/>
      <c r="V270" s="6"/>
      <c r="W270" s="6"/>
      <c r="X270" s="6"/>
      <c r="Y270" s="90"/>
    </row>
    <row r="271" spans="1:35" x14ac:dyDescent="0.25">
      <c r="A271" s="6"/>
      <c r="B271" s="6"/>
      <c r="C271" s="6"/>
      <c r="D271" s="6"/>
      <c r="E271" s="6"/>
      <c r="F271" s="6"/>
      <c r="G271" s="6"/>
      <c r="H271" s="6"/>
      <c r="I271" s="6"/>
      <c r="J271" s="6"/>
      <c r="K271" s="6"/>
      <c r="L271" s="6"/>
      <c r="M271" s="6"/>
      <c r="N271" s="6"/>
      <c r="O271" s="6"/>
      <c r="P271" s="6"/>
      <c r="Q271" s="6"/>
      <c r="R271" s="6"/>
      <c r="S271" s="6"/>
      <c r="T271" s="6"/>
      <c r="U271" s="6"/>
      <c r="V271" s="6"/>
      <c r="W271" s="6"/>
      <c r="X271" s="6"/>
      <c r="Y271" s="90"/>
    </row>
    <row r="272" spans="1:35" x14ac:dyDescent="0.25">
      <c r="A272" s="6"/>
      <c r="B272" s="6"/>
      <c r="C272" s="6"/>
      <c r="D272" s="6"/>
      <c r="E272" s="6"/>
      <c r="F272" s="6"/>
      <c r="G272" s="6"/>
      <c r="H272" s="6"/>
      <c r="I272" s="6"/>
      <c r="J272" s="6"/>
      <c r="K272" s="6"/>
      <c r="L272" s="6"/>
      <c r="M272" s="6"/>
      <c r="N272" s="6"/>
      <c r="O272" s="6"/>
      <c r="P272" s="6"/>
      <c r="Q272" s="6"/>
      <c r="R272" s="6"/>
      <c r="S272" s="6"/>
      <c r="T272" s="6"/>
      <c r="U272" s="6"/>
      <c r="V272" s="6"/>
      <c r="W272" s="6"/>
      <c r="X272" s="6"/>
      <c r="Y272" s="90"/>
    </row>
    <row r="273" spans="1:25" x14ac:dyDescent="0.25">
      <c r="A273" s="6"/>
      <c r="B273" s="6"/>
      <c r="C273" s="6"/>
      <c r="D273" s="6"/>
      <c r="E273" s="6"/>
      <c r="F273" s="6"/>
      <c r="G273" s="6"/>
      <c r="H273" s="6"/>
      <c r="I273" s="6"/>
      <c r="J273" s="6"/>
      <c r="K273" s="6"/>
      <c r="L273" s="6"/>
      <c r="M273" s="6"/>
      <c r="N273" s="6"/>
      <c r="O273" s="6"/>
      <c r="P273" s="6"/>
      <c r="Q273" s="6"/>
      <c r="R273" s="6"/>
      <c r="S273" s="6"/>
      <c r="T273" s="6"/>
      <c r="U273" s="6"/>
      <c r="V273" s="6"/>
      <c r="W273" s="6"/>
      <c r="X273" s="6"/>
      <c r="Y273" s="90"/>
    </row>
    <row r="274" spans="1:25" x14ac:dyDescent="0.25">
      <c r="A274" s="6"/>
      <c r="B274" s="6"/>
      <c r="C274" s="6"/>
      <c r="D274" s="6"/>
      <c r="E274" s="6"/>
      <c r="F274" s="6"/>
      <c r="G274" s="6"/>
      <c r="H274" s="6"/>
      <c r="I274" s="6"/>
      <c r="J274" s="6"/>
      <c r="K274" s="6"/>
      <c r="L274" s="6"/>
      <c r="M274" s="6"/>
      <c r="N274" s="6"/>
      <c r="O274" s="6"/>
      <c r="P274" s="6"/>
      <c r="Q274" s="6"/>
      <c r="R274" s="6"/>
      <c r="S274" s="6"/>
      <c r="T274" s="6"/>
      <c r="U274" s="6"/>
      <c r="V274" s="6"/>
      <c r="W274" s="6"/>
      <c r="X274" s="6"/>
      <c r="Y274" s="90"/>
    </row>
    <row r="275" spans="1:25" x14ac:dyDescent="0.25">
      <c r="A275" s="6"/>
      <c r="B275" s="6"/>
      <c r="C275" s="6"/>
      <c r="D275" s="6"/>
      <c r="E275" s="6"/>
      <c r="F275" s="6"/>
      <c r="G275" s="6"/>
      <c r="H275" s="6"/>
      <c r="I275" s="6"/>
      <c r="J275" s="6"/>
      <c r="K275" s="6"/>
      <c r="L275" s="6"/>
      <c r="M275" s="6"/>
      <c r="N275" s="6"/>
      <c r="O275" s="6"/>
      <c r="P275" s="6"/>
      <c r="Q275" s="6"/>
      <c r="R275" s="6"/>
      <c r="S275" s="6"/>
      <c r="T275" s="6"/>
      <c r="U275" s="6"/>
      <c r="V275" s="6"/>
      <c r="W275" s="6"/>
      <c r="X275" s="6"/>
      <c r="Y275" s="90"/>
    </row>
    <row r="276" spans="1:25" x14ac:dyDescent="0.25">
      <c r="A276" s="6"/>
      <c r="B276" s="6"/>
      <c r="C276" s="6"/>
      <c r="D276" s="6"/>
      <c r="E276" s="6"/>
      <c r="F276" s="6"/>
      <c r="G276" s="6"/>
      <c r="H276" s="6"/>
      <c r="I276" s="6"/>
      <c r="J276" s="6"/>
      <c r="K276" s="6"/>
      <c r="L276" s="6"/>
      <c r="M276" s="6"/>
      <c r="N276" s="6"/>
      <c r="O276" s="6"/>
      <c r="P276" s="6"/>
      <c r="Q276" s="6"/>
      <c r="R276" s="6"/>
      <c r="S276" s="6"/>
      <c r="T276" s="6"/>
      <c r="U276" s="6"/>
      <c r="V276" s="6"/>
      <c r="W276" s="6"/>
      <c r="X276" s="6"/>
      <c r="Y276" s="90"/>
    </row>
    <row r="277" spans="1:25" x14ac:dyDescent="0.25">
      <c r="A277" s="6"/>
      <c r="B277" s="6"/>
      <c r="C277" s="6"/>
      <c r="D277" s="6"/>
      <c r="E277" s="6"/>
      <c r="F277" s="6"/>
      <c r="G277" s="6"/>
      <c r="H277" s="6"/>
      <c r="I277" s="6"/>
      <c r="J277" s="6"/>
      <c r="K277" s="6"/>
      <c r="L277" s="6"/>
      <c r="M277" s="6"/>
      <c r="N277" s="6"/>
      <c r="O277" s="6"/>
      <c r="P277" s="6"/>
      <c r="Q277" s="6"/>
      <c r="R277" s="6"/>
      <c r="S277" s="6"/>
      <c r="T277" s="6"/>
      <c r="U277" s="6"/>
      <c r="V277" s="6"/>
      <c r="W277" s="6"/>
      <c r="X277" s="6"/>
      <c r="Y277" s="90"/>
    </row>
    <row r="278" spans="1:25" x14ac:dyDescent="0.25">
      <c r="A278" s="6"/>
      <c r="B278" s="6"/>
      <c r="C278" s="6"/>
      <c r="D278" s="6"/>
      <c r="E278" s="6"/>
      <c r="F278" s="6"/>
      <c r="G278" s="6"/>
      <c r="H278" s="6"/>
      <c r="I278" s="6"/>
      <c r="J278" s="6"/>
      <c r="K278" s="6"/>
      <c r="L278" s="6"/>
      <c r="M278" s="6"/>
      <c r="N278" s="6"/>
      <c r="O278" s="6"/>
      <c r="P278" s="6"/>
      <c r="Q278" s="6"/>
      <c r="R278" s="6"/>
      <c r="S278" s="6"/>
      <c r="T278" s="6"/>
      <c r="U278" s="6"/>
      <c r="V278" s="6"/>
      <c r="W278" s="6"/>
      <c r="X278" s="6"/>
      <c r="Y278" s="90"/>
    </row>
    <row r="279" spans="1:25" x14ac:dyDescent="0.25">
      <c r="A279" s="6"/>
      <c r="B279" s="6"/>
      <c r="C279" s="6"/>
      <c r="D279" s="6"/>
      <c r="E279" s="6"/>
      <c r="F279" s="6"/>
      <c r="G279" s="6"/>
      <c r="H279" s="6"/>
      <c r="I279" s="6"/>
      <c r="J279" s="6"/>
      <c r="K279" s="6"/>
      <c r="L279" s="6"/>
      <c r="M279" s="6"/>
      <c r="N279" s="6"/>
      <c r="O279" s="6"/>
      <c r="P279" s="6"/>
      <c r="Q279" s="6"/>
      <c r="R279" s="6"/>
      <c r="S279" s="6"/>
      <c r="T279" s="6"/>
      <c r="U279" s="6"/>
      <c r="V279" s="6"/>
      <c r="W279" s="6"/>
      <c r="X279" s="6"/>
      <c r="Y279" s="90"/>
    </row>
    <row r="280" spans="1:25" x14ac:dyDescent="0.25">
      <c r="A280" s="6"/>
      <c r="B280" s="6"/>
      <c r="C280" s="6"/>
      <c r="D280" s="6"/>
      <c r="E280" s="6"/>
      <c r="F280" s="6"/>
      <c r="G280" s="6"/>
      <c r="H280" s="6"/>
      <c r="I280" s="6"/>
      <c r="J280" s="6"/>
      <c r="K280" s="6"/>
      <c r="L280" s="6"/>
      <c r="M280" s="6"/>
      <c r="N280" s="6"/>
      <c r="O280" s="6"/>
      <c r="P280" s="6"/>
      <c r="Q280" s="6"/>
      <c r="R280" s="6"/>
      <c r="S280" s="6"/>
      <c r="T280" s="6"/>
      <c r="U280" s="6"/>
      <c r="V280" s="6"/>
      <c r="W280" s="6"/>
      <c r="X280" s="6"/>
      <c r="Y280" s="90"/>
    </row>
    <row r="281" spans="1:25" x14ac:dyDescent="0.25">
      <c r="A281" s="6"/>
      <c r="B281" s="6"/>
      <c r="C281" s="6"/>
      <c r="D281" s="6"/>
      <c r="E281" s="6"/>
      <c r="F281" s="6"/>
      <c r="G281" s="6"/>
      <c r="H281" s="6"/>
      <c r="I281" s="6"/>
      <c r="J281" s="6"/>
      <c r="K281" s="6"/>
      <c r="L281" s="6"/>
      <c r="M281" s="6"/>
      <c r="N281" s="6"/>
      <c r="O281" s="6"/>
      <c r="P281" s="6"/>
      <c r="Q281" s="6"/>
      <c r="R281" s="6"/>
      <c r="S281" s="6"/>
      <c r="T281" s="6"/>
      <c r="U281" s="6"/>
      <c r="V281" s="6"/>
      <c r="W281" s="6"/>
      <c r="X281" s="6"/>
      <c r="Y281" s="90"/>
    </row>
    <row r="282" spans="1:25" x14ac:dyDescent="0.25">
      <c r="A282" s="6"/>
      <c r="B282" s="6"/>
      <c r="C282" s="6"/>
      <c r="D282" s="6"/>
      <c r="E282" s="6"/>
      <c r="F282" s="6"/>
      <c r="G282" s="6"/>
      <c r="H282" s="6"/>
      <c r="I282" s="6"/>
      <c r="J282" s="6"/>
      <c r="K282" s="6"/>
      <c r="L282" s="6"/>
      <c r="M282" s="6"/>
      <c r="N282" s="6"/>
      <c r="O282" s="6"/>
      <c r="P282" s="6"/>
      <c r="Q282" s="6"/>
      <c r="R282" s="6"/>
      <c r="S282" s="6"/>
      <c r="T282" s="6"/>
      <c r="U282" s="6"/>
      <c r="V282" s="6"/>
      <c r="W282" s="6"/>
      <c r="X282" s="6"/>
      <c r="Y282" s="90"/>
    </row>
    <row r="283" spans="1:25" x14ac:dyDescent="0.25">
      <c r="A283" s="6"/>
      <c r="B283" s="6"/>
      <c r="C283" s="6"/>
      <c r="D283" s="6"/>
      <c r="E283" s="6"/>
      <c r="F283" s="6"/>
      <c r="G283" s="6"/>
      <c r="H283" s="6"/>
      <c r="I283" s="6"/>
      <c r="J283" s="6"/>
      <c r="K283" s="6"/>
      <c r="L283" s="6"/>
      <c r="M283" s="6"/>
      <c r="N283" s="6"/>
      <c r="O283" s="6"/>
      <c r="P283" s="6"/>
      <c r="Q283" s="6"/>
      <c r="R283" s="6"/>
      <c r="S283" s="6"/>
      <c r="T283" s="6"/>
      <c r="U283" s="6"/>
      <c r="V283" s="6"/>
      <c r="W283" s="6"/>
      <c r="X283" s="6"/>
      <c r="Y283" s="90"/>
    </row>
    <row r="284" spans="1:25" x14ac:dyDescent="0.25">
      <c r="A284" s="6"/>
      <c r="B284" s="6"/>
      <c r="C284" s="6"/>
      <c r="D284" s="6"/>
      <c r="E284" s="6"/>
      <c r="F284" s="6"/>
      <c r="G284" s="6"/>
      <c r="H284" s="6"/>
      <c r="I284" s="6"/>
      <c r="J284" s="6"/>
      <c r="K284" s="6"/>
      <c r="L284" s="6"/>
      <c r="M284" s="6"/>
      <c r="N284" s="6"/>
      <c r="O284" s="6"/>
      <c r="P284" s="6"/>
      <c r="Q284" s="6"/>
      <c r="R284" s="6"/>
      <c r="S284" s="6"/>
      <c r="T284" s="6"/>
      <c r="U284" s="6"/>
      <c r="V284" s="6"/>
      <c r="W284" s="6"/>
      <c r="X284" s="6"/>
      <c r="Y284" s="90"/>
    </row>
    <row r="285" spans="1:25" x14ac:dyDescent="0.25">
      <c r="A285" s="6"/>
      <c r="B285" s="6"/>
      <c r="C285" s="6"/>
      <c r="D285" s="6"/>
      <c r="E285" s="6"/>
      <c r="F285" s="6"/>
      <c r="G285" s="6"/>
      <c r="H285" s="6"/>
      <c r="I285" s="6"/>
      <c r="J285" s="6"/>
      <c r="K285" s="6"/>
      <c r="L285" s="6"/>
      <c r="M285" s="6"/>
      <c r="N285" s="6"/>
      <c r="O285" s="6"/>
      <c r="P285" s="6"/>
      <c r="Q285" s="6"/>
      <c r="R285" s="6"/>
      <c r="S285" s="6"/>
      <c r="T285" s="6"/>
      <c r="U285" s="6"/>
      <c r="V285" s="6"/>
      <c r="W285" s="6"/>
      <c r="X285" s="6"/>
      <c r="Y285" s="90"/>
    </row>
    <row r="286" spans="1:25" x14ac:dyDescent="0.25">
      <c r="A286" s="6"/>
      <c r="B286" s="6"/>
      <c r="C286" s="6"/>
      <c r="D286" s="6"/>
      <c r="E286" s="6"/>
      <c r="F286" s="6"/>
      <c r="G286" s="6"/>
      <c r="H286" s="6"/>
      <c r="I286" s="6"/>
      <c r="J286" s="6"/>
      <c r="K286" s="6"/>
      <c r="L286" s="6"/>
      <c r="M286" s="6"/>
      <c r="N286" s="6"/>
      <c r="O286" s="6"/>
      <c r="P286" s="6"/>
      <c r="Q286" s="6"/>
      <c r="R286" s="6"/>
      <c r="S286" s="6"/>
      <c r="T286" s="6"/>
      <c r="U286" s="6"/>
      <c r="V286" s="6"/>
      <c r="W286" s="6"/>
      <c r="X286" s="6"/>
      <c r="Y286" s="90"/>
    </row>
    <row r="287" spans="1:25" x14ac:dyDescent="0.25">
      <c r="A287" s="6"/>
      <c r="B287" s="6"/>
      <c r="C287" s="6"/>
      <c r="D287" s="6"/>
      <c r="E287" s="6"/>
      <c r="F287" s="6"/>
      <c r="G287" s="6"/>
      <c r="H287" s="6"/>
      <c r="I287" s="6"/>
      <c r="J287" s="6"/>
      <c r="K287" s="6"/>
      <c r="L287" s="6"/>
      <c r="M287" s="6"/>
      <c r="N287" s="6"/>
      <c r="O287" s="6"/>
      <c r="P287" s="6"/>
      <c r="Q287" s="6"/>
      <c r="R287" s="6"/>
      <c r="S287" s="6"/>
      <c r="T287" s="6"/>
      <c r="U287" s="6"/>
      <c r="V287" s="6"/>
      <c r="W287" s="6"/>
      <c r="X287" s="6"/>
      <c r="Y287" s="90"/>
    </row>
    <row r="288" spans="1:25" x14ac:dyDescent="0.25">
      <c r="A288" s="6"/>
      <c r="B288" s="6"/>
      <c r="C288" s="6"/>
      <c r="D288" s="6"/>
      <c r="E288" s="6"/>
      <c r="F288" s="6"/>
      <c r="G288" s="6"/>
      <c r="H288" s="6"/>
      <c r="I288" s="6"/>
      <c r="J288" s="6"/>
      <c r="K288" s="6"/>
      <c r="L288" s="6"/>
      <c r="M288" s="6"/>
      <c r="N288" s="6"/>
      <c r="O288" s="6"/>
      <c r="P288" s="6"/>
      <c r="Q288" s="6"/>
      <c r="R288" s="6"/>
      <c r="S288" s="6"/>
      <c r="T288" s="6"/>
      <c r="U288" s="6"/>
      <c r="V288" s="6"/>
      <c r="W288" s="6"/>
      <c r="X288" s="6"/>
      <c r="Y288" s="90"/>
    </row>
    <row r="289" spans="1:25" x14ac:dyDescent="0.25">
      <c r="A289" s="6"/>
      <c r="B289" s="6"/>
      <c r="C289" s="6"/>
      <c r="D289" s="6"/>
      <c r="E289" s="6"/>
      <c r="F289" s="6"/>
      <c r="G289" s="6"/>
      <c r="H289" s="6"/>
      <c r="I289" s="6"/>
      <c r="J289" s="6"/>
      <c r="K289" s="6"/>
      <c r="L289" s="6"/>
      <c r="M289" s="6"/>
      <c r="N289" s="6"/>
      <c r="O289" s="6"/>
      <c r="P289" s="6"/>
      <c r="Q289" s="6"/>
      <c r="R289" s="6"/>
      <c r="S289" s="6"/>
      <c r="T289" s="6"/>
      <c r="U289" s="6"/>
      <c r="V289" s="6"/>
      <c r="W289" s="6"/>
      <c r="X289" s="6"/>
      <c r="Y289" s="90"/>
    </row>
    <row r="290" spans="1:25" x14ac:dyDescent="0.25">
      <c r="A290" s="6"/>
      <c r="B290" s="6"/>
      <c r="C290" s="6"/>
      <c r="D290" s="6"/>
      <c r="E290" s="6"/>
      <c r="F290" s="6"/>
      <c r="G290" s="6"/>
      <c r="H290" s="6"/>
      <c r="I290" s="6"/>
      <c r="J290" s="6"/>
      <c r="K290" s="6"/>
      <c r="L290" s="6"/>
      <c r="M290" s="6"/>
      <c r="N290" s="6"/>
      <c r="O290" s="6"/>
      <c r="P290" s="6"/>
      <c r="Q290" s="6"/>
      <c r="R290" s="6"/>
      <c r="S290" s="6"/>
      <c r="T290" s="6"/>
      <c r="U290" s="6"/>
      <c r="V290" s="6"/>
      <c r="W290" s="6"/>
      <c r="X290" s="6"/>
      <c r="Y290" s="90"/>
    </row>
    <row r="291" spans="1:25" x14ac:dyDescent="0.25">
      <c r="A291" s="6"/>
      <c r="B291" s="6"/>
      <c r="C291" s="6"/>
      <c r="D291" s="6"/>
      <c r="E291" s="6"/>
      <c r="F291" s="6"/>
      <c r="G291" s="6"/>
      <c r="H291" s="6"/>
      <c r="I291" s="6"/>
      <c r="J291" s="6"/>
      <c r="K291" s="6"/>
      <c r="L291" s="6"/>
      <c r="M291" s="6"/>
      <c r="N291" s="6"/>
      <c r="O291" s="6"/>
      <c r="P291" s="6"/>
      <c r="Q291" s="6"/>
      <c r="R291" s="6"/>
      <c r="S291" s="6"/>
      <c r="T291" s="6"/>
      <c r="U291" s="6"/>
      <c r="V291" s="6"/>
      <c r="W291" s="6"/>
      <c r="X291" s="6"/>
      <c r="Y291" s="90"/>
    </row>
    <row r="292" spans="1:25" x14ac:dyDescent="0.25">
      <c r="A292" s="6"/>
      <c r="B292" s="6"/>
      <c r="C292" s="6"/>
      <c r="D292" s="6"/>
      <c r="E292" s="6"/>
      <c r="F292" s="6"/>
      <c r="G292" s="6"/>
      <c r="H292" s="6"/>
      <c r="I292" s="6"/>
      <c r="J292" s="6"/>
      <c r="K292" s="6"/>
      <c r="L292" s="6"/>
      <c r="M292" s="6"/>
      <c r="N292" s="6"/>
      <c r="O292" s="6"/>
      <c r="P292" s="6"/>
      <c r="Q292" s="6"/>
      <c r="R292" s="6"/>
      <c r="S292" s="6"/>
      <c r="T292" s="6"/>
      <c r="U292" s="6"/>
      <c r="V292" s="6"/>
      <c r="W292" s="6"/>
      <c r="X292" s="6"/>
      <c r="Y292" s="90"/>
    </row>
    <row r="293" spans="1:25" x14ac:dyDescent="0.25">
      <c r="A293" s="6"/>
      <c r="B293" s="6"/>
      <c r="C293" s="6"/>
      <c r="D293" s="6"/>
      <c r="E293" s="6"/>
      <c r="F293" s="6"/>
      <c r="G293" s="6"/>
      <c r="H293" s="6"/>
      <c r="I293" s="6"/>
      <c r="J293" s="6"/>
      <c r="K293" s="6"/>
      <c r="L293" s="6"/>
      <c r="M293" s="6"/>
      <c r="N293" s="6"/>
      <c r="O293" s="6"/>
      <c r="P293" s="6"/>
      <c r="Q293" s="6"/>
      <c r="R293" s="6"/>
      <c r="S293" s="6"/>
      <c r="T293" s="6"/>
      <c r="U293" s="6"/>
      <c r="V293" s="6"/>
      <c r="W293" s="6"/>
      <c r="X293" s="6"/>
      <c r="Y293" s="90"/>
    </row>
    <row r="294" spans="1:25" x14ac:dyDescent="0.25">
      <c r="A294" s="6"/>
      <c r="B294" s="6"/>
      <c r="C294" s="6"/>
      <c r="D294" s="6"/>
      <c r="E294" s="6"/>
      <c r="F294" s="6"/>
      <c r="G294" s="6"/>
      <c r="H294" s="6"/>
      <c r="I294" s="6"/>
      <c r="J294" s="6"/>
      <c r="K294" s="6"/>
      <c r="L294" s="6"/>
      <c r="M294" s="6"/>
      <c r="N294" s="6"/>
      <c r="O294" s="6"/>
      <c r="P294" s="6"/>
      <c r="Q294" s="6"/>
      <c r="R294" s="6"/>
      <c r="S294" s="6"/>
      <c r="T294" s="6"/>
      <c r="U294" s="6"/>
      <c r="V294" s="6"/>
      <c r="W294" s="6"/>
      <c r="X294" s="6"/>
      <c r="Y294" s="90"/>
    </row>
    <row r="295" spans="1:25" x14ac:dyDescent="0.25">
      <c r="A295" s="6"/>
      <c r="B295" s="6"/>
      <c r="C295" s="6"/>
      <c r="D295" s="6"/>
      <c r="E295" s="6"/>
      <c r="F295" s="6"/>
      <c r="G295" s="6"/>
      <c r="H295" s="6"/>
      <c r="I295" s="6"/>
      <c r="J295" s="6"/>
      <c r="K295" s="6"/>
      <c r="L295" s="6"/>
      <c r="M295" s="6"/>
      <c r="N295" s="6"/>
      <c r="O295" s="6"/>
      <c r="P295" s="6"/>
      <c r="Q295" s="6"/>
      <c r="R295" s="6"/>
      <c r="S295" s="6"/>
      <c r="T295" s="6"/>
      <c r="U295" s="6"/>
      <c r="V295" s="6"/>
      <c r="W295" s="6"/>
      <c r="X295" s="6"/>
      <c r="Y295" s="90"/>
    </row>
    <row r="296" spans="1:25" x14ac:dyDescent="0.25">
      <c r="A296" s="6"/>
      <c r="B296" s="6"/>
      <c r="C296" s="6"/>
      <c r="D296" s="6"/>
      <c r="E296" s="6"/>
      <c r="F296" s="6"/>
      <c r="G296" s="6"/>
      <c r="H296" s="6"/>
      <c r="I296" s="6"/>
      <c r="J296" s="6"/>
      <c r="K296" s="6"/>
      <c r="L296" s="6"/>
      <c r="M296" s="6"/>
      <c r="N296" s="6"/>
      <c r="O296" s="6"/>
      <c r="P296" s="6"/>
      <c r="Q296" s="6"/>
      <c r="R296" s="6"/>
      <c r="S296" s="6"/>
      <c r="T296" s="6"/>
      <c r="U296" s="6"/>
      <c r="V296" s="6"/>
      <c r="W296" s="6"/>
      <c r="X296" s="6"/>
      <c r="Y296" s="90"/>
    </row>
    <row r="297" spans="1:25" x14ac:dyDescent="0.25">
      <c r="A297" s="6"/>
      <c r="B297" s="6"/>
      <c r="C297" s="6"/>
      <c r="D297" s="6"/>
      <c r="E297" s="6"/>
      <c r="F297" s="6"/>
      <c r="G297" s="6"/>
      <c r="H297" s="6"/>
      <c r="I297" s="6"/>
      <c r="J297" s="6"/>
      <c r="K297" s="6"/>
      <c r="L297" s="6"/>
      <c r="M297" s="6"/>
      <c r="N297" s="6"/>
      <c r="O297" s="6"/>
      <c r="P297" s="6"/>
      <c r="Q297" s="6"/>
      <c r="R297" s="6"/>
      <c r="S297" s="6"/>
      <c r="T297" s="6"/>
      <c r="U297" s="6"/>
      <c r="V297" s="6"/>
      <c r="W297" s="6"/>
      <c r="X297" s="6"/>
      <c r="Y297" s="90"/>
    </row>
    <row r="298" spans="1:25" x14ac:dyDescent="0.25">
      <c r="A298" s="6"/>
      <c r="B298" s="6"/>
      <c r="C298" s="6"/>
      <c r="D298" s="6"/>
      <c r="E298" s="6"/>
      <c r="F298" s="6"/>
      <c r="G298" s="6"/>
      <c r="H298" s="6"/>
      <c r="I298" s="6"/>
      <c r="J298" s="6"/>
      <c r="K298" s="6"/>
      <c r="L298" s="6"/>
      <c r="M298" s="6"/>
      <c r="N298" s="6"/>
      <c r="O298" s="6"/>
      <c r="P298" s="6"/>
      <c r="Q298" s="6"/>
      <c r="R298" s="6"/>
      <c r="S298" s="6"/>
      <c r="T298" s="6"/>
      <c r="U298" s="6"/>
      <c r="V298" s="6"/>
      <c r="W298" s="6"/>
      <c r="X298" s="6"/>
      <c r="Y298" s="90"/>
    </row>
    <row r="299" spans="1:25" x14ac:dyDescent="0.25">
      <c r="A299" s="6"/>
      <c r="B299" s="6"/>
      <c r="C299" s="6"/>
      <c r="D299" s="6"/>
      <c r="E299" s="6"/>
      <c r="F299" s="6"/>
      <c r="G299" s="6"/>
      <c r="H299" s="6"/>
      <c r="I299" s="6"/>
      <c r="J299" s="6"/>
      <c r="K299" s="6"/>
      <c r="L299" s="6"/>
      <c r="M299" s="6"/>
      <c r="N299" s="6"/>
      <c r="O299" s="6"/>
      <c r="P299" s="6"/>
      <c r="Q299" s="6"/>
      <c r="R299" s="6"/>
      <c r="S299" s="6"/>
      <c r="T299" s="6"/>
      <c r="U299" s="6"/>
      <c r="V299" s="6"/>
      <c r="W299" s="6"/>
      <c r="X299" s="6"/>
      <c r="Y299" s="90"/>
    </row>
    <row r="300" spans="1:25" x14ac:dyDescent="0.25">
      <c r="A300" s="6"/>
      <c r="B300" s="6"/>
      <c r="C300" s="6"/>
      <c r="D300" s="6"/>
      <c r="E300" s="6"/>
      <c r="F300" s="6"/>
      <c r="G300" s="6"/>
      <c r="H300" s="6"/>
      <c r="I300" s="6"/>
      <c r="J300" s="6"/>
      <c r="K300" s="6"/>
      <c r="L300" s="6"/>
      <c r="M300" s="6"/>
      <c r="N300" s="6"/>
      <c r="O300" s="6"/>
      <c r="P300" s="6"/>
      <c r="Q300" s="6"/>
      <c r="R300" s="6"/>
      <c r="S300" s="6"/>
      <c r="T300" s="6"/>
      <c r="U300" s="6"/>
      <c r="V300" s="6"/>
      <c r="W300" s="6"/>
      <c r="X300" s="6"/>
      <c r="Y300" s="90"/>
    </row>
    <row r="301" spans="1:25" x14ac:dyDescent="0.25">
      <c r="A301" s="6"/>
      <c r="B301" s="6"/>
      <c r="C301" s="6"/>
      <c r="D301" s="6"/>
      <c r="E301" s="6"/>
      <c r="F301" s="6"/>
      <c r="G301" s="6"/>
      <c r="H301" s="6"/>
      <c r="I301" s="6"/>
      <c r="J301" s="6"/>
      <c r="K301" s="6"/>
      <c r="L301" s="6"/>
      <c r="M301" s="6"/>
      <c r="N301" s="6"/>
      <c r="O301" s="6"/>
      <c r="P301" s="6"/>
      <c r="Q301" s="6"/>
      <c r="R301" s="6"/>
      <c r="S301" s="6"/>
      <c r="T301" s="6"/>
      <c r="U301" s="6"/>
      <c r="V301" s="6"/>
      <c r="W301" s="6"/>
      <c r="X301" s="6"/>
      <c r="Y301" s="90"/>
    </row>
    <row r="302" spans="1:25" x14ac:dyDescent="0.25">
      <c r="A302" s="6"/>
      <c r="B302" s="6"/>
      <c r="C302" s="6"/>
      <c r="D302" s="6"/>
      <c r="E302" s="6"/>
      <c r="F302" s="6"/>
      <c r="G302" s="6"/>
      <c r="H302" s="6"/>
      <c r="I302" s="6"/>
      <c r="J302" s="6"/>
      <c r="K302" s="6"/>
      <c r="L302" s="6"/>
      <c r="M302" s="6"/>
      <c r="N302" s="6"/>
      <c r="O302" s="6"/>
      <c r="P302" s="6"/>
      <c r="Q302" s="6"/>
      <c r="R302" s="6"/>
      <c r="S302" s="6"/>
      <c r="T302" s="6"/>
      <c r="U302" s="6"/>
      <c r="V302" s="6"/>
      <c r="W302" s="6"/>
      <c r="X302" s="6"/>
      <c r="Y302" s="90"/>
    </row>
    <row r="303" spans="1:25" x14ac:dyDescent="0.25">
      <c r="A303" s="6"/>
      <c r="B303" s="6"/>
      <c r="C303" s="6"/>
      <c r="D303" s="6"/>
      <c r="E303" s="6"/>
      <c r="F303" s="6"/>
      <c r="G303" s="6"/>
      <c r="H303" s="6"/>
      <c r="I303" s="6"/>
      <c r="J303" s="6"/>
      <c r="K303" s="6"/>
      <c r="L303" s="6"/>
      <c r="M303" s="6"/>
      <c r="N303" s="6"/>
      <c r="O303" s="6"/>
      <c r="P303" s="6"/>
      <c r="Q303" s="6"/>
      <c r="R303" s="6"/>
      <c r="S303" s="6"/>
      <c r="T303" s="6"/>
      <c r="U303" s="6"/>
      <c r="V303" s="6"/>
      <c r="W303" s="6"/>
      <c r="X303" s="6"/>
      <c r="Y303" s="90"/>
    </row>
    <row r="304" spans="1:25" x14ac:dyDescent="0.25">
      <c r="A304" s="6"/>
      <c r="B304" s="6"/>
      <c r="C304" s="6"/>
      <c r="D304" s="6"/>
      <c r="E304" s="6"/>
      <c r="F304" s="6"/>
      <c r="G304" s="6"/>
      <c r="H304" s="6"/>
      <c r="I304" s="6"/>
      <c r="J304" s="6"/>
      <c r="K304" s="6"/>
      <c r="L304" s="6"/>
      <c r="M304" s="6"/>
      <c r="N304" s="6"/>
      <c r="O304" s="6"/>
      <c r="P304" s="6"/>
      <c r="Q304" s="6"/>
      <c r="R304" s="6"/>
      <c r="S304" s="6"/>
      <c r="T304" s="6"/>
      <c r="U304" s="6"/>
      <c r="V304" s="6"/>
      <c r="W304" s="6"/>
      <c r="X304" s="6"/>
      <c r="Y304" s="90"/>
    </row>
    <row r="305" spans="1:25" x14ac:dyDescent="0.25">
      <c r="A305" s="6"/>
      <c r="B305" s="6"/>
      <c r="C305" s="6"/>
      <c r="D305" s="6"/>
      <c r="E305" s="6"/>
      <c r="F305" s="6"/>
      <c r="G305" s="6"/>
      <c r="H305" s="6"/>
      <c r="I305" s="6"/>
      <c r="J305" s="6"/>
      <c r="K305" s="6"/>
      <c r="L305" s="6"/>
      <c r="M305" s="6"/>
      <c r="N305" s="6"/>
      <c r="O305" s="6"/>
      <c r="P305" s="6"/>
      <c r="Q305" s="6"/>
      <c r="R305" s="6"/>
      <c r="S305" s="6"/>
      <c r="T305" s="6"/>
      <c r="U305" s="6"/>
      <c r="V305" s="6"/>
      <c r="W305" s="6"/>
      <c r="X305" s="6"/>
      <c r="Y305" s="90"/>
    </row>
    <row r="306" spans="1:25" x14ac:dyDescent="0.25">
      <c r="A306" s="6"/>
      <c r="B306" s="6"/>
      <c r="C306" s="6"/>
      <c r="D306" s="6"/>
      <c r="E306" s="6"/>
      <c r="F306" s="6"/>
      <c r="G306" s="6"/>
      <c r="H306" s="6"/>
      <c r="I306" s="6"/>
      <c r="J306" s="6"/>
      <c r="K306" s="6"/>
      <c r="L306" s="6"/>
      <c r="M306" s="6"/>
      <c r="N306" s="6"/>
      <c r="O306" s="6"/>
      <c r="P306" s="6"/>
      <c r="Q306" s="6"/>
      <c r="R306" s="6"/>
      <c r="S306" s="6"/>
      <c r="T306" s="6"/>
      <c r="U306" s="6"/>
      <c r="V306" s="6"/>
      <c r="W306" s="6"/>
      <c r="X306" s="6"/>
      <c r="Y306" s="90"/>
    </row>
    <row r="307" spans="1:25" x14ac:dyDescent="0.25">
      <c r="A307" s="6"/>
      <c r="B307" s="6"/>
      <c r="C307" s="6"/>
      <c r="D307" s="6"/>
      <c r="E307" s="6"/>
      <c r="F307" s="6"/>
      <c r="G307" s="6"/>
      <c r="H307" s="6"/>
      <c r="I307" s="6"/>
      <c r="J307" s="6"/>
      <c r="K307" s="6"/>
      <c r="L307" s="6"/>
      <c r="M307" s="6"/>
      <c r="N307" s="6"/>
      <c r="O307" s="6"/>
      <c r="P307" s="6"/>
      <c r="Q307" s="6"/>
      <c r="R307" s="6"/>
      <c r="S307" s="6"/>
      <c r="T307" s="6"/>
      <c r="U307" s="6"/>
      <c r="V307" s="6"/>
      <c r="W307" s="6"/>
      <c r="X307" s="6"/>
      <c r="Y307" s="90"/>
    </row>
    <row r="308" spans="1:25" x14ac:dyDescent="0.25">
      <c r="A308" s="6"/>
      <c r="B308" s="6"/>
      <c r="C308" s="6"/>
      <c r="D308" s="6"/>
      <c r="E308" s="6"/>
      <c r="F308" s="6"/>
      <c r="G308" s="6"/>
      <c r="H308" s="6"/>
      <c r="I308" s="6"/>
      <c r="J308" s="6"/>
      <c r="K308" s="6"/>
      <c r="L308" s="6"/>
      <c r="M308" s="6"/>
      <c r="N308" s="6"/>
      <c r="O308" s="6"/>
      <c r="P308" s="6"/>
      <c r="Q308" s="6"/>
      <c r="R308" s="6"/>
      <c r="S308" s="6"/>
      <c r="T308" s="6"/>
      <c r="U308" s="6"/>
      <c r="V308" s="6"/>
      <c r="W308" s="6"/>
      <c r="X308" s="6"/>
      <c r="Y308" s="90"/>
    </row>
    <row r="309" spans="1:25" x14ac:dyDescent="0.25">
      <c r="A309" s="6"/>
      <c r="B309" s="6"/>
      <c r="C309" s="6"/>
      <c r="D309" s="6"/>
      <c r="E309" s="6"/>
      <c r="F309" s="6"/>
      <c r="G309" s="6"/>
      <c r="H309" s="6"/>
      <c r="I309" s="6"/>
      <c r="J309" s="6"/>
      <c r="K309" s="6"/>
      <c r="L309" s="6"/>
      <c r="M309" s="6"/>
      <c r="N309" s="6"/>
      <c r="O309" s="6"/>
      <c r="P309" s="6"/>
      <c r="Q309" s="6"/>
      <c r="R309" s="6"/>
      <c r="S309" s="6"/>
      <c r="T309" s="6"/>
      <c r="U309" s="6"/>
      <c r="V309" s="6"/>
      <c r="W309" s="6"/>
      <c r="X309" s="6"/>
      <c r="Y309" s="90"/>
    </row>
    <row r="310" spans="1:25" x14ac:dyDescent="0.25">
      <c r="A310" s="6"/>
      <c r="B310" s="6"/>
      <c r="C310" s="6"/>
      <c r="D310" s="6"/>
      <c r="E310" s="6"/>
      <c r="F310" s="6"/>
      <c r="G310" s="6"/>
      <c r="H310" s="6"/>
      <c r="I310" s="6"/>
      <c r="J310" s="6"/>
      <c r="K310" s="6"/>
      <c r="L310" s="6"/>
      <c r="M310" s="6"/>
      <c r="N310" s="6"/>
      <c r="O310" s="6"/>
      <c r="P310" s="6"/>
      <c r="Q310" s="6"/>
      <c r="R310" s="6"/>
      <c r="S310" s="6"/>
      <c r="T310" s="6"/>
      <c r="U310" s="6"/>
      <c r="V310" s="6"/>
      <c r="W310" s="6"/>
      <c r="X310" s="6"/>
      <c r="Y310" s="90"/>
    </row>
    <row r="311" spans="1:25" x14ac:dyDescent="0.25">
      <c r="A311" s="6"/>
      <c r="B311" s="6"/>
      <c r="C311" s="6"/>
      <c r="D311" s="6"/>
      <c r="E311" s="6"/>
      <c r="F311" s="6"/>
      <c r="G311" s="6"/>
      <c r="H311" s="6"/>
      <c r="I311" s="6"/>
      <c r="J311" s="6"/>
      <c r="K311" s="6"/>
      <c r="L311" s="6"/>
      <c r="M311" s="6"/>
      <c r="N311" s="6"/>
      <c r="O311" s="6"/>
      <c r="P311" s="6"/>
      <c r="Q311" s="6"/>
      <c r="R311" s="6"/>
      <c r="S311" s="6"/>
      <c r="T311" s="6"/>
      <c r="U311" s="6"/>
      <c r="V311" s="6"/>
      <c r="W311" s="6"/>
      <c r="X311" s="6"/>
      <c r="Y311" s="90"/>
    </row>
    <row r="312" spans="1:25" x14ac:dyDescent="0.25">
      <c r="A312" s="6"/>
      <c r="B312" s="6"/>
      <c r="C312" s="6"/>
      <c r="D312" s="6"/>
      <c r="E312" s="6"/>
      <c r="F312" s="6"/>
      <c r="G312" s="6"/>
      <c r="H312" s="6"/>
      <c r="I312" s="6"/>
      <c r="J312" s="6"/>
      <c r="K312" s="6"/>
      <c r="L312" s="6"/>
      <c r="M312" s="6"/>
      <c r="N312" s="6"/>
      <c r="O312" s="6"/>
      <c r="P312" s="6"/>
      <c r="Q312" s="6"/>
      <c r="R312" s="6"/>
      <c r="S312" s="6"/>
      <c r="T312" s="6"/>
      <c r="U312" s="6"/>
      <c r="V312" s="6"/>
      <c r="W312" s="6"/>
      <c r="X312" s="6"/>
      <c r="Y312" s="90"/>
    </row>
    <row r="313" spans="1:25" x14ac:dyDescent="0.25">
      <c r="A313" s="6"/>
      <c r="B313" s="6"/>
      <c r="C313" s="6"/>
      <c r="D313" s="6"/>
      <c r="E313" s="6"/>
      <c r="F313" s="6"/>
      <c r="G313" s="6"/>
      <c r="H313" s="6"/>
      <c r="I313" s="6"/>
      <c r="J313" s="6"/>
      <c r="K313" s="6"/>
      <c r="L313" s="6"/>
      <c r="M313" s="6"/>
      <c r="N313" s="6"/>
      <c r="O313" s="6"/>
      <c r="P313" s="6"/>
      <c r="Q313" s="6"/>
      <c r="R313" s="6"/>
      <c r="S313" s="6"/>
      <c r="T313" s="6"/>
      <c r="U313" s="6"/>
      <c r="V313" s="6"/>
      <c r="W313" s="6"/>
      <c r="X313" s="6"/>
      <c r="Y313" s="90"/>
    </row>
    <row r="314" spans="1:25" x14ac:dyDescent="0.25">
      <c r="A314" s="6"/>
      <c r="B314" s="6"/>
      <c r="C314" s="6"/>
      <c r="D314" s="6"/>
      <c r="E314" s="6"/>
      <c r="F314" s="6"/>
      <c r="G314" s="6"/>
      <c r="H314" s="6"/>
      <c r="I314" s="6"/>
      <c r="J314" s="6"/>
      <c r="K314" s="6"/>
      <c r="L314" s="6"/>
      <c r="M314" s="6"/>
      <c r="N314" s="6"/>
      <c r="O314" s="6"/>
      <c r="P314" s="6"/>
      <c r="Q314" s="6"/>
      <c r="R314" s="6"/>
      <c r="S314" s="6"/>
      <c r="T314" s="6"/>
      <c r="U314" s="6"/>
      <c r="V314" s="6"/>
      <c r="W314" s="6"/>
      <c r="X314" s="6"/>
      <c r="Y314" s="90"/>
    </row>
    <row r="315" spans="1:25" x14ac:dyDescent="0.25">
      <c r="A315" s="6"/>
      <c r="B315" s="6"/>
      <c r="C315" s="6"/>
      <c r="D315" s="6"/>
      <c r="E315" s="6"/>
      <c r="F315" s="6"/>
      <c r="G315" s="6"/>
      <c r="H315" s="6"/>
      <c r="I315" s="6"/>
      <c r="J315" s="6"/>
      <c r="K315" s="6"/>
      <c r="L315" s="6"/>
      <c r="M315" s="6"/>
      <c r="N315" s="6"/>
      <c r="O315" s="6"/>
      <c r="P315" s="6"/>
      <c r="Q315" s="6"/>
      <c r="R315" s="6"/>
      <c r="S315" s="6"/>
      <c r="T315" s="6"/>
      <c r="U315" s="6"/>
      <c r="V315" s="6"/>
      <c r="W315" s="6"/>
      <c r="X315" s="6"/>
      <c r="Y315" s="90"/>
    </row>
    <row r="316" spans="1:25" x14ac:dyDescent="0.25">
      <c r="A316" s="6"/>
      <c r="B316" s="6"/>
      <c r="C316" s="6"/>
      <c r="D316" s="6"/>
      <c r="E316" s="6"/>
      <c r="F316" s="6"/>
      <c r="G316" s="6"/>
      <c r="H316" s="6"/>
      <c r="I316" s="6"/>
      <c r="J316" s="6"/>
      <c r="K316" s="6"/>
      <c r="L316" s="6"/>
      <c r="M316" s="6"/>
      <c r="N316" s="6"/>
      <c r="O316" s="6"/>
      <c r="P316" s="6"/>
      <c r="Q316" s="6"/>
      <c r="R316" s="6"/>
      <c r="S316" s="6"/>
      <c r="T316" s="6"/>
      <c r="U316" s="6"/>
      <c r="V316" s="6"/>
      <c r="W316" s="6"/>
      <c r="X316" s="6"/>
      <c r="Y316" s="90"/>
    </row>
    <row r="317" spans="1:25" x14ac:dyDescent="0.25">
      <c r="A317" s="6"/>
      <c r="B317" s="6"/>
      <c r="C317" s="6"/>
      <c r="D317" s="6"/>
      <c r="E317" s="6"/>
      <c r="F317" s="6"/>
      <c r="G317" s="6"/>
      <c r="H317" s="6"/>
      <c r="I317" s="6"/>
      <c r="J317" s="6"/>
      <c r="K317" s="6"/>
      <c r="L317" s="6"/>
      <c r="M317" s="6"/>
      <c r="N317" s="6"/>
      <c r="O317" s="6"/>
      <c r="P317" s="6"/>
      <c r="Q317" s="6"/>
      <c r="R317" s="6"/>
      <c r="S317" s="6"/>
      <c r="T317" s="6"/>
      <c r="U317" s="6"/>
      <c r="V317" s="6"/>
      <c r="W317" s="6"/>
      <c r="X317" s="6"/>
      <c r="Y317" s="90"/>
    </row>
    <row r="318" spans="1:25" x14ac:dyDescent="0.25">
      <c r="A318" s="6"/>
      <c r="B318" s="6"/>
      <c r="C318" s="6"/>
      <c r="D318" s="6"/>
      <c r="E318" s="6"/>
      <c r="F318" s="6"/>
      <c r="G318" s="6"/>
      <c r="H318" s="6"/>
      <c r="I318" s="6"/>
      <c r="J318" s="6"/>
      <c r="K318" s="6"/>
      <c r="L318" s="6"/>
      <c r="M318" s="6"/>
      <c r="N318" s="6"/>
      <c r="O318" s="6"/>
      <c r="P318" s="6"/>
      <c r="Q318" s="6"/>
      <c r="R318" s="6"/>
      <c r="S318" s="6"/>
      <c r="T318" s="6"/>
      <c r="U318" s="6"/>
      <c r="V318" s="6"/>
      <c r="W318" s="6"/>
      <c r="X318" s="6"/>
      <c r="Y318" s="90"/>
    </row>
    <row r="319" spans="1:25" x14ac:dyDescent="0.25">
      <c r="A319" s="6"/>
      <c r="B319" s="6"/>
      <c r="C319" s="6"/>
      <c r="D319" s="6"/>
      <c r="E319" s="6"/>
      <c r="F319" s="6"/>
      <c r="G319" s="6"/>
      <c r="H319" s="6"/>
      <c r="I319" s="6"/>
      <c r="J319" s="6"/>
      <c r="K319" s="6"/>
      <c r="L319" s="6"/>
      <c r="M319" s="6"/>
      <c r="N319" s="6"/>
      <c r="O319" s="6"/>
      <c r="P319" s="6"/>
      <c r="Q319" s="6"/>
      <c r="R319" s="6"/>
      <c r="S319" s="6"/>
      <c r="T319" s="6"/>
      <c r="U319" s="6"/>
      <c r="V319" s="6"/>
      <c r="W319" s="6"/>
      <c r="X319" s="6"/>
      <c r="Y319" s="90"/>
    </row>
    <row r="320" spans="1:25" x14ac:dyDescent="0.25">
      <c r="A320" s="6"/>
      <c r="B320" s="6"/>
      <c r="C320" s="6"/>
      <c r="D320" s="6"/>
      <c r="E320" s="6"/>
      <c r="F320" s="6"/>
      <c r="G320" s="6"/>
      <c r="H320" s="6"/>
      <c r="I320" s="6"/>
      <c r="J320" s="6"/>
      <c r="K320" s="6"/>
      <c r="L320" s="6"/>
      <c r="M320" s="6"/>
      <c r="N320" s="6"/>
      <c r="O320" s="6"/>
      <c r="P320" s="6"/>
      <c r="Q320" s="6"/>
      <c r="R320" s="6"/>
      <c r="S320" s="6"/>
      <c r="T320" s="6"/>
      <c r="U320" s="6"/>
      <c r="V320" s="6"/>
      <c r="W320" s="6"/>
      <c r="X320" s="6"/>
      <c r="Y320" s="90"/>
    </row>
    <row r="321" spans="1:25" x14ac:dyDescent="0.25">
      <c r="A321" s="6"/>
      <c r="B321" s="6"/>
      <c r="C321" s="6"/>
      <c r="D321" s="6"/>
      <c r="E321" s="6"/>
      <c r="F321" s="6"/>
      <c r="G321" s="6"/>
      <c r="H321" s="6"/>
      <c r="I321" s="6"/>
      <c r="J321" s="6"/>
      <c r="K321" s="6"/>
      <c r="L321" s="6"/>
      <c r="M321" s="6"/>
      <c r="N321" s="6"/>
      <c r="O321" s="6"/>
      <c r="P321" s="6"/>
      <c r="Q321" s="6"/>
      <c r="R321" s="6"/>
      <c r="S321" s="6"/>
      <c r="T321" s="6"/>
      <c r="U321" s="6"/>
      <c r="V321" s="6"/>
      <c r="W321" s="6"/>
      <c r="X321" s="6"/>
      <c r="Y321" s="90"/>
    </row>
    <row r="322" spans="1:25" x14ac:dyDescent="0.25">
      <c r="A322" s="6"/>
      <c r="B322" s="6"/>
      <c r="C322" s="6"/>
      <c r="D322" s="6"/>
      <c r="E322" s="6"/>
      <c r="F322" s="6"/>
      <c r="G322" s="6"/>
      <c r="H322" s="6"/>
      <c r="I322" s="6"/>
      <c r="J322" s="6"/>
      <c r="K322" s="6"/>
      <c r="L322" s="6"/>
      <c r="M322" s="6"/>
      <c r="N322" s="6"/>
      <c r="O322" s="6"/>
      <c r="P322" s="6"/>
      <c r="Q322" s="6"/>
      <c r="R322" s="6"/>
      <c r="S322" s="6"/>
      <c r="T322" s="6"/>
      <c r="U322" s="6"/>
      <c r="V322" s="6"/>
      <c r="W322" s="6"/>
      <c r="X322" s="6"/>
      <c r="Y322" s="90"/>
    </row>
    <row r="323" spans="1:25" x14ac:dyDescent="0.25">
      <c r="A323" s="6"/>
      <c r="B323" s="6"/>
      <c r="C323" s="6"/>
      <c r="D323" s="6"/>
      <c r="E323" s="6"/>
      <c r="F323" s="6"/>
      <c r="G323" s="6"/>
      <c r="H323" s="6"/>
      <c r="I323" s="6"/>
      <c r="J323" s="6"/>
      <c r="K323" s="6"/>
      <c r="L323" s="6"/>
      <c r="M323" s="6"/>
      <c r="N323" s="6"/>
      <c r="O323" s="6"/>
      <c r="P323" s="6"/>
      <c r="Q323" s="6"/>
      <c r="R323" s="6"/>
      <c r="S323" s="6"/>
      <c r="T323" s="6"/>
      <c r="U323" s="6"/>
      <c r="V323" s="6"/>
      <c r="W323" s="6"/>
      <c r="X323" s="6"/>
      <c r="Y323" s="90"/>
    </row>
    <row r="324" spans="1:25" x14ac:dyDescent="0.25">
      <c r="A324" s="6"/>
      <c r="B324" s="6"/>
      <c r="C324" s="6"/>
      <c r="D324" s="6"/>
      <c r="E324" s="6"/>
      <c r="F324" s="6"/>
      <c r="G324" s="6"/>
      <c r="H324" s="6"/>
      <c r="I324" s="6"/>
      <c r="J324" s="6"/>
      <c r="K324" s="6"/>
      <c r="L324" s="6"/>
      <c r="M324" s="6"/>
      <c r="N324" s="6"/>
      <c r="O324" s="6"/>
      <c r="P324" s="6"/>
      <c r="Q324" s="6"/>
      <c r="R324" s="6"/>
      <c r="S324" s="6"/>
      <c r="T324" s="6"/>
      <c r="U324" s="6"/>
      <c r="V324" s="6"/>
      <c r="W324" s="6"/>
      <c r="X324" s="6"/>
      <c r="Y324" s="90"/>
    </row>
    <row r="325" spans="1:25" x14ac:dyDescent="0.25">
      <c r="A325" s="6"/>
      <c r="B325" s="6"/>
      <c r="C325" s="6"/>
      <c r="D325" s="6"/>
      <c r="E325" s="6"/>
      <c r="F325" s="6"/>
      <c r="G325" s="6"/>
      <c r="H325" s="6"/>
      <c r="I325" s="6"/>
      <c r="J325" s="6"/>
      <c r="K325" s="6"/>
      <c r="L325" s="6"/>
      <c r="M325" s="6"/>
      <c r="N325" s="6"/>
      <c r="O325" s="6"/>
      <c r="P325" s="6"/>
      <c r="Q325" s="6"/>
      <c r="R325" s="6"/>
      <c r="S325" s="6"/>
      <c r="T325" s="6"/>
      <c r="U325" s="6"/>
      <c r="V325" s="6"/>
      <c r="W325" s="6"/>
      <c r="X325" s="6"/>
      <c r="Y325" s="90"/>
    </row>
    <row r="326" spans="1:25" x14ac:dyDescent="0.25">
      <c r="A326" s="6"/>
      <c r="B326" s="6"/>
      <c r="C326" s="6"/>
      <c r="D326" s="6"/>
      <c r="E326" s="6"/>
      <c r="F326" s="6"/>
      <c r="G326" s="6"/>
      <c r="H326" s="6"/>
      <c r="I326" s="6"/>
      <c r="J326" s="6"/>
      <c r="K326" s="6"/>
      <c r="L326" s="6"/>
      <c r="M326" s="6"/>
      <c r="N326" s="6"/>
      <c r="O326" s="6"/>
      <c r="P326" s="6"/>
      <c r="Q326" s="6"/>
      <c r="R326" s="6"/>
      <c r="S326" s="6"/>
      <c r="T326" s="6"/>
      <c r="U326" s="6"/>
      <c r="V326" s="6"/>
      <c r="W326" s="6"/>
      <c r="X326" s="6"/>
      <c r="Y326" s="90"/>
    </row>
    <row r="327" spans="1:25" x14ac:dyDescent="0.25">
      <c r="A327" s="6"/>
      <c r="B327" s="6"/>
      <c r="C327" s="6"/>
      <c r="D327" s="6"/>
      <c r="E327" s="6"/>
      <c r="F327" s="6"/>
      <c r="G327" s="6"/>
      <c r="H327" s="6"/>
      <c r="I327" s="6"/>
      <c r="J327" s="6"/>
      <c r="K327" s="6"/>
      <c r="L327" s="6"/>
      <c r="M327" s="6"/>
      <c r="N327" s="6"/>
      <c r="O327" s="6"/>
      <c r="P327" s="6"/>
      <c r="Q327" s="6"/>
      <c r="R327" s="6"/>
      <c r="S327" s="6"/>
      <c r="T327" s="6"/>
      <c r="U327" s="6"/>
      <c r="V327" s="6"/>
      <c r="W327" s="6"/>
      <c r="X327" s="6"/>
      <c r="Y327" s="90"/>
    </row>
    <row r="328" spans="1:25" x14ac:dyDescent="0.25">
      <c r="A328" s="6"/>
      <c r="B328" s="6"/>
      <c r="C328" s="6"/>
      <c r="D328" s="6"/>
      <c r="E328" s="6"/>
      <c r="F328" s="6"/>
      <c r="G328" s="6"/>
      <c r="H328" s="6"/>
      <c r="I328" s="6"/>
      <c r="J328" s="6"/>
      <c r="K328" s="6"/>
      <c r="L328" s="6"/>
      <c r="M328" s="6"/>
      <c r="N328" s="6"/>
      <c r="O328" s="6"/>
      <c r="P328" s="6"/>
      <c r="Q328" s="6"/>
      <c r="R328" s="6"/>
      <c r="S328" s="6"/>
      <c r="T328" s="6"/>
      <c r="U328" s="6"/>
      <c r="V328" s="6"/>
      <c r="W328" s="6"/>
      <c r="X328" s="6"/>
      <c r="Y328" s="90"/>
    </row>
    <row r="329" spans="1:25" x14ac:dyDescent="0.25">
      <c r="A329" s="6"/>
      <c r="B329" s="6"/>
      <c r="C329" s="6"/>
      <c r="D329" s="6"/>
      <c r="E329" s="6"/>
      <c r="F329" s="6"/>
      <c r="G329" s="6"/>
      <c r="H329" s="6"/>
      <c r="I329" s="6"/>
      <c r="J329" s="6"/>
      <c r="K329" s="6"/>
      <c r="L329" s="6"/>
      <c r="M329" s="6"/>
      <c r="N329" s="6"/>
      <c r="O329" s="6"/>
      <c r="P329" s="6"/>
      <c r="Q329" s="6"/>
      <c r="R329" s="6"/>
      <c r="S329" s="6"/>
      <c r="T329" s="6"/>
      <c r="U329" s="6"/>
      <c r="V329" s="6"/>
      <c r="W329" s="6"/>
      <c r="X329" s="6"/>
      <c r="Y329" s="90"/>
    </row>
    <row r="330" spans="1:25" x14ac:dyDescent="0.25">
      <c r="A330" s="6"/>
      <c r="B330" s="6"/>
      <c r="C330" s="6"/>
      <c r="D330" s="6"/>
      <c r="E330" s="6"/>
      <c r="F330" s="6"/>
      <c r="G330" s="6"/>
      <c r="H330" s="6"/>
      <c r="I330" s="6"/>
      <c r="J330" s="6"/>
      <c r="K330" s="6"/>
      <c r="L330" s="6"/>
      <c r="M330" s="6"/>
      <c r="N330" s="6"/>
      <c r="O330" s="6"/>
      <c r="P330" s="6"/>
      <c r="Q330" s="6"/>
      <c r="R330" s="6"/>
      <c r="S330" s="6"/>
      <c r="T330" s="6"/>
      <c r="U330" s="6"/>
      <c r="V330" s="6"/>
      <c r="W330" s="6"/>
      <c r="X330" s="6"/>
      <c r="Y330" s="90"/>
    </row>
    <row r="331" spans="1:25" x14ac:dyDescent="0.25">
      <c r="A331" s="6"/>
      <c r="B331" s="6"/>
      <c r="C331" s="6"/>
      <c r="D331" s="6"/>
      <c r="E331" s="6"/>
      <c r="F331" s="6"/>
      <c r="G331" s="6"/>
      <c r="H331" s="6"/>
      <c r="I331" s="6"/>
      <c r="J331" s="6"/>
      <c r="K331" s="6"/>
      <c r="L331" s="6"/>
      <c r="M331" s="6"/>
      <c r="N331" s="6"/>
      <c r="O331" s="6"/>
      <c r="P331" s="6"/>
      <c r="Q331" s="6"/>
      <c r="R331" s="6"/>
      <c r="S331" s="6"/>
      <c r="T331" s="6"/>
      <c r="U331" s="6"/>
      <c r="V331" s="6"/>
      <c r="W331" s="6"/>
      <c r="X331" s="6"/>
      <c r="Y331" s="90"/>
    </row>
    <row r="332" spans="1:25" x14ac:dyDescent="0.25">
      <c r="A332" s="6"/>
      <c r="B332" s="6"/>
      <c r="C332" s="6"/>
      <c r="D332" s="6"/>
      <c r="E332" s="6"/>
      <c r="F332" s="6"/>
      <c r="G332" s="6"/>
      <c r="H332" s="6"/>
      <c r="I332" s="6"/>
      <c r="J332" s="6"/>
      <c r="K332" s="6"/>
      <c r="L332" s="6"/>
      <c r="M332" s="6"/>
      <c r="N332" s="6"/>
      <c r="O332" s="6"/>
      <c r="P332" s="6"/>
      <c r="Q332" s="6"/>
      <c r="R332" s="6"/>
      <c r="S332" s="6"/>
      <c r="T332" s="6"/>
      <c r="U332" s="6"/>
      <c r="V332" s="6"/>
      <c r="W332" s="6"/>
      <c r="X332" s="6"/>
      <c r="Y332" s="90"/>
    </row>
    <row r="333" spans="1:25" x14ac:dyDescent="0.25">
      <c r="A333" s="6"/>
      <c r="B333" s="6"/>
      <c r="C333" s="6"/>
      <c r="D333" s="6"/>
      <c r="E333" s="6"/>
      <c r="F333" s="6"/>
      <c r="G333" s="6"/>
      <c r="H333" s="6"/>
      <c r="I333" s="6"/>
      <c r="J333" s="6"/>
      <c r="K333" s="6"/>
      <c r="L333" s="6"/>
      <c r="M333" s="6"/>
      <c r="N333" s="6"/>
      <c r="O333" s="6"/>
      <c r="P333" s="6"/>
      <c r="Q333" s="6"/>
      <c r="R333" s="6"/>
      <c r="S333" s="6"/>
      <c r="T333" s="6"/>
      <c r="U333" s="6"/>
      <c r="V333" s="6"/>
      <c r="W333" s="6"/>
      <c r="X333" s="6"/>
      <c r="Y333" s="90"/>
    </row>
    <row r="334" spans="1:25" x14ac:dyDescent="0.25">
      <c r="A334" s="6"/>
      <c r="B334" s="6"/>
      <c r="C334" s="6"/>
      <c r="D334" s="6"/>
      <c r="E334" s="6"/>
      <c r="F334" s="6"/>
      <c r="G334" s="6"/>
      <c r="H334" s="6"/>
      <c r="I334" s="6"/>
      <c r="J334" s="6"/>
      <c r="K334" s="6"/>
      <c r="L334" s="6"/>
      <c r="M334" s="6"/>
      <c r="N334" s="6"/>
      <c r="O334" s="6"/>
      <c r="P334" s="6"/>
      <c r="Q334" s="6"/>
      <c r="R334" s="6"/>
      <c r="S334" s="6"/>
      <c r="T334" s="6"/>
      <c r="U334" s="6"/>
      <c r="V334" s="6"/>
      <c r="W334" s="6"/>
      <c r="X334" s="6"/>
      <c r="Y334" s="90"/>
    </row>
    <row r="335" spans="1:25" x14ac:dyDescent="0.25">
      <c r="A335" s="6"/>
      <c r="B335" s="6"/>
      <c r="C335" s="6"/>
      <c r="D335" s="6"/>
      <c r="E335" s="6"/>
      <c r="F335" s="6"/>
      <c r="G335" s="6"/>
      <c r="H335" s="6"/>
      <c r="I335" s="6"/>
      <c r="J335" s="6"/>
      <c r="K335" s="6"/>
      <c r="L335" s="6"/>
      <c r="M335" s="6"/>
      <c r="N335" s="6"/>
      <c r="O335" s="6"/>
      <c r="P335" s="6"/>
      <c r="Q335" s="6"/>
      <c r="R335" s="6"/>
      <c r="S335" s="6"/>
      <c r="T335" s="6"/>
      <c r="U335" s="6"/>
      <c r="V335" s="6"/>
      <c r="W335" s="6"/>
      <c r="X335" s="6"/>
      <c r="Y335" s="90"/>
    </row>
    <row r="336" spans="1:25" x14ac:dyDescent="0.25">
      <c r="A336" s="6"/>
      <c r="B336" s="6"/>
      <c r="C336" s="6"/>
      <c r="D336" s="6"/>
      <c r="E336" s="6"/>
      <c r="F336" s="6"/>
      <c r="G336" s="6"/>
      <c r="H336" s="6"/>
      <c r="I336" s="6"/>
      <c r="J336" s="6"/>
      <c r="K336" s="6"/>
      <c r="L336" s="6"/>
      <c r="M336" s="6"/>
      <c r="N336" s="6"/>
      <c r="O336" s="6"/>
      <c r="P336" s="6"/>
      <c r="Q336" s="6"/>
      <c r="R336" s="6"/>
      <c r="S336" s="6"/>
      <c r="T336" s="6"/>
      <c r="U336" s="6"/>
      <c r="V336" s="6"/>
      <c r="W336" s="6"/>
      <c r="X336" s="6"/>
      <c r="Y336" s="90"/>
    </row>
    <row r="337" spans="1:25" x14ac:dyDescent="0.25">
      <c r="A337" s="6"/>
      <c r="B337" s="6"/>
      <c r="C337" s="6"/>
      <c r="D337" s="6"/>
      <c r="E337" s="6"/>
      <c r="F337" s="6"/>
      <c r="G337" s="6"/>
      <c r="H337" s="6"/>
      <c r="I337" s="6"/>
      <c r="J337" s="6"/>
      <c r="K337" s="6"/>
      <c r="L337" s="6"/>
      <c r="M337" s="6"/>
      <c r="N337" s="6"/>
      <c r="O337" s="6"/>
      <c r="P337" s="6"/>
      <c r="Q337" s="6"/>
      <c r="R337" s="6"/>
      <c r="S337" s="6"/>
      <c r="T337" s="6"/>
      <c r="U337" s="6"/>
      <c r="V337" s="6"/>
      <c r="W337" s="6"/>
      <c r="X337" s="6"/>
      <c r="Y337" s="90"/>
    </row>
    <row r="338" spans="1:25" x14ac:dyDescent="0.25">
      <c r="A338" s="6"/>
      <c r="B338" s="6"/>
      <c r="C338" s="6"/>
      <c r="D338" s="6"/>
      <c r="E338" s="6"/>
      <c r="F338" s="6"/>
      <c r="G338" s="6"/>
      <c r="H338" s="6"/>
      <c r="I338" s="6"/>
      <c r="J338" s="6"/>
      <c r="K338" s="6"/>
      <c r="L338" s="6"/>
      <c r="M338" s="6"/>
      <c r="N338" s="6"/>
      <c r="O338" s="6"/>
      <c r="P338" s="6"/>
      <c r="Q338" s="6"/>
      <c r="R338" s="6"/>
      <c r="S338" s="6"/>
      <c r="T338" s="6"/>
      <c r="U338" s="6"/>
      <c r="V338" s="6"/>
      <c r="W338" s="6"/>
      <c r="X338" s="6"/>
      <c r="Y338" s="90"/>
    </row>
    <row r="339" spans="1:25" x14ac:dyDescent="0.25">
      <c r="A339" s="6"/>
      <c r="B339" s="6"/>
      <c r="C339" s="6"/>
      <c r="D339" s="6"/>
      <c r="E339" s="6"/>
      <c r="F339" s="6"/>
      <c r="G339" s="6"/>
      <c r="H339" s="6"/>
      <c r="I339" s="6"/>
      <c r="J339" s="6"/>
      <c r="K339" s="6"/>
      <c r="L339" s="6"/>
      <c r="M339" s="6"/>
      <c r="N339" s="6"/>
      <c r="O339" s="6"/>
      <c r="P339" s="6"/>
      <c r="Q339" s="6"/>
      <c r="R339" s="6"/>
      <c r="S339" s="6"/>
      <c r="T339" s="6"/>
      <c r="U339" s="6"/>
      <c r="V339" s="6"/>
      <c r="W339" s="6"/>
      <c r="X339" s="6"/>
      <c r="Y339" s="90"/>
    </row>
    <row r="340" spans="1:25" x14ac:dyDescent="0.25">
      <c r="A340" s="6"/>
      <c r="B340" s="6"/>
      <c r="C340" s="6"/>
      <c r="D340" s="6"/>
      <c r="E340" s="6"/>
      <c r="F340" s="6"/>
      <c r="G340" s="6"/>
      <c r="H340" s="6"/>
      <c r="I340" s="6"/>
      <c r="J340" s="6"/>
      <c r="K340" s="6"/>
      <c r="L340" s="6"/>
      <c r="M340" s="6"/>
      <c r="N340" s="6"/>
      <c r="O340" s="6"/>
      <c r="P340" s="6"/>
      <c r="Q340" s="6"/>
      <c r="R340" s="6"/>
      <c r="S340" s="6"/>
      <c r="T340" s="6"/>
      <c r="U340" s="6"/>
      <c r="V340" s="6"/>
      <c r="W340" s="6"/>
      <c r="X340" s="6"/>
      <c r="Y340" s="90"/>
    </row>
    <row r="341" spans="1:25" x14ac:dyDescent="0.25">
      <c r="A341" s="6"/>
      <c r="B341" s="6"/>
      <c r="C341" s="6"/>
      <c r="D341" s="6"/>
      <c r="E341" s="6"/>
      <c r="F341" s="6"/>
      <c r="G341" s="6"/>
      <c r="H341" s="6"/>
      <c r="I341" s="6"/>
      <c r="J341" s="6"/>
      <c r="K341" s="6"/>
      <c r="L341" s="6"/>
      <c r="M341" s="6"/>
      <c r="N341" s="6"/>
      <c r="O341" s="6"/>
      <c r="P341" s="6"/>
      <c r="Q341" s="6"/>
      <c r="R341" s="6"/>
      <c r="S341" s="6"/>
      <c r="T341" s="6"/>
      <c r="U341" s="6"/>
      <c r="V341" s="6"/>
      <c r="W341" s="6"/>
      <c r="X341" s="6"/>
      <c r="Y341" s="90"/>
    </row>
    <row r="342" spans="1:25" x14ac:dyDescent="0.25">
      <c r="A342" s="6"/>
      <c r="B342" s="6"/>
      <c r="C342" s="6"/>
      <c r="D342" s="6"/>
      <c r="E342" s="6"/>
      <c r="F342" s="6"/>
      <c r="G342" s="6"/>
      <c r="H342" s="6"/>
      <c r="I342" s="6"/>
      <c r="J342" s="6"/>
      <c r="K342" s="6"/>
      <c r="L342" s="6"/>
      <c r="M342" s="6"/>
      <c r="N342" s="6"/>
      <c r="O342" s="6"/>
      <c r="P342" s="6"/>
      <c r="Q342" s="6"/>
      <c r="R342" s="6"/>
      <c r="S342" s="6"/>
      <c r="T342" s="6"/>
      <c r="U342" s="6"/>
      <c r="V342" s="6"/>
      <c r="W342" s="6"/>
      <c r="X342" s="6"/>
      <c r="Y342" s="90"/>
    </row>
    <row r="343" spans="1:25" x14ac:dyDescent="0.25">
      <c r="A343" s="6"/>
      <c r="B343" s="6"/>
      <c r="C343" s="6"/>
      <c r="D343" s="6"/>
      <c r="E343" s="6"/>
      <c r="F343" s="6"/>
      <c r="G343" s="6"/>
      <c r="H343" s="6"/>
      <c r="I343" s="6"/>
      <c r="J343" s="6"/>
      <c r="K343" s="6"/>
      <c r="L343" s="6"/>
      <c r="M343" s="6"/>
      <c r="N343" s="6"/>
      <c r="O343" s="6"/>
      <c r="P343" s="6"/>
      <c r="Q343" s="6"/>
      <c r="R343" s="6"/>
      <c r="S343" s="6"/>
      <c r="T343" s="6"/>
      <c r="U343" s="6"/>
      <c r="V343" s="6"/>
      <c r="W343" s="6"/>
      <c r="X343" s="6"/>
      <c r="Y343" s="90"/>
    </row>
    <row r="344" spans="1:25" x14ac:dyDescent="0.25">
      <c r="A344" s="6"/>
      <c r="B344" s="6"/>
      <c r="C344" s="6"/>
      <c r="D344" s="6"/>
      <c r="E344" s="6"/>
      <c r="F344" s="6"/>
      <c r="G344" s="6"/>
      <c r="H344" s="6"/>
      <c r="I344" s="6"/>
      <c r="J344" s="6"/>
      <c r="K344" s="6"/>
      <c r="L344" s="6"/>
      <c r="M344" s="6"/>
      <c r="N344" s="6"/>
      <c r="O344" s="6"/>
      <c r="P344" s="6"/>
      <c r="Q344" s="6"/>
      <c r="R344" s="6"/>
      <c r="S344" s="6"/>
      <c r="T344" s="6"/>
      <c r="U344" s="6"/>
      <c r="V344" s="6"/>
      <c r="W344" s="6"/>
      <c r="X344" s="6"/>
      <c r="Y344" s="90"/>
    </row>
    <row r="345" spans="1:25" x14ac:dyDescent="0.25">
      <c r="A345" s="6"/>
      <c r="B345" s="6"/>
      <c r="C345" s="6"/>
      <c r="D345" s="6"/>
      <c r="E345" s="6"/>
      <c r="F345" s="6"/>
      <c r="G345" s="6"/>
      <c r="H345" s="6"/>
      <c r="I345" s="6"/>
      <c r="J345" s="6"/>
      <c r="K345" s="6"/>
      <c r="L345" s="6"/>
      <c r="M345" s="6"/>
      <c r="N345" s="6"/>
      <c r="O345" s="6"/>
      <c r="P345" s="6"/>
      <c r="Q345" s="6"/>
      <c r="R345" s="6"/>
      <c r="S345" s="6"/>
      <c r="T345" s="6"/>
      <c r="U345" s="6"/>
      <c r="V345" s="6"/>
      <c r="W345" s="6"/>
      <c r="X345" s="6"/>
      <c r="Y345" s="90"/>
    </row>
    <row r="346" spans="1:25" x14ac:dyDescent="0.25">
      <c r="A346" s="6"/>
      <c r="B346" s="6"/>
      <c r="C346" s="6"/>
      <c r="D346" s="6"/>
      <c r="E346" s="6"/>
      <c r="F346" s="6"/>
      <c r="G346" s="6"/>
      <c r="H346" s="6"/>
      <c r="I346" s="6"/>
      <c r="J346" s="6"/>
      <c r="K346" s="6"/>
      <c r="L346" s="6"/>
      <c r="M346" s="6"/>
      <c r="N346" s="6"/>
      <c r="O346" s="6"/>
      <c r="P346" s="6"/>
      <c r="Q346" s="6"/>
      <c r="R346" s="6"/>
      <c r="S346" s="6"/>
      <c r="T346" s="6"/>
      <c r="U346" s="6"/>
      <c r="V346" s="6"/>
      <c r="W346" s="6"/>
      <c r="X346" s="6"/>
      <c r="Y346" s="90"/>
    </row>
  </sheetData>
  <sheetProtection sheet="1" objects="1" scenarios="1"/>
  <protectedRanges>
    <protectedRange sqref="Z264" name="Usage_1"/>
  </protectedRanges>
  <mergeCells count="13">
    <mergeCell ref="B1:S1"/>
    <mergeCell ref="B2:S2"/>
    <mergeCell ref="F3:S3"/>
    <mergeCell ref="B264:J264"/>
    <mergeCell ref="T4:Y4"/>
    <mergeCell ref="C147:C152"/>
    <mergeCell ref="D147:D152"/>
    <mergeCell ref="C247:C262"/>
    <mergeCell ref="D247:D262"/>
    <mergeCell ref="B4:D4"/>
    <mergeCell ref="F4:J4"/>
    <mergeCell ref="P4:S4"/>
    <mergeCell ref="K4:O4"/>
  </mergeCells>
  <conditionalFormatting sqref="A263:Y263 A265:Y443">
    <cfRule type="expression" dxfId="0" priority="1" stopIfTrue="1">
      <formula>AND(LEN($A263),NOT(LEN($Z263)))</formula>
    </cfRule>
  </conditionalFormatting>
  <dataValidations disablePrompts="1" count="1">
    <dataValidation type="list" showInputMessage="1" showErrorMessage="1" sqref="Z264">
      <formula1>$E264:$J264</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252"/>
  <sheetViews>
    <sheetView workbookViewId="0">
      <pane ySplit="1275" topLeftCell="A217" activePane="bottomLeft"/>
      <selection pane="bottomLeft" activeCell="D251" sqref="D251"/>
    </sheetView>
  </sheetViews>
  <sheetFormatPr defaultRowHeight="15" x14ac:dyDescent="0.25"/>
  <cols>
    <col min="1" max="1" width="17.7109375" customWidth="1"/>
    <col min="2" max="10" width="12.7109375" customWidth="1"/>
  </cols>
  <sheetData>
    <row r="1" spans="1:10" ht="18.75" x14ac:dyDescent="0.3">
      <c r="A1" s="296" t="s">
        <v>3026</v>
      </c>
      <c r="B1" s="297"/>
      <c r="C1" s="298" t="s">
        <v>3027</v>
      </c>
      <c r="D1" s="297"/>
      <c r="E1" s="297"/>
      <c r="F1" s="297"/>
      <c r="G1" s="297"/>
      <c r="H1" s="297"/>
      <c r="I1" s="297"/>
      <c r="J1" s="299"/>
    </row>
    <row r="2" spans="1:10" ht="15.75" thickBot="1" x14ac:dyDescent="0.3">
      <c r="A2" s="300"/>
      <c r="B2" s="297"/>
      <c r="C2" s="297"/>
      <c r="D2" s="297"/>
      <c r="E2" s="297"/>
      <c r="F2" s="297"/>
      <c r="G2" s="297"/>
      <c r="H2" s="297"/>
      <c r="I2" s="297"/>
      <c r="J2" s="299"/>
    </row>
    <row r="3" spans="1:10" ht="15.75" thickBot="1" x14ac:dyDescent="0.3">
      <c r="A3" s="301" t="s">
        <v>2</v>
      </c>
      <c r="B3" s="302" t="s">
        <v>3</v>
      </c>
      <c r="C3" s="303" t="s">
        <v>3028</v>
      </c>
      <c r="D3" s="304" t="s">
        <v>3029</v>
      </c>
      <c r="E3" s="305" t="s">
        <v>3030</v>
      </c>
      <c r="F3" s="305" t="s">
        <v>3031</v>
      </c>
      <c r="G3" s="306" t="s">
        <v>3032</v>
      </c>
      <c r="H3" s="307" t="s">
        <v>3033</v>
      </c>
      <c r="I3" s="303" t="s">
        <v>3034</v>
      </c>
      <c r="J3" s="308" t="s">
        <v>3035</v>
      </c>
    </row>
    <row r="4" spans="1:10" x14ac:dyDescent="0.25">
      <c r="A4" s="309" t="s">
        <v>37</v>
      </c>
      <c r="B4" s="310" t="s">
        <v>3036</v>
      </c>
      <c r="C4" s="311" t="s">
        <v>1232</v>
      </c>
      <c r="D4" s="312" t="s">
        <v>2507</v>
      </c>
      <c r="E4" s="313" t="s">
        <v>3077</v>
      </c>
      <c r="F4" s="313" t="s">
        <v>2981</v>
      </c>
      <c r="G4" s="314" t="s">
        <v>2518</v>
      </c>
      <c r="H4" s="315" t="s">
        <v>3037</v>
      </c>
      <c r="I4" s="311" t="s">
        <v>3038</v>
      </c>
      <c r="J4" s="316" t="s">
        <v>3039</v>
      </c>
    </row>
    <row r="5" spans="1:10" x14ac:dyDescent="0.25">
      <c r="A5" s="309" t="s">
        <v>38</v>
      </c>
      <c r="B5" s="310" t="s">
        <v>3040</v>
      </c>
      <c r="C5" s="311" t="s">
        <v>1232</v>
      </c>
      <c r="D5" s="312" t="s">
        <v>2507</v>
      </c>
      <c r="E5" s="313" t="s">
        <v>3077</v>
      </c>
      <c r="F5" s="313" t="s">
        <v>2981</v>
      </c>
      <c r="G5" s="314" t="s">
        <v>2518</v>
      </c>
      <c r="H5" s="315" t="s">
        <v>3037</v>
      </c>
      <c r="I5" s="311" t="s">
        <v>3038</v>
      </c>
      <c r="J5" s="316" t="s">
        <v>3041</v>
      </c>
    </row>
    <row r="6" spans="1:10" x14ac:dyDescent="0.25">
      <c r="A6" s="309" t="s">
        <v>39</v>
      </c>
      <c r="B6" s="310" t="s">
        <v>3042</v>
      </c>
      <c r="C6" s="311" t="s">
        <v>1232</v>
      </c>
      <c r="D6" s="312" t="s">
        <v>2507</v>
      </c>
      <c r="E6" s="313" t="s">
        <v>3077</v>
      </c>
      <c r="F6" s="313" t="s">
        <v>2981</v>
      </c>
      <c r="G6" s="314" t="s">
        <v>2518</v>
      </c>
      <c r="H6" s="315" t="s">
        <v>3037</v>
      </c>
      <c r="I6" s="311" t="s">
        <v>3038</v>
      </c>
      <c r="J6" s="316" t="s">
        <v>3043</v>
      </c>
    </row>
    <row r="7" spans="1:10" x14ac:dyDescent="0.25">
      <c r="A7" s="309" t="s">
        <v>40</v>
      </c>
      <c r="B7" s="310" t="s">
        <v>3044</v>
      </c>
      <c r="C7" s="311" t="s">
        <v>1232</v>
      </c>
      <c r="D7" s="312" t="s">
        <v>2507</v>
      </c>
      <c r="E7" s="313" t="s">
        <v>3077</v>
      </c>
      <c r="F7" s="313" t="s">
        <v>2981</v>
      </c>
      <c r="G7" s="314" t="s">
        <v>2518</v>
      </c>
      <c r="H7" s="315" t="s">
        <v>3037</v>
      </c>
      <c r="I7" s="311" t="s">
        <v>3038</v>
      </c>
      <c r="J7" s="316" t="s">
        <v>3045</v>
      </c>
    </row>
    <row r="8" spans="1:10" x14ac:dyDescent="0.25">
      <c r="A8" s="309" t="s">
        <v>41</v>
      </c>
      <c r="B8" s="310" t="s">
        <v>3046</v>
      </c>
      <c r="C8" s="311" t="s">
        <v>1232</v>
      </c>
      <c r="D8" s="312" t="s">
        <v>2506</v>
      </c>
      <c r="E8" s="313" t="s">
        <v>3077</v>
      </c>
      <c r="F8" s="313" t="s">
        <v>2981</v>
      </c>
      <c r="G8" s="314" t="s">
        <v>2518</v>
      </c>
      <c r="H8" s="315" t="s">
        <v>3037</v>
      </c>
      <c r="I8" s="311" t="s">
        <v>3038</v>
      </c>
      <c r="J8" s="316" t="s">
        <v>3047</v>
      </c>
    </row>
    <row r="9" spans="1:10" x14ac:dyDescent="0.25">
      <c r="A9" s="309" t="s">
        <v>42</v>
      </c>
      <c r="B9" s="310" t="s">
        <v>3048</v>
      </c>
      <c r="C9" s="311" t="s">
        <v>1232</v>
      </c>
      <c r="D9" s="312" t="s">
        <v>2506</v>
      </c>
      <c r="E9" s="313" t="s">
        <v>3077</v>
      </c>
      <c r="F9" s="313" t="s">
        <v>2981</v>
      </c>
      <c r="G9" s="314" t="s">
        <v>2518</v>
      </c>
      <c r="H9" s="315" t="s">
        <v>3037</v>
      </c>
      <c r="I9" s="311" t="s">
        <v>3038</v>
      </c>
      <c r="J9" s="316" t="s">
        <v>3049</v>
      </c>
    </row>
    <row r="10" spans="1:10" x14ac:dyDescent="0.25">
      <c r="A10" s="309" t="s">
        <v>43</v>
      </c>
      <c r="B10" s="310" t="s">
        <v>3050</v>
      </c>
      <c r="C10" s="311" t="s">
        <v>1232</v>
      </c>
      <c r="D10" s="312" t="s">
        <v>2506</v>
      </c>
      <c r="E10" s="313" t="s">
        <v>3077</v>
      </c>
      <c r="F10" s="313" t="s">
        <v>2981</v>
      </c>
      <c r="G10" s="314" t="s">
        <v>2518</v>
      </c>
      <c r="H10" s="315" t="s">
        <v>3037</v>
      </c>
      <c r="I10" s="311" t="s">
        <v>3038</v>
      </c>
      <c r="J10" s="316" t="s">
        <v>3051</v>
      </c>
    </row>
    <row r="11" spans="1:10" x14ac:dyDescent="0.25">
      <c r="A11" s="309" t="s">
        <v>44</v>
      </c>
      <c r="B11" s="310" t="s">
        <v>3052</v>
      </c>
      <c r="C11" s="311" t="s">
        <v>1232</v>
      </c>
      <c r="D11" s="312" t="s">
        <v>2506</v>
      </c>
      <c r="E11" s="313" t="s">
        <v>3077</v>
      </c>
      <c r="F11" s="313" t="s">
        <v>2981</v>
      </c>
      <c r="G11" s="314" t="s">
        <v>2518</v>
      </c>
      <c r="H11" s="315" t="s">
        <v>3037</v>
      </c>
      <c r="I11" s="311" t="s">
        <v>3038</v>
      </c>
      <c r="J11" s="316" t="s">
        <v>3053</v>
      </c>
    </row>
    <row r="12" spans="1:10" x14ac:dyDescent="0.25">
      <c r="A12" s="309" t="s">
        <v>36</v>
      </c>
      <c r="B12" s="310" t="s">
        <v>3054</v>
      </c>
      <c r="C12" s="311" t="s">
        <v>1232</v>
      </c>
      <c r="D12" s="312" t="s">
        <v>2505</v>
      </c>
      <c r="E12" s="313" t="s">
        <v>3037</v>
      </c>
      <c r="F12" s="313" t="s">
        <v>2984</v>
      </c>
      <c r="G12" s="314" t="s">
        <v>2518</v>
      </c>
      <c r="H12" s="315" t="s">
        <v>3037</v>
      </c>
      <c r="I12" s="311" t="s">
        <v>3038</v>
      </c>
      <c r="J12" s="316" t="s">
        <v>3055</v>
      </c>
    </row>
    <row r="13" spans="1:10" x14ac:dyDescent="0.25">
      <c r="A13" s="309" t="s">
        <v>45</v>
      </c>
      <c r="B13" s="310" t="s">
        <v>3056</v>
      </c>
      <c r="C13" s="311" t="s">
        <v>1232</v>
      </c>
      <c r="D13" s="312" t="s">
        <v>2505</v>
      </c>
      <c r="E13" s="313" t="s">
        <v>3037</v>
      </c>
      <c r="F13" s="313" t="s">
        <v>2984</v>
      </c>
      <c r="G13" s="314" t="s">
        <v>2518</v>
      </c>
      <c r="H13" s="315" t="s">
        <v>3037</v>
      </c>
      <c r="I13" s="311" t="s">
        <v>3038</v>
      </c>
      <c r="J13" s="316" t="s">
        <v>3057</v>
      </c>
    </row>
    <row r="14" spans="1:10" x14ac:dyDescent="0.25">
      <c r="A14" s="309" t="s">
        <v>46</v>
      </c>
      <c r="B14" s="310" t="s">
        <v>3058</v>
      </c>
      <c r="C14" s="311" t="s">
        <v>1232</v>
      </c>
      <c r="D14" s="312" t="s">
        <v>2505</v>
      </c>
      <c r="E14" s="313" t="s">
        <v>3037</v>
      </c>
      <c r="F14" s="313" t="s">
        <v>2984</v>
      </c>
      <c r="G14" s="314" t="s">
        <v>2518</v>
      </c>
      <c r="H14" s="315" t="s">
        <v>3037</v>
      </c>
      <c r="I14" s="311" t="s">
        <v>3038</v>
      </c>
      <c r="J14" s="316" t="s">
        <v>3059</v>
      </c>
    </row>
    <row r="15" spans="1:10" x14ac:dyDescent="0.25">
      <c r="A15" s="309" t="s">
        <v>47</v>
      </c>
      <c r="B15" s="310" t="s">
        <v>3060</v>
      </c>
      <c r="C15" s="311" t="s">
        <v>1232</v>
      </c>
      <c r="D15" s="312" t="s">
        <v>2505</v>
      </c>
      <c r="E15" s="313" t="s">
        <v>3037</v>
      </c>
      <c r="F15" s="313" t="s">
        <v>2984</v>
      </c>
      <c r="G15" s="314" t="s">
        <v>2518</v>
      </c>
      <c r="H15" s="315" t="s">
        <v>3037</v>
      </c>
      <c r="I15" s="311" t="s">
        <v>3038</v>
      </c>
      <c r="J15" s="316" t="s">
        <v>3061</v>
      </c>
    </row>
    <row r="16" spans="1:10" x14ac:dyDescent="0.25">
      <c r="A16" s="309" t="s">
        <v>32</v>
      </c>
      <c r="B16" s="310" t="s">
        <v>3062</v>
      </c>
      <c r="C16" s="311" t="s">
        <v>1232</v>
      </c>
      <c r="D16" s="312" t="s">
        <v>2488</v>
      </c>
      <c r="E16" s="313" t="s">
        <v>3063</v>
      </c>
      <c r="F16" s="313" t="s">
        <v>2973</v>
      </c>
      <c r="G16" s="314" t="s">
        <v>2974</v>
      </c>
      <c r="H16" s="315" t="s">
        <v>3037</v>
      </c>
      <c r="I16" s="311" t="s">
        <v>3038</v>
      </c>
      <c r="J16" s="316" t="s">
        <v>3064</v>
      </c>
    </row>
    <row r="17" spans="1:10" x14ac:dyDescent="0.25">
      <c r="A17" s="309" t="s">
        <v>30</v>
      </c>
      <c r="B17" s="310" t="s">
        <v>3065</v>
      </c>
      <c r="C17" s="311" t="s">
        <v>1232</v>
      </c>
      <c r="D17" s="312" t="s">
        <v>2488</v>
      </c>
      <c r="E17" s="313" t="s">
        <v>3063</v>
      </c>
      <c r="F17" s="313" t="s">
        <v>2973</v>
      </c>
      <c r="G17" s="314" t="s">
        <v>2974</v>
      </c>
      <c r="H17" s="315" t="s">
        <v>3037</v>
      </c>
      <c r="I17" s="311" t="s">
        <v>3038</v>
      </c>
      <c r="J17" s="316" t="s">
        <v>3066</v>
      </c>
    </row>
    <row r="18" spans="1:10" x14ac:dyDescent="0.25">
      <c r="A18" s="309" t="s">
        <v>31</v>
      </c>
      <c r="B18" s="310" t="s">
        <v>3067</v>
      </c>
      <c r="C18" s="311" t="s">
        <v>1232</v>
      </c>
      <c r="D18" s="312" t="s">
        <v>2488</v>
      </c>
      <c r="E18" s="313" t="s">
        <v>3063</v>
      </c>
      <c r="F18" s="313" t="s">
        <v>2973</v>
      </c>
      <c r="G18" s="314" t="s">
        <v>2974</v>
      </c>
      <c r="H18" s="315" t="s">
        <v>3037</v>
      </c>
      <c r="I18" s="311" t="s">
        <v>3038</v>
      </c>
      <c r="J18" s="316" t="s">
        <v>3068</v>
      </c>
    </row>
    <row r="19" spans="1:10" x14ac:dyDescent="0.25">
      <c r="A19" s="309" t="s">
        <v>33</v>
      </c>
      <c r="B19" s="310" t="s">
        <v>3069</v>
      </c>
      <c r="C19" s="311" t="s">
        <v>1232</v>
      </c>
      <c r="D19" s="312" t="s">
        <v>2488</v>
      </c>
      <c r="E19" s="313" t="s">
        <v>3063</v>
      </c>
      <c r="F19" s="313" t="s">
        <v>2973</v>
      </c>
      <c r="G19" s="314" t="s">
        <v>2974</v>
      </c>
      <c r="H19" s="315" t="s">
        <v>3037</v>
      </c>
      <c r="I19" s="311" t="s">
        <v>3038</v>
      </c>
      <c r="J19" s="316" t="s">
        <v>3070</v>
      </c>
    </row>
    <row r="20" spans="1:10" x14ac:dyDescent="0.25">
      <c r="A20" s="309" t="s">
        <v>34</v>
      </c>
      <c r="B20" s="310" t="s">
        <v>3071</v>
      </c>
      <c r="C20" s="311" t="s">
        <v>1232</v>
      </c>
      <c r="D20" s="312" t="s">
        <v>3037</v>
      </c>
      <c r="E20" s="313" t="s">
        <v>3037</v>
      </c>
      <c r="F20" s="313" t="s">
        <v>3037</v>
      </c>
      <c r="G20" s="314" t="s">
        <v>3037</v>
      </c>
      <c r="H20" s="315" t="s">
        <v>3037</v>
      </c>
      <c r="I20" s="311" t="s">
        <v>3038</v>
      </c>
      <c r="J20" s="316" t="s">
        <v>3072</v>
      </c>
    </row>
    <row r="21" spans="1:10" x14ac:dyDescent="0.25">
      <c r="A21" s="309" t="s">
        <v>35</v>
      </c>
      <c r="B21" s="310" t="s">
        <v>3073</v>
      </c>
      <c r="C21" s="311" t="s">
        <v>1232</v>
      </c>
      <c r="D21" s="312" t="s">
        <v>3037</v>
      </c>
      <c r="E21" s="313" t="s">
        <v>3037</v>
      </c>
      <c r="F21" s="313" t="s">
        <v>3037</v>
      </c>
      <c r="G21" s="314" t="s">
        <v>3037</v>
      </c>
      <c r="H21" s="315" t="s">
        <v>3037</v>
      </c>
      <c r="I21" s="311" t="s">
        <v>3038</v>
      </c>
      <c r="J21" s="316" t="s">
        <v>3074</v>
      </c>
    </row>
    <row r="22" spans="1:10" x14ac:dyDescent="0.25">
      <c r="A22" s="309" t="s">
        <v>156</v>
      </c>
      <c r="B22" s="310" t="s">
        <v>3075</v>
      </c>
      <c r="C22" s="311" t="s">
        <v>1236</v>
      </c>
      <c r="D22" s="312" t="s">
        <v>1236</v>
      </c>
      <c r="E22" s="313" t="s">
        <v>3063</v>
      </c>
      <c r="F22" s="313" t="s">
        <v>3076</v>
      </c>
      <c r="G22" s="314" t="s">
        <v>3077</v>
      </c>
      <c r="H22" s="315" t="s">
        <v>3037</v>
      </c>
      <c r="I22" s="311" t="s">
        <v>3038</v>
      </c>
      <c r="J22" s="316" t="s">
        <v>3078</v>
      </c>
    </row>
    <row r="23" spans="1:10" x14ac:dyDescent="0.25">
      <c r="A23" s="309" t="s">
        <v>157</v>
      </c>
      <c r="B23" s="310" t="s">
        <v>3079</v>
      </c>
      <c r="C23" s="311" t="s">
        <v>1236</v>
      </c>
      <c r="D23" s="312" t="s">
        <v>1236</v>
      </c>
      <c r="E23" s="313" t="s">
        <v>3063</v>
      </c>
      <c r="F23" s="313" t="s">
        <v>3076</v>
      </c>
      <c r="G23" s="314" t="s">
        <v>3077</v>
      </c>
      <c r="H23" s="315" t="s">
        <v>3037</v>
      </c>
      <c r="I23" s="311" t="s">
        <v>3038</v>
      </c>
      <c r="J23" s="316" t="s">
        <v>3080</v>
      </c>
    </row>
    <row r="24" spans="1:10" x14ac:dyDescent="0.25">
      <c r="A24" s="309" t="s">
        <v>161</v>
      </c>
      <c r="B24" s="310" t="s">
        <v>3081</v>
      </c>
      <c r="C24" s="311" t="s">
        <v>1236</v>
      </c>
      <c r="D24" s="312" t="s">
        <v>1236</v>
      </c>
      <c r="E24" s="313" t="s">
        <v>3063</v>
      </c>
      <c r="F24" s="313" t="s">
        <v>2985</v>
      </c>
      <c r="G24" s="314" t="s">
        <v>3077</v>
      </c>
      <c r="H24" s="315" t="s">
        <v>3037</v>
      </c>
      <c r="I24" s="311" t="s">
        <v>3038</v>
      </c>
      <c r="J24" s="316" t="s">
        <v>3082</v>
      </c>
    </row>
    <row r="25" spans="1:10" x14ac:dyDescent="0.25">
      <c r="A25" s="309" t="s">
        <v>160</v>
      </c>
      <c r="B25" s="310" t="s">
        <v>3083</v>
      </c>
      <c r="C25" s="311" t="s">
        <v>1236</v>
      </c>
      <c r="D25" s="312" t="s">
        <v>1236</v>
      </c>
      <c r="E25" s="313" t="s">
        <v>3063</v>
      </c>
      <c r="F25" s="313" t="s">
        <v>2985</v>
      </c>
      <c r="G25" s="314" t="s">
        <v>3077</v>
      </c>
      <c r="H25" s="315" t="s">
        <v>3037</v>
      </c>
      <c r="I25" s="311" t="s">
        <v>3038</v>
      </c>
      <c r="J25" s="316" t="s">
        <v>3084</v>
      </c>
    </row>
    <row r="26" spans="1:10" x14ac:dyDescent="0.25">
      <c r="A26" s="309" t="s">
        <v>159</v>
      </c>
      <c r="B26" s="310" t="s">
        <v>3085</v>
      </c>
      <c r="C26" s="311" t="s">
        <v>1236</v>
      </c>
      <c r="D26" s="312" t="s">
        <v>1236</v>
      </c>
      <c r="E26" s="313" t="s">
        <v>3063</v>
      </c>
      <c r="F26" s="313" t="s">
        <v>2985</v>
      </c>
      <c r="G26" s="314" t="s">
        <v>3077</v>
      </c>
      <c r="H26" s="315" t="s">
        <v>3037</v>
      </c>
      <c r="I26" s="311" t="s">
        <v>3038</v>
      </c>
      <c r="J26" s="316" t="s">
        <v>3086</v>
      </c>
    </row>
    <row r="27" spans="1:10" x14ac:dyDescent="0.25">
      <c r="A27" s="309" t="s">
        <v>158</v>
      </c>
      <c r="B27" s="310" t="s">
        <v>3087</v>
      </c>
      <c r="C27" s="311" t="s">
        <v>1236</v>
      </c>
      <c r="D27" s="312" t="s">
        <v>1236</v>
      </c>
      <c r="E27" s="313" t="s">
        <v>3063</v>
      </c>
      <c r="F27" s="313" t="s">
        <v>2985</v>
      </c>
      <c r="G27" s="314" t="s">
        <v>3077</v>
      </c>
      <c r="H27" s="315" t="s">
        <v>3037</v>
      </c>
      <c r="I27" s="311" t="s">
        <v>3038</v>
      </c>
      <c r="J27" s="316" t="s">
        <v>3088</v>
      </c>
    </row>
    <row r="28" spans="1:10" x14ac:dyDescent="0.25">
      <c r="A28" s="309" t="s">
        <v>154</v>
      </c>
      <c r="B28" s="310" t="s">
        <v>3089</v>
      </c>
      <c r="C28" s="311" t="s">
        <v>1236</v>
      </c>
      <c r="D28" s="312" t="s">
        <v>209</v>
      </c>
      <c r="E28" s="313" t="s">
        <v>3063</v>
      </c>
      <c r="F28" s="313" t="s">
        <v>3076</v>
      </c>
      <c r="G28" s="314" t="s">
        <v>3090</v>
      </c>
      <c r="H28" s="315" t="s">
        <v>3037</v>
      </c>
      <c r="I28" s="311" t="s">
        <v>3038</v>
      </c>
      <c r="J28" s="316" t="s">
        <v>3091</v>
      </c>
    </row>
    <row r="29" spans="1:10" x14ac:dyDescent="0.25">
      <c r="A29" s="309" t="s">
        <v>155</v>
      </c>
      <c r="B29" s="310" t="s">
        <v>3092</v>
      </c>
      <c r="C29" s="311" t="s">
        <v>1236</v>
      </c>
      <c r="D29" s="312" t="s">
        <v>3077</v>
      </c>
      <c r="E29" s="313" t="s">
        <v>3063</v>
      </c>
      <c r="F29" s="313" t="s">
        <v>3076</v>
      </c>
      <c r="G29" s="314" t="s">
        <v>3090</v>
      </c>
      <c r="H29" s="315" t="s">
        <v>3037</v>
      </c>
      <c r="I29" s="311" t="s">
        <v>3038</v>
      </c>
      <c r="J29" s="316" t="s">
        <v>3093</v>
      </c>
    </row>
    <row r="30" spans="1:10" x14ac:dyDescent="0.25">
      <c r="A30" s="309" t="s">
        <v>152</v>
      </c>
      <c r="B30" s="310" t="s">
        <v>3094</v>
      </c>
      <c r="C30" s="311" t="s">
        <v>1236</v>
      </c>
      <c r="D30" s="312" t="s">
        <v>2968</v>
      </c>
      <c r="E30" s="313" t="s">
        <v>3063</v>
      </c>
      <c r="F30" s="313" t="s">
        <v>3076</v>
      </c>
      <c r="G30" s="314" t="s">
        <v>3090</v>
      </c>
      <c r="H30" s="315" t="s">
        <v>3037</v>
      </c>
      <c r="I30" s="311" t="s">
        <v>3038</v>
      </c>
      <c r="J30" s="316" t="s">
        <v>3095</v>
      </c>
    </row>
    <row r="31" spans="1:10" x14ac:dyDescent="0.25">
      <c r="A31" s="309" t="s">
        <v>153</v>
      </c>
      <c r="B31" s="310" t="s">
        <v>3096</v>
      </c>
      <c r="C31" s="311" t="s">
        <v>1236</v>
      </c>
      <c r="D31" s="312" t="s">
        <v>2966</v>
      </c>
      <c r="E31" s="313" t="s">
        <v>3063</v>
      </c>
      <c r="F31" s="313" t="s">
        <v>3076</v>
      </c>
      <c r="G31" s="314" t="s">
        <v>3090</v>
      </c>
      <c r="H31" s="315" t="s">
        <v>3037</v>
      </c>
      <c r="I31" s="311" t="s">
        <v>3038</v>
      </c>
      <c r="J31" s="316" t="s">
        <v>3097</v>
      </c>
    </row>
    <row r="32" spans="1:10" x14ac:dyDescent="0.25">
      <c r="A32" s="309" t="s">
        <v>135</v>
      </c>
      <c r="B32" s="310" t="s">
        <v>3098</v>
      </c>
      <c r="C32" s="311" t="s">
        <v>1234</v>
      </c>
      <c r="D32" s="312" t="s">
        <v>2973</v>
      </c>
      <c r="E32" s="313" t="s">
        <v>2974</v>
      </c>
      <c r="F32" s="313" t="s">
        <v>3063</v>
      </c>
      <c r="G32" s="314" t="s">
        <v>3076</v>
      </c>
      <c r="H32" s="315" t="s">
        <v>3037</v>
      </c>
      <c r="I32" s="311" t="s">
        <v>3099</v>
      </c>
      <c r="J32" s="316" t="s">
        <v>3100</v>
      </c>
    </row>
    <row r="33" spans="1:10" x14ac:dyDescent="0.25">
      <c r="A33" s="309" t="s">
        <v>136</v>
      </c>
      <c r="B33" s="310" t="s">
        <v>3101</v>
      </c>
      <c r="C33" s="311" t="s">
        <v>1234</v>
      </c>
      <c r="D33" s="312" t="s">
        <v>2973</v>
      </c>
      <c r="E33" s="313" t="s">
        <v>2974</v>
      </c>
      <c r="F33" s="313" t="s">
        <v>2509</v>
      </c>
      <c r="G33" s="314" t="s">
        <v>3077</v>
      </c>
      <c r="H33" s="315" t="s">
        <v>3037</v>
      </c>
      <c r="I33" s="311" t="s">
        <v>3099</v>
      </c>
      <c r="J33" s="316" t="s">
        <v>3102</v>
      </c>
    </row>
    <row r="34" spans="1:10" x14ac:dyDescent="0.25">
      <c r="A34" s="309" t="s">
        <v>138</v>
      </c>
      <c r="B34" s="310" t="s">
        <v>3103</v>
      </c>
      <c r="C34" s="311" t="s">
        <v>1234</v>
      </c>
      <c r="D34" s="312" t="s">
        <v>2973</v>
      </c>
      <c r="E34" s="313" t="s">
        <v>2974</v>
      </c>
      <c r="F34" s="313" t="s">
        <v>2509</v>
      </c>
      <c r="G34" s="314" t="s">
        <v>3037</v>
      </c>
      <c r="H34" s="315" t="s">
        <v>3037</v>
      </c>
      <c r="I34" s="311" t="s">
        <v>3099</v>
      </c>
      <c r="J34" s="316" t="s">
        <v>3104</v>
      </c>
    </row>
    <row r="35" spans="1:10" x14ac:dyDescent="0.25">
      <c r="A35" s="309" t="s">
        <v>139</v>
      </c>
      <c r="B35" s="310" t="s">
        <v>3105</v>
      </c>
      <c r="C35" s="311" t="s">
        <v>1234</v>
      </c>
      <c r="D35" s="312" t="s">
        <v>2973</v>
      </c>
      <c r="E35" s="313" t="s">
        <v>2974</v>
      </c>
      <c r="F35" s="313" t="s">
        <v>2509</v>
      </c>
      <c r="G35" s="314" t="s">
        <v>3077</v>
      </c>
      <c r="H35" s="315" t="s">
        <v>3037</v>
      </c>
      <c r="I35" s="311" t="s">
        <v>3099</v>
      </c>
      <c r="J35" s="316" t="s">
        <v>3106</v>
      </c>
    </row>
    <row r="36" spans="1:10" x14ac:dyDescent="0.25">
      <c r="A36" s="309" t="s">
        <v>141</v>
      </c>
      <c r="B36" s="310" t="s">
        <v>3107</v>
      </c>
      <c r="C36" s="311" t="s">
        <v>1234</v>
      </c>
      <c r="D36" s="312" t="s">
        <v>2973</v>
      </c>
      <c r="E36" s="313" t="s">
        <v>2974</v>
      </c>
      <c r="F36" s="313" t="s">
        <v>2509</v>
      </c>
      <c r="G36" s="314" t="s">
        <v>3077</v>
      </c>
      <c r="H36" s="315" t="s">
        <v>3037</v>
      </c>
      <c r="I36" s="311" t="s">
        <v>3099</v>
      </c>
      <c r="J36" s="316" t="s">
        <v>3108</v>
      </c>
    </row>
    <row r="37" spans="1:10" x14ac:dyDescent="0.25">
      <c r="A37" s="309" t="s">
        <v>102</v>
      </c>
      <c r="B37" s="310" t="s">
        <v>3109</v>
      </c>
      <c r="C37" s="311" t="s">
        <v>1234</v>
      </c>
      <c r="D37" s="312" t="s">
        <v>2973</v>
      </c>
      <c r="E37" s="313" t="s">
        <v>2974</v>
      </c>
      <c r="F37" s="313" t="s">
        <v>2509</v>
      </c>
      <c r="G37" s="314" t="s">
        <v>3037</v>
      </c>
      <c r="H37" s="315" t="s">
        <v>3037</v>
      </c>
      <c r="I37" s="311" t="s">
        <v>3099</v>
      </c>
      <c r="J37" s="316" t="s">
        <v>3110</v>
      </c>
    </row>
    <row r="38" spans="1:10" x14ac:dyDescent="0.25">
      <c r="A38" s="309" t="s">
        <v>128</v>
      </c>
      <c r="B38" s="310" t="s">
        <v>3111</v>
      </c>
      <c r="C38" s="311" t="s">
        <v>1234</v>
      </c>
      <c r="D38" s="312" t="s">
        <v>2973</v>
      </c>
      <c r="E38" s="313" t="s">
        <v>2974</v>
      </c>
      <c r="F38" s="313" t="s">
        <v>3063</v>
      </c>
      <c r="G38" s="314" t="s">
        <v>3076</v>
      </c>
      <c r="H38" s="315" t="s">
        <v>3037</v>
      </c>
      <c r="I38" s="311" t="s">
        <v>3099</v>
      </c>
      <c r="J38" s="316" t="s">
        <v>3112</v>
      </c>
    </row>
    <row r="39" spans="1:10" x14ac:dyDescent="0.25">
      <c r="A39" s="309" t="s">
        <v>137</v>
      </c>
      <c r="B39" s="310" t="s">
        <v>3113</v>
      </c>
      <c r="C39" s="311" t="s">
        <v>1234</v>
      </c>
      <c r="D39" s="312" t="s">
        <v>2973</v>
      </c>
      <c r="E39" s="313" t="s">
        <v>2974</v>
      </c>
      <c r="F39" s="313" t="s">
        <v>2509</v>
      </c>
      <c r="G39" s="314" t="s">
        <v>3077</v>
      </c>
      <c r="H39" s="315" t="s">
        <v>3037</v>
      </c>
      <c r="I39" s="311" t="s">
        <v>3099</v>
      </c>
      <c r="J39" s="316" t="s">
        <v>3114</v>
      </c>
    </row>
    <row r="40" spans="1:10" x14ac:dyDescent="0.25">
      <c r="A40" s="309" t="s">
        <v>134</v>
      </c>
      <c r="B40" s="310" t="s">
        <v>3115</v>
      </c>
      <c r="C40" s="311" t="s">
        <v>1234</v>
      </c>
      <c r="D40" s="312" t="s">
        <v>2973</v>
      </c>
      <c r="E40" s="313" t="s">
        <v>2974</v>
      </c>
      <c r="F40" s="313" t="s">
        <v>2509</v>
      </c>
      <c r="G40" s="314" t="s">
        <v>3077</v>
      </c>
      <c r="H40" s="315" t="s">
        <v>3037</v>
      </c>
      <c r="I40" s="311" t="s">
        <v>3099</v>
      </c>
      <c r="J40" s="316" t="s">
        <v>3116</v>
      </c>
    </row>
    <row r="41" spans="1:10" x14ac:dyDescent="0.25">
      <c r="A41" s="309" t="s">
        <v>133</v>
      </c>
      <c r="B41" s="310" t="s">
        <v>3117</v>
      </c>
      <c r="C41" s="311" t="s">
        <v>1234</v>
      </c>
      <c r="D41" s="312" t="s">
        <v>2973</v>
      </c>
      <c r="E41" s="313" t="s">
        <v>2974</v>
      </c>
      <c r="F41" s="313" t="s">
        <v>3063</v>
      </c>
      <c r="G41" s="314" t="s">
        <v>3076</v>
      </c>
      <c r="H41" s="315" t="s">
        <v>3037</v>
      </c>
      <c r="I41" s="311" t="s">
        <v>3099</v>
      </c>
      <c r="J41" s="316" t="s">
        <v>3118</v>
      </c>
    </row>
    <row r="42" spans="1:10" x14ac:dyDescent="0.25">
      <c r="A42" s="309" t="s">
        <v>130</v>
      </c>
      <c r="B42" s="310" t="s">
        <v>3119</v>
      </c>
      <c r="C42" s="311" t="s">
        <v>1234</v>
      </c>
      <c r="D42" s="312" t="s">
        <v>2973</v>
      </c>
      <c r="E42" s="313" t="s">
        <v>2974</v>
      </c>
      <c r="F42" s="313" t="s">
        <v>3063</v>
      </c>
      <c r="G42" s="314" t="s">
        <v>3076</v>
      </c>
      <c r="H42" s="315" t="s">
        <v>3037</v>
      </c>
      <c r="I42" s="311" t="s">
        <v>3099</v>
      </c>
      <c r="J42" s="316" t="s">
        <v>3120</v>
      </c>
    </row>
    <row r="43" spans="1:10" x14ac:dyDescent="0.25">
      <c r="A43" s="309" t="s">
        <v>131</v>
      </c>
      <c r="B43" s="310" t="s">
        <v>3121</v>
      </c>
      <c r="C43" s="311" t="s">
        <v>1234</v>
      </c>
      <c r="D43" s="312" t="s">
        <v>2973</v>
      </c>
      <c r="E43" s="313" t="s">
        <v>2974</v>
      </c>
      <c r="F43" s="313" t="s">
        <v>3063</v>
      </c>
      <c r="G43" s="314" t="s">
        <v>3076</v>
      </c>
      <c r="H43" s="315" t="s">
        <v>3037</v>
      </c>
      <c r="I43" s="311" t="s">
        <v>3099</v>
      </c>
      <c r="J43" s="316" t="s">
        <v>3122</v>
      </c>
    </row>
    <row r="44" spans="1:10" x14ac:dyDescent="0.25">
      <c r="A44" s="309" t="s">
        <v>140</v>
      </c>
      <c r="B44" s="310" t="s">
        <v>3123</v>
      </c>
      <c r="C44" s="311" t="s">
        <v>1234</v>
      </c>
      <c r="D44" s="312" t="s">
        <v>2973</v>
      </c>
      <c r="E44" s="313" t="s">
        <v>2974</v>
      </c>
      <c r="F44" s="313" t="s">
        <v>3063</v>
      </c>
      <c r="G44" s="314" t="s">
        <v>3076</v>
      </c>
      <c r="H44" s="315" t="s">
        <v>3037</v>
      </c>
      <c r="I44" s="311" t="s">
        <v>3099</v>
      </c>
      <c r="J44" s="316" t="s">
        <v>3124</v>
      </c>
    </row>
    <row r="45" spans="1:10" x14ac:dyDescent="0.25">
      <c r="A45" s="309" t="s">
        <v>104</v>
      </c>
      <c r="B45" s="310" t="s">
        <v>3125</v>
      </c>
      <c r="C45" s="311" t="s">
        <v>1234</v>
      </c>
      <c r="D45" s="312" t="s">
        <v>2973</v>
      </c>
      <c r="E45" s="313" t="s">
        <v>2974</v>
      </c>
      <c r="F45" s="313" t="s">
        <v>3063</v>
      </c>
      <c r="G45" s="314" t="s">
        <v>3076</v>
      </c>
      <c r="H45" s="315" t="s">
        <v>3037</v>
      </c>
      <c r="I45" s="311" t="s">
        <v>3099</v>
      </c>
      <c r="J45" s="316" t="s">
        <v>3126</v>
      </c>
    </row>
    <row r="46" spans="1:10" x14ac:dyDescent="0.25">
      <c r="A46" s="309" t="s">
        <v>105</v>
      </c>
      <c r="B46" s="310" t="s">
        <v>3127</v>
      </c>
      <c r="C46" s="311" t="s">
        <v>1234</v>
      </c>
      <c r="D46" s="312" t="s">
        <v>2973</v>
      </c>
      <c r="E46" s="313" t="s">
        <v>2974</v>
      </c>
      <c r="F46" s="313" t="s">
        <v>3063</v>
      </c>
      <c r="G46" s="314" t="s">
        <v>3076</v>
      </c>
      <c r="H46" s="315" t="s">
        <v>3037</v>
      </c>
      <c r="I46" s="311" t="s">
        <v>3099</v>
      </c>
      <c r="J46" s="316" t="s">
        <v>3128</v>
      </c>
    </row>
    <row r="47" spans="1:10" x14ac:dyDescent="0.25">
      <c r="A47" s="309" t="s">
        <v>116</v>
      </c>
      <c r="B47" s="310" t="s">
        <v>3129</v>
      </c>
      <c r="C47" s="311" t="s">
        <v>1234</v>
      </c>
      <c r="D47" s="312" t="s">
        <v>2973</v>
      </c>
      <c r="E47" s="313" t="s">
        <v>2974</v>
      </c>
      <c r="F47" s="313" t="s">
        <v>3063</v>
      </c>
      <c r="G47" s="314" t="s">
        <v>3076</v>
      </c>
      <c r="H47" s="315" t="s">
        <v>3037</v>
      </c>
      <c r="I47" s="311" t="s">
        <v>3099</v>
      </c>
      <c r="J47" s="316" t="s">
        <v>3130</v>
      </c>
    </row>
    <row r="48" spans="1:10" x14ac:dyDescent="0.25">
      <c r="A48" s="309" t="s">
        <v>121</v>
      </c>
      <c r="B48" s="310" t="s">
        <v>3131</v>
      </c>
      <c r="C48" s="311" t="s">
        <v>1234</v>
      </c>
      <c r="D48" s="312" t="s">
        <v>2973</v>
      </c>
      <c r="E48" s="313" t="s">
        <v>2974</v>
      </c>
      <c r="F48" s="313" t="s">
        <v>3063</v>
      </c>
      <c r="G48" s="314" t="s">
        <v>3076</v>
      </c>
      <c r="H48" s="315" t="s">
        <v>3037</v>
      </c>
      <c r="I48" s="311" t="s">
        <v>3099</v>
      </c>
      <c r="J48" s="316" t="s">
        <v>3132</v>
      </c>
    </row>
    <row r="49" spans="1:10" x14ac:dyDescent="0.25">
      <c r="A49" s="309" t="s">
        <v>122</v>
      </c>
      <c r="B49" s="310" t="s">
        <v>3133</v>
      </c>
      <c r="C49" s="311" t="s">
        <v>1234</v>
      </c>
      <c r="D49" s="312" t="s">
        <v>2973</v>
      </c>
      <c r="E49" s="313" t="s">
        <v>2974</v>
      </c>
      <c r="F49" s="313" t="s">
        <v>3063</v>
      </c>
      <c r="G49" s="314" t="s">
        <v>3076</v>
      </c>
      <c r="H49" s="315" t="s">
        <v>3037</v>
      </c>
      <c r="I49" s="311" t="s">
        <v>3099</v>
      </c>
      <c r="J49" s="316" t="s">
        <v>3134</v>
      </c>
    </row>
    <row r="50" spans="1:10" x14ac:dyDescent="0.25">
      <c r="A50" s="309" t="s">
        <v>123</v>
      </c>
      <c r="B50" s="310" t="s">
        <v>3135</v>
      </c>
      <c r="C50" s="311" t="s">
        <v>1234</v>
      </c>
      <c r="D50" s="312" t="s">
        <v>2973</v>
      </c>
      <c r="E50" s="313" t="s">
        <v>2974</v>
      </c>
      <c r="F50" s="313" t="s">
        <v>3063</v>
      </c>
      <c r="G50" s="314" t="s">
        <v>3076</v>
      </c>
      <c r="H50" s="315" t="s">
        <v>3037</v>
      </c>
      <c r="I50" s="311" t="s">
        <v>3099</v>
      </c>
      <c r="J50" s="316" t="s">
        <v>3136</v>
      </c>
    </row>
    <row r="51" spans="1:10" x14ac:dyDescent="0.25">
      <c r="A51" s="309" t="s">
        <v>124</v>
      </c>
      <c r="B51" s="310" t="s">
        <v>3137</v>
      </c>
      <c r="C51" s="311" t="s">
        <v>1234</v>
      </c>
      <c r="D51" s="312" t="s">
        <v>2973</v>
      </c>
      <c r="E51" s="313" t="s">
        <v>2974</v>
      </c>
      <c r="F51" s="313" t="s">
        <v>3063</v>
      </c>
      <c r="G51" s="314" t="s">
        <v>3076</v>
      </c>
      <c r="H51" s="315" t="s">
        <v>3037</v>
      </c>
      <c r="I51" s="311" t="s">
        <v>3099</v>
      </c>
      <c r="J51" s="316" t="s">
        <v>3138</v>
      </c>
    </row>
    <row r="52" spans="1:10" x14ac:dyDescent="0.25">
      <c r="A52" s="309" t="s">
        <v>125</v>
      </c>
      <c r="B52" s="310" t="s">
        <v>3139</v>
      </c>
      <c r="C52" s="311" t="s">
        <v>1234</v>
      </c>
      <c r="D52" s="312" t="s">
        <v>2973</v>
      </c>
      <c r="E52" s="313" t="s">
        <v>2974</v>
      </c>
      <c r="F52" s="313" t="s">
        <v>3063</v>
      </c>
      <c r="G52" s="314" t="s">
        <v>3076</v>
      </c>
      <c r="H52" s="315" t="s">
        <v>3037</v>
      </c>
      <c r="I52" s="311" t="s">
        <v>3099</v>
      </c>
      <c r="J52" s="316" t="s">
        <v>3140</v>
      </c>
    </row>
    <row r="53" spans="1:10" x14ac:dyDescent="0.25">
      <c r="A53" s="309" t="s">
        <v>126</v>
      </c>
      <c r="B53" s="310" t="s">
        <v>3141</v>
      </c>
      <c r="C53" s="311" t="s">
        <v>1234</v>
      </c>
      <c r="D53" s="312" t="s">
        <v>2973</v>
      </c>
      <c r="E53" s="313" t="s">
        <v>2974</v>
      </c>
      <c r="F53" s="313" t="s">
        <v>3063</v>
      </c>
      <c r="G53" s="314" t="s">
        <v>3076</v>
      </c>
      <c r="H53" s="315" t="s">
        <v>3037</v>
      </c>
      <c r="I53" s="311" t="s">
        <v>3099</v>
      </c>
      <c r="J53" s="316" t="s">
        <v>3142</v>
      </c>
    </row>
    <row r="54" spans="1:10" x14ac:dyDescent="0.25">
      <c r="A54" s="309" t="s">
        <v>127</v>
      </c>
      <c r="B54" s="310" t="s">
        <v>3143</v>
      </c>
      <c r="C54" s="311" t="s">
        <v>1234</v>
      </c>
      <c r="D54" s="312" t="s">
        <v>2973</v>
      </c>
      <c r="E54" s="313" t="s">
        <v>2974</v>
      </c>
      <c r="F54" s="313" t="s">
        <v>3063</v>
      </c>
      <c r="G54" s="314" t="s">
        <v>3076</v>
      </c>
      <c r="H54" s="315" t="s">
        <v>3037</v>
      </c>
      <c r="I54" s="311" t="s">
        <v>3099</v>
      </c>
      <c r="J54" s="316" t="s">
        <v>3144</v>
      </c>
    </row>
    <row r="55" spans="1:10" x14ac:dyDescent="0.25">
      <c r="A55" s="309" t="s">
        <v>106</v>
      </c>
      <c r="B55" s="310" t="s">
        <v>3145</v>
      </c>
      <c r="C55" s="311" t="s">
        <v>1234</v>
      </c>
      <c r="D55" s="312" t="s">
        <v>2973</v>
      </c>
      <c r="E55" s="313" t="s">
        <v>2974</v>
      </c>
      <c r="F55" s="313" t="s">
        <v>3063</v>
      </c>
      <c r="G55" s="314" t="s">
        <v>3076</v>
      </c>
      <c r="H55" s="315" t="s">
        <v>3037</v>
      </c>
      <c r="I55" s="311" t="s">
        <v>3099</v>
      </c>
      <c r="J55" s="316" t="s">
        <v>3146</v>
      </c>
    </row>
    <row r="56" spans="1:10" x14ac:dyDescent="0.25">
      <c r="A56" s="309" t="s">
        <v>107</v>
      </c>
      <c r="B56" s="310" t="s">
        <v>3147</v>
      </c>
      <c r="C56" s="311" t="s">
        <v>1234</v>
      </c>
      <c r="D56" s="312" t="s">
        <v>2973</v>
      </c>
      <c r="E56" s="313" t="s">
        <v>2974</v>
      </c>
      <c r="F56" s="313" t="s">
        <v>3063</v>
      </c>
      <c r="G56" s="314" t="s">
        <v>3076</v>
      </c>
      <c r="H56" s="315" t="s">
        <v>3037</v>
      </c>
      <c r="I56" s="311" t="s">
        <v>3099</v>
      </c>
      <c r="J56" s="316" t="s">
        <v>3148</v>
      </c>
    </row>
    <row r="57" spans="1:10" x14ac:dyDescent="0.25">
      <c r="A57" s="309" t="s">
        <v>108</v>
      </c>
      <c r="B57" s="310" t="s">
        <v>3149</v>
      </c>
      <c r="C57" s="311" t="s">
        <v>1234</v>
      </c>
      <c r="D57" s="312" t="s">
        <v>2973</v>
      </c>
      <c r="E57" s="313" t="s">
        <v>2974</v>
      </c>
      <c r="F57" s="313" t="s">
        <v>3063</v>
      </c>
      <c r="G57" s="314" t="s">
        <v>3076</v>
      </c>
      <c r="H57" s="315" t="s">
        <v>3037</v>
      </c>
      <c r="I57" s="311" t="s">
        <v>3099</v>
      </c>
      <c r="J57" s="316" t="s">
        <v>3150</v>
      </c>
    </row>
    <row r="58" spans="1:10" x14ac:dyDescent="0.25">
      <c r="A58" s="309" t="s">
        <v>109</v>
      </c>
      <c r="B58" s="310" t="s">
        <v>3151</v>
      </c>
      <c r="C58" s="311" t="s">
        <v>1234</v>
      </c>
      <c r="D58" s="312" t="s">
        <v>2973</v>
      </c>
      <c r="E58" s="313" t="s">
        <v>2974</v>
      </c>
      <c r="F58" s="313" t="s">
        <v>3063</v>
      </c>
      <c r="G58" s="314" t="s">
        <v>3076</v>
      </c>
      <c r="H58" s="315" t="s">
        <v>3037</v>
      </c>
      <c r="I58" s="311" t="s">
        <v>3099</v>
      </c>
      <c r="J58" s="316" t="s">
        <v>3152</v>
      </c>
    </row>
    <row r="59" spans="1:10" x14ac:dyDescent="0.25">
      <c r="A59" s="309" t="s">
        <v>110</v>
      </c>
      <c r="B59" s="310" t="s">
        <v>3153</v>
      </c>
      <c r="C59" s="311" t="s">
        <v>1234</v>
      </c>
      <c r="D59" s="312" t="s">
        <v>2973</v>
      </c>
      <c r="E59" s="313" t="s">
        <v>2974</v>
      </c>
      <c r="F59" s="313" t="s">
        <v>3063</v>
      </c>
      <c r="G59" s="314" t="s">
        <v>3076</v>
      </c>
      <c r="H59" s="315" t="s">
        <v>3037</v>
      </c>
      <c r="I59" s="311" t="s">
        <v>3099</v>
      </c>
      <c r="J59" s="316" t="s">
        <v>3154</v>
      </c>
    </row>
    <row r="60" spans="1:10" x14ac:dyDescent="0.25">
      <c r="A60" s="309" t="s">
        <v>111</v>
      </c>
      <c r="B60" s="310" t="s">
        <v>3155</v>
      </c>
      <c r="C60" s="311" t="s">
        <v>1234</v>
      </c>
      <c r="D60" s="312" t="s">
        <v>2973</v>
      </c>
      <c r="E60" s="313" t="s">
        <v>2974</v>
      </c>
      <c r="F60" s="313" t="s">
        <v>3063</v>
      </c>
      <c r="G60" s="314" t="s">
        <v>3076</v>
      </c>
      <c r="H60" s="315" t="s">
        <v>3037</v>
      </c>
      <c r="I60" s="311" t="s">
        <v>3099</v>
      </c>
      <c r="J60" s="316" t="s">
        <v>3156</v>
      </c>
    </row>
    <row r="61" spans="1:10" x14ac:dyDescent="0.25">
      <c r="A61" s="309" t="s">
        <v>112</v>
      </c>
      <c r="B61" s="310" t="s">
        <v>3157</v>
      </c>
      <c r="C61" s="311" t="s">
        <v>1234</v>
      </c>
      <c r="D61" s="312" t="s">
        <v>2973</v>
      </c>
      <c r="E61" s="313" t="s">
        <v>2974</v>
      </c>
      <c r="F61" s="313" t="s">
        <v>3063</v>
      </c>
      <c r="G61" s="314" t="s">
        <v>3076</v>
      </c>
      <c r="H61" s="315" t="s">
        <v>3037</v>
      </c>
      <c r="I61" s="311" t="s">
        <v>3099</v>
      </c>
      <c r="J61" s="316" t="s">
        <v>3158</v>
      </c>
    </row>
    <row r="62" spans="1:10" x14ac:dyDescent="0.25">
      <c r="A62" s="309" t="s">
        <v>113</v>
      </c>
      <c r="B62" s="310" t="s">
        <v>3159</v>
      </c>
      <c r="C62" s="311" t="s">
        <v>1234</v>
      </c>
      <c r="D62" s="312" t="s">
        <v>2973</v>
      </c>
      <c r="E62" s="313" t="s">
        <v>2974</v>
      </c>
      <c r="F62" s="313" t="s">
        <v>3063</v>
      </c>
      <c r="G62" s="314" t="s">
        <v>3076</v>
      </c>
      <c r="H62" s="315" t="s">
        <v>3037</v>
      </c>
      <c r="I62" s="311" t="s">
        <v>3099</v>
      </c>
      <c r="J62" s="316" t="s">
        <v>3160</v>
      </c>
    </row>
    <row r="63" spans="1:10" x14ac:dyDescent="0.25">
      <c r="A63" s="309" t="s">
        <v>114</v>
      </c>
      <c r="B63" s="310" t="s">
        <v>3161</v>
      </c>
      <c r="C63" s="311" t="s">
        <v>1234</v>
      </c>
      <c r="D63" s="312" t="s">
        <v>2973</v>
      </c>
      <c r="E63" s="313" t="s">
        <v>2974</v>
      </c>
      <c r="F63" s="313" t="s">
        <v>3063</v>
      </c>
      <c r="G63" s="314" t="s">
        <v>3076</v>
      </c>
      <c r="H63" s="315" t="s">
        <v>3037</v>
      </c>
      <c r="I63" s="311" t="s">
        <v>3099</v>
      </c>
      <c r="J63" s="316" t="s">
        <v>3162</v>
      </c>
    </row>
    <row r="64" spans="1:10" x14ac:dyDescent="0.25">
      <c r="A64" s="309" t="s">
        <v>115</v>
      </c>
      <c r="B64" s="310" t="s">
        <v>3163</v>
      </c>
      <c r="C64" s="311" t="s">
        <v>1234</v>
      </c>
      <c r="D64" s="312" t="s">
        <v>2973</v>
      </c>
      <c r="E64" s="313" t="s">
        <v>2974</v>
      </c>
      <c r="F64" s="313" t="s">
        <v>3063</v>
      </c>
      <c r="G64" s="314" t="s">
        <v>3076</v>
      </c>
      <c r="H64" s="315" t="s">
        <v>3037</v>
      </c>
      <c r="I64" s="311" t="s">
        <v>3099</v>
      </c>
      <c r="J64" s="316" t="s">
        <v>3164</v>
      </c>
    </row>
    <row r="65" spans="1:10" x14ac:dyDescent="0.25">
      <c r="A65" s="309" t="s">
        <v>117</v>
      </c>
      <c r="B65" s="310" t="s">
        <v>3165</v>
      </c>
      <c r="C65" s="311" t="s">
        <v>1234</v>
      </c>
      <c r="D65" s="312" t="s">
        <v>2973</v>
      </c>
      <c r="E65" s="313" t="s">
        <v>2974</v>
      </c>
      <c r="F65" s="313" t="s">
        <v>3063</v>
      </c>
      <c r="G65" s="314" t="s">
        <v>3076</v>
      </c>
      <c r="H65" s="315" t="s">
        <v>3037</v>
      </c>
      <c r="I65" s="311" t="s">
        <v>3099</v>
      </c>
      <c r="J65" s="316" t="s">
        <v>3166</v>
      </c>
    </row>
    <row r="66" spans="1:10" x14ac:dyDescent="0.25">
      <c r="A66" s="309" t="s">
        <v>118</v>
      </c>
      <c r="B66" s="310" t="s">
        <v>3167</v>
      </c>
      <c r="C66" s="311" t="s">
        <v>1234</v>
      </c>
      <c r="D66" s="312" t="s">
        <v>2973</v>
      </c>
      <c r="E66" s="313" t="s">
        <v>2974</v>
      </c>
      <c r="F66" s="313" t="s">
        <v>3063</v>
      </c>
      <c r="G66" s="314" t="s">
        <v>3076</v>
      </c>
      <c r="H66" s="315" t="s">
        <v>3037</v>
      </c>
      <c r="I66" s="311" t="s">
        <v>3099</v>
      </c>
      <c r="J66" s="316" t="s">
        <v>3168</v>
      </c>
    </row>
    <row r="67" spans="1:10" x14ac:dyDescent="0.25">
      <c r="A67" s="309" t="s">
        <v>119</v>
      </c>
      <c r="B67" s="310" t="s">
        <v>3169</v>
      </c>
      <c r="C67" s="311" t="s">
        <v>1234</v>
      </c>
      <c r="D67" s="312" t="s">
        <v>2973</v>
      </c>
      <c r="E67" s="313" t="s">
        <v>2974</v>
      </c>
      <c r="F67" s="313" t="s">
        <v>3063</v>
      </c>
      <c r="G67" s="314" t="s">
        <v>3076</v>
      </c>
      <c r="H67" s="315" t="s">
        <v>3037</v>
      </c>
      <c r="I67" s="311" t="s">
        <v>3099</v>
      </c>
      <c r="J67" s="316" t="s">
        <v>3170</v>
      </c>
    </row>
    <row r="68" spans="1:10" x14ac:dyDescent="0.25">
      <c r="A68" s="309" t="s">
        <v>120</v>
      </c>
      <c r="B68" s="310" t="s">
        <v>3171</v>
      </c>
      <c r="C68" s="311" t="s">
        <v>1234</v>
      </c>
      <c r="D68" s="312" t="s">
        <v>2973</v>
      </c>
      <c r="E68" s="313" t="s">
        <v>2974</v>
      </c>
      <c r="F68" s="313" t="s">
        <v>3063</v>
      </c>
      <c r="G68" s="314" t="s">
        <v>3076</v>
      </c>
      <c r="H68" s="315" t="s">
        <v>3037</v>
      </c>
      <c r="I68" s="311" t="s">
        <v>3099</v>
      </c>
      <c r="J68" s="316" t="s">
        <v>3172</v>
      </c>
    </row>
    <row r="69" spans="1:10" x14ac:dyDescent="0.25">
      <c r="A69" s="309" t="s">
        <v>103</v>
      </c>
      <c r="B69" s="310" t="s">
        <v>2861</v>
      </c>
      <c r="C69" s="311" t="s">
        <v>1234</v>
      </c>
      <c r="D69" s="312" t="s">
        <v>2973</v>
      </c>
      <c r="E69" s="313" t="s">
        <v>2974</v>
      </c>
      <c r="F69" s="313" t="s">
        <v>2509</v>
      </c>
      <c r="G69" s="314" t="s">
        <v>3076</v>
      </c>
      <c r="H69" s="315" t="s">
        <v>3037</v>
      </c>
      <c r="I69" s="311" t="s">
        <v>3099</v>
      </c>
      <c r="J69" s="316" t="s">
        <v>3173</v>
      </c>
    </row>
    <row r="70" spans="1:10" x14ac:dyDescent="0.25">
      <c r="A70" s="309" t="s">
        <v>132</v>
      </c>
      <c r="B70" s="310" t="s">
        <v>2862</v>
      </c>
      <c r="C70" s="311" t="s">
        <v>1234</v>
      </c>
      <c r="D70" s="312" t="s">
        <v>2973</v>
      </c>
      <c r="E70" s="313" t="s">
        <v>2974</v>
      </c>
      <c r="F70" s="313" t="s">
        <v>3063</v>
      </c>
      <c r="G70" s="314" t="s">
        <v>3076</v>
      </c>
      <c r="H70" s="315" t="s">
        <v>3037</v>
      </c>
      <c r="I70" s="311" t="s">
        <v>3099</v>
      </c>
      <c r="J70" s="316" t="s">
        <v>3174</v>
      </c>
    </row>
    <row r="71" spans="1:10" x14ac:dyDescent="0.25">
      <c r="A71" s="309" t="s">
        <v>129</v>
      </c>
      <c r="B71" s="310" t="s">
        <v>3175</v>
      </c>
      <c r="C71" s="311" t="s">
        <v>1234</v>
      </c>
      <c r="D71" s="312" t="s">
        <v>2973</v>
      </c>
      <c r="E71" s="313" t="s">
        <v>2974</v>
      </c>
      <c r="F71" s="313" t="s">
        <v>3063</v>
      </c>
      <c r="G71" s="314" t="s">
        <v>3076</v>
      </c>
      <c r="H71" s="315" t="s">
        <v>3037</v>
      </c>
      <c r="I71" s="311" t="s">
        <v>3099</v>
      </c>
      <c r="J71" s="316" t="s">
        <v>3176</v>
      </c>
    </row>
    <row r="72" spans="1:10" x14ac:dyDescent="0.25">
      <c r="A72" s="309" t="s">
        <v>101</v>
      </c>
      <c r="B72" s="310" t="s">
        <v>3177</v>
      </c>
      <c r="C72" s="311" t="s">
        <v>1234</v>
      </c>
      <c r="D72" s="312" t="s">
        <v>3037</v>
      </c>
      <c r="E72" s="313" t="s">
        <v>3037</v>
      </c>
      <c r="F72" s="313" t="s">
        <v>3037</v>
      </c>
      <c r="G72" s="314" t="s">
        <v>3037</v>
      </c>
      <c r="H72" s="315" t="s">
        <v>3037</v>
      </c>
      <c r="I72" s="311" t="s">
        <v>3038</v>
      </c>
      <c r="J72" s="316" t="s">
        <v>3178</v>
      </c>
    </row>
    <row r="73" spans="1:10" x14ac:dyDescent="0.25">
      <c r="A73" s="309" t="s">
        <v>99</v>
      </c>
      <c r="B73" s="310" t="s">
        <v>3179</v>
      </c>
      <c r="C73" s="311" t="s">
        <v>1234</v>
      </c>
      <c r="D73" s="312" t="s">
        <v>2485</v>
      </c>
      <c r="E73" s="313" t="s">
        <v>3063</v>
      </c>
      <c r="F73" s="313" t="s">
        <v>3076</v>
      </c>
      <c r="G73" s="314" t="s">
        <v>3090</v>
      </c>
      <c r="H73" s="315" t="s">
        <v>3037</v>
      </c>
      <c r="I73" s="311" t="s">
        <v>3038</v>
      </c>
      <c r="J73" s="316" t="s">
        <v>3180</v>
      </c>
    </row>
    <row r="74" spans="1:10" x14ac:dyDescent="0.25">
      <c r="A74" s="309" t="s">
        <v>100</v>
      </c>
      <c r="B74" s="310" t="s">
        <v>3181</v>
      </c>
      <c r="C74" s="311" t="s">
        <v>1234</v>
      </c>
      <c r="D74" s="312" t="s">
        <v>2485</v>
      </c>
      <c r="E74" s="313" t="s">
        <v>3063</v>
      </c>
      <c r="F74" s="313" t="s">
        <v>3076</v>
      </c>
      <c r="G74" s="314" t="s">
        <v>3090</v>
      </c>
      <c r="H74" s="315" t="s">
        <v>3037</v>
      </c>
      <c r="I74" s="311" t="s">
        <v>3038</v>
      </c>
      <c r="J74" s="316" t="s">
        <v>3182</v>
      </c>
    </row>
    <row r="75" spans="1:10" x14ac:dyDescent="0.25">
      <c r="A75" s="309" t="s">
        <v>97</v>
      </c>
      <c r="B75" s="310" t="s">
        <v>3183</v>
      </c>
      <c r="C75" s="311" t="s">
        <v>1234</v>
      </c>
      <c r="D75" s="312" t="s">
        <v>2980</v>
      </c>
      <c r="E75" s="313" t="s">
        <v>3063</v>
      </c>
      <c r="F75" s="313" t="s">
        <v>3076</v>
      </c>
      <c r="G75" s="314" t="s">
        <v>3090</v>
      </c>
      <c r="H75" s="315" t="s">
        <v>3037</v>
      </c>
      <c r="I75" s="311" t="s">
        <v>3038</v>
      </c>
      <c r="J75" s="316" t="s">
        <v>3184</v>
      </c>
    </row>
    <row r="76" spans="1:10" x14ac:dyDescent="0.25">
      <c r="A76" s="309" t="s">
        <v>98</v>
      </c>
      <c r="B76" s="310" t="s">
        <v>3185</v>
      </c>
      <c r="C76" s="311" t="s">
        <v>1234</v>
      </c>
      <c r="D76" s="312" t="s">
        <v>2980</v>
      </c>
      <c r="E76" s="313" t="s">
        <v>3063</v>
      </c>
      <c r="F76" s="313" t="s">
        <v>3076</v>
      </c>
      <c r="G76" s="314" t="s">
        <v>3090</v>
      </c>
      <c r="H76" s="315" t="s">
        <v>3037</v>
      </c>
      <c r="I76" s="311" t="s">
        <v>3038</v>
      </c>
      <c r="J76" s="316" t="s">
        <v>3186</v>
      </c>
    </row>
    <row r="77" spans="1:10" x14ac:dyDescent="0.25">
      <c r="A77" s="309" t="s">
        <v>236</v>
      </c>
      <c r="B77" s="310" t="s">
        <v>3187</v>
      </c>
      <c r="C77" s="311" t="s">
        <v>1241</v>
      </c>
      <c r="D77" s="312" t="s">
        <v>3077</v>
      </c>
      <c r="E77" s="313" t="s">
        <v>3063</v>
      </c>
      <c r="F77" s="313" t="s">
        <v>1241</v>
      </c>
      <c r="G77" s="314" t="s">
        <v>3076</v>
      </c>
      <c r="H77" s="315" t="s">
        <v>3037</v>
      </c>
      <c r="I77" s="311" t="s">
        <v>3038</v>
      </c>
      <c r="J77" s="316" t="s">
        <v>3188</v>
      </c>
    </row>
    <row r="78" spans="1:10" x14ac:dyDescent="0.25">
      <c r="A78" s="309" t="s">
        <v>237</v>
      </c>
      <c r="B78" s="310" t="s">
        <v>3189</v>
      </c>
      <c r="C78" s="311" t="s">
        <v>1241</v>
      </c>
      <c r="D78" s="312" t="s">
        <v>3077</v>
      </c>
      <c r="E78" s="313" t="s">
        <v>2503</v>
      </c>
      <c r="F78" s="313" t="s">
        <v>1241</v>
      </c>
      <c r="G78" s="314" t="s">
        <v>3063</v>
      </c>
      <c r="H78" s="315" t="s">
        <v>3037</v>
      </c>
      <c r="I78" s="311" t="s">
        <v>3038</v>
      </c>
      <c r="J78" s="316" t="s">
        <v>3190</v>
      </c>
    </row>
    <row r="79" spans="1:10" x14ac:dyDescent="0.25">
      <c r="A79" s="309" t="s">
        <v>240</v>
      </c>
      <c r="B79" s="310" t="s">
        <v>3191</v>
      </c>
      <c r="C79" s="311" t="s">
        <v>1241</v>
      </c>
      <c r="D79" s="312" t="s">
        <v>3077</v>
      </c>
      <c r="E79" s="313" t="s">
        <v>2503</v>
      </c>
      <c r="F79" s="313" t="s">
        <v>1241</v>
      </c>
      <c r="G79" s="314" t="s">
        <v>3063</v>
      </c>
      <c r="H79" s="315" t="s">
        <v>3037</v>
      </c>
      <c r="I79" s="311" t="s">
        <v>3038</v>
      </c>
      <c r="J79" s="316" t="s">
        <v>3192</v>
      </c>
    </row>
    <row r="80" spans="1:10" x14ac:dyDescent="0.25">
      <c r="A80" s="309" t="s">
        <v>241</v>
      </c>
      <c r="B80" s="310" t="s">
        <v>3193</v>
      </c>
      <c r="C80" s="311" t="s">
        <v>1241</v>
      </c>
      <c r="D80" s="312" t="s">
        <v>3077</v>
      </c>
      <c r="E80" s="313" t="s">
        <v>2503</v>
      </c>
      <c r="F80" s="313" t="s">
        <v>1241</v>
      </c>
      <c r="G80" s="314" t="s">
        <v>3063</v>
      </c>
      <c r="H80" s="315" t="s">
        <v>3037</v>
      </c>
      <c r="I80" s="311" t="s">
        <v>3038</v>
      </c>
      <c r="J80" s="316" t="s">
        <v>3194</v>
      </c>
    </row>
    <row r="81" spans="1:10" x14ac:dyDescent="0.25">
      <c r="A81" s="309" t="s">
        <v>242</v>
      </c>
      <c r="B81" s="310" t="s">
        <v>3195</v>
      </c>
      <c r="C81" s="311" t="s">
        <v>1241</v>
      </c>
      <c r="D81" s="312" t="s">
        <v>3077</v>
      </c>
      <c r="E81" s="313" t="s">
        <v>2503</v>
      </c>
      <c r="F81" s="313" t="s">
        <v>1241</v>
      </c>
      <c r="G81" s="314" t="s">
        <v>3063</v>
      </c>
      <c r="H81" s="315" t="s">
        <v>3037</v>
      </c>
      <c r="I81" s="311" t="s">
        <v>3038</v>
      </c>
      <c r="J81" s="316" t="s">
        <v>3196</v>
      </c>
    </row>
    <row r="82" spans="1:10" x14ac:dyDescent="0.25">
      <c r="A82" s="309" t="s">
        <v>243</v>
      </c>
      <c r="B82" s="310" t="s">
        <v>3197</v>
      </c>
      <c r="C82" s="311" t="s">
        <v>1241</v>
      </c>
      <c r="D82" s="312" t="s">
        <v>3077</v>
      </c>
      <c r="E82" s="313" t="s">
        <v>2503</v>
      </c>
      <c r="F82" s="313" t="s">
        <v>1241</v>
      </c>
      <c r="G82" s="314" t="s">
        <v>3063</v>
      </c>
      <c r="H82" s="315" t="s">
        <v>3037</v>
      </c>
      <c r="I82" s="311" t="s">
        <v>3038</v>
      </c>
      <c r="J82" s="316" t="s">
        <v>3198</v>
      </c>
    </row>
    <row r="83" spans="1:10" x14ac:dyDescent="0.25">
      <c r="A83" s="309" t="s">
        <v>244</v>
      </c>
      <c r="B83" s="310" t="s">
        <v>3199</v>
      </c>
      <c r="C83" s="311" t="s">
        <v>1241</v>
      </c>
      <c r="D83" s="312" t="s">
        <v>3077</v>
      </c>
      <c r="E83" s="313" t="s">
        <v>2503</v>
      </c>
      <c r="F83" s="313" t="s">
        <v>1241</v>
      </c>
      <c r="G83" s="314" t="s">
        <v>3063</v>
      </c>
      <c r="H83" s="315" t="s">
        <v>3037</v>
      </c>
      <c r="I83" s="311" t="s">
        <v>3038</v>
      </c>
      <c r="J83" s="316" t="s">
        <v>3200</v>
      </c>
    </row>
    <row r="84" spans="1:10" x14ac:dyDescent="0.25">
      <c r="A84" s="309" t="s">
        <v>245</v>
      </c>
      <c r="B84" s="310" t="s">
        <v>3201</v>
      </c>
      <c r="C84" s="311" t="s">
        <v>1241</v>
      </c>
      <c r="D84" s="312" t="s">
        <v>3077</v>
      </c>
      <c r="E84" s="313" t="s">
        <v>2503</v>
      </c>
      <c r="F84" s="313" t="s">
        <v>1241</v>
      </c>
      <c r="G84" s="314" t="s">
        <v>3063</v>
      </c>
      <c r="H84" s="315" t="s">
        <v>3037</v>
      </c>
      <c r="I84" s="311" t="s">
        <v>3038</v>
      </c>
      <c r="J84" s="316" t="s">
        <v>3202</v>
      </c>
    </row>
    <row r="85" spans="1:10" x14ac:dyDescent="0.25">
      <c r="A85" s="309" t="s">
        <v>246</v>
      </c>
      <c r="B85" s="310" t="s">
        <v>3203</v>
      </c>
      <c r="C85" s="311" t="s">
        <v>1241</v>
      </c>
      <c r="D85" s="312" t="s">
        <v>3077</v>
      </c>
      <c r="E85" s="313" t="s">
        <v>2503</v>
      </c>
      <c r="F85" s="313" t="s">
        <v>1241</v>
      </c>
      <c r="G85" s="314" t="s">
        <v>3063</v>
      </c>
      <c r="H85" s="315" t="s">
        <v>3037</v>
      </c>
      <c r="I85" s="311" t="s">
        <v>3038</v>
      </c>
      <c r="J85" s="316" t="s">
        <v>3204</v>
      </c>
    </row>
    <row r="86" spans="1:10" x14ac:dyDescent="0.25">
      <c r="A86" s="309" t="s">
        <v>247</v>
      </c>
      <c r="B86" s="310" t="s">
        <v>3205</v>
      </c>
      <c r="C86" s="311" t="s">
        <v>1241</v>
      </c>
      <c r="D86" s="312" t="s">
        <v>3077</v>
      </c>
      <c r="E86" s="313" t="s">
        <v>2503</v>
      </c>
      <c r="F86" s="313" t="s">
        <v>1241</v>
      </c>
      <c r="G86" s="314" t="s">
        <v>3063</v>
      </c>
      <c r="H86" s="315" t="s">
        <v>3037</v>
      </c>
      <c r="I86" s="311" t="s">
        <v>3038</v>
      </c>
      <c r="J86" s="316" t="s">
        <v>3206</v>
      </c>
    </row>
    <row r="87" spans="1:10" x14ac:dyDescent="0.25">
      <c r="A87" s="309" t="s">
        <v>238</v>
      </c>
      <c r="B87" s="310" t="s">
        <v>3207</v>
      </c>
      <c r="C87" s="311" t="s">
        <v>1241</v>
      </c>
      <c r="D87" s="312" t="s">
        <v>3077</v>
      </c>
      <c r="E87" s="313" t="s">
        <v>3063</v>
      </c>
      <c r="F87" s="313" t="s">
        <v>1241</v>
      </c>
      <c r="G87" s="314" t="s">
        <v>3076</v>
      </c>
      <c r="H87" s="315" t="s">
        <v>3037</v>
      </c>
      <c r="I87" s="311" t="s">
        <v>3038</v>
      </c>
      <c r="J87" s="316" t="s">
        <v>3208</v>
      </c>
    </row>
    <row r="88" spans="1:10" x14ac:dyDescent="0.25">
      <c r="A88" s="309" t="s">
        <v>239</v>
      </c>
      <c r="B88" s="310" t="s">
        <v>3209</v>
      </c>
      <c r="C88" s="311" t="s">
        <v>1241</v>
      </c>
      <c r="D88" s="312" t="s">
        <v>3077</v>
      </c>
      <c r="E88" s="313" t="s">
        <v>3063</v>
      </c>
      <c r="F88" s="313" t="s">
        <v>1241</v>
      </c>
      <c r="G88" s="314" t="s">
        <v>3076</v>
      </c>
      <c r="H88" s="315" t="s">
        <v>3037</v>
      </c>
      <c r="I88" s="311" t="s">
        <v>3038</v>
      </c>
      <c r="J88" s="316" t="s">
        <v>3210</v>
      </c>
    </row>
    <row r="89" spans="1:10" x14ac:dyDescent="0.25">
      <c r="A89" s="309" t="s">
        <v>250</v>
      </c>
      <c r="B89" s="310" t="s">
        <v>3211</v>
      </c>
      <c r="C89" s="311" t="s">
        <v>1241</v>
      </c>
      <c r="D89" s="312" t="s">
        <v>3063</v>
      </c>
      <c r="E89" s="313" t="s">
        <v>2503</v>
      </c>
      <c r="F89" s="313" t="s">
        <v>1241</v>
      </c>
      <c r="G89" s="314" t="s">
        <v>3076</v>
      </c>
      <c r="H89" s="315" t="s">
        <v>3037</v>
      </c>
      <c r="I89" s="311" t="s">
        <v>3038</v>
      </c>
      <c r="J89" s="316" t="s">
        <v>3212</v>
      </c>
    </row>
    <row r="90" spans="1:10" x14ac:dyDescent="0.25">
      <c r="A90" s="309" t="s">
        <v>249</v>
      </c>
      <c r="B90" s="310" t="s">
        <v>3213</v>
      </c>
      <c r="C90" s="311" t="s">
        <v>1241</v>
      </c>
      <c r="D90" s="312" t="s">
        <v>3077</v>
      </c>
      <c r="E90" s="313" t="s">
        <v>3077</v>
      </c>
      <c r="F90" s="313" t="s">
        <v>3077</v>
      </c>
      <c r="G90" s="314" t="s">
        <v>1241</v>
      </c>
      <c r="H90" s="315" t="s">
        <v>3037</v>
      </c>
      <c r="I90" s="311" t="s">
        <v>3038</v>
      </c>
      <c r="J90" s="316" t="s">
        <v>3214</v>
      </c>
    </row>
    <row r="91" spans="1:10" x14ac:dyDescent="0.25">
      <c r="A91" s="309" t="s">
        <v>251</v>
      </c>
      <c r="B91" s="310" t="s">
        <v>3215</v>
      </c>
      <c r="C91" s="311" t="s">
        <v>1241</v>
      </c>
      <c r="D91" s="312" t="s">
        <v>3077</v>
      </c>
      <c r="E91" s="313" t="s">
        <v>3063</v>
      </c>
      <c r="F91" s="313" t="s">
        <v>1241</v>
      </c>
      <c r="G91" s="314" t="s">
        <v>3076</v>
      </c>
      <c r="H91" s="315" t="s">
        <v>3037</v>
      </c>
      <c r="I91" s="311" t="s">
        <v>3038</v>
      </c>
      <c r="J91" s="316" t="s">
        <v>3216</v>
      </c>
    </row>
    <row r="92" spans="1:10" x14ac:dyDescent="0.25">
      <c r="A92" s="309" t="s">
        <v>248</v>
      </c>
      <c r="B92" s="310" t="s">
        <v>3217</v>
      </c>
      <c r="C92" s="311" t="s">
        <v>1241</v>
      </c>
      <c r="D92" s="312" t="s">
        <v>3077</v>
      </c>
      <c r="E92" s="313" t="s">
        <v>3063</v>
      </c>
      <c r="F92" s="313" t="s">
        <v>1241</v>
      </c>
      <c r="G92" s="314" t="s">
        <v>3076</v>
      </c>
      <c r="H92" s="315" t="s">
        <v>3037</v>
      </c>
      <c r="I92" s="311" t="s">
        <v>3038</v>
      </c>
      <c r="J92" s="316" t="s">
        <v>3218</v>
      </c>
    </row>
    <row r="93" spans="1:10" x14ac:dyDescent="0.25">
      <c r="A93" s="309" t="s">
        <v>230</v>
      </c>
      <c r="B93" s="310" t="s">
        <v>3219</v>
      </c>
      <c r="C93" s="311" t="s">
        <v>1240</v>
      </c>
      <c r="D93" s="312" t="s">
        <v>3220</v>
      </c>
      <c r="E93" s="313" t="s">
        <v>2979</v>
      </c>
      <c r="F93" s="313" t="s">
        <v>2981</v>
      </c>
      <c r="G93" s="314" t="s">
        <v>2508</v>
      </c>
      <c r="H93" s="315" t="s">
        <v>3037</v>
      </c>
      <c r="I93" s="311" t="s">
        <v>3038</v>
      </c>
      <c r="J93" s="316" t="s">
        <v>3221</v>
      </c>
    </row>
    <row r="94" spans="1:10" x14ac:dyDescent="0.25">
      <c r="A94" s="309" t="s">
        <v>231</v>
      </c>
      <c r="B94" s="310" t="s">
        <v>3222</v>
      </c>
      <c r="C94" s="311" t="s">
        <v>1240</v>
      </c>
      <c r="D94" s="312" t="s">
        <v>3220</v>
      </c>
      <c r="E94" s="313" t="s">
        <v>2979</v>
      </c>
      <c r="F94" s="313" t="s">
        <v>2981</v>
      </c>
      <c r="G94" s="314" t="s">
        <v>2508</v>
      </c>
      <c r="H94" s="315" t="s">
        <v>3037</v>
      </c>
      <c r="I94" s="311" t="s">
        <v>3038</v>
      </c>
      <c r="J94" s="316" t="s">
        <v>3223</v>
      </c>
    </row>
    <row r="95" spans="1:10" x14ac:dyDescent="0.25">
      <c r="A95" s="309" t="s">
        <v>229</v>
      </c>
      <c r="B95" s="310" t="s">
        <v>3224</v>
      </c>
      <c r="C95" s="311" t="s">
        <v>1240</v>
      </c>
      <c r="D95" s="312" t="s">
        <v>2981</v>
      </c>
      <c r="E95" s="313" t="s">
        <v>2982</v>
      </c>
      <c r="F95" s="313" t="s">
        <v>1233</v>
      </c>
      <c r="G95" s="314" t="s">
        <v>2508</v>
      </c>
      <c r="H95" s="315" t="s">
        <v>3037</v>
      </c>
      <c r="I95" s="311" t="s">
        <v>3038</v>
      </c>
      <c r="J95" s="316" t="s">
        <v>3225</v>
      </c>
    </row>
    <row r="96" spans="1:10" x14ac:dyDescent="0.25">
      <c r="A96" s="309" t="s">
        <v>228</v>
      </c>
      <c r="B96" s="310" t="s">
        <v>3226</v>
      </c>
      <c r="C96" s="311" t="s">
        <v>1240</v>
      </c>
      <c r="D96" s="312" t="s">
        <v>2981</v>
      </c>
      <c r="E96" s="313" t="s">
        <v>2982</v>
      </c>
      <c r="F96" s="313" t="s">
        <v>1233</v>
      </c>
      <c r="G96" s="314" t="s">
        <v>2508</v>
      </c>
      <c r="H96" s="315" t="s">
        <v>3037</v>
      </c>
      <c r="I96" s="311" t="s">
        <v>3038</v>
      </c>
      <c r="J96" s="316" t="s">
        <v>3227</v>
      </c>
    </row>
    <row r="97" spans="1:10" x14ac:dyDescent="0.25">
      <c r="A97" s="309" t="s">
        <v>235</v>
      </c>
      <c r="B97" s="310" t="s">
        <v>3228</v>
      </c>
      <c r="C97" s="311" t="s">
        <v>1240</v>
      </c>
      <c r="D97" s="312" t="s">
        <v>2983</v>
      </c>
      <c r="E97" s="313" t="s">
        <v>3063</v>
      </c>
      <c r="F97" s="313" t="s">
        <v>1233</v>
      </c>
      <c r="G97" s="314" t="s">
        <v>3076</v>
      </c>
      <c r="H97" s="315" t="s">
        <v>3037</v>
      </c>
      <c r="I97" s="311" t="s">
        <v>3038</v>
      </c>
      <c r="J97" s="316" t="s">
        <v>3229</v>
      </c>
    </row>
    <row r="98" spans="1:10" x14ac:dyDescent="0.25">
      <c r="A98" s="309" t="s">
        <v>234</v>
      </c>
      <c r="B98" s="310" t="s">
        <v>3230</v>
      </c>
      <c r="C98" s="311" t="s">
        <v>1240</v>
      </c>
      <c r="D98" s="312" t="s">
        <v>2983</v>
      </c>
      <c r="E98" s="313" t="s">
        <v>3063</v>
      </c>
      <c r="F98" s="313" t="s">
        <v>1233</v>
      </c>
      <c r="G98" s="314" t="s">
        <v>3076</v>
      </c>
      <c r="H98" s="315" t="s">
        <v>3037</v>
      </c>
      <c r="I98" s="311" t="s">
        <v>3038</v>
      </c>
      <c r="J98" s="316" t="s">
        <v>3231</v>
      </c>
    </row>
    <row r="99" spans="1:10" x14ac:dyDescent="0.25">
      <c r="A99" s="309" t="s">
        <v>232</v>
      </c>
      <c r="B99" s="310" t="s">
        <v>3232</v>
      </c>
      <c r="C99" s="311" t="s">
        <v>1240</v>
      </c>
      <c r="D99" s="312" t="s">
        <v>2983</v>
      </c>
      <c r="E99" s="313" t="s">
        <v>3063</v>
      </c>
      <c r="F99" s="313" t="s">
        <v>1233</v>
      </c>
      <c r="G99" s="314" t="s">
        <v>3076</v>
      </c>
      <c r="H99" s="315" t="s">
        <v>3037</v>
      </c>
      <c r="I99" s="311" t="s">
        <v>3038</v>
      </c>
      <c r="J99" s="316" t="s">
        <v>3233</v>
      </c>
    </row>
    <row r="100" spans="1:10" x14ac:dyDescent="0.25">
      <c r="A100" s="309" t="s">
        <v>233</v>
      </c>
      <c r="B100" s="310" t="s">
        <v>3234</v>
      </c>
      <c r="C100" s="311" t="s">
        <v>1240</v>
      </c>
      <c r="D100" s="312" t="s">
        <v>2983</v>
      </c>
      <c r="E100" s="313" t="s">
        <v>2890</v>
      </c>
      <c r="F100" s="313" t="s">
        <v>1233</v>
      </c>
      <c r="G100" s="314" t="s">
        <v>3076</v>
      </c>
      <c r="H100" s="315" t="s">
        <v>3037</v>
      </c>
      <c r="I100" s="311" t="s">
        <v>3038</v>
      </c>
      <c r="J100" s="316" t="s">
        <v>3235</v>
      </c>
    </row>
    <row r="101" spans="1:10" x14ac:dyDescent="0.25">
      <c r="A101" s="309" t="s">
        <v>221</v>
      </c>
      <c r="B101" s="310" t="s">
        <v>3236</v>
      </c>
      <c r="C101" s="311" t="s">
        <v>1240</v>
      </c>
      <c r="D101" s="312" t="s">
        <v>209</v>
      </c>
      <c r="E101" s="313" t="s">
        <v>2981</v>
      </c>
      <c r="F101" s="313" t="s">
        <v>1233</v>
      </c>
      <c r="G101" s="314" t="s">
        <v>3063</v>
      </c>
      <c r="H101" s="315" t="s">
        <v>3037</v>
      </c>
      <c r="I101" s="311" t="s">
        <v>3038</v>
      </c>
      <c r="J101" s="316" t="s">
        <v>3237</v>
      </c>
    </row>
    <row r="102" spans="1:10" x14ac:dyDescent="0.25">
      <c r="A102" s="309" t="s">
        <v>222</v>
      </c>
      <c r="B102" s="310" t="s">
        <v>3238</v>
      </c>
      <c r="C102" s="311" t="s">
        <v>1240</v>
      </c>
      <c r="D102" s="312" t="s">
        <v>3063</v>
      </c>
      <c r="E102" s="313" t="s">
        <v>2981</v>
      </c>
      <c r="F102" s="313" t="s">
        <v>1233</v>
      </c>
      <c r="G102" s="314" t="s">
        <v>3076</v>
      </c>
      <c r="H102" s="315" t="s">
        <v>3037</v>
      </c>
      <c r="I102" s="311" t="s">
        <v>3038</v>
      </c>
      <c r="J102" s="316" t="s">
        <v>3239</v>
      </c>
    </row>
    <row r="103" spans="1:10" x14ac:dyDescent="0.25">
      <c r="A103" s="309" t="s">
        <v>223</v>
      </c>
      <c r="B103" s="310" t="s">
        <v>3240</v>
      </c>
      <c r="C103" s="311" t="s">
        <v>1240</v>
      </c>
      <c r="D103" s="312" t="s">
        <v>3063</v>
      </c>
      <c r="E103" s="313" t="s">
        <v>2981</v>
      </c>
      <c r="F103" s="313" t="s">
        <v>1233</v>
      </c>
      <c r="G103" s="314" t="s">
        <v>3076</v>
      </c>
      <c r="H103" s="315" t="s">
        <v>3037</v>
      </c>
      <c r="I103" s="311" t="s">
        <v>3038</v>
      </c>
      <c r="J103" s="316" t="s">
        <v>3241</v>
      </c>
    </row>
    <row r="104" spans="1:10" x14ac:dyDescent="0.25">
      <c r="A104" s="309" t="s">
        <v>224</v>
      </c>
      <c r="B104" s="310" t="s">
        <v>3242</v>
      </c>
      <c r="C104" s="311" t="s">
        <v>1240</v>
      </c>
      <c r="D104" s="312" t="s">
        <v>2890</v>
      </c>
      <c r="E104" s="313" t="s">
        <v>2981</v>
      </c>
      <c r="F104" s="313" t="s">
        <v>1233</v>
      </c>
      <c r="G104" s="314" t="s">
        <v>3063</v>
      </c>
      <c r="H104" s="315" t="s">
        <v>3037</v>
      </c>
      <c r="I104" s="311" t="s">
        <v>3038</v>
      </c>
      <c r="J104" s="316" t="s">
        <v>3243</v>
      </c>
    </row>
    <row r="105" spans="1:10" x14ac:dyDescent="0.25">
      <c r="A105" s="309" t="s">
        <v>225</v>
      </c>
      <c r="B105" s="310" t="s">
        <v>3244</v>
      </c>
      <c r="C105" s="311" t="s">
        <v>1240</v>
      </c>
      <c r="D105" s="312" t="s">
        <v>2891</v>
      </c>
      <c r="E105" s="313" t="s">
        <v>2981</v>
      </c>
      <c r="F105" s="313" t="s">
        <v>1233</v>
      </c>
      <c r="G105" s="314" t="s">
        <v>3063</v>
      </c>
      <c r="H105" s="315" t="s">
        <v>3037</v>
      </c>
      <c r="I105" s="311" t="s">
        <v>3038</v>
      </c>
      <c r="J105" s="316" t="s">
        <v>3245</v>
      </c>
    </row>
    <row r="106" spans="1:10" x14ac:dyDescent="0.25">
      <c r="A106" s="309" t="s">
        <v>226</v>
      </c>
      <c r="B106" s="310" t="s">
        <v>3246</v>
      </c>
      <c r="C106" s="311" t="s">
        <v>1240</v>
      </c>
      <c r="D106" s="312" t="s">
        <v>2892</v>
      </c>
      <c r="E106" s="313" t="s">
        <v>2981</v>
      </c>
      <c r="F106" s="313" t="s">
        <v>1233</v>
      </c>
      <c r="G106" s="314" t="s">
        <v>3063</v>
      </c>
      <c r="H106" s="315" t="s">
        <v>3037</v>
      </c>
      <c r="I106" s="311" t="s">
        <v>3038</v>
      </c>
      <c r="J106" s="316" t="s">
        <v>3247</v>
      </c>
    </row>
    <row r="107" spans="1:10" x14ac:dyDescent="0.25">
      <c r="A107" s="309" t="s">
        <v>227</v>
      </c>
      <c r="B107" s="310" t="s">
        <v>3248</v>
      </c>
      <c r="C107" s="311" t="s">
        <v>1240</v>
      </c>
      <c r="D107" s="312" t="s">
        <v>2893</v>
      </c>
      <c r="E107" s="313" t="s">
        <v>2981</v>
      </c>
      <c r="F107" s="313" t="s">
        <v>1233</v>
      </c>
      <c r="G107" s="314" t="s">
        <v>3063</v>
      </c>
      <c r="H107" s="315" t="s">
        <v>3037</v>
      </c>
      <c r="I107" s="311" t="s">
        <v>3038</v>
      </c>
      <c r="J107" s="316" t="s">
        <v>3249</v>
      </c>
    </row>
    <row r="108" spans="1:10" x14ac:dyDescent="0.25">
      <c r="A108" s="309" t="s">
        <v>220</v>
      </c>
      <c r="B108" s="310" t="s">
        <v>3250</v>
      </c>
      <c r="C108" s="311" t="s">
        <v>1240</v>
      </c>
      <c r="D108" s="312" t="s">
        <v>2482</v>
      </c>
      <c r="E108" s="313" t="s">
        <v>3063</v>
      </c>
      <c r="F108" s="313" t="s">
        <v>3076</v>
      </c>
      <c r="G108" s="314" t="s">
        <v>3090</v>
      </c>
      <c r="H108" s="315" t="s">
        <v>3037</v>
      </c>
      <c r="I108" s="311" t="s">
        <v>3038</v>
      </c>
      <c r="J108" s="316" t="s">
        <v>3251</v>
      </c>
    </row>
    <row r="109" spans="1:10" x14ac:dyDescent="0.25">
      <c r="A109" s="309" t="s">
        <v>219</v>
      </c>
      <c r="B109" s="310" t="s">
        <v>3252</v>
      </c>
      <c r="C109" s="311" t="s">
        <v>1240</v>
      </c>
      <c r="D109" s="312" t="s">
        <v>2482</v>
      </c>
      <c r="E109" s="313" t="s">
        <v>3063</v>
      </c>
      <c r="F109" s="313" t="s">
        <v>3076</v>
      </c>
      <c r="G109" s="314" t="s">
        <v>3090</v>
      </c>
      <c r="H109" s="315" t="s">
        <v>3037</v>
      </c>
      <c r="I109" s="311" t="s">
        <v>3038</v>
      </c>
      <c r="J109" s="316" t="s">
        <v>3253</v>
      </c>
    </row>
    <row r="110" spans="1:10" x14ac:dyDescent="0.25">
      <c r="A110" s="309" t="s">
        <v>217</v>
      </c>
      <c r="B110" s="310" t="s">
        <v>3254</v>
      </c>
      <c r="C110" s="311" t="s">
        <v>1240</v>
      </c>
      <c r="D110" s="312" t="s">
        <v>2489</v>
      </c>
      <c r="E110" s="313" t="s">
        <v>3063</v>
      </c>
      <c r="F110" s="313" t="s">
        <v>1233</v>
      </c>
      <c r="G110" s="314" t="s">
        <v>3076</v>
      </c>
      <c r="H110" s="315" t="s">
        <v>3037</v>
      </c>
      <c r="I110" s="311" t="s">
        <v>3038</v>
      </c>
      <c r="J110" s="316" t="s">
        <v>3255</v>
      </c>
    </row>
    <row r="111" spans="1:10" x14ac:dyDescent="0.25">
      <c r="A111" s="309" t="s">
        <v>215</v>
      </c>
      <c r="B111" s="310" t="s">
        <v>3256</v>
      </c>
      <c r="C111" s="311" t="s">
        <v>1240</v>
      </c>
      <c r="D111" s="312" t="s">
        <v>2489</v>
      </c>
      <c r="E111" s="313" t="s">
        <v>3063</v>
      </c>
      <c r="F111" s="313" t="s">
        <v>1233</v>
      </c>
      <c r="G111" s="314" t="s">
        <v>3076</v>
      </c>
      <c r="H111" s="315" t="s">
        <v>3037</v>
      </c>
      <c r="I111" s="311" t="s">
        <v>3038</v>
      </c>
      <c r="J111" s="316" t="s">
        <v>3257</v>
      </c>
    </row>
    <row r="112" spans="1:10" x14ac:dyDescent="0.25">
      <c r="A112" s="309" t="s">
        <v>216</v>
      </c>
      <c r="B112" s="310" t="s">
        <v>3258</v>
      </c>
      <c r="C112" s="311" t="s">
        <v>1240</v>
      </c>
      <c r="D112" s="312" t="s">
        <v>2489</v>
      </c>
      <c r="E112" s="313" t="s">
        <v>3063</v>
      </c>
      <c r="F112" s="313" t="s">
        <v>1233</v>
      </c>
      <c r="G112" s="314" t="s">
        <v>3076</v>
      </c>
      <c r="H112" s="315" t="s">
        <v>3037</v>
      </c>
      <c r="I112" s="311" t="s">
        <v>3038</v>
      </c>
      <c r="J112" s="316" t="s">
        <v>3259</v>
      </c>
    </row>
    <row r="113" spans="1:10" x14ac:dyDescent="0.25">
      <c r="A113" s="309" t="s">
        <v>218</v>
      </c>
      <c r="B113" s="310" t="s">
        <v>3260</v>
      </c>
      <c r="C113" s="311" t="s">
        <v>1240</v>
      </c>
      <c r="D113" s="312" t="s">
        <v>2489</v>
      </c>
      <c r="E113" s="313" t="s">
        <v>3063</v>
      </c>
      <c r="F113" s="313" t="s">
        <v>1233</v>
      </c>
      <c r="G113" s="314" t="s">
        <v>3076</v>
      </c>
      <c r="H113" s="315" t="s">
        <v>3037</v>
      </c>
      <c r="I113" s="311" t="s">
        <v>3038</v>
      </c>
      <c r="J113" s="316" t="s">
        <v>3261</v>
      </c>
    </row>
    <row r="114" spans="1:10" x14ac:dyDescent="0.25">
      <c r="A114" s="309" t="s">
        <v>213</v>
      </c>
      <c r="B114" s="310" t="s">
        <v>3262</v>
      </c>
      <c r="C114" s="311" t="s">
        <v>1240</v>
      </c>
      <c r="D114" s="312" t="s">
        <v>2969</v>
      </c>
      <c r="E114" s="313" t="s">
        <v>3063</v>
      </c>
      <c r="F114" s="313" t="s">
        <v>3076</v>
      </c>
      <c r="G114" s="314" t="s">
        <v>3090</v>
      </c>
      <c r="H114" s="315" t="s">
        <v>3037</v>
      </c>
      <c r="I114" s="311" t="s">
        <v>3038</v>
      </c>
      <c r="J114" s="316" t="s">
        <v>3263</v>
      </c>
    </row>
    <row r="115" spans="1:10" x14ac:dyDescent="0.25">
      <c r="A115" s="309" t="s">
        <v>214</v>
      </c>
      <c r="B115" s="310" t="s">
        <v>3264</v>
      </c>
      <c r="C115" s="311" t="s">
        <v>1240</v>
      </c>
      <c r="D115" s="312" t="s">
        <v>2970</v>
      </c>
      <c r="E115" s="313" t="s">
        <v>3063</v>
      </c>
      <c r="F115" s="313" t="s">
        <v>3076</v>
      </c>
      <c r="G115" s="314" t="s">
        <v>3090</v>
      </c>
      <c r="H115" s="315" t="s">
        <v>3037</v>
      </c>
      <c r="I115" s="311" t="s">
        <v>3038</v>
      </c>
      <c r="J115" s="316" t="s">
        <v>3265</v>
      </c>
    </row>
    <row r="116" spans="1:10" x14ac:dyDescent="0.25">
      <c r="A116" s="309" t="s">
        <v>95</v>
      </c>
      <c r="B116" s="310" t="s">
        <v>3266</v>
      </c>
      <c r="C116" s="311" t="s">
        <v>1233</v>
      </c>
      <c r="D116" s="312" t="s">
        <v>3063</v>
      </c>
      <c r="E116" s="313" t="s">
        <v>2494</v>
      </c>
      <c r="F116" s="313" t="s">
        <v>1233</v>
      </c>
      <c r="G116" s="314" t="s">
        <v>2971</v>
      </c>
      <c r="H116" s="315" t="s">
        <v>3037</v>
      </c>
      <c r="I116" s="311" t="s">
        <v>3038</v>
      </c>
      <c r="J116" s="316" t="s">
        <v>3267</v>
      </c>
    </row>
    <row r="117" spans="1:10" x14ac:dyDescent="0.25">
      <c r="A117" s="309" t="s">
        <v>91</v>
      </c>
      <c r="B117" s="310" t="s">
        <v>3268</v>
      </c>
      <c r="C117" s="311" t="s">
        <v>1233</v>
      </c>
      <c r="D117" s="312" t="s">
        <v>3063</v>
      </c>
      <c r="E117" s="313" t="s">
        <v>2494</v>
      </c>
      <c r="F117" s="313" t="s">
        <v>1233</v>
      </c>
      <c r="G117" s="314" t="s">
        <v>3076</v>
      </c>
      <c r="H117" s="315" t="s">
        <v>3037</v>
      </c>
      <c r="I117" s="311" t="s">
        <v>3038</v>
      </c>
      <c r="J117" s="316" t="s">
        <v>3269</v>
      </c>
    </row>
    <row r="118" spans="1:10" x14ac:dyDescent="0.25">
      <c r="A118" s="309" t="s">
        <v>94</v>
      </c>
      <c r="B118" s="310" t="s">
        <v>3270</v>
      </c>
      <c r="C118" s="311" t="s">
        <v>1233</v>
      </c>
      <c r="D118" s="312" t="s">
        <v>3063</v>
      </c>
      <c r="E118" s="313" t="s">
        <v>2494</v>
      </c>
      <c r="F118" s="313" t="s">
        <v>1233</v>
      </c>
      <c r="G118" s="314" t="s">
        <v>3076</v>
      </c>
      <c r="H118" s="315" t="s">
        <v>3037</v>
      </c>
      <c r="I118" s="311" t="s">
        <v>3038</v>
      </c>
      <c r="J118" s="316" t="s">
        <v>3271</v>
      </c>
    </row>
    <row r="119" spans="1:10" x14ac:dyDescent="0.25">
      <c r="A119" s="309" t="s">
        <v>81</v>
      </c>
      <c r="B119" s="310" t="s">
        <v>3272</v>
      </c>
      <c r="C119" s="311" t="s">
        <v>1233</v>
      </c>
      <c r="D119" s="312" t="s">
        <v>3063</v>
      </c>
      <c r="E119" s="313" t="s">
        <v>2494</v>
      </c>
      <c r="F119" s="313" t="s">
        <v>1233</v>
      </c>
      <c r="G119" s="314" t="s">
        <v>3076</v>
      </c>
      <c r="H119" s="315" t="s">
        <v>3037</v>
      </c>
      <c r="I119" s="311" t="s">
        <v>3038</v>
      </c>
      <c r="J119" s="316" t="s">
        <v>3273</v>
      </c>
    </row>
    <row r="120" spans="1:10" x14ac:dyDescent="0.25">
      <c r="A120" s="309" t="s">
        <v>82</v>
      </c>
      <c r="B120" s="310" t="s">
        <v>3274</v>
      </c>
      <c r="C120" s="311" t="s">
        <v>1233</v>
      </c>
      <c r="D120" s="312" t="s">
        <v>3063</v>
      </c>
      <c r="E120" s="313" t="s">
        <v>2494</v>
      </c>
      <c r="F120" s="313" t="s">
        <v>1233</v>
      </c>
      <c r="G120" s="314" t="s">
        <v>3076</v>
      </c>
      <c r="H120" s="315" t="s">
        <v>3037</v>
      </c>
      <c r="I120" s="311" t="s">
        <v>3038</v>
      </c>
      <c r="J120" s="316" t="s">
        <v>3275</v>
      </c>
    </row>
    <row r="121" spans="1:10" x14ac:dyDescent="0.25">
      <c r="A121" s="309" t="s">
        <v>83</v>
      </c>
      <c r="B121" s="310" t="s">
        <v>3276</v>
      </c>
      <c r="C121" s="311" t="s">
        <v>1233</v>
      </c>
      <c r="D121" s="312" t="s">
        <v>3063</v>
      </c>
      <c r="E121" s="313" t="s">
        <v>2494</v>
      </c>
      <c r="F121" s="313" t="s">
        <v>1233</v>
      </c>
      <c r="G121" s="314" t="s">
        <v>2479</v>
      </c>
      <c r="H121" s="315" t="s">
        <v>3037</v>
      </c>
      <c r="I121" s="311" t="s">
        <v>3038</v>
      </c>
      <c r="J121" s="316" t="s">
        <v>3277</v>
      </c>
    </row>
    <row r="122" spans="1:10" x14ac:dyDescent="0.25">
      <c r="A122" s="309" t="s">
        <v>84</v>
      </c>
      <c r="B122" s="310" t="s">
        <v>3278</v>
      </c>
      <c r="C122" s="311" t="s">
        <v>1233</v>
      </c>
      <c r="D122" s="312" t="s">
        <v>3063</v>
      </c>
      <c r="E122" s="313" t="s">
        <v>2494</v>
      </c>
      <c r="F122" s="313" t="s">
        <v>1233</v>
      </c>
      <c r="G122" s="314" t="s">
        <v>2479</v>
      </c>
      <c r="H122" s="315" t="s">
        <v>3037</v>
      </c>
      <c r="I122" s="311" t="s">
        <v>3038</v>
      </c>
      <c r="J122" s="316" t="s">
        <v>3279</v>
      </c>
    </row>
    <row r="123" spans="1:10" x14ac:dyDescent="0.25">
      <c r="A123" s="309" t="s">
        <v>85</v>
      </c>
      <c r="B123" s="310" t="s">
        <v>3280</v>
      </c>
      <c r="C123" s="311" t="s">
        <v>1233</v>
      </c>
      <c r="D123" s="312" t="s">
        <v>3063</v>
      </c>
      <c r="E123" s="313" t="s">
        <v>2494</v>
      </c>
      <c r="F123" s="313" t="s">
        <v>1233</v>
      </c>
      <c r="G123" s="314" t="s">
        <v>3076</v>
      </c>
      <c r="H123" s="315" t="s">
        <v>3037</v>
      </c>
      <c r="I123" s="311" t="s">
        <v>3038</v>
      </c>
      <c r="J123" s="316" t="s">
        <v>3281</v>
      </c>
    </row>
    <row r="124" spans="1:10" x14ac:dyDescent="0.25">
      <c r="A124" s="309" t="s">
        <v>86</v>
      </c>
      <c r="B124" s="310" t="s">
        <v>3282</v>
      </c>
      <c r="C124" s="311" t="s">
        <v>1233</v>
      </c>
      <c r="D124" s="312" t="s">
        <v>3063</v>
      </c>
      <c r="E124" s="313" t="s">
        <v>2494</v>
      </c>
      <c r="F124" s="313" t="s">
        <v>1233</v>
      </c>
      <c r="G124" s="314" t="s">
        <v>2971</v>
      </c>
      <c r="H124" s="315" t="s">
        <v>3037</v>
      </c>
      <c r="I124" s="311" t="s">
        <v>3038</v>
      </c>
      <c r="J124" s="316" t="s">
        <v>3283</v>
      </c>
    </row>
    <row r="125" spans="1:10" x14ac:dyDescent="0.25">
      <c r="A125" s="309" t="s">
        <v>87</v>
      </c>
      <c r="B125" s="310" t="s">
        <v>3284</v>
      </c>
      <c r="C125" s="311" t="s">
        <v>1233</v>
      </c>
      <c r="D125" s="312" t="s">
        <v>3063</v>
      </c>
      <c r="E125" s="313" t="s">
        <v>2494</v>
      </c>
      <c r="F125" s="313" t="s">
        <v>1233</v>
      </c>
      <c r="G125" s="314" t="s">
        <v>3076</v>
      </c>
      <c r="H125" s="315" t="s">
        <v>3037</v>
      </c>
      <c r="I125" s="311" t="s">
        <v>3038</v>
      </c>
      <c r="J125" s="316" t="s">
        <v>3285</v>
      </c>
    </row>
    <row r="126" spans="1:10" x14ac:dyDescent="0.25">
      <c r="A126" s="309" t="s">
        <v>88</v>
      </c>
      <c r="B126" s="310" t="s">
        <v>3286</v>
      </c>
      <c r="C126" s="311" t="s">
        <v>1233</v>
      </c>
      <c r="D126" s="312" t="s">
        <v>2494</v>
      </c>
      <c r="E126" s="313" t="s">
        <v>2975</v>
      </c>
      <c r="F126" s="313" t="s">
        <v>1233</v>
      </c>
      <c r="G126" s="314" t="s">
        <v>1260</v>
      </c>
      <c r="H126" s="315" t="s">
        <v>3037</v>
      </c>
      <c r="I126" s="311" t="s">
        <v>3038</v>
      </c>
      <c r="J126" s="316" t="s">
        <v>3287</v>
      </c>
    </row>
    <row r="127" spans="1:10" x14ac:dyDescent="0.25">
      <c r="A127" s="309" t="s">
        <v>89</v>
      </c>
      <c r="B127" s="310" t="s">
        <v>3288</v>
      </c>
      <c r="C127" s="311" t="s">
        <v>1233</v>
      </c>
      <c r="D127" s="312" t="s">
        <v>2494</v>
      </c>
      <c r="E127" s="313" t="s">
        <v>2975</v>
      </c>
      <c r="F127" s="313" t="s">
        <v>1233</v>
      </c>
      <c r="G127" s="314" t="s">
        <v>2971</v>
      </c>
      <c r="H127" s="315" t="s">
        <v>3037</v>
      </c>
      <c r="I127" s="311" t="s">
        <v>3038</v>
      </c>
      <c r="J127" s="316" t="s">
        <v>3289</v>
      </c>
    </row>
    <row r="128" spans="1:10" x14ac:dyDescent="0.25">
      <c r="A128" s="309" t="s">
        <v>65</v>
      </c>
      <c r="B128" s="310" t="s">
        <v>3290</v>
      </c>
      <c r="C128" s="311" t="s">
        <v>1233</v>
      </c>
      <c r="D128" s="312" t="s">
        <v>3063</v>
      </c>
      <c r="E128" s="313" t="s">
        <v>2494</v>
      </c>
      <c r="F128" s="313" t="s">
        <v>1233</v>
      </c>
      <c r="G128" s="314" t="s">
        <v>3076</v>
      </c>
      <c r="H128" s="315" t="s">
        <v>3037</v>
      </c>
      <c r="I128" s="311" t="s">
        <v>3038</v>
      </c>
      <c r="J128" s="316" t="s">
        <v>3291</v>
      </c>
    </row>
    <row r="129" spans="1:10" x14ac:dyDescent="0.25">
      <c r="A129" s="309" t="s">
        <v>66</v>
      </c>
      <c r="B129" s="310" t="s">
        <v>3292</v>
      </c>
      <c r="C129" s="311" t="s">
        <v>1233</v>
      </c>
      <c r="D129" s="312" t="s">
        <v>3063</v>
      </c>
      <c r="E129" s="313" t="s">
        <v>2494</v>
      </c>
      <c r="F129" s="313" t="s">
        <v>1233</v>
      </c>
      <c r="G129" s="314" t="s">
        <v>3076</v>
      </c>
      <c r="H129" s="315" t="s">
        <v>3037</v>
      </c>
      <c r="I129" s="311" t="s">
        <v>3038</v>
      </c>
      <c r="J129" s="316" t="s">
        <v>3293</v>
      </c>
    </row>
    <row r="130" spans="1:10" x14ac:dyDescent="0.25">
      <c r="A130" s="309" t="s">
        <v>73</v>
      </c>
      <c r="B130" s="310" t="s">
        <v>3294</v>
      </c>
      <c r="C130" s="311" t="s">
        <v>1233</v>
      </c>
      <c r="D130" s="312" t="s">
        <v>3063</v>
      </c>
      <c r="E130" s="313" t="s">
        <v>2494</v>
      </c>
      <c r="F130" s="313" t="s">
        <v>1233</v>
      </c>
      <c r="G130" s="314" t="s">
        <v>3076</v>
      </c>
      <c r="H130" s="315" t="s">
        <v>3037</v>
      </c>
      <c r="I130" s="311" t="s">
        <v>3038</v>
      </c>
      <c r="J130" s="316" t="s">
        <v>3295</v>
      </c>
    </row>
    <row r="131" spans="1:10" x14ac:dyDescent="0.25">
      <c r="A131" s="309" t="s">
        <v>74</v>
      </c>
      <c r="B131" s="310" t="s">
        <v>3296</v>
      </c>
      <c r="C131" s="311" t="s">
        <v>1233</v>
      </c>
      <c r="D131" s="312" t="s">
        <v>3063</v>
      </c>
      <c r="E131" s="313" t="s">
        <v>2494</v>
      </c>
      <c r="F131" s="313" t="s">
        <v>1233</v>
      </c>
      <c r="G131" s="314" t="s">
        <v>3076</v>
      </c>
      <c r="H131" s="315" t="s">
        <v>3037</v>
      </c>
      <c r="I131" s="311" t="s">
        <v>3038</v>
      </c>
      <c r="J131" s="316" t="s">
        <v>3297</v>
      </c>
    </row>
    <row r="132" spans="1:10" x14ac:dyDescent="0.25">
      <c r="A132" s="309" t="s">
        <v>75</v>
      </c>
      <c r="B132" s="310" t="s">
        <v>3298</v>
      </c>
      <c r="C132" s="311" t="s">
        <v>1233</v>
      </c>
      <c r="D132" s="312" t="s">
        <v>3063</v>
      </c>
      <c r="E132" s="313" t="s">
        <v>2494</v>
      </c>
      <c r="F132" s="313" t="s">
        <v>1233</v>
      </c>
      <c r="G132" s="314" t="s">
        <v>3076</v>
      </c>
      <c r="H132" s="315" t="s">
        <v>3037</v>
      </c>
      <c r="I132" s="311" t="s">
        <v>3038</v>
      </c>
      <c r="J132" s="316" t="s">
        <v>3299</v>
      </c>
    </row>
    <row r="133" spans="1:10" x14ac:dyDescent="0.25">
      <c r="A133" s="309" t="s">
        <v>76</v>
      </c>
      <c r="B133" s="310" t="s">
        <v>3300</v>
      </c>
      <c r="C133" s="311" t="s">
        <v>1233</v>
      </c>
      <c r="D133" s="312" t="s">
        <v>3063</v>
      </c>
      <c r="E133" s="313" t="s">
        <v>2494</v>
      </c>
      <c r="F133" s="313" t="s">
        <v>1233</v>
      </c>
      <c r="G133" s="314" t="s">
        <v>3076</v>
      </c>
      <c r="H133" s="315" t="s">
        <v>3037</v>
      </c>
      <c r="I133" s="311" t="s">
        <v>3038</v>
      </c>
      <c r="J133" s="316" t="s">
        <v>3301</v>
      </c>
    </row>
    <row r="134" spans="1:10" x14ac:dyDescent="0.25">
      <c r="A134" s="309" t="s">
        <v>77</v>
      </c>
      <c r="B134" s="310" t="s">
        <v>3302</v>
      </c>
      <c r="C134" s="311" t="s">
        <v>1233</v>
      </c>
      <c r="D134" s="312" t="s">
        <v>3063</v>
      </c>
      <c r="E134" s="313" t="s">
        <v>2494</v>
      </c>
      <c r="F134" s="313" t="s">
        <v>1233</v>
      </c>
      <c r="G134" s="314" t="s">
        <v>3076</v>
      </c>
      <c r="H134" s="315" t="s">
        <v>3037</v>
      </c>
      <c r="I134" s="311" t="s">
        <v>3038</v>
      </c>
      <c r="J134" s="316" t="s">
        <v>3303</v>
      </c>
    </row>
    <row r="135" spans="1:10" x14ac:dyDescent="0.25">
      <c r="A135" s="309" t="s">
        <v>78</v>
      </c>
      <c r="B135" s="310" t="s">
        <v>3304</v>
      </c>
      <c r="C135" s="311" t="s">
        <v>1233</v>
      </c>
      <c r="D135" s="312" t="s">
        <v>3063</v>
      </c>
      <c r="E135" s="313" t="s">
        <v>2494</v>
      </c>
      <c r="F135" s="313" t="s">
        <v>1233</v>
      </c>
      <c r="G135" s="314" t="s">
        <v>3076</v>
      </c>
      <c r="H135" s="315" t="s">
        <v>3037</v>
      </c>
      <c r="I135" s="311" t="s">
        <v>3038</v>
      </c>
      <c r="J135" s="316" t="s">
        <v>3305</v>
      </c>
    </row>
    <row r="136" spans="1:10" x14ac:dyDescent="0.25">
      <c r="A136" s="309" t="s">
        <v>79</v>
      </c>
      <c r="B136" s="310" t="s">
        <v>3306</v>
      </c>
      <c r="C136" s="311" t="s">
        <v>1233</v>
      </c>
      <c r="D136" s="312" t="s">
        <v>2890</v>
      </c>
      <c r="E136" s="313" t="s">
        <v>2494</v>
      </c>
      <c r="F136" s="313" t="s">
        <v>1233</v>
      </c>
      <c r="G136" s="314" t="s">
        <v>3076</v>
      </c>
      <c r="H136" s="315" t="s">
        <v>3037</v>
      </c>
      <c r="I136" s="311" t="s">
        <v>3038</v>
      </c>
      <c r="J136" s="316" t="s">
        <v>3307</v>
      </c>
    </row>
    <row r="137" spans="1:10" x14ac:dyDescent="0.25">
      <c r="A137" s="309" t="s">
        <v>80</v>
      </c>
      <c r="B137" s="310" t="s">
        <v>3308</v>
      </c>
      <c r="C137" s="311" t="s">
        <v>1233</v>
      </c>
      <c r="D137" s="312" t="s">
        <v>2891</v>
      </c>
      <c r="E137" s="313" t="s">
        <v>2494</v>
      </c>
      <c r="F137" s="313" t="s">
        <v>1233</v>
      </c>
      <c r="G137" s="314" t="s">
        <v>3076</v>
      </c>
      <c r="H137" s="315" t="s">
        <v>3037</v>
      </c>
      <c r="I137" s="311" t="s">
        <v>3038</v>
      </c>
      <c r="J137" s="316" t="s">
        <v>3309</v>
      </c>
    </row>
    <row r="138" spans="1:10" x14ac:dyDescent="0.25">
      <c r="A138" s="309" t="s">
        <v>67</v>
      </c>
      <c r="B138" s="310" t="s">
        <v>3310</v>
      </c>
      <c r="C138" s="311" t="s">
        <v>1233</v>
      </c>
      <c r="D138" s="312" t="s">
        <v>2892</v>
      </c>
      <c r="E138" s="313" t="s">
        <v>2494</v>
      </c>
      <c r="F138" s="313" t="s">
        <v>1233</v>
      </c>
      <c r="G138" s="314" t="s">
        <v>3076</v>
      </c>
      <c r="H138" s="315" t="s">
        <v>3037</v>
      </c>
      <c r="I138" s="311" t="s">
        <v>3038</v>
      </c>
      <c r="J138" s="316" t="s">
        <v>3311</v>
      </c>
    </row>
    <row r="139" spans="1:10" x14ac:dyDescent="0.25">
      <c r="A139" s="309" t="s">
        <v>68</v>
      </c>
      <c r="B139" s="310" t="s">
        <v>3312</v>
      </c>
      <c r="C139" s="311" t="s">
        <v>1233</v>
      </c>
      <c r="D139" s="312" t="s">
        <v>2893</v>
      </c>
      <c r="E139" s="313" t="s">
        <v>2494</v>
      </c>
      <c r="F139" s="313" t="s">
        <v>1233</v>
      </c>
      <c r="G139" s="314" t="s">
        <v>3076</v>
      </c>
      <c r="H139" s="315" t="s">
        <v>3037</v>
      </c>
      <c r="I139" s="311" t="s">
        <v>3038</v>
      </c>
      <c r="J139" s="316" t="s">
        <v>3313</v>
      </c>
    </row>
    <row r="140" spans="1:10" x14ac:dyDescent="0.25">
      <c r="A140" s="309" t="s">
        <v>69</v>
      </c>
      <c r="B140" s="310" t="s">
        <v>3314</v>
      </c>
      <c r="C140" s="311" t="s">
        <v>1233</v>
      </c>
      <c r="D140" s="312" t="s">
        <v>3063</v>
      </c>
      <c r="E140" s="313" t="s">
        <v>2494</v>
      </c>
      <c r="F140" s="313" t="s">
        <v>1233</v>
      </c>
      <c r="G140" s="314" t="s">
        <v>3076</v>
      </c>
      <c r="H140" s="315" t="s">
        <v>3037</v>
      </c>
      <c r="I140" s="311" t="s">
        <v>3038</v>
      </c>
      <c r="J140" s="316" t="s">
        <v>3315</v>
      </c>
    </row>
    <row r="141" spans="1:10" x14ac:dyDescent="0.25">
      <c r="A141" s="309" t="s">
        <v>70</v>
      </c>
      <c r="B141" s="310" t="s">
        <v>3316</v>
      </c>
      <c r="C141" s="311" t="s">
        <v>1233</v>
      </c>
      <c r="D141" s="312" t="s">
        <v>3063</v>
      </c>
      <c r="E141" s="313" t="s">
        <v>2494</v>
      </c>
      <c r="F141" s="313" t="s">
        <v>1233</v>
      </c>
      <c r="G141" s="314" t="s">
        <v>3076</v>
      </c>
      <c r="H141" s="315" t="s">
        <v>3037</v>
      </c>
      <c r="I141" s="311" t="s">
        <v>3038</v>
      </c>
      <c r="J141" s="316" t="s">
        <v>3317</v>
      </c>
    </row>
    <row r="142" spans="1:10" x14ac:dyDescent="0.25">
      <c r="A142" s="309" t="s">
        <v>71</v>
      </c>
      <c r="B142" s="310" t="s">
        <v>3318</v>
      </c>
      <c r="C142" s="311" t="s">
        <v>1233</v>
      </c>
      <c r="D142" s="312" t="s">
        <v>3063</v>
      </c>
      <c r="E142" s="313" t="s">
        <v>2494</v>
      </c>
      <c r="F142" s="313" t="s">
        <v>1233</v>
      </c>
      <c r="G142" s="314" t="s">
        <v>3076</v>
      </c>
      <c r="H142" s="315" t="s">
        <v>3037</v>
      </c>
      <c r="I142" s="311" t="s">
        <v>3038</v>
      </c>
      <c r="J142" s="316" t="s">
        <v>3319</v>
      </c>
    </row>
    <row r="143" spans="1:10" x14ac:dyDescent="0.25">
      <c r="A143" s="309" t="s">
        <v>72</v>
      </c>
      <c r="B143" s="310" t="s">
        <v>3320</v>
      </c>
      <c r="C143" s="311" t="s">
        <v>1233</v>
      </c>
      <c r="D143" s="312" t="s">
        <v>3063</v>
      </c>
      <c r="E143" s="313" t="s">
        <v>2494</v>
      </c>
      <c r="F143" s="313" t="s">
        <v>1233</v>
      </c>
      <c r="G143" s="314" t="s">
        <v>3076</v>
      </c>
      <c r="H143" s="315" t="s">
        <v>3037</v>
      </c>
      <c r="I143" s="311" t="s">
        <v>3038</v>
      </c>
      <c r="J143" s="316" t="s">
        <v>3321</v>
      </c>
    </row>
    <row r="144" spans="1:10" x14ac:dyDescent="0.25">
      <c r="A144" s="309" t="s">
        <v>61</v>
      </c>
      <c r="B144" s="310" t="s">
        <v>3322</v>
      </c>
      <c r="C144" s="311" t="s">
        <v>1233</v>
      </c>
      <c r="D144" s="312" t="s">
        <v>2984</v>
      </c>
      <c r="E144" s="313" t="s">
        <v>2508</v>
      </c>
      <c r="F144" s="313" t="s">
        <v>1233</v>
      </c>
      <c r="G144" s="314" t="s">
        <v>2971</v>
      </c>
      <c r="H144" s="315" t="s">
        <v>3037</v>
      </c>
      <c r="I144" s="311" t="s">
        <v>3038</v>
      </c>
      <c r="J144" s="316" t="s">
        <v>3323</v>
      </c>
    </row>
    <row r="145" spans="1:10" x14ac:dyDescent="0.25">
      <c r="A145" s="309" t="s">
        <v>62</v>
      </c>
      <c r="B145" s="310" t="s">
        <v>3324</v>
      </c>
      <c r="C145" s="311" t="s">
        <v>1233</v>
      </c>
      <c r="D145" s="312" t="s">
        <v>2984</v>
      </c>
      <c r="E145" s="313" t="s">
        <v>2508</v>
      </c>
      <c r="F145" s="313" t="s">
        <v>1233</v>
      </c>
      <c r="G145" s="314" t="s">
        <v>2479</v>
      </c>
      <c r="H145" s="315" t="s">
        <v>3037</v>
      </c>
      <c r="I145" s="311" t="s">
        <v>3038</v>
      </c>
      <c r="J145" s="316" t="s">
        <v>3325</v>
      </c>
    </row>
    <row r="146" spans="1:10" x14ac:dyDescent="0.25">
      <c r="A146" s="309" t="s">
        <v>63</v>
      </c>
      <c r="B146" s="310" t="s">
        <v>3326</v>
      </c>
      <c r="C146" s="311" t="s">
        <v>1233</v>
      </c>
      <c r="D146" s="312" t="s">
        <v>2984</v>
      </c>
      <c r="E146" s="313" t="s">
        <v>2508</v>
      </c>
      <c r="F146" s="313" t="s">
        <v>1233</v>
      </c>
      <c r="G146" s="314" t="s">
        <v>2479</v>
      </c>
      <c r="H146" s="315" t="s">
        <v>3037</v>
      </c>
      <c r="I146" s="311" t="s">
        <v>3038</v>
      </c>
      <c r="J146" s="316" t="s">
        <v>3327</v>
      </c>
    </row>
    <row r="147" spans="1:10" x14ac:dyDescent="0.25">
      <c r="A147" s="309" t="s">
        <v>64</v>
      </c>
      <c r="B147" s="310" t="s">
        <v>3328</v>
      </c>
      <c r="C147" s="311" t="s">
        <v>1233</v>
      </c>
      <c r="D147" s="312" t="s">
        <v>2984</v>
      </c>
      <c r="E147" s="313" t="s">
        <v>2508</v>
      </c>
      <c r="F147" s="313" t="s">
        <v>1233</v>
      </c>
      <c r="G147" s="314" t="s">
        <v>3090</v>
      </c>
      <c r="H147" s="315" t="s">
        <v>3037</v>
      </c>
      <c r="I147" s="311" t="s">
        <v>3038</v>
      </c>
      <c r="J147" s="316" t="s">
        <v>3329</v>
      </c>
    </row>
    <row r="148" spans="1:10" x14ac:dyDescent="0.25">
      <c r="A148" s="309" t="s">
        <v>96</v>
      </c>
      <c r="B148" s="310" t="s">
        <v>3330</v>
      </c>
      <c r="C148" s="311" t="s">
        <v>1233</v>
      </c>
      <c r="D148" s="312" t="s">
        <v>3063</v>
      </c>
      <c r="E148" s="313" t="s">
        <v>2494</v>
      </c>
      <c r="F148" s="313" t="s">
        <v>1233</v>
      </c>
      <c r="G148" s="314" t="s">
        <v>3090</v>
      </c>
      <c r="H148" s="315" t="s">
        <v>3037</v>
      </c>
      <c r="I148" s="311" t="s">
        <v>3038</v>
      </c>
      <c r="J148" s="316" t="s">
        <v>3331</v>
      </c>
    </row>
    <row r="149" spans="1:10" x14ac:dyDescent="0.25">
      <c r="A149" s="309" t="s">
        <v>92</v>
      </c>
      <c r="B149" s="310" t="s">
        <v>3332</v>
      </c>
      <c r="C149" s="311" t="s">
        <v>1233</v>
      </c>
      <c r="D149" s="312" t="s">
        <v>3063</v>
      </c>
      <c r="E149" s="313" t="s">
        <v>2494</v>
      </c>
      <c r="F149" s="313" t="s">
        <v>1233</v>
      </c>
      <c r="G149" s="314" t="s">
        <v>3090</v>
      </c>
      <c r="H149" s="315" t="s">
        <v>3037</v>
      </c>
      <c r="I149" s="311" t="s">
        <v>3038</v>
      </c>
      <c r="J149" s="316" t="s">
        <v>3333</v>
      </c>
    </row>
    <row r="150" spans="1:10" x14ac:dyDescent="0.25">
      <c r="A150" s="309" t="s">
        <v>90</v>
      </c>
      <c r="B150" s="310" t="s">
        <v>3334</v>
      </c>
      <c r="C150" s="311" t="s">
        <v>1233</v>
      </c>
      <c r="D150" s="312" t="s">
        <v>3063</v>
      </c>
      <c r="E150" s="313" t="s">
        <v>2494</v>
      </c>
      <c r="F150" s="313" t="s">
        <v>1233</v>
      </c>
      <c r="G150" s="314" t="s">
        <v>3090</v>
      </c>
      <c r="H150" s="315" t="s">
        <v>3037</v>
      </c>
      <c r="I150" s="311" t="s">
        <v>3038</v>
      </c>
      <c r="J150" s="316" t="s">
        <v>3335</v>
      </c>
    </row>
    <row r="151" spans="1:10" x14ac:dyDescent="0.25">
      <c r="A151" s="309" t="s">
        <v>93</v>
      </c>
      <c r="B151" s="310" t="s">
        <v>3336</v>
      </c>
      <c r="C151" s="311" t="s">
        <v>1233</v>
      </c>
      <c r="D151" s="312" t="s">
        <v>2494</v>
      </c>
      <c r="E151" s="313" t="s">
        <v>2975</v>
      </c>
      <c r="F151" s="313" t="s">
        <v>1233</v>
      </c>
      <c r="G151" s="314" t="s">
        <v>3090</v>
      </c>
      <c r="H151" s="315" t="s">
        <v>3037</v>
      </c>
      <c r="I151" s="311" t="s">
        <v>3038</v>
      </c>
      <c r="J151" s="316" t="s">
        <v>3337</v>
      </c>
    </row>
    <row r="152" spans="1:10" x14ac:dyDescent="0.25">
      <c r="A152" s="309" t="s">
        <v>59</v>
      </c>
      <c r="B152" s="310" t="s">
        <v>3338</v>
      </c>
      <c r="C152" s="311" t="s">
        <v>1233</v>
      </c>
      <c r="D152" s="312" t="s">
        <v>2483</v>
      </c>
      <c r="E152" s="313" t="s">
        <v>3077</v>
      </c>
      <c r="F152" s="313" t="s">
        <v>1233</v>
      </c>
      <c r="G152" s="314" t="s">
        <v>3090</v>
      </c>
      <c r="H152" s="315" t="s">
        <v>3037</v>
      </c>
      <c r="I152" s="311" t="s">
        <v>3038</v>
      </c>
      <c r="J152" s="316" t="s">
        <v>3339</v>
      </c>
    </row>
    <row r="153" spans="1:10" x14ac:dyDescent="0.25">
      <c r="A153" s="309" t="s">
        <v>60</v>
      </c>
      <c r="B153" s="310" t="s">
        <v>3340</v>
      </c>
      <c r="C153" s="311" t="s">
        <v>1233</v>
      </c>
      <c r="D153" s="312" t="s">
        <v>2483</v>
      </c>
      <c r="E153" s="313" t="s">
        <v>3077</v>
      </c>
      <c r="F153" s="313" t="s">
        <v>1233</v>
      </c>
      <c r="G153" s="314" t="s">
        <v>3090</v>
      </c>
      <c r="H153" s="315" t="s">
        <v>3037</v>
      </c>
      <c r="I153" s="311" t="s">
        <v>3038</v>
      </c>
      <c r="J153" s="316" t="s">
        <v>3341</v>
      </c>
    </row>
    <row r="154" spans="1:10" x14ac:dyDescent="0.25">
      <c r="A154" s="309" t="s">
        <v>172</v>
      </c>
      <c r="B154" s="310" t="s">
        <v>3342</v>
      </c>
      <c r="C154" s="311" t="s">
        <v>1238</v>
      </c>
      <c r="D154" s="312" t="s">
        <v>3077</v>
      </c>
      <c r="E154" s="313" t="s">
        <v>2494</v>
      </c>
      <c r="F154" s="313" t="s">
        <v>1233</v>
      </c>
      <c r="G154" s="314" t="s">
        <v>1238</v>
      </c>
      <c r="H154" s="315" t="s">
        <v>3037</v>
      </c>
      <c r="I154" s="311" t="s">
        <v>3038</v>
      </c>
      <c r="J154" s="316" t="s">
        <v>3343</v>
      </c>
    </row>
    <row r="155" spans="1:10" x14ac:dyDescent="0.25">
      <c r="A155" s="309" t="s">
        <v>173</v>
      </c>
      <c r="B155" s="310" t="s">
        <v>3344</v>
      </c>
      <c r="C155" s="311" t="s">
        <v>1238</v>
      </c>
      <c r="D155" s="312" t="s">
        <v>2484</v>
      </c>
      <c r="E155" s="313" t="s">
        <v>2494</v>
      </c>
      <c r="F155" s="313" t="s">
        <v>1233</v>
      </c>
      <c r="G155" s="314" t="s">
        <v>1238</v>
      </c>
      <c r="H155" s="315" t="s">
        <v>3037</v>
      </c>
      <c r="I155" s="311" t="s">
        <v>3038</v>
      </c>
      <c r="J155" s="316" t="s">
        <v>3345</v>
      </c>
    </row>
    <row r="156" spans="1:10" x14ac:dyDescent="0.25">
      <c r="A156" s="309" t="s">
        <v>174</v>
      </c>
      <c r="B156" s="310" t="s">
        <v>3346</v>
      </c>
      <c r="C156" s="311" t="s">
        <v>1238</v>
      </c>
      <c r="D156" s="312" t="s">
        <v>2985</v>
      </c>
      <c r="E156" s="313" t="s">
        <v>2507</v>
      </c>
      <c r="F156" s="313" t="s">
        <v>1233</v>
      </c>
      <c r="G156" s="314" t="s">
        <v>1238</v>
      </c>
      <c r="H156" s="315" t="s">
        <v>3037</v>
      </c>
      <c r="I156" s="311" t="s">
        <v>3038</v>
      </c>
      <c r="J156" s="316" t="s">
        <v>3347</v>
      </c>
    </row>
    <row r="157" spans="1:10" x14ac:dyDescent="0.25">
      <c r="A157" s="309" t="s">
        <v>175</v>
      </c>
      <c r="B157" s="310" t="s">
        <v>3348</v>
      </c>
      <c r="C157" s="311" t="s">
        <v>1238</v>
      </c>
      <c r="D157" s="312" t="s">
        <v>2985</v>
      </c>
      <c r="E157" s="313" t="s">
        <v>2507</v>
      </c>
      <c r="F157" s="313" t="s">
        <v>1233</v>
      </c>
      <c r="G157" s="314" t="s">
        <v>1238</v>
      </c>
      <c r="H157" s="315" t="s">
        <v>3037</v>
      </c>
      <c r="I157" s="311" t="s">
        <v>3038</v>
      </c>
      <c r="J157" s="316" t="s">
        <v>3349</v>
      </c>
    </row>
    <row r="158" spans="1:10" x14ac:dyDescent="0.25">
      <c r="A158" s="309" t="s">
        <v>176</v>
      </c>
      <c r="B158" s="310" t="s">
        <v>3350</v>
      </c>
      <c r="C158" s="311" t="s">
        <v>1238</v>
      </c>
      <c r="D158" s="312" t="s">
        <v>2985</v>
      </c>
      <c r="E158" s="313" t="s">
        <v>2507</v>
      </c>
      <c r="F158" s="313" t="s">
        <v>1233</v>
      </c>
      <c r="G158" s="314" t="s">
        <v>1238</v>
      </c>
      <c r="H158" s="315" t="s">
        <v>3037</v>
      </c>
      <c r="I158" s="311" t="s">
        <v>3038</v>
      </c>
      <c r="J158" s="316" t="s">
        <v>3351</v>
      </c>
    </row>
    <row r="159" spans="1:10" x14ac:dyDescent="0.25">
      <c r="A159" s="309" t="s">
        <v>177</v>
      </c>
      <c r="B159" s="310" t="s">
        <v>3352</v>
      </c>
      <c r="C159" s="311" t="s">
        <v>1238</v>
      </c>
      <c r="D159" s="312" t="s">
        <v>2985</v>
      </c>
      <c r="E159" s="313" t="s">
        <v>2507</v>
      </c>
      <c r="F159" s="313" t="s">
        <v>1233</v>
      </c>
      <c r="G159" s="314" t="s">
        <v>1238</v>
      </c>
      <c r="H159" s="315" t="s">
        <v>3037</v>
      </c>
      <c r="I159" s="311" t="s">
        <v>3038</v>
      </c>
      <c r="J159" s="316" t="s">
        <v>3353</v>
      </c>
    </row>
    <row r="160" spans="1:10" x14ac:dyDescent="0.25">
      <c r="A160" s="309" t="s">
        <v>178</v>
      </c>
      <c r="B160" s="310" t="s">
        <v>3354</v>
      </c>
      <c r="C160" s="311" t="s">
        <v>1238</v>
      </c>
      <c r="D160" s="312" t="s">
        <v>2484</v>
      </c>
      <c r="E160" s="313" t="s">
        <v>2490</v>
      </c>
      <c r="F160" s="313" t="s">
        <v>1233</v>
      </c>
      <c r="G160" s="314" t="s">
        <v>1238</v>
      </c>
      <c r="H160" s="315" t="s">
        <v>3037</v>
      </c>
      <c r="I160" s="311" t="s">
        <v>3038</v>
      </c>
      <c r="J160" s="316" t="s">
        <v>3355</v>
      </c>
    </row>
    <row r="161" spans="1:10" x14ac:dyDescent="0.25">
      <c r="A161" s="309" t="s">
        <v>179</v>
      </c>
      <c r="B161" s="310" t="s">
        <v>3356</v>
      </c>
      <c r="C161" s="311" t="s">
        <v>1238</v>
      </c>
      <c r="D161" s="312" t="s">
        <v>2986</v>
      </c>
      <c r="E161" s="313" t="s">
        <v>2490</v>
      </c>
      <c r="F161" s="313" t="s">
        <v>1233</v>
      </c>
      <c r="G161" s="314" t="s">
        <v>1238</v>
      </c>
      <c r="H161" s="315" t="s">
        <v>3037</v>
      </c>
      <c r="I161" s="311" t="s">
        <v>3038</v>
      </c>
      <c r="J161" s="316" t="s">
        <v>3357</v>
      </c>
    </row>
    <row r="162" spans="1:10" x14ac:dyDescent="0.25">
      <c r="A162" s="309" t="s">
        <v>180</v>
      </c>
      <c r="B162" s="310" t="s">
        <v>3358</v>
      </c>
      <c r="C162" s="311" t="s">
        <v>1238</v>
      </c>
      <c r="D162" s="312" t="s">
        <v>2987</v>
      </c>
      <c r="E162" s="313" t="s">
        <v>2490</v>
      </c>
      <c r="F162" s="313" t="s">
        <v>1233</v>
      </c>
      <c r="G162" s="314" t="s">
        <v>1238</v>
      </c>
      <c r="H162" s="315" t="s">
        <v>3037</v>
      </c>
      <c r="I162" s="311" t="s">
        <v>3038</v>
      </c>
      <c r="J162" s="316" t="s">
        <v>3359</v>
      </c>
    </row>
    <row r="163" spans="1:10" x14ac:dyDescent="0.25">
      <c r="A163" s="309" t="s">
        <v>181</v>
      </c>
      <c r="B163" s="310" t="s">
        <v>3360</v>
      </c>
      <c r="C163" s="311" t="s">
        <v>1238</v>
      </c>
      <c r="D163" s="312" t="s">
        <v>2988</v>
      </c>
      <c r="E163" s="313" t="s">
        <v>2490</v>
      </c>
      <c r="F163" s="313" t="s">
        <v>1233</v>
      </c>
      <c r="G163" s="314" t="s">
        <v>1238</v>
      </c>
      <c r="H163" s="315" t="s">
        <v>3037</v>
      </c>
      <c r="I163" s="311" t="s">
        <v>3038</v>
      </c>
      <c r="J163" s="316" t="s">
        <v>3361</v>
      </c>
    </row>
    <row r="164" spans="1:10" x14ac:dyDescent="0.25">
      <c r="A164" s="309" t="s">
        <v>182</v>
      </c>
      <c r="B164" s="310" t="s">
        <v>3362</v>
      </c>
      <c r="C164" s="311" t="s">
        <v>1238</v>
      </c>
      <c r="D164" s="312" t="s">
        <v>2989</v>
      </c>
      <c r="E164" s="313" t="s">
        <v>3063</v>
      </c>
      <c r="F164" s="313" t="s">
        <v>3076</v>
      </c>
      <c r="G164" s="314" t="s">
        <v>2978</v>
      </c>
      <c r="H164" s="315" t="s">
        <v>3037</v>
      </c>
      <c r="I164" s="311" t="s">
        <v>3038</v>
      </c>
      <c r="J164" s="316" t="s">
        <v>3363</v>
      </c>
    </row>
    <row r="165" spans="1:10" x14ac:dyDescent="0.25">
      <c r="A165" s="309" t="s">
        <v>50</v>
      </c>
      <c r="B165" s="310" t="s">
        <v>3364</v>
      </c>
      <c r="C165" s="311" t="s">
        <v>1231</v>
      </c>
      <c r="D165" s="312" t="s">
        <v>1241</v>
      </c>
      <c r="E165" s="313" t="s">
        <v>3077</v>
      </c>
      <c r="F165" s="313" t="s">
        <v>3365</v>
      </c>
      <c r="G165" s="314" t="s">
        <v>2978</v>
      </c>
      <c r="H165" s="315" t="s">
        <v>3037</v>
      </c>
      <c r="I165" s="311" t="s">
        <v>3038</v>
      </c>
      <c r="J165" s="316" t="s">
        <v>3366</v>
      </c>
    </row>
    <row r="166" spans="1:10" x14ac:dyDescent="0.25">
      <c r="A166" s="309" t="s">
        <v>57</v>
      </c>
      <c r="B166" s="310" t="s">
        <v>3367</v>
      </c>
      <c r="C166" s="311" t="s">
        <v>1231</v>
      </c>
      <c r="D166" s="312" t="s">
        <v>2490</v>
      </c>
      <c r="E166" s="313" t="s">
        <v>3063</v>
      </c>
      <c r="F166" s="313" t="s">
        <v>3076</v>
      </c>
      <c r="G166" s="314" t="s">
        <v>2978</v>
      </c>
      <c r="H166" s="315" t="s">
        <v>3037</v>
      </c>
      <c r="I166" s="311" t="s">
        <v>3038</v>
      </c>
      <c r="J166" s="316" t="s">
        <v>3368</v>
      </c>
    </row>
    <row r="167" spans="1:10" x14ac:dyDescent="0.25">
      <c r="A167" s="309" t="s">
        <v>51</v>
      </c>
      <c r="B167" s="310" t="s">
        <v>3369</v>
      </c>
      <c r="C167" s="311" t="s">
        <v>1231</v>
      </c>
      <c r="D167" s="312" t="s">
        <v>2490</v>
      </c>
      <c r="E167" s="313" t="s">
        <v>3063</v>
      </c>
      <c r="F167" s="313" t="s">
        <v>3076</v>
      </c>
      <c r="G167" s="314" t="s">
        <v>2978</v>
      </c>
      <c r="H167" s="315" t="s">
        <v>3037</v>
      </c>
      <c r="I167" s="311" t="s">
        <v>3038</v>
      </c>
      <c r="J167" s="316" t="s">
        <v>3370</v>
      </c>
    </row>
    <row r="168" spans="1:10" x14ac:dyDescent="0.25">
      <c r="A168" s="309" t="s">
        <v>48</v>
      </c>
      <c r="B168" s="310" t="s">
        <v>3371</v>
      </c>
      <c r="C168" s="311" t="s">
        <v>1231</v>
      </c>
      <c r="D168" s="312" t="s">
        <v>3077</v>
      </c>
      <c r="E168" s="313" t="s">
        <v>2484</v>
      </c>
      <c r="F168" s="313" t="s">
        <v>3076</v>
      </c>
      <c r="G168" s="314" t="s">
        <v>2978</v>
      </c>
      <c r="H168" s="315" t="s">
        <v>3037</v>
      </c>
      <c r="I168" s="311" t="s">
        <v>3038</v>
      </c>
      <c r="J168" s="316" t="s">
        <v>3372</v>
      </c>
    </row>
    <row r="169" spans="1:10" x14ac:dyDescent="0.25">
      <c r="A169" s="309" t="s">
        <v>49</v>
      </c>
      <c r="B169" s="310" t="s">
        <v>3373</v>
      </c>
      <c r="C169" s="311" t="s">
        <v>1231</v>
      </c>
      <c r="D169" s="312" t="s">
        <v>3077</v>
      </c>
      <c r="E169" s="313" t="s">
        <v>2484</v>
      </c>
      <c r="F169" s="313" t="s">
        <v>3076</v>
      </c>
      <c r="G169" s="314" t="s">
        <v>2978</v>
      </c>
      <c r="H169" s="315" t="s">
        <v>3037</v>
      </c>
      <c r="I169" s="311" t="s">
        <v>3038</v>
      </c>
      <c r="J169" s="316" t="s">
        <v>3374</v>
      </c>
    </row>
    <row r="170" spans="1:10" x14ac:dyDescent="0.25">
      <c r="A170" s="309" t="s">
        <v>52</v>
      </c>
      <c r="B170" s="310" t="s">
        <v>3375</v>
      </c>
      <c r="C170" s="311" t="s">
        <v>1231</v>
      </c>
      <c r="D170" s="312" t="s">
        <v>2986</v>
      </c>
      <c r="E170" s="313" t="s">
        <v>2973</v>
      </c>
      <c r="F170" s="313" t="s">
        <v>2974</v>
      </c>
      <c r="G170" s="314" t="s">
        <v>2978</v>
      </c>
      <c r="H170" s="315" t="s">
        <v>3037</v>
      </c>
      <c r="I170" s="311" t="s">
        <v>3038</v>
      </c>
      <c r="J170" s="316" t="s">
        <v>3376</v>
      </c>
    </row>
    <row r="171" spans="1:10" x14ac:dyDescent="0.25">
      <c r="A171" s="309" t="s">
        <v>53</v>
      </c>
      <c r="B171" s="310" t="s">
        <v>3377</v>
      </c>
      <c r="C171" s="311" t="s">
        <v>1231</v>
      </c>
      <c r="D171" s="312" t="s">
        <v>2987</v>
      </c>
      <c r="E171" s="313" t="s">
        <v>2973</v>
      </c>
      <c r="F171" s="313" t="s">
        <v>2974</v>
      </c>
      <c r="G171" s="314" t="s">
        <v>2978</v>
      </c>
      <c r="H171" s="315" t="s">
        <v>3037</v>
      </c>
      <c r="I171" s="311" t="s">
        <v>3038</v>
      </c>
      <c r="J171" s="316" t="s">
        <v>3378</v>
      </c>
    </row>
    <row r="172" spans="1:10" x14ac:dyDescent="0.25">
      <c r="A172" s="309" t="s">
        <v>54</v>
      </c>
      <c r="B172" s="310" t="s">
        <v>3379</v>
      </c>
      <c r="C172" s="311" t="s">
        <v>1231</v>
      </c>
      <c r="D172" s="312" t="s">
        <v>2988</v>
      </c>
      <c r="E172" s="313" t="s">
        <v>2973</v>
      </c>
      <c r="F172" s="313" t="s">
        <v>2974</v>
      </c>
      <c r="G172" s="314" t="s">
        <v>2978</v>
      </c>
      <c r="H172" s="315" t="s">
        <v>3037</v>
      </c>
      <c r="I172" s="311" t="s">
        <v>3038</v>
      </c>
      <c r="J172" s="316" t="s">
        <v>3380</v>
      </c>
    </row>
    <row r="173" spans="1:10" x14ac:dyDescent="0.25">
      <c r="A173" s="309" t="s">
        <v>55</v>
      </c>
      <c r="B173" s="310" t="s">
        <v>3381</v>
      </c>
      <c r="C173" s="311" t="s">
        <v>1231</v>
      </c>
      <c r="D173" s="312" t="s">
        <v>2989</v>
      </c>
      <c r="E173" s="313" t="s">
        <v>2973</v>
      </c>
      <c r="F173" s="313" t="s">
        <v>2974</v>
      </c>
      <c r="G173" s="314" t="s">
        <v>2978</v>
      </c>
      <c r="H173" s="315" t="s">
        <v>3037</v>
      </c>
      <c r="I173" s="311" t="s">
        <v>3038</v>
      </c>
      <c r="J173" s="316" t="s">
        <v>3382</v>
      </c>
    </row>
    <row r="174" spans="1:10" x14ac:dyDescent="0.25">
      <c r="A174" s="309" t="s">
        <v>56</v>
      </c>
      <c r="B174" s="310" t="s">
        <v>3383</v>
      </c>
      <c r="C174" s="311" t="s">
        <v>1231</v>
      </c>
      <c r="D174" s="312" t="s">
        <v>2490</v>
      </c>
      <c r="E174" s="313" t="s">
        <v>3063</v>
      </c>
      <c r="F174" s="313" t="s">
        <v>3076</v>
      </c>
      <c r="G174" s="314" t="s">
        <v>2978</v>
      </c>
      <c r="H174" s="315" t="s">
        <v>3037</v>
      </c>
      <c r="I174" s="311" t="s">
        <v>3038</v>
      </c>
      <c r="J174" s="316" t="s">
        <v>3384</v>
      </c>
    </row>
    <row r="175" spans="1:10" x14ac:dyDescent="0.25">
      <c r="A175" s="309" t="s">
        <v>58</v>
      </c>
      <c r="B175" s="310" t="s">
        <v>3385</v>
      </c>
      <c r="C175" s="311" t="s">
        <v>1231</v>
      </c>
      <c r="D175" s="312" t="s">
        <v>2490</v>
      </c>
      <c r="E175" s="313" t="s">
        <v>3063</v>
      </c>
      <c r="F175" s="313" t="s">
        <v>3076</v>
      </c>
      <c r="G175" s="314" t="s">
        <v>3090</v>
      </c>
      <c r="H175" s="315" t="s">
        <v>3037</v>
      </c>
      <c r="I175" s="311" t="s">
        <v>3038</v>
      </c>
      <c r="J175" s="316" t="s">
        <v>3386</v>
      </c>
    </row>
    <row r="176" spans="1:10" x14ac:dyDescent="0.25">
      <c r="A176" s="309" t="s">
        <v>2334</v>
      </c>
      <c r="B176" s="310" t="s">
        <v>3387</v>
      </c>
      <c r="C176" s="311" t="s">
        <v>1239</v>
      </c>
      <c r="D176" s="312" t="s">
        <v>3388</v>
      </c>
      <c r="E176" s="313" t="s">
        <v>3063</v>
      </c>
      <c r="F176" s="313" t="s">
        <v>3076</v>
      </c>
      <c r="G176" s="314" t="s">
        <v>3090</v>
      </c>
      <c r="H176" s="315" t="s">
        <v>3037</v>
      </c>
      <c r="I176" s="311" t="s">
        <v>3038</v>
      </c>
      <c r="J176" s="316" t="s">
        <v>3389</v>
      </c>
    </row>
    <row r="177" spans="1:10" x14ac:dyDescent="0.25">
      <c r="A177" s="309" t="s">
        <v>210</v>
      </c>
      <c r="B177" s="310" t="s">
        <v>3390</v>
      </c>
      <c r="C177" s="311" t="s">
        <v>1239</v>
      </c>
      <c r="D177" s="312" t="s">
        <v>2972</v>
      </c>
      <c r="E177" s="313" t="s">
        <v>3063</v>
      </c>
      <c r="F177" s="313" t="s">
        <v>3076</v>
      </c>
      <c r="G177" s="314" t="s">
        <v>3090</v>
      </c>
      <c r="H177" s="315" t="s">
        <v>3037</v>
      </c>
      <c r="I177" s="311" t="s">
        <v>3038</v>
      </c>
      <c r="J177" s="316" t="s">
        <v>3391</v>
      </c>
    </row>
    <row r="178" spans="1:10" x14ac:dyDescent="0.25">
      <c r="A178" s="309" t="s">
        <v>211</v>
      </c>
      <c r="B178" s="310" t="s">
        <v>3392</v>
      </c>
      <c r="C178" s="311" t="s">
        <v>1239</v>
      </c>
      <c r="D178" s="312" t="s">
        <v>2972</v>
      </c>
      <c r="E178" s="313" t="s">
        <v>3063</v>
      </c>
      <c r="F178" s="313" t="s">
        <v>3076</v>
      </c>
      <c r="G178" s="314" t="s">
        <v>3090</v>
      </c>
      <c r="H178" s="315" t="s">
        <v>3037</v>
      </c>
      <c r="I178" s="311" t="s">
        <v>3038</v>
      </c>
      <c r="J178" s="316" t="s">
        <v>3393</v>
      </c>
    </row>
    <row r="179" spans="1:10" x14ac:dyDescent="0.25">
      <c r="A179" s="309" t="s">
        <v>193</v>
      </c>
      <c r="B179" s="310" t="s">
        <v>3394</v>
      </c>
      <c r="C179" s="311" t="s">
        <v>1239</v>
      </c>
      <c r="D179" s="312" t="s">
        <v>2491</v>
      </c>
      <c r="E179" s="313" t="s">
        <v>3077</v>
      </c>
      <c r="F179" s="313" t="s">
        <v>3076</v>
      </c>
      <c r="G179" s="314" t="s">
        <v>3090</v>
      </c>
      <c r="H179" s="315" t="s">
        <v>3037</v>
      </c>
      <c r="I179" s="311" t="s">
        <v>3038</v>
      </c>
      <c r="J179" s="316" t="s">
        <v>3395</v>
      </c>
    </row>
    <row r="180" spans="1:10" x14ac:dyDescent="0.25">
      <c r="A180" s="309" t="s">
        <v>194</v>
      </c>
      <c r="B180" s="310" t="s">
        <v>3396</v>
      </c>
      <c r="C180" s="311" t="s">
        <v>1239</v>
      </c>
      <c r="D180" s="312" t="s">
        <v>2491</v>
      </c>
      <c r="E180" s="313" t="s">
        <v>3077</v>
      </c>
      <c r="F180" s="313" t="s">
        <v>3076</v>
      </c>
      <c r="G180" s="314" t="s">
        <v>3090</v>
      </c>
      <c r="H180" s="315" t="s">
        <v>3037</v>
      </c>
      <c r="I180" s="311" t="s">
        <v>3038</v>
      </c>
      <c r="J180" s="316" t="s">
        <v>3397</v>
      </c>
    </row>
    <row r="181" spans="1:10" x14ac:dyDescent="0.25">
      <c r="A181" s="309" t="s">
        <v>201</v>
      </c>
      <c r="B181" s="310" t="s">
        <v>3398</v>
      </c>
      <c r="C181" s="311" t="s">
        <v>1239</v>
      </c>
      <c r="D181" s="312" t="s">
        <v>2491</v>
      </c>
      <c r="E181" s="313" t="s">
        <v>3077</v>
      </c>
      <c r="F181" s="313" t="s">
        <v>3076</v>
      </c>
      <c r="G181" s="314" t="s">
        <v>3090</v>
      </c>
      <c r="H181" s="315" t="s">
        <v>3037</v>
      </c>
      <c r="I181" s="311" t="s">
        <v>3038</v>
      </c>
      <c r="J181" s="316" t="s">
        <v>3399</v>
      </c>
    </row>
    <row r="182" spans="1:10" x14ac:dyDescent="0.25">
      <c r="A182" s="309" t="s">
        <v>202</v>
      </c>
      <c r="B182" s="310" t="s">
        <v>3400</v>
      </c>
      <c r="C182" s="311" t="s">
        <v>1239</v>
      </c>
      <c r="D182" s="312" t="s">
        <v>2491</v>
      </c>
      <c r="E182" s="313" t="s">
        <v>3077</v>
      </c>
      <c r="F182" s="313" t="s">
        <v>3076</v>
      </c>
      <c r="G182" s="314" t="s">
        <v>3077</v>
      </c>
      <c r="H182" s="315" t="s">
        <v>3037</v>
      </c>
      <c r="I182" s="311" t="s">
        <v>3038</v>
      </c>
      <c r="J182" s="316" t="s">
        <v>3401</v>
      </c>
    </row>
    <row r="183" spans="1:10" x14ac:dyDescent="0.25">
      <c r="A183" s="309" t="s">
        <v>203</v>
      </c>
      <c r="B183" s="310" t="s">
        <v>3402</v>
      </c>
      <c r="C183" s="311" t="s">
        <v>1239</v>
      </c>
      <c r="D183" s="312" t="s">
        <v>2491</v>
      </c>
      <c r="E183" s="313" t="s">
        <v>3077</v>
      </c>
      <c r="F183" s="313" t="s">
        <v>2511</v>
      </c>
      <c r="G183" s="314" t="s">
        <v>3090</v>
      </c>
      <c r="H183" s="315" t="s">
        <v>3037</v>
      </c>
      <c r="I183" s="311" t="s">
        <v>3038</v>
      </c>
      <c r="J183" s="316" t="s">
        <v>3403</v>
      </c>
    </row>
    <row r="184" spans="1:10" x14ac:dyDescent="0.25">
      <c r="A184" s="309" t="s">
        <v>204</v>
      </c>
      <c r="B184" s="310" t="s">
        <v>3404</v>
      </c>
      <c r="C184" s="311" t="s">
        <v>1239</v>
      </c>
      <c r="D184" s="312" t="s">
        <v>2491</v>
      </c>
      <c r="E184" s="313" t="s">
        <v>3077</v>
      </c>
      <c r="F184" s="313" t="s">
        <v>2511</v>
      </c>
      <c r="G184" s="314" t="s">
        <v>209</v>
      </c>
      <c r="H184" s="315" t="s">
        <v>3037</v>
      </c>
      <c r="I184" s="311" t="s">
        <v>3038</v>
      </c>
      <c r="J184" s="316" t="s">
        <v>3405</v>
      </c>
    </row>
    <row r="185" spans="1:10" x14ac:dyDescent="0.25">
      <c r="A185" s="309" t="s">
        <v>205</v>
      </c>
      <c r="B185" s="310" t="s">
        <v>3406</v>
      </c>
      <c r="C185" s="311" t="s">
        <v>1239</v>
      </c>
      <c r="D185" s="312" t="s">
        <v>2491</v>
      </c>
      <c r="E185" s="313" t="s">
        <v>3077</v>
      </c>
      <c r="F185" s="313" t="s">
        <v>2503</v>
      </c>
      <c r="G185" s="314" t="s">
        <v>3077</v>
      </c>
      <c r="H185" s="315" t="s">
        <v>3037</v>
      </c>
      <c r="I185" s="311" t="s">
        <v>3038</v>
      </c>
      <c r="J185" s="316" t="s">
        <v>3407</v>
      </c>
    </row>
    <row r="186" spans="1:10" x14ac:dyDescent="0.25">
      <c r="A186" s="309" t="s">
        <v>206</v>
      </c>
      <c r="B186" s="310" t="s">
        <v>3408</v>
      </c>
      <c r="C186" s="311" t="s">
        <v>1239</v>
      </c>
      <c r="D186" s="312" t="s">
        <v>2491</v>
      </c>
      <c r="E186" s="313" t="s">
        <v>3077</v>
      </c>
      <c r="F186" s="313" t="s">
        <v>2503</v>
      </c>
      <c r="G186" s="314" t="s">
        <v>3077</v>
      </c>
      <c r="H186" s="315" t="s">
        <v>3037</v>
      </c>
      <c r="I186" s="311" t="s">
        <v>3038</v>
      </c>
      <c r="J186" s="316" t="s">
        <v>3409</v>
      </c>
    </row>
    <row r="187" spans="1:10" x14ac:dyDescent="0.25">
      <c r="A187" s="309" t="s">
        <v>207</v>
      </c>
      <c r="B187" s="310" t="s">
        <v>3410</v>
      </c>
      <c r="C187" s="311" t="s">
        <v>1239</v>
      </c>
      <c r="D187" s="312" t="s">
        <v>2491</v>
      </c>
      <c r="E187" s="313" t="s">
        <v>3077</v>
      </c>
      <c r="F187" s="313" t="s">
        <v>2503</v>
      </c>
      <c r="G187" s="314" t="s">
        <v>3077</v>
      </c>
      <c r="H187" s="315" t="s">
        <v>3037</v>
      </c>
      <c r="I187" s="311" t="s">
        <v>3038</v>
      </c>
      <c r="J187" s="316" t="s">
        <v>3411</v>
      </c>
    </row>
    <row r="188" spans="1:10" x14ac:dyDescent="0.25">
      <c r="A188" s="309" t="s">
        <v>208</v>
      </c>
      <c r="B188" s="310" t="s">
        <v>3412</v>
      </c>
      <c r="C188" s="311" t="s">
        <v>1239</v>
      </c>
      <c r="D188" s="312" t="s">
        <v>2491</v>
      </c>
      <c r="E188" s="313" t="s">
        <v>3077</v>
      </c>
      <c r="F188" s="313" t="s">
        <v>2503</v>
      </c>
      <c r="G188" s="314" t="s">
        <v>3077</v>
      </c>
      <c r="H188" s="315" t="s">
        <v>3037</v>
      </c>
      <c r="I188" s="311" t="s">
        <v>3038</v>
      </c>
      <c r="J188" s="316" t="s">
        <v>3413</v>
      </c>
    </row>
    <row r="189" spans="1:10" x14ac:dyDescent="0.25">
      <c r="A189" s="309" t="s">
        <v>195</v>
      </c>
      <c r="B189" s="310" t="s">
        <v>3414</v>
      </c>
      <c r="C189" s="311" t="s">
        <v>1239</v>
      </c>
      <c r="D189" s="312" t="s">
        <v>2491</v>
      </c>
      <c r="E189" s="313" t="s">
        <v>3077</v>
      </c>
      <c r="F189" s="313" t="s">
        <v>2503</v>
      </c>
      <c r="G189" s="314" t="s">
        <v>3077</v>
      </c>
      <c r="H189" s="315" t="s">
        <v>3037</v>
      </c>
      <c r="I189" s="311" t="s">
        <v>3038</v>
      </c>
      <c r="J189" s="316" t="s">
        <v>3415</v>
      </c>
    </row>
    <row r="190" spans="1:10" x14ac:dyDescent="0.25">
      <c r="A190" s="309" t="s">
        <v>196</v>
      </c>
      <c r="B190" s="310" t="s">
        <v>3416</v>
      </c>
      <c r="C190" s="311" t="s">
        <v>1239</v>
      </c>
      <c r="D190" s="312" t="s">
        <v>2491</v>
      </c>
      <c r="E190" s="313" t="s">
        <v>3077</v>
      </c>
      <c r="F190" s="313" t="s">
        <v>2503</v>
      </c>
      <c r="G190" s="314" t="s">
        <v>3077</v>
      </c>
      <c r="H190" s="315" t="s">
        <v>3037</v>
      </c>
      <c r="I190" s="311" t="s">
        <v>3038</v>
      </c>
      <c r="J190" s="316" t="s">
        <v>3417</v>
      </c>
    </row>
    <row r="191" spans="1:10" x14ac:dyDescent="0.25">
      <c r="A191" s="309" t="s">
        <v>197</v>
      </c>
      <c r="B191" s="310" t="s">
        <v>3418</v>
      </c>
      <c r="C191" s="311" t="s">
        <v>1239</v>
      </c>
      <c r="D191" s="312" t="s">
        <v>2491</v>
      </c>
      <c r="E191" s="313" t="s">
        <v>3077</v>
      </c>
      <c r="F191" s="313" t="s">
        <v>2503</v>
      </c>
      <c r="G191" s="314" t="s">
        <v>3077</v>
      </c>
      <c r="H191" s="315" t="s">
        <v>3037</v>
      </c>
      <c r="I191" s="311" t="s">
        <v>3038</v>
      </c>
      <c r="J191" s="316" t="s">
        <v>3419</v>
      </c>
    </row>
    <row r="192" spans="1:10" x14ac:dyDescent="0.25">
      <c r="A192" s="309" t="s">
        <v>198</v>
      </c>
      <c r="B192" s="310" t="s">
        <v>3420</v>
      </c>
      <c r="C192" s="311" t="s">
        <v>1239</v>
      </c>
      <c r="D192" s="312" t="s">
        <v>2491</v>
      </c>
      <c r="E192" s="313" t="s">
        <v>3077</v>
      </c>
      <c r="F192" s="313" t="s">
        <v>2503</v>
      </c>
      <c r="G192" s="314" t="s">
        <v>3077</v>
      </c>
      <c r="H192" s="315" t="s">
        <v>3037</v>
      </c>
      <c r="I192" s="311" t="s">
        <v>3038</v>
      </c>
      <c r="J192" s="316" t="s">
        <v>3421</v>
      </c>
    </row>
    <row r="193" spans="1:10" x14ac:dyDescent="0.25">
      <c r="A193" s="309" t="s">
        <v>199</v>
      </c>
      <c r="B193" s="310" t="s">
        <v>3422</v>
      </c>
      <c r="C193" s="311" t="s">
        <v>1239</v>
      </c>
      <c r="D193" s="312" t="s">
        <v>2491</v>
      </c>
      <c r="E193" s="313" t="s">
        <v>3077</v>
      </c>
      <c r="F193" s="313" t="s">
        <v>2503</v>
      </c>
      <c r="G193" s="314" t="s">
        <v>3077</v>
      </c>
      <c r="H193" s="315" t="s">
        <v>3037</v>
      </c>
      <c r="I193" s="311" t="s">
        <v>3038</v>
      </c>
      <c r="J193" s="316" t="s">
        <v>3423</v>
      </c>
    </row>
    <row r="194" spans="1:10" x14ac:dyDescent="0.25">
      <c r="A194" s="309" t="s">
        <v>200</v>
      </c>
      <c r="B194" s="310" t="s">
        <v>3424</v>
      </c>
      <c r="C194" s="311" t="s">
        <v>1239</v>
      </c>
      <c r="D194" s="312" t="s">
        <v>2491</v>
      </c>
      <c r="E194" s="313" t="s">
        <v>3077</v>
      </c>
      <c r="F194" s="313" t="s">
        <v>2503</v>
      </c>
      <c r="G194" s="314" t="s">
        <v>3077</v>
      </c>
      <c r="H194" s="315" t="s">
        <v>3037</v>
      </c>
      <c r="I194" s="311" t="s">
        <v>3038</v>
      </c>
      <c r="J194" s="316" t="s">
        <v>3425</v>
      </c>
    </row>
    <row r="195" spans="1:10" x14ac:dyDescent="0.25">
      <c r="A195" s="309" t="s">
        <v>185</v>
      </c>
      <c r="B195" s="310" t="s">
        <v>3426</v>
      </c>
      <c r="C195" s="311" t="s">
        <v>1239</v>
      </c>
      <c r="D195" s="312" t="s">
        <v>2491</v>
      </c>
      <c r="E195" s="313" t="s">
        <v>3077</v>
      </c>
      <c r="F195" s="313" t="s">
        <v>2511</v>
      </c>
      <c r="G195" s="314" t="s">
        <v>3077</v>
      </c>
      <c r="H195" s="315" t="s">
        <v>3037</v>
      </c>
      <c r="I195" s="311" t="s">
        <v>3038</v>
      </c>
      <c r="J195" s="316" t="s">
        <v>3427</v>
      </c>
    </row>
    <row r="196" spans="1:10" x14ac:dyDescent="0.25">
      <c r="A196" s="309" t="s">
        <v>186</v>
      </c>
      <c r="B196" s="310" t="s">
        <v>3428</v>
      </c>
      <c r="C196" s="311" t="s">
        <v>1239</v>
      </c>
      <c r="D196" s="312" t="s">
        <v>2491</v>
      </c>
      <c r="E196" s="313" t="s">
        <v>3077</v>
      </c>
      <c r="F196" s="313" t="s">
        <v>2511</v>
      </c>
      <c r="G196" s="314" t="s">
        <v>3077</v>
      </c>
      <c r="H196" s="315" t="s">
        <v>3037</v>
      </c>
      <c r="I196" s="311" t="s">
        <v>3038</v>
      </c>
      <c r="J196" s="316" t="s">
        <v>3429</v>
      </c>
    </row>
    <row r="197" spans="1:10" x14ac:dyDescent="0.25">
      <c r="A197" s="309" t="s">
        <v>187</v>
      </c>
      <c r="B197" s="310" t="s">
        <v>3430</v>
      </c>
      <c r="C197" s="311" t="s">
        <v>1239</v>
      </c>
      <c r="D197" s="312" t="s">
        <v>2491</v>
      </c>
      <c r="E197" s="313" t="s">
        <v>3077</v>
      </c>
      <c r="F197" s="313" t="s">
        <v>2511</v>
      </c>
      <c r="G197" s="314" t="s">
        <v>3037</v>
      </c>
      <c r="H197" s="315" t="s">
        <v>3037</v>
      </c>
      <c r="I197" s="311" t="s">
        <v>3038</v>
      </c>
      <c r="J197" s="316" t="s">
        <v>3431</v>
      </c>
    </row>
    <row r="198" spans="1:10" x14ac:dyDescent="0.25">
      <c r="A198" s="309" t="s">
        <v>188</v>
      </c>
      <c r="B198" s="310" t="s">
        <v>3432</v>
      </c>
      <c r="C198" s="311" t="s">
        <v>1239</v>
      </c>
      <c r="D198" s="312" t="s">
        <v>2491</v>
      </c>
      <c r="E198" s="313" t="s">
        <v>3077</v>
      </c>
      <c r="F198" s="313" t="s">
        <v>2511</v>
      </c>
      <c r="G198" s="314" t="s">
        <v>3037</v>
      </c>
      <c r="H198" s="315" t="s">
        <v>3037</v>
      </c>
      <c r="I198" s="311" t="s">
        <v>3038</v>
      </c>
      <c r="J198" s="316" t="s">
        <v>3433</v>
      </c>
    </row>
    <row r="199" spans="1:10" x14ac:dyDescent="0.25">
      <c r="A199" s="309" t="s">
        <v>189</v>
      </c>
      <c r="B199" s="310" t="s">
        <v>3434</v>
      </c>
      <c r="C199" s="311" t="s">
        <v>1239</v>
      </c>
      <c r="D199" s="312" t="s">
        <v>2491</v>
      </c>
      <c r="E199" s="313" t="s">
        <v>3077</v>
      </c>
      <c r="F199" s="313" t="s">
        <v>2511</v>
      </c>
      <c r="G199" s="314" t="s">
        <v>3037</v>
      </c>
      <c r="H199" s="315" t="s">
        <v>3037</v>
      </c>
      <c r="I199" s="311" t="s">
        <v>3038</v>
      </c>
      <c r="J199" s="316" t="s">
        <v>3435</v>
      </c>
    </row>
    <row r="200" spans="1:10" x14ac:dyDescent="0.25">
      <c r="A200" s="309" t="s">
        <v>190</v>
      </c>
      <c r="B200" s="310" t="s">
        <v>3436</v>
      </c>
      <c r="C200" s="311" t="s">
        <v>1239</v>
      </c>
      <c r="D200" s="312" t="s">
        <v>2491</v>
      </c>
      <c r="E200" s="313" t="s">
        <v>3077</v>
      </c>
      <c r="F200" s="313" t="s">
        <v>2511</v>
      </c>
      <c r="G200" s="314" t="s">
        <v>3037</v>
      </c>
      <c r="H200" s="315" t="s">
        <v>3037</v>
      </c>
      <c r="I200" s="311" t="s">
        <v>3038</v>
      </c>
      <c r="J200" s="316" t="s">
        <v>3437</v>
      </c>
    </row>
    <row r="201" spans="1:10" x14ac:dyDescent="0.25">
      <c r="A201" s="309" t="s">
        <v>191</v>
      </c>
      <c r="B201" s="310" t="s">
        <v>3438</v>
      </c>
      <c r="C201" s="311" t="s">
        <v>1239</v>
      </c>
      <c r="D201" s="312" t="s">
        <v>2491</v>
      </c>
      <c r="E201" s="313" t="s">
        <v>3077</v>
      </c>
      <c r="F201" s="313" t="s">
        <v>2511</v>
      </c>
      <c r="G201" s="314" t="s">
        <v>3077</v>
      </c>
      <c r="H201" s="315" t="s">
        <v>3037</v>
      </c>
      <c r="I201" s="311" t="s">
        <v>3038</v>
      </c>
      <c r="J201" s="316" t="s">
        <v>3439</v>
      </c>
    </row>
    <row r="202" spans="1:10" x14ac:dyDescent="0.25">
      <c r="A202" s="309" t="s">
        <v>192</v>
      </c>
      <c r="B202" s="310" t="s">
        <v>3440</v>
      </c>
      <c r="C202" s="311" t="s">
        <v>1239</v>
      </c>
      <c r="D202" s="312" t="s">
        <v>2491</v>
      </c>
      <c r="E202" s="313" t="s">
        <v>3077</v>
      </c>
      <c r="F202" s="313" t="s">
        <v>2511</v>
      </c>
      <c r="G202" s="314" t="s">
        <v>3077</v>
      </c>
      <c r="H202" s="315" t="s">
        <v>3037</v>
      </c>
      <c r="I202" s="311" t="s">
        <v>3038</v>
      </c>
      <c r="J202" s="316" t="s">
        <v>3441</v>
      </c>
    </row>
    <row r="203" spans="1:10" x14ac:dyDescent="0.25">
      <c r="A203" s="309" t="s">
        <v>183</v>
      </c>
      <c r="B203" s="310" t="s">
        <v>3442</v>
      </c>
      <c r="C203" s="311" t="s">
        <v>1239</v>
      </c>
      <c r="D203" s="312" t="s">
        <v>2448</v>
      </c>
      <c r="E203" s="313" t="s">
        <v>3063</v>
      </c>
      <c r="F203" s="313" t="s">
        <v>3076</v>
      </c>
      <c r="G203" s="314" t="s">
        <v>3090</v>
      </c>
      <c r="H203" s="315" t="s">
        <v>3037</v>
      </c>
      <c r="I203" s="311" t="s">
        <v>3038</v>
      </c>
      <c r="J203" s="316" t="s">
        <v>3443</v>
      </c>
    </row>
    <row r="204" spans="1:10" x14ac:dyDescent="0.25">
      <c r="A204" s="309" t="s">
        <v>212</v>
      </c>
      <c r="B204" s="310" t="s">
        <v>3444</v>
      </c>
      <c r="C204" s="311" t="s">
        <v>1239</v>
      </c>
      <c r="D204" s="312" t="s">
        <v>2976</v>
      </c>
      <c r="E204" s="313" t="s">
        <v>3063</v>
      </c>
      <c r="F204" s="313" t="s">
        <v>3076</v>
      </c>
      <c r="G204" s="314" t="s">
        <v>3090</v>
      </c>
      <c r="H204" s="315" t="s">
        <v>3037</v>
      </c>
      <c r="I204" s="311" t="s">
        <v>3038</v>
      </c>
      <c r="J204" s="316" t="s">
        <v>3445</v>
      </c>
    </row>
    <row r="205" spans="1:10" x14ac:dyDescent="0.25">
      <c r="A205" s="309" t="s">
        <v>2367</v>
      </c>
      <c r="B205" s="310" t="s">
        <v>3077</v>
      </c>
      <c r="C205" s="311" t="s">
        <v>1239</v>
      </c>
      <c r="D205" s="312" t="s">
        <v>3037</v>
      </c>
      <c r="E205" s="313" t="s">
        <v>3037</v>
      </c>
      <c r="F205" s="313" t="s">
        <v>3037</v>
      </c>
      <c r="G205" s="314" t="s">
        <v>3037</v>
      </c>
      <c r="H205" s="315" t="s">
        <v>3037</v>
      </c>
      <c r="I205" s="311" t="s">
        <v>3038</v>
      </c>
      <c r="J205" s="316" t="s">
        <v>3446</v>
      </c>
    </row>
    <row r="206" spans="1:10" x14ac:dyDescent="0.25">
      <c r="A206" s="309" t="s">
        <v>2368</v>
      </c>
      <c r="B206" s="310" t="s">
        <v>3077</v>
      </c>
      <c r="C206" s="311" t="s">
        <v>1239</v>
      </c>
      <c r="D206" s="312" t="s">
        <v>3037</v>
      </c>
      <c r="E206" s="313" t="s">
        <v>3037</v>
      </c>
      <c r="F206" s="313" t="s">
        <v>3037</v>
      </c>
      <c r="G206" s="314" t="s">
        <v>3037</v>
      </c>
      <c r="H206" s="315" t="s">
        <v>3037</v>
      </c>
      <c r="I206" s="311" t="s">
        <v>3038</v>
      </c>
      <c r="J206" s="316" t="s">
        <v>3447</v>
      </c>
    </row>
    <row r="207" spans="1:10" x14ac:dyDescent="0.25">
      <c r="A207" s="309" t="s">
        <v>2369</v>
      </c>
      <c r="B207" s="310" t="s">
        <v>3077</v>
      </c>
      <c r="C207" s="311" t="s">
        <v>1239</v>
      </c>
      <c r="D207" s="312" t="s">
        <v>3037</v>
      </c>
      <c r="E207" s="313" t="s">
        <v>3037</v>
      </c>
      <c r="F207" s="313" t="s">
        <v>3037</v>
      </c>
      <c r="G207" s="314" t="s">
        <v>3037</v>
      </c>
      <c r="H207" s="315" t="s">
        <v>3037</v>
      </c>
      <c r="I207" s="311" t="s">
        <v>3038</v>
      </c>
      <c r="J207" s="316" t="s">
        <v>3448</v>
      </c>
    </row>
    <row r="208" spans="1:10" x14ac:dyDescent="0.25">
      <c r="A208" s="309" t="s">
        <v>2370</v>
      </c>
      <c r="B208" s="310" t="s">
        <v>3077</v>
      </c>
      <c r="C208" s="311" t="s">
        <v>1239</v>
      </c>
      <c r="D208" s="312" t="s">
        <v>3037</v>
      </c>
      <c r="E208" s="313" t="s">
        <v>3037</v>
      </c>
      <c r="F208" s="313" t="s">
        <v>3037</v>
      </c>
      <c r="G208" s="314" t="s">
        <v>3037</v>
      </c>
      <c r="H208" s="315" t="s">
        <v>3037</v>
      </c>
      <c r="I208" s="311" t="s">
        <v>3038</v>
      </c>
      <c r="J208" s="316" t="s">
        <v>3449</v>
      </c>
    </row>
    <row r="209" spans="1:10" x14ac:dyDescent="0.25">
      <c r="A209" s="309" t="s">
        <v>209</v>
      </c>
      <c r="B209" s="310" t="s">
        <v>3077</v>
      </c>
      <c r="C209" s="311" t="s">
        <v>1239</v>
      </c>
      <c r="D209" s="312" t="s">
        <v>209</v>
      </c>
      <c r="E209" s="313" t="s">
        <v>3037</v>
      </c>
      <c r="F209" s="313" t="s">
        <v>3037</v>
      </c>
      <c r="G209" s="314" t="s">
        <v>3037</v>
      </c>
      <c r="H209" s="315" t="s">
        <v>3037</v>
      </c>
      <c r="I209" s="311" t="s">
        <v>3038</v>
      </c>
      <c r="J209" s="316" t="s">
        <v>3450</v>
      </c>
    </row>
    <row r="210" spans="1:10" x14ac:dyDescent="0.25">
      <c r="A210" s="309" t="s">
        <v>12</v>
      </c>
      <c r="B210" s="310" t="s">
        <v>3451</v>
      </c>
      <c r="C210" s="311" t="s">
        <v>1230</v>
      </c>
      <c r="D210" s="312" t="s">
        <v>2486</v>
      </c>
      <c r="E210" s="313" t="s">
        <v>2480</v>
      </c>
      <c r="F210" s="313" t="s">
        <v>1233</v>
      </c>
      <c r="G210" s="314" t="s">
        <v>2503</v>
      </c>
      <c r="H210" s="315" t="s">
        <v>3037</v>
      </c>
      <c r="I210" s="311" t="s">
        <v>3038</v>
      </c>
      <c r="J210" s="316" t="s">
        <v>3452</v>
      </c>
    </row>
    <row r="211" spans="1:10" x14ac:dyDescent="0.25">
      <c r="A211" s="309" t="s">
        <v>10</v>
      </c>
      <c r="B211" s="310" t="s">
        <v>3453</v>
      </c>
      <c r="C211" s="311" t="s">
        <v>1230</v>
      </c>
      <c r="D211" s="312" t="s">
        <v>2486</v>
      </c>
      <c r="E211" s="313" t="s">
        <v>2480</v>
      </c>
      <c r="F211" s="313" t="s">
        <v>1233</v>
      </c>
      <c r="G211" s="314" t="s">
        <v>2503</v>
      </c>
      <c r="H211" s="315" t="s">
        <v>3037</v>
      </c>
      <c r="I211" s="311" t="s">
        <v>3038</v>
      </c>
      <c r="J211" s="316" t="s">
        <v>3454</v>
      </c>
    </row>
    <row r="212" spans="1:10" x14ac:dyDescent="0.25">
      <c r="A212" s="309" t="s">
        <v>11</v>
      </c>
      <c r="B212" s="310" t="s">
        <v>3455</v>
      </c>
      <c r="C212" s="311" t="s">
        <v>1230</v>
      </c>
      <c r="D212" s="312" t="s">
        <v>2486</v>
      </c>
      <c r="E212" s="313" t="s">
        <v>2480</v>
      </c>
      <c r="F212" s="313" t="s">
        <v>1233</v>
      </c>
      <c r="G212" s="314" t="s">
        <v>2503</v>
      </c>
      <c r="H212" s="315" t="s">
        <v>3037</v>
      </c>
      <c r="I212" s="311" t="s">
        <v>3038</v>
      </c>
      <c r="J212" s="316" t="s">
        <v>3456</v>
      </c>
    </row>
    <row r="213" spans="1:10" x14ac:dyDescent="0.25">
      <c r="A213" s="309" t="s">
        <v>13</v>
      </c>
      <c r="B213" s="310" t="s">
        <v>3457</v>
      </c>
      <c r="C213" s="311" t="s">
        <v>1230</v>
      </c>
      <c r="D213" s="312" t="s">
        <v>2486</v>
      </c>
      <c r="E213" s="313" t="s">
        <v>2480</v>
      </c>
      <c r="F213" s="313" t="s">
        <v>1233</v>
      </c>
      <c r="G213" s="314" t="s">
        <v>2503</v>
      </c>
      <c r="H213" s="315" t="s">
        <v>3037</v>
      </c>
      <c r="I213" s="311" t="s">
        <v>3038</v>
      </c>
      <c r="J213" s="316" t="s">
        <v>3458</v>
      </c>
    </row>
    <row r="214" spans="1:10" x14ac:dyDescent="0.25">
      <c r="A214" s="309" t="s">
        <v>9</v>
      </c>
      <c r="B214" s="310" t="s">
        <v>3459</v>
      </c>
      <c r="C214" s="311" t="s">
        <v>1230</v>
      </c>
      <c r="D214" s="312" t="s">
        <v>2966</v>
      </c>
      <c r="E214" s="313" t="s">
        <v>2480</v>
      </c>
      <c r="F214" s="313" t="s">
        <v>3076</v>
      </c>
      <c r="G214" s="314" t="s">
        <v>3090</v>
      </c>
      <c r="H214" s="315" t="s">
        <v>3037</v>
      </c>
      <c r="I214" s="311" t="s">
        <v>3038</v>
      </c>
      <c r="J214" s="316" t="s">
        <v>3460</v>
      </c>
    </row>
    <row r="215" spans="1:10" x14ac:dyDescent="0.25">
      <c r="A215" s="309" t="s">
        <v>8</v>
      </c>
      <c r="B215" s="310" t="s">
        <v>3461</v>
      </c>
      <c r="C215" s="311" t="s">
        <v>1230</v>
      </c>
      <c r="D215" s="312" t="s">
        <v>2967</v>
      </c>
      <c r="E215" s="313" t="s">
        <v>3063</v>
      </c>
      <c r="F215" s="313" t="s">
        <v>3076</v>
      </c>
      <c r="G215" s="314" t="s">
        <v>3090</v>
      </c>
      <c r="H215" s="315" t="s">
        <v>3037</v>
      </c>
      <c r="I215" s="311" t="s">
        <v>3038</v>
      </c>
      <c r="J215" s="316" t="s">
        <v>3462</v>
      </c>
    </row>
    <row r="216" spans="1:10" x14ac:dyDescent="0.25">
      <c r="A216" s="309" t="s">
        <v>18</v>
      </c>
      <c r="B216" s="310" t="s">
        <v>3463</v>
      </c>
      <c r="C216" s="311" t="s">
        <v>1230</v>
      </c>
      <c r="D216" s="312" t="s">
        <v>2979</v>
      </c>
      <c r="E216" s="313" t="s">
        <v>2480</v>
      </c>
      <c r="F216" s="313" t="s">
        <v>3077</v>
      </c>
      <c r="G216" s="314" t="s">
        <v>2977</v>
      </c>
      <c r="H216" s="315" t="s">
        <v>3037</v>
      </c>
      <c r="I216" s="311" t="s">
        <v>3038</v>
      </c>
      <c r="J216" s="316" t="s">
        <v>3464</v>
      </c>
    </row>
    <row r="217" spans="1:10" x14ac:dyDescent="0.25">
      <c r="A217" s="309" t="s">
        <v>19</v>
      </c>
      <c r="B217" s="310" t="s">
        <v>3465</v>
      </c>
      <c r="C217" s="311" t="s">
        <v>1230</v>
      </c>
      <c r="D217" s="312" t="s">
        <v>2979</v>
      </c>
      <c r="E217" s="313" t="s">
        <v>3063</v>
      </c>
      <c r="F217" s="313" t="s">
        <v>3077</v>
      </c>
      <c r="G217" s="314" t="s">
        <v>2977</v>
      </c>
      <c r="H217" s="315" t="s">
        <v>3037</v>
      </c>
      <c r="I217" s="311" t="s">
        <v>3038</v>
      </c>
      <c r="J217" s="316" t="s">
        <v>3466</v>
      </c>
    </row>
    <row r="218" spans="1:10" x14ac:dyDescent="0.25">
      <c r="A218" s="309" t="s">
        <v>16</v>
      </c>
      <c r="B218" s="310" t="s">
        <v>3467</v>
      </c>
      <c r="C218" s="311" t="s">
        <v>1230</v>
      </c>
      <c r="D218" s="312" t="s">
        <v>2487</v>
      </c>
      <c r="E218" s="313" t="s">
        <v>2480</v>
      </c>
      <c r="F218" s="313" t="s">
        <v>3076</v>
      </c>
      <c r="G218" s="314" t="s">
        <v>1233</v>
      </c>
      <c r="H218" s="315" t="s">
        <v>3037</v>
      </c>
      <c r="I218" s="311" t="s">
        <v>3038</v>
      </c>
      <c r="J218" s="316" t="s">
        <v>3468</v>
      </c>
    </row>
    <row r="219" spans="1:10" x14ac:dyDescent="0.25">
      <c r="A219" s="309" t="s">
        <v>14</v>
      </c>
      <c r="B219" s="310" t="s">
        <v>3469</v>
      </c>
      <c r="C219" s="311" t="s">
        <v>1230</v>
      </c>
      <c r="D219" s="312" t="s">
        <v>2487</v>
      </c>
      <c r="E219" s="313" t="s">
        <v>2480</v>
      </c>
      <c r="F219" s="313" t="s">
        <v>3076</v>
      </c>
      <c r="G219" s="314" t="s">
        <v>1233</v>
      </c>
      <c r="H219" s="315" t="s">
        <v>3037</v>
      </c>
      <c r="I219" s="311" t="s">
        <v>3038</v>
      </c>
      <c r="J219" s="316" t="s">
        <v>3470</v>
      </c>
    </row>
    <row r="220" spans="1:10" x14ac:dyDescent="0.25">
      <c r="A220" s="309" t="s">
        <v>15</v>
      </c>
      <c r="B220" s="310" t="s">
        <v>3471</v>
      </c>
      <c r="C220" s="311" t="s">
        <v>1230</v>
      </c>
      <c r="D220" s="312" t="s">
        <v>2487</v>
      </c>
      <c r="E220" s="313" t="s">
        <v>2480</v>
      </c>
      <c r="F220" s="313" t="s">
        <v>3076</v>
      </c>
      <c r="G220" s="314" t="s">
        <v>1233</v>
      </c>
      <c r="H220" s="315" t="s">
        <v>3037</v>
      </c>
      <c r="I220" s="311" t="s">
        <v>3038</v>
      </c>
      <c r="J220" s="316" t="s">
        <v>3472</v>
      </c>
    </row>
    <row r="221" spans="1:10" x14ac:dyDescent="0.25">
      <c r="A221" s="309" t="s">
        <v>17</v>
      </c>
      <c r="B221" s="310" t="s">
        <v>3473</v>
      </c>
      <c r="C221" s="311" t="s">
        <v>1230</v>
      </c>
      <c r="D221" s="312" t="s">
        <v>2487</v>
      </c>
      <c r="E221" s="313" t="s">
        <v>2480</v>
      </c>
      <c r="F221" s="313" t="s">
        <v>3076</v>
      </c>
      <c r="G221" s="314" t="s">
        <v>1233</v>
      </c>
      <c r="H221" s="315" t="s">
        <v>3037</v>
      </c>
      <c r="I221" s="311" t="s">
        <v>3038</v>
      </c>
      <c r="J221" s="316" t="s">
        <v>3474</v>
      </c>
    </row>
    <row r="222" spans="1:10" x14ac:dyDescent="0.25">
      <c r="A222" s="309" t="s">
        <v>28</v>
      </c>
      <c r="B222" s="310" t="s">
        <v>3475</v>
      </c>
      <c r="C222" s="311" t="s">
        <v>1230</v>
      </c>
      <c r="D222" s="312" t="s">
        <v>2510</v>
      </c>
      <c r="E222" s="313" t="s">
        <v>2506</v>
      </c>
      <c r="F222" s="313" t="s">
        <v>3077</v>
      </c>
      <c r="G222" s="314" t="s">
        <v>1233</v>
      </c>
      <c r="H222" s="315" t="s">
        <v>3037</v>
      </c>
      <c r="I222" s="311" t="s">
        <v>3038</v>
      </c>
      <c r="J222" s="316" t="s">
        <v>3476</v>
      </c>
    </row>
    <row r="223" spans="1:10" x14ac:dyDescent="0.25">
      <c r="A223" s="309" t="s">
        <v>27</v>
      </c>
      <c r="B223" s="310" t="s">
        <v>3477</v>
      </c>
      <c r="C223" s="311" t="s">
        <v>1230</v>
      </c>
      <c r="D223" s="312" t="s">
        <v>2510</v>
      </c>
      <c r="E223" s="313" t="s">
        <v>2506</v>
      </c>
      <c r="F223" s="313" t="s">
        <v>3077</v>
      </c>
      <c r="G223" s="314" t="s">
        <v>1233</v>
      </c>
      <c r="H223" s="315" t="s">
        <v>3037</v>
      </c>
      <c r="I223" s="311" t="s">
        <v>3038</v>
      </c>
      <c r="J223" s="316" t="s">
        <v>3478</v>
      </c>
    </row>
    <row r="224" spans="1:10" x14ac:dyDescent="0.25">
      <c r="A224" s="309" t="s">
        <v>24</v>
      </c>
      <c r="B224" s="310" t="s">
        <v>3479</v>
      </c>
      <c r="C224" s="311" t="s">
        <v>1230</v>
      </c>
      <c r="D224" s="312" t="s">
        <v>2510</v>
      </c>
      <c r="E224" s="313" t="s">
        <v>2506</v>
      </c>
      <c r="F224" s="313" t="s">
        <v>3077</v>
      </c>
      <c r="G224" s="314" t="s">
        <v>1233</v>
      </c>
      <c r="H224" s="315" t="s">
        <v>3037</v>
      </c>
      <c r="I224" s="311" t="s">
        <v>3038</v>
      </c>
      <c r="J224" s="316" t="s">
        <v>3480</v>
      </c>
    </row>
    <row r="225" spans="1:10" x14ac:dyDescent="0.25">
      <c r="A225" s="309" t="s">
        <v>29</v>
      </c>
      <c r="B225" s="310" t="s">
        <v>3481</v>
      </c>
      <c r="C225" s="311" t="s">
        <v>1230</v>
      </c>
      <c r="D225" s="312" t="s">
        <v>2510</v>
      </c>
      <c r="E225" s="313" t="s">
        <v>2506</v>
      </c>
      <c r="F225" s="313" t="s">
        <v>3077</v>
      </c>
      <c r="G225" s="314" t="s">
        <v>1233</v>
      </c>
      <c r="H225" s="315" t="s">
        <v>3037</v>
      </c>
      <c r="I225" s="311" t="s">
        <v>3038</v>
      </c>
      <c r="J225" s="316" t="s">
        <v>3482</v>
      </c>
    </row>
    <row r="226" spans="1:10" x14ac:dyDescent="0.25">
      <c r="A226" s="309" t="s">
        <v>22</v>
      </c>
      <c r="B226" s="310" t="s">
        <v>3483</v>
      </c>
      <c r="C226" s="311" t="s">
        <v>1230</v>
      </c>
      <c r="D226" s="312" t="s">
        <v>2506</v>
      </c>
      <c r="E226" s="313" t="s">
        <v>2505</v>
      </c>
      <c r="F226" s="313" t="s">
        <v>3077</v>
      </c>
      <c r="G226" s="314" t="s">
        <v>1233</v>
      </c>
      <c r="H226" s="315" t="s">
        <v>3037</v>
      </c>
      <c r="I226" s="311" t="s">
        <v>3038</v>
      </c>
      <c r="J226" s="316" t="s">
        <v>3484</v>
      </c>
    </row>
    <row r="227" spans="1:10" x14ac:dyDescent="0.25">
      <c r="A227" s="309" t="s">
        <v>23</v>
      </c>
      <c r="B227" s="310" t="s">
        <v>3485</v>
      </c>
      <c r="C227" s="311" t="s">
        <v>1230</v>
      </c>
      <c r="D227" s="312" t="s">
        <v>2506</v>
      </c>
      <c r="E227" s="313" t="s">
        <v>2505</v>
      </c>
      <c r="F227" s="313" t="s">
        <v>3077</v>
      </c>
      <c r="G227" s="314" t="s">
        <v>1233</v>
      </c>
      <c r="H227" s="315" t="s">
        <v>3037</v>
      </c>
      <c r="I227" s="311" t="s">
        <v>3038</v>
      </c>
      <c r="J227" s="316" t="s">
        <v>3486</v>
      </c>
    </row>
    <row r="228" spans="1:10" x14ac:dyDescent="0.25">
      <c r="A228" s="309" t="s">
        <v>20</v>
      </c>
      <c r="B228" s="310" t="s">
        <v>3487</v>
      </c>
      <c r="C228" s="311" t="s">
        <v>1230</v>
      </c>
      <c r="D228" s="312" t="s">
        <v>2506</v>
      </c>
      <c r="E228" s="313" t="s">
        <v>2505</v>
      </c>
      <c r="F228" s="313" t="s">
        <v>3077</v>
      </c>
      <c r="G228" s="314" t="s">
        <v>1233</v>
      </c>
      <c r="H228" s="315" t="s">
        <v>3037</v>
      </c>
      <c r="I228" s="311" t="s">
        <v>3038</v>
      </c>
      <c r="J228" s="316" t="s">
        <v>3488</v>
      </c>
    </row>
    <row r="229" spans="1:10" x14ac:dyDescent="0.25">
      <c r="A229" s="309" t="s">
        <v>21</v>
      </c>
      <c r="B229" s="310" t="s">
        <v>3489</v>
      </c>
      <c r="C229" s="311" t="s">
        <v>1230</v>
      </c>
      <c r="D229" s="312" t="s">
        <v>3077</v>
      </c>
      <c r="E229" s="313" t="s">
        <v>2505</v>
      </c>
      <c r="F229" s="313" t="s">
        <v>3077</v>
      </c>
      <c r="G229" s="314" t="s">
        <v>3090</v>
      </c>
      <c r="H229" s="315" t="s">
        <v>3037</v>
      </c>
      <c r="I229" s="311" t="s">
        <v>3038</v>
      </c>
      <c r="J229" s="316" t="s">
        <v>3490</v>
      </c>
    </row>
    <row r="230" spans="1:10" x14ac:dyDescent="0.25">
      <c r="A230" s="309" t="s">
        <v>25</v>
      </c>
      <c r="B230" s="310" t="s">
        <v>2863</v>
      </c>
      <c r="C230" s="311" t="s">
        <v>1230</v>
      </c>
      <c r="D230" s="312" t="s">
        <v>3077</v>
      </c>
      <c r="E230" s="313" t="s">
        <v>2506</v>
      </c>
      <c r="F230" s="313" t="s">
        <v>3077</v>
      </c>
      <c r="G230" s="314" t="s">
        <v>3077</v>
      </c>
      <c r="H230" s="315" t="s">
        <v>3037</v>
      </c>
      <c r="I230" s="311" t="s">
        <v>3038</v>
      </c>
      <c r="J230" s="316" t="s">
        <v>3491</v>
      </c>
    </row>
    <row r="231" spans="1:10" x14ac:dyDescent="0.25">
      <c r="A231" s="309" t="s">
        <v>26</v>
      </c>
      <c r="B231" s="310" t="s">
        <v>3492</v>
      </c>
      <c r="C231" s="311" t="s">
        <v>1230</v>
      </c>
      <c r="D231" s="312" t="s">
        <v>3077</v>
      </c>
      <c r="E231" s="313" t="s">
        <v>2506</v>
      </c>
      <c r="F231" s="313" t="s">
        <v>3077</v>
      </c>
      <c r="G231" s="314" t="s">
        <v>3077</v>
      </c>
      <c r="H231" s="315" t="s">
        <v>3037</v>
      </c>
      <c r="I231" s="311" t="s">
        <v>3038</v>
      </c>
      <c r="J231" s="316" t="s">
        <v>3493</v>
      </c>
    </row>
    <row r="232" spans="1:10" x14ac:dyDescent="0.25">
      <c r="A232" s="309" t="s">
        <v>162</v>
      </c>
      <c r="B232" s="310" t="s">
        <v>3494</v>
      </c>
      <c r="C232" s="311" t="s">
        <v>1237</v>
      </c>
      <c r="D232" s="312" t="s">
        <v>2981</v>
      </c>
      <c r="E232" s="313" t="s">
        <v>2892</v>
      </c>
      <c r="F232" s="313" t="s">
        <v>1237</v>
      </c>
      <c r="G232" s="314" t="s">
        <v>3077</v>
      </c>
      <c r="H232" s="315" t="s">
        <v>3037</v>
      </c>
      <c r="I232" s="311" t="s">
        <v>3038</v>
      </c>
      <c r="J232" s="316" t="s">
        <v>3495</v>
      </c>
    </row>
    <row r="233" spans="1:10" x14ac:dyDescent="0.25">
      <c r="A233" s="309" t="s">
        <v>163</v>
      </c>
      <c r="B233" s="310" t="s">
        <v>3496</v>
      </c>
      <c r="C233" s="311" t="s">
        <v>1237</v>
      </c>
      <c r="D233" s="312" t="s">
        <v>2981</v>
      </c>
      <c r="E233" s="313" t="s">
        <v>2893</v>
      </c>
      <c r="F233" s="313" t="s">
        <v>1237</v>
      </c>
      <c r="G233" s="314" t="s">
        <v>3077</v>
      </c>
      <c r="H233" s="315" t="s">
        <v>3037</v>
      </c>
      <c r="I233" s="311" t="s">
        <v>3038</v>
      </c>
      <c r="J233" s="316" t="s">
        <v>3497</v>
      </c>
    </row>
    <row r="234" spans="1:10" x14ac:dyDescent="0.25">
      <c r="A234" s="309" t="s">
        <v>164</v>
      </c>
      <c r="B234" s="310" t="s">
        <v>3498</v>
      </c>
      <c r="C234" s="311" t="s">
        <v>1237</v>
      </c>
      <c r="D234" s="312" t="s">
        <v>3499</v>
      </c>
      <c r="E234" s="313" t="s">
        <v>3063</v>
      </c>
      <c r="F234" s="313" t="s">
        <v>1237</v>
      </c>
      <c r="G234" s="314" t="s">
        <v>3077</v>
      </c>
      <c r="H234" s="315" t="s">
        <v>3037</v>
      </c>
      <c r="I234" s="311" t="s">
        <v>3038</v>
      </c>
      <c r="J234" s="316" t="s">
        <v>3500</v>
      </c>
    </row>
    <row r="235" spans="1:10" x14ac:dyDescent="0.25">
      <c r="A235" s="309" t="s">
        <v>165</v>
      </c>
      <c r="B235" s="310" t="s">
        <v>3501</v>
      </c>
      <c r="C235" s="311" t="s">
        <v>1237</v>
      </c>
      <c r="D235" s="312" t="s">
        <v>3499</v>
      </c>
      <c r="E235" s="313" t="s">
        <v>3063</v>
      </c>
      <c r="F235" s="313" t="s">
        <v>1237</v>
      </c>
      <c r="G235" s="314" t="s">
        <v>3077</v>
      </c>
      <c r="H235" s="315" t="s">
        <v>3037</v>
      </c>
      <c r="I235" s="311" t="s">
        <v>3038</v>
      </c>
      <c r="J235" s="316" t="s">
        <v>3502</v>
      </c>
    </row>
    <row r="236" spans="1:10" x14ac:dyDescent="0.25">
      <c r="A236" s="309" t="s">
        <v>166</v>
      </c>
      <c r="B236" s="310" t="s">
        <v>3503</v>
      </c>
      <c r="C236" s="311" t="s">
        <v>1237</v>
      </c>
      <c r="D236" s="312" t="s">
        <v>3499</v>
      </c>
      <c r="E236" s="313" t="s">
        <v>2891</v>
      </c>
      <c r="F236" s="313" t="s">
        <v>1237</v>
      </c>
      <c r="G236" s="314" t="s">
        <v>3077</v>
      </c>
      <c r="H236" s="315" t="s">
        <v>3037</v>
      </c>
      <c r="I236" s="311" t="s">
        <v>3038</v>
      </c>
      <c r="J236" s="316" t="s">
        <v>3504</v>
      </c>
    </row>
    <row r="237" spans="1:10" x14ac:dyDescent="0.25">
      <c r="A237" s="309" t="s">
        <v>167</v>
      </c>
      <c r="B237" s="310" t="s">
        <v>3505</v>
      </c>
      <c r="C237" s="311" t="s">
        <v>1237</v>
      </c>
      <c r="D237" s="312" t="s">
        <v>3499</v>
      </c>
      <c r="E237" s="313" t="s">
        <v>2890</v>
      </c>
      <c r="F237" s="313" t="s">
        <v>1237</v>
      </c>
      <c r="G237" s="314" t="s">
        <v>3077</v>
      </c>
      <c r="H237" s="315" t="s">
        <v>3037</v>
      </c>
      <c r="I237" s="311" t="s">
        <v>3038</v>
      </c>
      <c r="J237" s="316" t="s">
        <v>3506</v>
      </c>
    </row>
    <row r="238" spans="1:10" x14ac:dyDescent="0.25">
      <c r="A238" s="309" t="s">
        <v>168</v>
      </c>
      <c r="B238" s="310" t="s">
        <v>3507</v>
      </c>
      <c r="C238" s="311" t="s">
        <v>1237</v>
      </c>
      <c r="D238" s="312" t="s">
        <v>2891</v>
      </c>
      <c r="E238" s="313" t="s">
        <v>3077</v>
      </c>
      <c r="F238" s="313" t="s">
        <v>1237</v>
      </c>
      <c r="G238" s="314" t="s">
        <v>3077</v>
      </c>
      <c r="H238" s="315" t="s">
        <v>3037</v>
      </c>
      <c r="I238" s="311" t="s">
        <v>3038</v>
      </c>
      <c r="J238" s="316" t="s">
        <v>3508</v>
      </c>
    </row>
    <row r="239" spans="1:10" x14ac:dyDescent="0.25">
      <c r="A239" s="309" t="s">
        <v>169</v>
      </c>
      <c r="B239" s="310" t="s">
        <v>3509</v>
      </c>
      <c r="C239" s="311" t="s">
        <v>1237</v>
      </c>
      <c r="D239" s="312" t="s">
        <v>2890</v>
      </c>
      <c r="E239" s="313" t="s">
        <v>3077</v>
      </c>
      <c r="F239" s="313" t="s">
        <v>1237</v>
      </c>
      <c r="G239" s="314" t="s">
        <v>3077</v>
      </c>
      <c r="H239" s="315" t="s">
        <v>3037</v>
      </c>
      <c r="I239" s="311" t="s">
        <v>3038</v>
      </c>
      <c r="J239" s="316" t="s">
        <v>3510</v>
      </c>
    </row>
    <row r="240" spans="1:10" x14ac:dyDescent="0.25">
      <c r="A240" s="309" t="s">
        <v>170</v>
      </c>
      <c r="B240" s="310" t="s">
        <v>3511</v>
      </c>
      <c r="C240" s="311" t="s">
        <v>1237</v>
      </c>
      <c r="D240" s="312" t="s">
        <v>2979</v>
      </c>
      <c r="E240" s="313" t="s">
        <v>3077</v>
      </c>
      <c r="F240" s="313" t="s">
        <v>1237</v>
      </c>
      <c r="G240" s="314" t="s">
        <v>3077</v>
      </c>
      <c r="H240" s="315" t="s">
        <v>3037</v>
      </c>
      <c r="I240" s="311" t="s">
        <v>3038</v>
      </c>
      <c r="J240" s="316" t="s">
        <v>3512</v>
      </c>
    </row>
    <row r="241" spans="1:10" x14ac:dyDescent="0.25">
      <c r="A241" s="309" t="s">
        <v>171</v>
      </c>
      <c r="B241" s="310" t="s">
        <v>3513</v>
      </c>
      <c r="C241" s="311" t="s">
        <v>1237</v>
      </c>
      <c r="D241" s="312" t="s">
        <v>2979</v>
      </c>
      <c r="E241" s="313" t="s">
        <v>3077</v>
      </c>
      <c r="F241" s="313" t="s">
        <v>1237</v>
      </c>
      <c r="G241" s="314" t="s">
        <v>3077</v>
      </c>
      <c r="H241" s="315" t="s">
        <v>3037</v>
      </c>
      <c r="I241" s="311" t="s">
        <v>3038</v>
      </c>
      <c r="J241" s="316" t="s">
        <v>3514</v>
      </c>
    </row>
    <row r="242" spans="1:10" x14ac:dyDescent="0.25">
      <c r="A242" s="309" t="s">
        <v>143</v>
      </c>
      <c r="B242" s="310" t="s">
        <v>3515</v>
      </c>
      <c r="C242" s="311" t="s">
        <v>3516</v>
      </c>
      <c r="D242" s="312" t="s">
        <v>1259</v>
      </c>
      <c r="E242" s="313" t="s">
        <v>2480</v>
      </c>
      <c r="F242" s="313" t="s">
        <v>3076</v>
      </c>
      <c r="G242" s="314" t="s">
        <v>3090</v>
      </c>
      <c r="H242" s="315" t="s">
        <v>3037</v>
      </c>
      <c r="I242" s="311" t="s">
        <v>3038</v>
      </c>
      <c r="J242" s="316" t="s">
        <v>3517</v>
      </c>
    </row>
    <row r="243" spans="1:10" x14ac:dyDescent="0.25">
      <c r="A243" s="309" t="s">
        <v>144</v>
      </c>
      <c r="B243" s="310" t="s">
        <v>3518</v>
      </c>
      <c r="C243" s="311" t="s">
        <v>3516</v>
      </c>
      <c r="D243" s="312" t="s">
        <v>1259</v>
      </c>
      <c r="E243" s="313" t="s">
        <v>2480</v>
      </c>
      <c r="F243" s="313" t="s">
        <v>3076</v>
      </c>
      <c r="G243" s="314" t="s">
        <v>3090</v>
      </c>
      <c r="H243" s="315" t="s">
        <v>3037</v>
      </c>
      <c r="I243" s="311" t="s">
        <v>3038</v>
      </c>
      <c r="J243" s="316" t="s">
        <v>3519</v>
      </c>
    </row>
    <row r="244" spans="1:10" x14ac:dyDescent="0.25">
      <c r="A244" s="309" t="s">
        <v>142</v>
      </c>
      <c r="B244" s="310" t="s">
        <v>3520</v>
      </c>
      <c r="C244" s="311" t="s">
        <v>3516</v>
      </c>
      <c r="D244" s="312" t="s">
        <v>1259</v>
      </c>
      <c r="E244" s="313" t="s">
        <v>2480</v>
      </c>
      <c r="F244" s="313" t="s">
        <v>3076</v>
      </c>
      <c r="G244" s="314" t="s">
        <v>3090</v>
      </c>
      <c r="H244" s="315" t="s">
        <v>3037</v>
      </c>
      <c r="I244" s="311" t="s">
        <v>3038</v>
      </c>
      <c r="J244" s="316" t="s">
        <v>3521</v>
      </c>
    </row>
    <row r="245" spans="1:10" x14ac:dyDescent="0.25">
      <c r="A245" s="309" t="s">
        <v>151</v>
      </c>
      <c r="B245" s="310" t="s">
        <v>3522</v>
      </c>
      <c r="C245" s="311" t="s">
        <v>3516</v>
      </c>
      <c r="D245" s="312" t="s">
        <v>1259</v>
      </c>
      <c r="E245" s="313" t="s">
        <v>2480</v>
      </c>
      <c r="F245" s="313" t="s">
        <v>3076</v>
      </c>
      <c r="G245" s="314" t="s">
        <v>3090</v>
      </c>
      <c r="H245" s="315" t="s">
        <v>3037</v>
      </c>
      <c r="I245" s="311" t="s">
        <v>3038</v>
      </c>
      <c r="J245" s="316" t="s">
        <v>3523</v>
      </c>
    </row>
    <row r="246" spans="1:10" x14ac:dyDescent="0.25">
      <c r="A246" s="309" t="s">
        <v>146</v>
      </c>
      <c r="B246" s="310" t="s">
        <v>3524</v>
      </c>
      <c r="C246" s="311" t="s">
        <v>3516</v>
      </c>
      <c r="D246" s="312" t="s">
        <v>1259</v>
      </c>
      <c r="E246" s="313" t="s">
        <v>2480</v>
      </c>
      <c r="F246" s="313" t="s">
        <v>3076</v>
      </c>
      <c r="G246" s="314" t="s">
        <v>3090</v>
      </c>
      <c r="H246" s="315" t="s">
        <v>3037</v>
      </c>
      <c r="I246" s="311" t="s">
        <v>3038</v>
      </c>
      <c r="J246" s="316" t="s">
        <v>3525</v>
      </c>
    </row>
    <row r="247" spans="1:10" x14ac:dyDescent="0.25">
      <c r="A247" s="309" t="s">
        <v>147</v>
      </c>
      <c r="B247" s="310" t="s">
        <v>3526</v>
      </c>
      <c r="C247" s="311" t="s">
        <v>3516</v>
      </c>
      <c r="D247" s="312" t="s">
        <v>1259</v>
      </c>
      <c r="E247" s="313" t="s">
        <v>2480</v>
      </c>
      <c r="F247" s="313" t="s">
        <v>3076</v>
      </c>
      <c r="G247" s="314" t="s">
        <v>3090</v>
      </c>
      <c r="H247" s="315" t="s">
        <v>3037</v>
      </c>
      <c r="I247" s="311" t="s">
        <v>3038</v>
      </c>
      <c r="J247" s="316" t="s">
        <v>3527</v>
      </c>
    </row>
    <row r="248" spans="1:10" x14ac:dyDescent="0.25">
      <c r="A248" s="309" t="s">
        <v>145</v>
      </c>
      <c r="B248" s="310" t="s">
        <v>3528</v>
      </c>
      <c r="C248" s="311" t="s">
        <v>3516</v>
      </c>
      <c r="D248" s="312" t="s">
        <v>1259</v>
      </c>
      <c r="E248" s="313" t="s">
        <v>2480</v>
      </c>
      <c r="F248" s="313" t="s">
        <v>3076</v>
      </c>
      <c r="G248" s="314" t="s">
        <v>3090</v>
      </c>
      <c r="H248" s="315" t="s">
        <v>3037</v>
      </c>
      <c r="I248" s="311" t="s">
        <v>3038</v>
      </c>
      <c r="J248" s="316" t="s">
        <v>3529</v>
      </c>
    </row>
    <row r="249" spans="1:10" x14ac:dyDescent="0.25">
      <c r="A249" s="309" t="s">
        <v>149</v>
      </c>
      <c r="B249" s="310" t="s">
        <v>3530</v>
      </c>
      <c r="C249" s="311" t="s">
        <v>3516</v>
      </c>
      <c r="D249" s="312" t="s">
        <v>1259</v>
      </c>
      <c r="E249" s="313" t="s">
        <v>2480</v>
      </c>
      <c r="F249" s="313" t="s">
        <v>3076</v>
      </c>
      <c r="G249" s="314" t="s">
        <v>3090</v>
      </c>
      <c r="H249" s="315" t="s">
        <v>3037</v>
      </c>
      <c r="I249" s="311" t="s">
        <v>3038</v>
      </c>
      <c r="J249" s="316" t="s">
        <v>3531</v>
      </c>
    </row>
    <row r="250" spans="1:10" x14ac:dyDescent="0.25">
      <c r="A250" s="309" t="s">
        <v>150</v>
      </c>
      <c r="B250" s="310" t="s">
        <v>3532</v>
      </c>
      <c r="C250" s="311" t="s">
        <v>3516</v>
      </c>
      <c r="D250" s="312" t="s">
        <v>1259</v>
      </c>
      <c r="E250" s="313" t="s">
        <v>2480</v>
      </c>
      <c r="F250" s="313" t="s">
        <v>3076</v>
      </c>
      <c r="G250" s="314" t="s">
        <v>3090</v>
      </c>
      <c r="H250" s="315" t="s">
        <v>3037</v>
      </c>
      <c r="I250" s="311" t="s">
        <v>3038</v>
      </c>
      <c r="J250" s="316" t="s">
        <v>3533</v>
      </c>
    </row>
    <row r="251" spans="1:10" x14ac:dyDescent="0.25">
      <c r="A251" s="309" t="s">
        <v>148</v>
      </c>
      <c r="B251" s="310" t="s">
        <v>3534</v>
      </c>
      <c r="C251" s="311" t="s">
        <v>3516</v>
      </c>
      <c r="D251" s="312" t="s">
        <v>1259</v>
      </c>
      <c r="E251" s="313" t="s">
        <v>2480</v>
      </c>
      <c r="F251" s="313" t="s">
        <v>3076</v>
      </c>
      <c r="G251" s="314" t="s">
        <v>3090</v>
      </c>
      <c r="H251" s="315" t="s">
        <v>3037</v>
      </c>
      <c r="I251" s="311" t="s">
        <v>3038</v>
      </c>
      <c r="J251" s="316" t="s">
        <v>3535</v>
      </c>
    </row>
    <row r="252" spans="1:10" ht="15.75" thickBot="1" x14ac:dyDescent="0.3">
      <c r="A252" s="317" t="s">
        <v>184</v>
      </c>
      <c r="B252" s="318" t="s">
        <v>3536</v>
      </c>
      <c r="C252" s="319" t="s">
        <v>1239</v>
      </c>
      <c r="D252" s="320" t="s">
        <v>3077</v>
      </c>
      <c r="E252" s="321" t="s">
        <v>3063</v>
      </c>
      <c r="F252" s="321" t="s">
        <v>3076</v>
      </c>
      <c r="G252" s="322" t="s">
        <v>3090</v>
      </c>
      <c r="H252" s="323" t="s">
        <v>3037</v>
      </c>
      <c r="I252" s="319" t="s">
        <v>3038</v>
      </c>
      <c r="J252" s="324" t="s">
        <v>3537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AB5B4317A05BA4696B403792FD2E757" ma:contentTypeVersion="8" ma:contentTypeDescription="Create a new document." ma:contentTypeScope="" ma:versionID="86c72eeff9e31be29479a2569b21af8b">
  <xsd:schema xmlns:xsd="http://www.w3.org/2001/XMLSchema" xmlns:p="http://schemas.microsoft.com/office/2006/metadata/properties" xmlns:ns2="c14b7203-6001-4ae5-b314-cad184ba0f39" xmlns:ns3="http://schemas.microsoft.com/sharepoint/v3/fields" targetNamespace="http://schemas.microsoft.com/office/2006/metadata/properties" ma:root="true" ma:fieldsID="df500a0d92e9a95e8914aebdc51e533f" ns2:_="" ns3:_="">
    <xsd:import namespace="c14b7203-6001-4ae5-b314-cad184ba0f39"/>
    <xsd:import namespace="http://schemas.microsoft.com/sharepoint/v3/fields"/>
    <xsd:element name="properties">
      <xsd:complexType>
        <xsd:sequence>
          <xsd:element name="documentManagement">
            <xsd:complexType>
              <xsd:all>
                <xsd:element ref="ns2:Display_x0020_Order" minOccurs="0"/>
                <xsd:element ref="ns2:Product" minOccurs="0"/>
                <xsd:element ref="ns3:_ResourceType" minOccurs="0"/>
              </xsd:all>
            </xsd:complexType>
          </xsd:element>
        </xsd:sequence>
      </xsd:complexType>
    </xsd:element>
  </xsd:schema>
  <xsd:schema xmlns:xsd="http://www.w3.org/2001/XMLSchema" xmlns:dms="http://schemas.microsoft.com/office/2006/documentManagement/types" targetNamespace="c14b7203-6001-4ae5-b314-cad184ba0f39" elementFormDefault="qualified">
    <xsd:import namespace="http://schemas.microsoft.com/office/2006/documentManagement/types"/>
    <xsd:element name="Display_x0020_Order" ma:index="2" nillable="true" ma:displayName="Display Order" ma:decimals="0" ma:default="0" ma:description="Provides a sort order to manage the display order for docs/folders" ma:internalName="Display_x0020_Order">
      <xsd:simpleType>
        <xsd:restriction base="dms:Number"/>
      </xsd:simpleType>
    </xsd:element>
    <xsd:element name="Product" ma:index="9" nillable="true" ma:displayName="Product" ma:description="Lists product(s) document supports, for filtering lists" ma:internalName="Product">
      <xsd:simpleType>
        <xsd:restriction base="dms:Text">
          <xsd:maxLength value="255"/>
        </xsd:restriction>
      </xsd:simple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ResourceType" ma:index="10" nillable="true" ma:displayName="Resource Type" ma:description="A set of categories, functions, genres or aggregation levels" ma:internalName="_ResourceTyp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ma:index="11" ma:displayName="Category"/>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roduct xmlns="c14b7203-6001-4ae5-b314-cad184ba0f39">Tegra 3</Product>
    <Display_x0020_Order xmlns="c14b7203-6001-4ae5-b314-cad184ba0f39">6000</Display_x0020_Order>
    <_ResourceType xmlns="http://schemas.microsoft.com/sharepoint/v3/fields">Dev Support Package</_ResourceTyp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59B311-F801-4DF5-A150-722C5391FAFE}">
  <ds:schemaRefs>
    <ds:schemaRef ds:uri="http://schemas.microsoft.com/office/2006/metadata/longProperties"/>
  </ds:schemaRefs>
</ds:datastoreItem>
</file>

<file path=customXml/itemProps2.xml><?xml version="1.0" encoding="utf-8"?>
<ds:datastoreItem xmlns:ds="http://schemas.openxmlformats.org/officeDocument/2006/customXml" ds:itemID="{5AA4F872-1138-4DA1-AA72-1FC4E5692C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4b7203-6001-4ae5-b314-cad184ba0f39"/>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AD5020FC-C16A-4768-B2DC-79FBB4FD5EBA}">
  <ds:schemaRefs>
    <ds:schemaRef ds:uri="http://schemas.microsoft.com/sharepoint/v3/fields"/>
    <ds:schemaRef ds:uri="http://schemas.microsoft.com/office/2006/documentManagement/types"/>
    <ds:schemaRef ds:uri="http://www.w3.org/XML/1998/namespace"/>
    <ds:schemaRef ds:uri="http://purl.org/dc/terms/"/>
    <ds:schemaRef ds:uri="http://purl.org/dc/elements/1.1/"/>
    <ds:schemaRef ds:uri="http://schemas.openxmlformats.org/package/2006/metadata/core-properties"/>
    <ds:schemaRef ds:uri="http://schemas.microsoft.com/office/2006/metadata/properties"/>
    <ds:schemaRef ds:uri="c14b7203-6001-4ae5-b314-cad184ba0f39"/>
    <ds:schemaRef ds:uri="http://purl.org/dc/dcmitype/"/>
  </ds:schemaRefs>
</ds:datastoreItem>
</file>

<file path=customXml/itemProps4.xml><?xml version="1.0" encoding="utf-8"?>
<ds:datastoreItem xmlns:ds="http://schemas.openxmlformats.org/officeDocument/2006/customXml" ds:itemID="{8D5E2B65-A555-4628-B980-769E3056C1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24</vt:i4>
      </vt:variant>
    </vt:vector>
  </HeadingPairs>
  <TitlesOfParts>
    <vt:vector size="33" baseType="lpstr">
      <vt:lpstr>README</vt:lpstr>
      <vt:lpstr>MPIO_SFIO Table</vt:lpstr>
      <vt:lpstr>Signals</vt:lpstr>
      <vt:lpstr>Controllers</vt:lpstr>
      <vt:lpstr>MPIO Details</vt:lpstr>
      <vt:lpstr>T3 PINGROUPs</vt:lpstr>
      <vt:lpstr>C pinmux table</vt:lpstr>
      <vt:lpstr>C unused pins table</vt:lpstr>
      <vt:lpstr>C gpio table</vt:lpstr>
      <vt:lpstr>BALL_NAME</vt:lpstr>
      <vt:lpstr>CUSTOMER_PINMUX</vt:lpstr>
      <vt:lpstr>CUSTOMER_USAGE</vt:lpstr>
      <vt:lpstr>DEDICATED_SFIO_LIST</vt:lpstr>
      <vt:lpstr>DESCRIPTION</vt:lpstr>
      <vt:lpstr>E_INPUT</vt:lpstr>
      <vt:lpstr>GPIO_INIT_OUTPUT</vt:lpstr>
      <vt:lpstr>GPIO_LIST</vt:lpstr>
      <vt:lpstr>GPIO_MODE</vt:lpstr>
      <vt:lpstr>MPIO_TABLE_TOP</vt:lpstr>
      <vt:lpstr>OUTPUT_DISABLE</vt:lpstr>
      <vt:lpstr>PINGROUP_BALL_NAME</vt:lpstr>
      <vt:lpstr>PINGROUP_FUNC_OFFSET</vt:lpstr>
      <vt:lpstr>PINGROUP_ROW_FIRST</vt:lpstr>
      <vt:lpstr>PINGROUP_ROW_LAST</vt:lpstr>
      <vt:lpstr>PINGROUP_SAFE_OFFSET</vt:lpstr>
      <vt:lpstr>POR_PINMUX</vt:lpstr>
      <vt:lpstr>PU_PD</vt:lpstr>
      <vt:lpstr>SFIO_COL_0</vt:lpstr>
      <vt:lpstr>START_PINMUX_TABLE</vt:lpstr>
      <vt:lpstr>START_PINMUX_TABLE_GPIO_PINS</vt:lpstr>
      <vt:lpstr>START_PINMUX_TABLE_UNUSED</vt:lpstr>
      <vt:lpstr>TRISTATE</vt:lpstr>
      <vt:lpstr>WAKE_PIN</vt:lpstr>
    </vt:vector>
  </TitlesOfParts>
  <Company>NVIDIA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2011/11/17 - Tegra3_PinMux_DA05692001v06.xlsx</dc:title>
  <dc:creator>mlongnecker</dc:creator>
  <cp:lastModifiedBy>Windows User</cp:lastModifiedBy>
  <dcterms:created xsi:type="dcterms:W3CDTF">2011-01-18T21:59:40Z</dcterms:created>
  <dcterms:modified xsi:type="dcterms:W3CDTF">2012-04-06T17:07:21Z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0x010100EAB5B4317A05BA4696B403792FD2E757</vt:lpwstr>
  </property>
</Properties>
</file>